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C026B480-071E-DA80-A48C-D3F380F32C35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Luana\Downloads\beneficios va e vr\10 2023\"/>
    </mc:Choice>
  </mc:AlternateContent>
  <xr:revisionPtr revIDLastSave="0" documentId="13_ncr:1_{B6CF1E0C-0A24-44CD-8964-C8D44B3320E4}" xr6:coauthVersionLast="47" xr6:coauthVersionMax="47" xr10:uidLastSave="{00000000-0000-0000-0000-000000000000}"/>
  <bookViews>
    <workbookView xWindow="-110" yWindow="-110" windowWidth="19420" windowHeight="10300" tabRatio="886" xr2:uid="{00000000-000D-0000-FFFF-FFFF00000000}"/>
  </bookViews>
  <sheets>
    <sheet name="CONFERÊNCIA" sheetId="15" r:id="rId1"/>
    <sheet name="FALTAS" sheetId="81" r:id="rId2"/>
    <sheet name="VA" sheetId="83" r:id="rId3"/>
    <sheet name="VR" sheetId="82" r:id="rId4"/>
    <sheet name="2vias" sheetId="98" r:id="rId5"/>
    <sheet name="RELATORIO" sheetId="85" r:id="rId6"/>
    <sheet name="RESUMO" sheetId="84" r:id="rId7"/>
    <sheet name="TABELA VA.VR " sheetId="86" r:id="rId8"/>
    <sheet name="TABELA" sheetId="97" r:id="rId9"/>
    <sheet name="MES A MES" sheetId="96" r:id="rId10"/>
  </sheets>
  <externalReferences>
    <externalReference r:id="rId11"/>
  </externalReferences>
  <definedNames>
    <definedName name="_xlnm._FilterDatabase" localSheetId="0" hidden="1">CONFERÊNCIA!$A$1:$K$1451</definedName>
    <definedName name="_xlnm._FilterDatabase" localSheetId="1" hidden="1">FALTAS!$A$1:$E$61</definedName>
    <definedName name="_xlnm._FilterDatabase" localSheetId="9" hidden="1">'MES A MES'!$A$1:$I$1454</definedName>
    <definedName name="_xlnm._FilterDatabase" localSheetId="2" hidden="1">VA!$A$1:$M$1410</definedName>
    <definedName name="_xlnm._FilterDatabase" localSheetId="3" hidden="1">VR!$A$1:$M$1426</definedName>
    <definedName name="_xlnm.Print_Area" localSheetId="4">'2vias'!$A$1:$E$11</definedName>
    <definedName name="_xlnm.Print_Area" localSheetId="0">CONFERÊNCIA!$B$1:$B$770</definedName>
    <definedName name="_xlnm.Print_Area" localSheetId="5">RELATORIO!#REF!</definedName>
    <definedName name="_xlnm.Print_Area" localSheetId="6">RESUMO!$A$1:$M$35</definedName>
    <definedName name="_xlnm.Print_Area" localSheetId="7">'TABELA VA.VR '!$B$1:$H$9</definedName>
  </definedNames>
  <calcPr calcId="191029"/>
  <pivotCaches>
    <pivotCache cacheId="0" r:id="rId12"/>
    <pivotCache cacheId="1" r:id="rId1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98" l="1"/>
  <c r="C4" i="98"/>
  <c r="D4" i="98"/>
  <c r="B5" i="98"/>
  <c r="C5" i="98"/>
  <c r="D5" i="98"/>
  <c r="B6" i="98"/>
  <c r="C6" i="98"/>
  <c r="D6" i="98"/>
  <c r="B7" i="98"/>
  <c r="C7" i="98"/>
  <c r="D7" i="98"/>
  <c r="B8" i="98"/>
  <c r="C8" i="98"/>
  <c r="D8" i="98"/>
  <c r="B9" i="98"/>
  <c r="C9" i="98"/>
  <c r="D9" i="98"/>
  <c r="B10" i="98"/>
  <c r="C10" i="98"/>
  <c r="D10" i="98"/>
  <c r="D3" i="98"/>
  <c r="C3" i="98"/>
  <c r="B3" i="98"/>
  <c r="D32" i="84"/>
  <c r="D33" i="84"/>
  <c r="F22" i="84" l="1"/>
  <c r="F23" i="84"/>
  <c r="F24" i="84"/>
  <c r="F25" i="84"/>
  <c r="F21" i="84"/>
  <c r="E26" i="84"/>
  <c r="D26" i="84"/>
  <c r="C26" i="84"/>
  <c r="B26" i="84"/>
  <c r="G5" i="86"/>
  <c r="G6" i="86"/>
  <c r="G7" i="86"/>
  <c r="G8" i="86"/>
  <c r="G4" i="86"/>
  <c r="F9" i="86"/>
  <c r="F21" i="86"/>
  <c r="E21" i="86"/>
  <c r="D21" i="86"/>
  <c r="C21" i="86"/>
  <c r="G20" i="86"/>
  <c r="G19" i="86"/>
  <c r="G18" i="86"/>
  <c r="G17" i="86"/>
  <c r="G16" i="86"/>
  <c r="F1454" i="96"/>
  <c r="F26" i="84" l="1"/>
  <c r="G9" i="86"/>
  <c r="G21" i="86"/>
  <c r="G1070" i="96"/>
  <c r="H1070" i="96" s="1"/>
  <c r="G1071" i="96"/>
  <c r="H1071" i="96" s="1"/>
  <c r="G1163" i="96"/>
  <c r="H1163" i="96" s="1"/>
  <c r="G1244" i="96"/>
  <c r="H1244" i="96" s="1"/>
  <c r="G1326" i="96"/>
  <c r="H1326" i="96" s="1"/>
  <c r="G1341" i="96"/>
  <c r="H1341" i="96" s="1"/>
  <c r="G1345" i="96"/>
  <c r="H1345" i="96" s="1"/>
  <c r="J1456" i="15"/>
  <c r="J1457" i="15"/>
  <c r="J1458" i="15"/>
  <c r="J1459" i="15"/>
  <c r="J1460" i="15"/>
  <c r="J1461" i="15"/>
  <c r="J1462" i="15"/>
  <c r="J1463" i="15"/>
  <c r="J1464" i="15"/>
  <c r="J1465" i="15"/>
  <c r="J1466" i="15"/>
  <c r="J1467" i="15"/>
  <c r="J1468" i="15"/>
  <c r="J1469" i="15"/>
  <c r="J1470" i="15"/>
  <c r="J1471" i="15"/>
  <c r="J1455" i="15"/>
  <c r="J1473" i="15" s="1"/>
  <c r="H1473" i="15"/>
  <c r="I1473" i="15"/>
  <c r="I1426" i="82"/>
  <c r="I1410" i="83"/>
  <c r="D61" i="81" l="1"/>
  <c r="E50" i="81" l="1"/>
  <c r="E8" i="81"/>
  <c r="E37" i="81"/>
  <c r="E5" i="81"/>
  <c r="E17" i="81"/>
  <c r="E21" i="81"/>
  <c r="E41" i="81"/>
  <c r="E24" i="81"/>
  <c r="E36" i="81"/>
  <c r="E2" i="81"/>
  <c r="E27" i="81"/>
  <c r="E48" i="81"/>
  <c r="E39" i="81"/>
  <c r="E4" i="81"/>
  <c r="E23" i="81"/>
  <c r="E60" i="81"/>
  <c r="E3" i="81"/>
  <c r="E46" i="81"/>
  <c r="E53" i="81"/>
  <c r="E49" i="81"/>
  <c r="E14" i="81"/>
  <c r="E44" i="81"/>
  <c r="E58" i="81"/>
  <c r="E6" i="81"/>
  <c r="E54" i="81"/>
  <c r="E35" i="81"/>
  <c r="E30" i="81"/>
  <c r="E29" i="81"/>
  <c r="E15" i="81"/>
  <c r="E16" i="81"/>
  <c r="E34" i="81"/>
  <c r="E42" i="81"/>
  <c r="E38" i="81"/>
  <c r="E7" i="81"/>
  <c r="E40" i="81"/>
  <c r="E18" i="81"/>
  <c r="E10" i="81"/>
  <c r="E25" i="81"/>
  <c r="E20" i="81"/>
  <c r="E59" i="81"/>
  <c r="E9" i="81"/>
  <c r="E52" i="81"/>
  <c r="E11" i="81"/>
  <c r="E32" i="81"/>
  <c r="E51" i="81"/>
  <c r="E26" i="81"/>
  <c r="E47" i="81"/>
  <c r="E13" i="81"/>
  <c r="E19" i="81"/>
  <c r="E45" i="81"/>
  <c r="E28" i="81"/>
  <c r="E55" i="81"/>
  <c r="E31" i="81"/>
  <c r="E43" i="81"/>
  <c r="E22" i="81"/>
  <c r="E12" i="81"/>
  <c r="E56" i="81"/>
  <c r="E57" i="81"/>
  <c r="E33" i="81"/>
  <c r="K12" i="84" l="1"/>
  <c r="J12" i="84"/>
  <c r="I12" i="84"/>
  <c r="H12" i="84"/>
  <c r="G12" i="84"/>
  <c r="F12" i="84"/>
  <c r="F15" i="84" s="1"/>
  <c r="E12" i="84"/>
  <c r="D12" i="84"/>
  <c r="D15" i="84" s="1"/>
  <c r="C12" i="84"/>
  <c r="B12" i="84"/>
  <c r="E11" i="98" l="1"/>
  <c r="E9" i="86"/>
  <c r="C9" i="86"/>
  <c r="D33" i="97"/>
  <c r="D32" i="97"/>
  <c r="D31" i="97"/>
  <c r="D30" i="97"/>
  <c r="D29" i="97"/>
  <c r="D28" i="97"/>
  <c r="D9" i="86"/>
  <c r="I441" i="15" l="1"/>
  <c r="K1345" i="15"/>
  <c r="K730" i="15"/>
  <c r="K579" i="15"/>
  <c r="K274" i="15"/>
  <c r="K138" i="15"/>
  <c r="K54" i="15"/>
  <c r="H1301" i="15"/>
  <c r="I1301" i="15"/>
  <c r="K1301" i="15"/>
  <c r="H399" i="15"/>
  <c r="I399" i="15"/>
  <c r="K399" i="15"/>
  <c r="H1171" i="15"/>
  <c r="I1171" i="15"/>
  <c r="K1171" i="15"/>
  <c r="H302" i="15"/>
  <c r="I302" i="15"/>
  <c r="K302" i="15"/>
  <c r="H219" i="15"/>
  <c r="I219" i="15"/>
  <c r="K219" i="15"/>
  <c r="H1341" i="15"/>
  <c r="I1341" i="15"/>
  <c r="K1341" i="15"/>
  <c r="H441" i="15"/>
  <c r="K441" i="15"/>
  <c r="H1069" i="15"/>
  <c r="I1069" i="15"/>
  <c r="K1069" i="15"/>
  <c r="H1396" i="15"/>
  <c r="I1396" i="15"/>
  <c r="K1396" i="15"/>
  <c r="H579" i="15"/>
  <c r="I579" i="15"/>
  <c r="H1147" i="15"/>
  <c r="I1147" i="15"/>
  <c r="K1147" i="15"/>
  <c r="H1059" i="15"/>
  <c r="I1059" i="15"/>
  <c r="K1059" i="15"/>
  <c r="H508" i="15"/>
  <c r="I508" i="15"/>
  <c r="K508" i="15"/>
  <c r="H344" i="15"/>
  <c r="I344" i="15"/>
  <c r="K344" i="15"/>
  <c r="H1068" i="15"/>
  <c r="I1068" i="15"/>
  <c r="K1068" i="15"/>
  <c r="H159" i="15"/>
  <c r="I159" i="15"/>
  <c r="K159" i="15"/>
  <c r="H730" i="15"/>
  <c r="I730" i="15"/>
  <c r="H1253" i="15"/>
  <c r="I1253" i="15"/>
  <c r="K1253" i="15"/>
  <c r="H1047" i="15"/>
  <c r="I1047" i="15"/>
  <c r="K1047" i="15"/>
  <c r="H1337" i="15"/>
  <c r="I1337" i="15"/>
  <c r="K1337" i="15"/>
  <c r="H138" i="15"/>
  <c r="I138" i="15"/>
  <c r="H1151" i="15"/>
  <c r="I1151" i="15"/>
  <c r="K1151" i="15"/>
  <c r="H535" i="15"/>
  <c r="I535" i="15"/>
  <c r="K535" i="15"/>
  <c r="H809" i="15"/>
  <c r="I809" i="15"/>
  <c r="K809" i="15"/>
  <c r="H499" i="15"/>
  <c r="I499" i="15"/>
  <c r="K499" i="15"/>
  <c r="H314" i="15"/>
  <c r="I314" i="15"/>
  <c r="K314" i="15"/>
  <c r="H475" i="15"/>
  <c r="I475" i="15"/>
  <c r="K475" i="15"/>
  <c r="H461" i="15"/>
  <c r="I461" i="15"/>
  <c r="K461" i="15"/>
  <c r="H584" i="15"/>
  <c r="I584" i="15"/>
  <c r="K584" i="15"/>
  <c r="H274" i="15"/>
  <c r="I274" i="15"/>
  <c r="H877" i="15"/>
  <c r="I877" i="15"/>
  <c r="K877" i="15"/>
  <c r="H54" i="15"/>
  <c r="I54" i="15"/>
  <c r="H1139" i="15"/>
  <c r="I1139" i="15"/>
  <c r="K1139" i="15"/>
  <c r="H22" i="15"/>
  <c r="I22" i="15"/>
  <c r="K22" i="15"/>
  <c r="H671" i="15"/>
  <c r="I671" i="15"/>
  <c r="K671" i="15"/>
  <c r="H856" i="15"/>
  <c r="I856" i="15"/>
  <c r="K856" i="15"/>
  <c r="H665" i="15"/>
  <c r="I665" i="15"/>
  <c r="K665" i="15"/>
  <c r="H1345" i="15"/>
  <c r="I1345" i="15"/>
  <c r="H885" i="15"/>
  <c r="I885" i="15"/>
  <c r="K885" i="15"/>
  <c r="H1420" i="15"/>
  <c r="I1420" i="15"/>
  <c r="K1420" i="15"/>
  <c r="H60" i="15"/>
  <c r="I60" i="15"/>
  <c r="K60" i="15"/>
  <c r="H501" i="15"/>
  <c r="I501" i="15"/>
  <c r="K501" i="15"/>
  <c r="H299" i="15"/>
  <c r="I299" i="15"/>
  <c r="K299" i="15"/>
  <c r="H527" i="15"/>
  <c r="I527" i="15"/>
  <c r="K527" i="15"/>
  <c r="H658" i="15"/>
  <c r="I658" i="15"/>
  <c r="K658" i="15"/>
  <c r="H990" i="15"/>
  <c r="I990" i="15"/>
  <c r="K990" i="15"/>
  <c r="H1017" i="15"/>
  <c r="I1017" i="15"/>
  <c r="K1017" i="15"/>
  <c r="H402" i="15"/>
  <c r="I402" i="15"/>
  <c r="K402" i="15"/>
  <c r="H183" i="15"/>
  <c r="I183" i="15"/>
  <c r="K183" i="15"/>
  <c r="H1340" i="15"/>
  <c r="I1340" i="15"/>
  <c r="K1340" i="15"/>
  <c r="H693" i="15"/>
  <c r="I693" i="15"/>
  <c r="K693" i="15"/>
  <c r="J1068" i="15" l="1"/>
  <c r="G1068" i="96" s="1"/>
  <c r="H1068" i="96" s="1"/>
  <c r="J671" i="15"/>
  <c r="J1147" i="15"/>
  <c r="J885" i="15"/>
  <c r="J299" i="15"/>
  <c r="J579" i="15"/>
  <c r="J1047" i="15"/>
  <c r="G1047" i="96" s="1"/>
  <c r="H1047" i="96" s="1"/>
  <c r="J1341" i="15"/>
  <c r="J1017" i="15"/>
  <c r="J475" i="15"/>
  <c r="J535" i="15"/>
  <c r="J693" i="15"/>
  <c r="J877" i="15"/>
  <c r="J441" i="15"/>
  <c r="J302" i="15"/>
  <c r="J1171" i="15"/>
  <c r="G1172" i="96" s="1"/>
  <c r="H1172" i="96" s="1"/>
  <c r="J402" i="15"/>
  <c r="J54" i="15"/>
  <c r="J461" i="15"/>
  <c r="J809" i="15"/>
  <c r="J1337" i="15"/>
  <c r="J159" i="15"/>
  <c r="J1059" i="15"/>
  <c r="J1069" i="15"/>
  <c r="G1069" i="96" s="1"/>
  <c r="H1069" i="96" s="1"/>
  <c r="J1420" i="15"/>
  <c r="G1423" i="96" s="1"/>
  <c r="H1423" i="96" s="1"/>
  <c r="J183" i="15"/>
  <c r="J658" i="15"/>
  <c r="J60" i="15"/>
  <c r="J665" i="15"/>
  <c r="J1139" i="15"/>
  <c r="G1140" i="96" s="1"/>
  <c r="H1140" i="96" s="1"/>
  <c r="J584" i="15"/>
  <c r="J499" i="15"/>
  <c r="J138" i="15"/>
  <c r="J730" i="15"/>
  <c r="J508" i="15"/>
  <c r="J1396" i="15"/>
  <c r="G1399" i="96" s="1"/>
  <c r="H1399" i="96" s="1"/>
  <c r="J219" i="15"/>
  <c r="J527" i="15"/>
  <c r="J856" i="15"/>
  <c r="J1340" i="15"/>
  <c r="G1342" i="96" s="1"/>
  <c r="H1342" i="96" s="1"/>
  <c r="J990" i="15"/>
  <c r="J501" i="15"/>
  <c r="J1345" i="15"/>
  <c r="J22" i="15"/>
  <c r="J274" i="15"/>
  <c r="J314" i="15"/>
  <c r="J1151" i="15"/>
  <c r="G1152" i="96" s="1"/>
  <c r="H1152" i="96" s="1"/>
  <c r="J1253" i="15"/>
  <c r="G1254" i="96" s="1"/>
  <c r="H1254" i="96" s="1"/>
  <c r="J344" i="15"/>
  <c r="J399" i="15"/>
  <c r="J1301" i="15"/>
  <c r="D5" i="97"/>
  <c r="K5" i="97"/>
  <c r="D6" i="97"/>
  <c r="K6" i="97"/>
  <c r="D7" i="97"/>
  <c r="K7" i="97"/>
  <c r="D8" i="97"/>
  <c r="K8" i="97"/>
  <c r="D9" i="97"/>
  <c r="K9" i="97"/>
  <c r="D10" i="97"/>
  <c r="G10" i="97"/>
  <c r="H10" i="97"/>
  <c r="I10" i="97"/>
  <c r="J10" i="97"/>
  <c r="G859" i="96" l="1"/>
  <c r="H859" i="96" s="1"/>
  <c r="G1343" i="96"/>
  <c r="H1343" i="96" s="1"/>
  <c r="G1059" i="96"/>
  <c r="H1059" i="96" s="1"/>
  <c r="G1148" i="96"/>
  <c r="H1148" i="96" s="1"/>
  <c r="G1301" i="96"/>
  <c r="H1301" i="96" s="1"/>
  <c r="G1348" i="96"/>
  <c r="H1348" i="96" s="1"/>
  <c r="G991" i="96"/>
  <c r="H991" i="96" s="1"/>
  <c r="G1338" i="96"/>
  <c r="H1338" i="96" s="1"/>
  <c r="G1017" i="96"/>
  <c r="H1017" i="96" s="1"/>
  <c r="K10" i="97"/>
  <c r="H1134" i="15" l="1"/>
  <c r="K1173" i="15" l="1"/>
  <c r="K470" i="15"/>
  <c r="K1060" i="15"/>
  <c r="K902" i="15"/>
  <c r="K1075" i="15"/>
  <c r="K495" i="15"/>
  <c r="K1325" i="15"/>
  <c r="K1218" i="15"/>
  <c r="K551" i="15"/>
  <c r="K576" i="15"/>
  <c r="K1205" i="15"/>
  <c r="K557" i="15"/>
  <c r="K644" i="15"/>
  <c r="K926" i="15"/>
  <c r="K124" i="15"/>
  <c r="K429" i="15"/>
  <c r="K925" i="15"/>
  <c r="K953" i="15"/>
  <c r="K1272" i="15"/>
  <c r="K606" i="15"/>
  <c r="K1179" i="15"/>
  <c r="K1349" i="15"/>
  <c r="K462" i="15"/>
  <c r="K179" i="15"/>
  <c r="K875" i="15"/>
  <c r="K205" i="15"/>
  <c r="K206" i="15"/>
  <c r="K1259" i="15"/>
  <c r="K28" i="15"/>
  <c r="K40" i="15"/>
  <c r="K64" i="15"/>
  <c r="K209" i="15"/>
  <c r="K633" i="15"/>
  <c r="K210" i="15"/>
  <c r="K672" i="15"/>
  <c r="K212" i="15"/>
  <c r="K214" i="15"/>
  <c r="K215" i="15"/>
  <c r="K220" i="15"/>
  <c r="K221" i="15"/>
  <c r="K833" i="15"/>
  <c r="K834" i="15"/>
  <c r="K1030" i="15"/>
  <c r="K2" i="15"/>
  <c r="K1260" i="15"/>
  <c r="K3" i="15"/>
  <c r="K1261" i="15"/>
  <c r="K1033" i="15"/>
  <c r="K1263" i="15"/>
  <c r="K679" i="15"/>
  <c r="K837" i="15"/>
  <c r="K692" i="15"/>
  <c r="K838" i="15"/>
  <c r="K714" i="15"/>
  <c r="K840" i="15"/>
  <c r="K1294" i="15"/>
  <c r="K664" i="15"/>
  <c r="K1298" i="15"/>
  <c r="K765" i="15"/>
  <c r="K841" i="15"/>
  <c r="K819" i="15"/>
  <c r="K1309" i="15"/>
  <c r="K5" i="15"/>
  <c r="K649" i="15"/>
  <c r="K842" i="15"/>
  <c r="K1313" i="15"/>
  <c r="K1314" i="15"/>
  <c r="K1035" i="15"/>
  <c r="K681" i="15"/>
  <c r="K1351" i="15"/>
  <c r="K687" i="15"/>
  <c r="K1353" i="15"/>
  <c r="K694" i="15"/>
  <c r="K844" i="15"/>
  <c r="K1038" i="15"/>
  <c r="K1376" i="15"/>
  <c r="K698" i="15"/>
  <c r="K703" i="15"/>
  <c r="K1430" i="15"/>
  <c r="K733" i="15"/>
  <c r="K845" i="15"/>
  <c r="K10" i="15"/>
  <c r="K746" i="15"/>
  <c r="K847" i="15"/>
  <c r="K1266" i="15"/>
  <c r="K11" i="15"/>
  <c r="K748" i="15"/>
  <c r="K1267" i="15"/>
  <c r="K1039" i="15"/>
  <c r="K1268" i="15"/>
  <c r="K776" i="15"/>
  <c r="K12" i="15"/>
  <c r="K848" i="15"/>
  <c r="K814" i="15"/>
  <c r="K13" i="15"/>
  <c r="K849" i="15"/>
  <c r="K1280" i="15"/>
  <c r="K1041" i="15"/>
  <c r="K1282" i="15"/>
  <c r="K16" i="15"/>
  <c r="K824" i="15"/>
  <c r="K850" i="15"/>
  <c r="K1288" i="15"/>
  <c r="K818" i="15"/>
  <c r="K420" i="15"/>
  <c r="K1306" i="15"/>
  <c r="K852" i="15"/>
  <c r="K1310" i="15"/>
  <c r="K854" i="15"/>
  <c r="K422" i="15"/>
  <c r="K1319" i="15"/>
  <c r="K17" i="15"/>
  <c r="K1258" i="15"/>
  <c r="K1042" i="15"/>
  <c r="K709" i="15"/>
  <c r="K855" i="15"/>
  <c r="K729" i="15"/>
  <c r="K224" i="15"/>
  <c r="K20" i="15"/>
  <c r="K754" i="15"/>
  <c r="K1352" i="15"/>
  <c r="K225" i="15"/>
  <c r="K226" i="15"/>
  <c r="K761" i="15"/>
  <c r="K1355" i="15"/>
  <c r="K828" i="15"/>
  <c r="K1364" i="15"/>
  <c r="K1370" i="15"/>
  <c r="K1378" i="15"/>
  <c r="K227" i="15"/>
  <c r="K815" i="15"/>
  <c r="K675" i="15"/>
  <c r="K228" i="15"/>
  <c r="K686" i="15"/>
  <c r="K1410" i="15"/>
  <c r="K691" i="15"/>
  <c r="K229" i="15"/>
  <c r="K700" i="15"/>
  <c r="K759" i="15"/>
  <c r="K784" i="15"/>
  <c r="K1421" i="15"/>
  <c r="K23" i="15"/>
  <c r="K24" i="15"/>
  <c r="K423" i="15"/>
  <c r="K1428" i="15"/>
  <c r="K424" i="15"/>
  <c r="K1433" i="15"/>
  <c r="K857" i="15"/>
  <c r="K425" i="15"/>
  <c r="K1044" i="15"/>
  <c r="K1447" i="15"/>
  <c r="K29" i="15"/>
  <c r="K426" i="15"/>
  <c r="K859" i="15"/>
  <c r="K1045" i="15"/>
  <c r="K1269" i="15"/>
  <c r="K427" i="15"/>
  <c r="K1270" i="15"/>
  <c r="K860" i="15"/>
  <c r="K32" i="15"/>
  <c r="K1046" i="15"/>
  <c r="K33" i="15"/>
  <c r="K862" i="15"/>
  <c r="K34" i="15"/>
  <c r="K1048" i="15"/>
  <c r="K1256" i="15"/>
  <c r="K37" i="15"/>
  <c r="K431" i="15"/>
  <c r="K865" i="15"/>
  <c r="K1049" i="15"/>
  <c r="K1255" i="15"/>
  <c r="K1050" i="15"/>
  <c r="K787" i="15"/>
  <c r="K796" i="15"/>
  <c r="K433" i="15"/>
  <c r="K435" i="15"/>
  <c r="K1254" i="15"/>
  <c r="K868" i="15"/>
  <c r="K436" i="15"/>
  <c r="K869" i="15"/>
  <c r="K38" i="15"/>
  <c r="K870" i="15"/>
  <c r="K39" i="15"/>
  <c r="K871" i="15"/>
  <c r="K1286" i="15"/>
  <c r="K41" i="15"/>
  <c r="K872" i="15"/>
  <c r="K1287" i="15"/>
  <c r="K42" i="15"/>
  <c r="K1295" i="15"/>
  <c r="K43" i="15"/>
  <c r="K873" i="15"/>
  <c r="K437" i="15"/>
  <c r="K1250" i="15"/>
  <c r="K812" i="15"/>
  <c r="K231" i="15"/>
  <c r="K1297" i="15"/>
  <c r="K1052" i="15"/>
  <c r="K1248" i="15"/>
  <c r="K438" i="15"/>
  <c r="K1056" i="15"/>
  <c r="K1302" i="15"/>
  <c r="K1246" i="15"/>
  <c r="K707" i="15"/>
  <c r="K1307" i="15"/>
  <c r="K44" i="15"/>
  <c r="K717" i="15"/>
  <c r="K1057" i="15"/>
  <c r="K874" i="15"/>
  <c r="K439" i="15"/>
  <c r="K1312" i="15"/>
  <c r="K442" i="15"/>
  <c r="K1315" i="15"/>
  <c r="K1058" i="15"/>
  <c r="K880" i="15"/>
  <c r="K1322" i="15"/>
  <c r="K1344" i="15"/>
  <c r="K1350" i="15"/>
  <c r="K232" i="15"/>
  <c r="K1063" i="15"/>
  <c r="K445" i="15"/>
  <c r="K794" i="15"/>
  <c r="K1064" i="15"/>
  <c r="K1359" i="15"/>
  <c r="K755" i="15"/>
  <c r="K447" i="15"/>
  <c r="K233" i="15"/>
  <c r="K883" i="15"/>
  <c r="K1361" i="15"/>
  <c r="K760" i="15"/>
  <c r="K448" i="15"/>
  <c r="K1362" i="15"/>
  <c r="K741" i="15"/>
  <c r="K449" i="15"/>
  <c r="K1365" i="15"/>
  <c r="K661" i="15"/>
  <c r="K450" i="15"/>
  <c r="K724" i="15"/>
  <c r="K767" i="15"/>
  <c r="K451" i="15"/>
  <c r="K452" i="15"/>
  <c r="K234" i="15"/>
  <c r="K453" i="15"/>
  <c r="K236" i="15"/>
  <c r="K830" i="15"/>
  <c r="K237" i="15"/>
  <c r="K623" i="15"/>
  <c r="K238" i="15"/>
  <c r="K628" i="15"/>
  <c r="K239" i="15"/>
  <c r="K240" i="15"/>
  <c r="K288" i="15"/>
  <c r="K241" i="15"/>
  <c r="K290" i="15"/>
  <c r="K242" i="15"/>
  <c r="K291" i="15"/>
  <c r="K292" i="15"/>
  <c r="K245" i="15"/>
  <c r="K886" i="15"/>
  <c r="K887" i="15"/>
  <c r="K46" i="15"/>
  <c r="K246" i="15"/>
  <c r="K48" i="15"/>
  <c r="K248" i="15"/>
  <c r="K250" i="15"/>
  <c r="K251" i="15"/>
  <c r="K252" i="15"/>
  <c r="K891" i="15"/>
  <c r="K253" i="15"/>
  <c r="K254" i="15"/>
  <c r="K256" i="15"/>
  <c r="K1371" i="15"/>
  <c r="K57" i="15"/>
  <c r="K259" i="15"/>
  <c r="K1372" i="15"/>
  <c r="K1375" i="15"/>
  <c r="K261" i="15"/>
  <c r="K892" i="15"/>
  <c r="K1065" i="15"/>
  <c r="K1381" i="15"/>
  <c r="K262" i="15"/>
  <c r="K893" i="15"/>
  <c r="K454" i="15"/>
  <c r="K263" i="15"/>
  <c r="K894" i="15"/>
  <c r="K455" i="15"/>
  <c r="K267" i="15"/>
  <c r="K895" i="15"/>
  <c r="K1407" i="15"/>
  <c r="K456" i="15"/>
  <c r="K1411" i="15"/>
  <c r="K457" i="15"/>
  <c r="K897" i="15"/>
  <c r="K458" i="15"/>
  <c r="K1417" i="15"/>
  <c r="K1067" i="15"/>
  <c r="K459" i="15"/>
  <c r="K269" i="15"/>
  <c r="K898" i="15"/>
  <c r="K1418" i="15"/>
  <c r="K270" i="15"/>
  <c r="K1071" i="15"/>
  <c r="K899" i="15"/>
  <c r="K1437" i="15"/>
  <c r="K460" i="15"/>
  <c r="K271" i="15"/>
  <c r="K1072" i="15"/>
  <c r="K900" i="15"/>
  <c r="K1434" i="15"/>
  <c r="K1438" i="15"/>
  <c r="K463" i="15"/>
  <c r="K901" i="15"/>
  <c r="K47" i="15"/>
  <c r="K272" i="15"/>
  <c r="K1073" i="15"/>
  <c r="K466" i="15"/>
  <c r="K1265" i="15"/>
  <c r="K904" i="15"/>
  <c r="K49" i="15"/>
  <c r="K468" i="15"/>
  <c r="K53" i="15"/>
  <c r="K905" i="15"/>
  <c r="K469" i="15"/>
  <c r="K56" i="15"/>
  <c r="K472" i="15"/>
  <c r="K58" i="15"/>
  <c r="K907" i="15"/>
  <c r="K1074" i="15"/>
  <c r="K474" i="15"/>
  <c r="K1274" i="15"/>
  <c r="K911" i="15"/>
  <c r="K1076" i="15"/>
  <c r="K1278" i="15"/>
  <c r="K1077" i="15"/>
  <c r="K912" i="15"/>
  <c r="K1330" i="15"/>
  <c r="K476" i="15"/>
  <c r="K1078" i="15"/>
  <c r="K913" i="15"/>
  <c r="K1449" i="15"/>
  <c r="K914" i="15"/>
  <c r="K1284" i="15"/>
  <c r="K915" i="15"/>
  <c r="K916" i="15"/>
  <c r="K61" i="15"/>
  <c r="K1080" i="15"/>
  <c r="K922" i="15"/>
  <c r="K923" i="15"/>
  <c r="K62" i="15"/>
  <c r="K1296" i="15"/>
  <c r="K924" i="15"/>
  <c r="K63" i="15"/>
  <c r="K1084" i="15"/>
  <c r="K1299" i="15"/>
  <c r="K1303" i="15"/>
  <c r="K1305" i="15"/>
  <c r="K478" i="15"/>
  <c r="K479" i="15"/>
  <c r="K1308" i="15"/>
  <c r="K480" i="15"/>
  <c r="K1311" i="15"/>
  <c r="K1087" i="15"/>
  <c r="K66" i="15"/>
  <c r="K481" i="15"/>
  <c r="K1318" i="15"/>
  <c r="K482" i="15"/>
  <c r="K1321" i="15"/>
  <c r="K67" i="15"/>
  <c r="K1326" i="15"/>
  <c r="K1342" i="15"/>
  <c r="K1088" i="15"/>
  <c r="K927" i="15"/>
  <c r="K1347" i="15"/>
  <c r="K484" i="15"/>
  <c r="K1243" i="15"/>
  <c r="K485" i="15"/>
  <c r="K1090" i="15"/>
  <c r="K487" i="15"/>
  <c r="K1242" i="15"/>
  <c r="K928" i="15"/>
  <c r="K489" i="15"/>
  <c r="K490" i="15"/>
  <c r="K1239" i="15"/>
  <c r="K491" i="15"/>
  <c r="K1354" i="15"/>
  <c r="K1094" i="15"/>
  <c r="K73" i="15"/>
  <c r="K498" i="15"/>
  <c r="K1095" i="15"/>
  <c r="K502" i="15"/>
  <c r="K1237" i="15"/>
  <c r="K929" i="15"/>
  <c r="K1096" i="15"/>
  <c r="K637" i="15"/>
  <c r="K930" i="15"/>
  <c r="K1360" i="15"/>
  <c r="K1236" i="15"/>
  <c r="K1366" i="15"/>
  <c r="K1097" i="15"/>
  <c r="K932" i="15"/>
  <c r="K1367" i="15"/>
  <c r="K1098" i="15"/>
  <c r="K1368" i="15"/>
  <c r="K1235" i="15"/>
  <c r="K651" i="15"/>
  <c r="K1099" i="15"/>
  <c r="K75" i="15"/>
  <c r="K1377" i="15"/>
  <c r="K275" i="15"/>
  <c r="K77" i="15"/>
  <c r="K503" i="15"/>
  <c r="K1384" i="15"/>
  <c r="K1100" i="15"/>
  <c r="K935" i="15"/>
  <c r="K79" i="15"/>
  <c r="K1450" i="15"/>
  <c r="K936" i="15"/>
  <c r="K1101" i="15"/>
  <c r="K1232" i="15"/>
  <c r="K82" i="15"/>
  <c r="K939" i="15"/>
  <c r="K1374" i="15"/>
  <c r="K83" i="15"/>
  <c r="K1102" i="15"/>
  <c r="K507" i="15"/>
  <c r="K1382" i="15"/>
  <c r="K295" i="15"/>
  <c r="K1231" i="15"/>
  <c r="K86" i="15"/>
  <c r="K348" i="15"/>
  <c r="K297" i="15"/>
  <c r="K510" i="15"/>
  <c r="K349" i="15"/>
  <c r="K511" i="15"/>
  <c r="K1105" i="15"/>
  <c r="K298" i="15"/>
  <c r="K940" i="15"/>
  <c r="K350" i="15"/>
  <c r="K512" i="15"/>
  <c r="K1106" i="15"/>
  <c r="K352" i="15"/>
  <c r="K513" i="15"/>
  <c r="K353" i="15"/>
  <c r="K276" i="15"/>
  <c r="K1229" i="15"/>
  <c r="K277" i="15"/>
  <c r="K354" i="15"/>
  <c r="K278" i="15"/>
  <c r="K1228" i="15"/>
  <c r="K514" i="15"/>
  <c r="K279" i="15"/>
  <c r="K355" i="15"/>
  <c r="K356" i="15"/>
  <c r="K515" i="15"/>
  <c r="K1108" i="15"/>
  <c r="K1388" i="15"/>
  <c r="K357" i="15"/>
  <c r="K282" i="15"/>
  <c r="K1395" i="15"/>
  <c r="K1110" i="15"/>
  <c r="K359" i="15"/>
  <c r="K358" i="15"/>
  <c r="K1408" i="15"/>
  <c r="K284" i="15"/>
  <c r="K516" i="15"/>
  <c r="K1111" i="15"/>
  <c r="K1415" i="15"/>
  <c r="K285" i="15"/>
  <c r="K943" i="15"/>
  <c r="K1431" i="15"/>
  <c r="K1112" i="15"/>
  <c r="K1432" i="15"/>
  <c r="K944" i="15"/>
  <c r="K1436" i="15"/>
  <c r="K286" i="15"/>
  <c r="K945" i="15"/>
  <c r="K518" i="15"/>
  <c r="K1442" i="15"/>
  <c r="K947" i="15"/>
  <c r="K1443" i="15"/>
  <c r="K1113" i="15"/>
  <c r="K678" i="15"/>
  <c r="K1448" i="15"/>
  <c r="K519" i="15"/>
  <c r="K287" i="15"/>
  <c r="K685" i="15"/>
  <c r="K948" i="15"/>
  <c r="K300" i="15"/>
  <c r="K695" i="15"/>
  <c r="K701" i="15"/>
  <c r="K710" i="15"/>
  <c r="K712" i="15"/>
  <c r="K301" i="15"/>
  <c r="K744" i="15"/>
  <c r="K304" i="15"/>
  <c r="K750" i="15"/>
  <c r="K764" i="15"/>
  <c r="K768" i="15"/>
  <c r="K305" i="15"/>
  <c r="K769" i="15"/>
  <c r="K777" i="15"/>
  <c r="K781" i="15"/>
  <c r="K793" i="15"/>
  <c r="K309" i="15"/>
  <c r="K813" i="15"/>
  <c r="K822" i="15"/>
  <c r="K311" i="15"/>
  <c r="K312" i="15"/>
  <c r="K648" i="15"/>
  <c r="K711" i="15"/>
  <c r="K313" i="15"/>
  <c r="K804" i="15"/>
  <c r="K821" i="15"/>
  <c r="K639" i="15"/>
  <c r="K705" i="15"/>
  <c r="K520" i="15"/>
  <c r="K949" i="15"/>
  <c r="K521" i="15"/>
  <c r="K745" i="15"/>
  <c r="K753" i="15"/>
  <c r="K816" i="15"/>
  <c r="K749" i="15"/>
  <c r="K1275" i="15"/>
  <c r="K688" i="15"/>
  <c r="K1283" i="15"/>
  <c r="K88" i="15"/>
  <c r="K951" i="15"/>
  <c r="K74" i="15"/>
  <c r="K952" i="15"/>
  <c r="K1304" i="15"/>
  <c r="K1114" i="15"/>
  <c r="K1320" i="15"/>
  <c r="K1323" i="15"/>
  <c r="K1335" i="15"/>
  <c r="K682" i="15"/>
  <c r="K316" i="15"/>
  <c r="K954" i="15"/>
  <c r="K1116" i="15"/>
  <c r="K78" i="15"/>
  <c r="K524" i="15"/>
  <c r="K1336" i="15"/>
  <c r="K1117" i="15"/>
  <c r="K955" i="15"/>
  <c r="K1358" i="15"/>
  <c r="K525" i="15"/>
  <c r="K734" i="15"/>
  <c r="K756" i="15"/>
  <c r="K1383" i="15"/>
  <c r="K957" i="15"/>
  <c r="K80" i="15"/>
  <c r="K1118" i="15"/>
  <c r="K1400" i="15"/>
  <c r="K630" i="15"/>
  <c r="K960" i="15"/>
  <c r="K704" i="15"/>
  <c r="K85" i="15"/>
  <c r="K1401" i="15"/>
  <c r="K1403" i="15"/>
  <c r="K317" i="15"/>
  <c r="K528" i="15"/>
  <c r="K636" i="15"/>
  <c r="K961" i="15"/>
  <c r="K1427" i="15"/>
  <c r="K529" i="15"/>
  <c r="K531" i="15"/>
  <c r="K667" i="15"/>
  <c r="K673" i="15"/>
  <c r="K716" i="15"/>
  <c r="K1119" i="15"/>
  <c r="K87" i="15"/>
  <c r="K631" i="15"/>
  <c r="K632" i="15"/>
  <c r="K963" i="15"/>
  <c r="K634" i="15"/>
  <c r="K964" i="15"/>
  <c r="K90" i="15"/>
  <c r="K965" i="15"/>
  <c r="K319" i="15"/>
  <c r="K91" i="15"/>
  <c r="K966" i="15"/>
  <c r="K770" i="15"/>
  <c r="K967" i="15"/>
  <c r="K92" i="15"/>
  <c r="K795" i="15"/>
  <c r="K320" i="15"/>
  <c r="K677" i="15"/>
  <c r="K538" i="15"/>
  <c r="K968" i="15"/>
  <c r="K659" i="15"/>
  <c r="K93" i="15"/>
  <c r="K722" i="15"/>
  <c r="K969" i="15"/>
  <c r="K539" i="15"/>
  <c r="K647" i="15"/>
  <c r="K740" i="15"/>
  <c r="K95" i="15"/>
  <c r="K540" i="15"/>
  <c r="K970" i="15"/>
  <c r="K97" i="15"/>
  <c r="K971" i="15"/>
  <c r="K1120" i="15"/>
  <c r="K972" i="15"/>
  <c r="K973" i="15"/>
  <c r="K974" i="15"/>
  <c r="K541" i="15"/>
  <c r="K100" i="15"/>
  <c r="K542" i="15"/>
  <c r="K975" i="15"/>
  <c r="K321" i="15"/>
  <c r="K786" i="15"/>
  <c r="K797" i="15"/>
  <c r="K811" i="15"/>
  <c r="K763" i="15"/>
  <c r="K792" i="15"/>
  <c r="K826" i="15"/>
  <c r="K638" i="15"/>
  <c r="K650" i="15"/>
  <c r="K976" i="15"/>
  <c r="K977" i="15"/>
  <c r="K103" i="15"/>
  <c r="K978" i="15"/>
  <c r="K105" i="15"/>
  <c r="K979" i="15"/>
  <c r="K543" i="15"/>
  <c r="K544" i="15"/>
  <c r="K1123" i="15"/>
  <c r="K980" i="15"/>
  <c r="K109" i="15"/>
  <c r="K1124" i="15"/>
  <c r="K981" i="15"/>
  <c r="K1126" i="15"/>
  <c r="K546" i="15"/>
  <c r="K983" i="15"/>
  <c r="K547" i="15"/>
  <c r="K1130" i="15"/>
  <c r="K548" i="15"/>
  <c r="K984" i="15"/>
  <c r="K322" i="15"/>
  <c r="K986" i="15"/>
  <c r="K549" i="15"/>
  <c r="K988" i="15"/>
  <c r="K550" i="15"/>
  <c r="K113" i="15"/>
  <c r="K1132" i="15"/>
  <c r="K114" i="15"/>
  <c r="K115" i="15"/>
  <c r="K1133" i="15"/>
  <c r="K552" i="15"/>
  <c r="K118" i="15"/>
  <c r="K991" i="15"/>
  <c r="K553" i="15"/>
  <c r="K120" i="15"/>
  <c r="K554" i="15"/>
  <c r="K1135" i="15"/>
  <c r="K997" i="15"/>
  <c r="K998" i="15"/>
  <c r="K999" i="15"/>
  <c r="K1000" i="15"/>
  <c r="K555" i="15"/>
  <c r="K556" i="15"/>
  <c r="K1002" i="15"/>
  <c r="K123" i="15"/>
  <c r="K125" i="15"/>
  <c r="K1141" i="15"/>
  <c r="K128" i="15"/>
  <c r="K558" i="15"/>
  <c r="K1143" i="15"/>
  <c r="K1004" i="15"/>
  <c r="K559" i="15"/>
  <c r="K560" i="15"/>
  <c r="K561" i="15"/>
  <c r="K1006" i="15"/>
  <c r="K562" i="15"/>
  <c r="K1007" i="15"/>
  <c r="K563" i="15"/>
  <c r="K1008" i="15"/>
  <c r="K564" i="15"/>
  <c r="K1009" i="15"/>
  <c r="K1011" i="15"/>
  <c r="K565" i="15"/>
  <c r="K1145" i="15"/>
  <c r="K567" i="15"/>
  <c r="K1015" i="15"/>
  <c r="K1016" i="15"/>
  <c r="K570" i="15"/>
  <c r="K129" i="15"/>
  <c r="K666" i="15"/>
  <c r="K235" i="15"/>
  <c r="K571" i="15"/>
  <c r="K326" i="15"/>
  <c r="K131" i="15"/>
  <c r="K572" i="15"/>
  <c r="K327" i="15"/>
  <c r="K780" i="15"/>
  <c r="K573" i="15"/>
  <c r="K1021" i="15"/>
  <c r="K817" i="15"/>
  <c r="K574" i="15"/>
  <c r="K1023" i="15"/>
  <c r="K331" i="15"/>
  <c r="K133" i="15"/>
  <c r="K742" i="15"/>
  <c r="K1025" i="15"/>
  <c r="K723" i="15"/>
  <c r="K332" i="15"/>
  <c r="K1026" i="15"/>
  <c r="K775" i="15"/>
  <c r="K333" i="15"/>
  <c r="K1148" i="15"/>
  <c r="K575" i="15"/>
  <c r="K334" i="15"/>
  <c r="K134" i="15"/>
  <c r="K1149" i="15"/>
  <c r="K577" i="15"/>
  <c r="K735" i="15"/>
  <c r="K337" i="15"/>
  <c r="K782" i="15"/>
  <c r="K697" i="15"/>
  <c r="K338" i="15"/>
  <c r="K1150" i="15"/>
  <c r="K790" i="15"/>
  <c r="K578" i="15"/>
  <c r="K339" i="15"/>
  <c r="K137" i="15"/>
  <c r="K676" i="15"/>
  <c r="K683" i="15"/>
  <c r="K340" i="15"/>
  <c r="K690" i="15"/>
  <c r="K580" i="15"/>
  <c r="K708" i="15"/>
  <c r="K1152" i="15"/>
  <c r="K140" i="15"/>
  <c r="K732" i="15"/>
  <c r="K752" i="15"/>
  <c r="K783" i="15"/>
  <c r="K785" i="15"/>
  <c r="K142" i="15"/>
  <c r="K1153" i="15"/>
  <c r="K345" i="15"/>
  <c r="K585" i="15"/>
  <c r="K346" i="15"/>
  <c r="K587" i="15"/>
  <c r="K802" i="15"/>
  <c r="K143" i="15"/>
  <c r="K1156" i="15"/>
  <c r="K144" i="15"/>
  <c r="K810" i="15"/>
  <c r="K347" i="15"/>
  <c r="K590" i="15"/>
  <c r="K643" i="15"/>
  <c r="K1157" i="15"/>
  <c r="K652" i="15"/>
  <c r="K762" i="15"/>
  <c r="K591" i="15"/>
  <c r="K773" i="15"/>
  <c r="K130" i="15"/>
  <c r="K362" i="15"/>
  <c r="K788" i="15"/>
  <c r="K593" i="15"/>
  <c r="K132" i="15"/>
  <c r="K684" i="15"/>
  <c r="K594" i="15"/>
  <c r="K689" i="15"/>
  <c r="K629" i="15"/>
  <c r="K1158" i="15"/>
  <c r="K136" i="15"/>
  <c r="K670" i="15"/>
  <c r="K595" i="15"/>
  <c r="K726" i="15"/>
  <c r="K1159" i="15"/>
  <c r="K736" i="15"/>
  <c r="K139" i="15"/>
  <c r="K596" i="15"/>
  <c r="K365" i="15"/>
  <c r="K1161" i="15"/>
  <c r="K141" i="15"/>
  <c r="K367" i="15"/>
  <c r="K779" i="15"/>
  <c r="K1162" i="15"/>
  <c r="K598" i="15"/>
  <c r="K368" i="15"/>
  <c r="K805" i="15"/>
  <c r="K599" i="15"/>
  <c r="K370" i="15"/>
  <c r="K806" i="15"/>
  <c r="K1163" i="15"/>
  <c r="K600" i="15"/>
  <c r="K820" i="15"/>
  <c r="K371" i="15"/>
  <c r="K1164" i="15"/>
  <c r="K603" i="15"/>
  <c r="K608" i="15"/>
  <c r="K1170" i="15"/>
  <c r="K610" i="15"/>
  <c r="K612" i="15"/>
  <c r="K145" i="15"/>
  <c r="K615" i="15"/>
  <c r="K617" i="15"/>
  <c r="K618" i="15"/>
  <c r="K147" i="15"/>
  <c r="K372" i="15"/>
  <c r="K373" i="15"/>
  <c r="K1172" i="15"/>
  <c r="K374" i="15"/>
  <c r="K619" i="15"/>
  <c r="K1174" i="15"/>
  <c r="K1175" i="15"/>
  <c r="K620" i="15"/>
  <c r="K152" i="15"/>
  <c r="K375" i="15"/>
  <c r="K376" i="15"/>
  <c r="K154" i="15"/>
  <c r="K377" i="15"/>
  <c r="K622" i="15"/>
  <c r="K1177" i="15"/>
  <c r="K379" i="15"/>
  <c r="K381" i="15"/>
  <c r="K1178" i="15"/>
  <c r="K156" i="15"/>
  <c r="K382" i="15"/>
  <c r="K1180" i="15"/>
  <c r="K383" i="15"/>
  <c r="K157" i="15"/>
  <c r="K384" i="15"/>
  <c r="K1181" i="15"/>
  <c r="K385" i="15"/>
  <c r="K1182" i="15"/>
  <c r="K201" i="15"/>
  <c r="K386" i="15"/>
  <c r="K158" i="15"/>
  <c r="K199" i="15"/>
  <c r="K198" i="15"/>
  <c r="K1183" i="15"/>
  <c r="K387" i="15"/>
  <c r="K197" i="15"/>
  <c r="K388" i="15"/>
  <c r="K1184" i="15"/>
  <c r="K160" i="15"/>
  <c r="K1185" i="15"/>
  <c r="K1186" i="15"/>
  <c r="K162" i="15"/>
  <c r="K1187" i="15"/>
  <c r="K196" i="15"/>
  <c r="K163" i="15"/>
  <c r="K1188" i="15"/>
  <c r="K391" i="15"/>
  <c r="K194" i="15"/>
  <c r="K1190" i="15"/>
  <c r="K1191" i="15"/>
  <c r="K393" i="15"/>
  <c r="K1082" i="15"/>
  <c r="K394" i="15"/>
  <c r="K187" i="15"/>
  <c r="K395" i="15"/>
  <c r="K1193" i="15"/>
  <c r="K165" i="15"/>
  <c r="K396" i="15"/>
  <c r="K398" i="15"/>
  <c r="K400" i="15"/>
  <c r="K390" i="15"/>
  <c r="K392" i="15"/>
  <c r="K645" i="15"/>
  <c r="K669" i="15"/>
  <c r="K403" i="15"/>
  <c r="K1195" i="15"/>
  <c r="K404" i="15"/>
  <c r="K1227" i="15"/>
  <c r="K406" i="15"/>
  <c r="K737" i="15"/>
  <c r="K739" i="15"/>
  <c r="K743" i="15"/>
  <c r="K407" i="15"/>
  <c r="K408" i="15"/>
  <c r="K166" i="15"/>
  <c r="K409" i="15"/>
  <c r="K1214" i="15"/>
  <c r="K757" i="15"/>
  <c r="K1213" i="15"/>
  <c r="K167" i="15"/>
  <c r="K825" i="15"/>
  <c r="K1212" i="15"/>
  <c r="K829" i="15"/>
  <c r="K410" i="15"/>
  <c r="K778" i="15"/>
  <c r="K1211" i="15"/>
  <c r="K1210" i="15"/>
  <c r="K719" i="15"/>
  <c r="K416" i="15"/>
  <c r="K1209" i="15"/>
  <c r="K720" i="15"/>
  <c r="K1005" i="15"/>
  <c r="K738" i="15"/>
  <c r="K1203" i="15"/>
  <c r="K800" i="15"/>
  <c r="K417" i="15"/>
  <c r="K1202" i="15"/>
  <c r="K405" i="15"/>
  <c r="K1199" i="15"/>
  <c r="K168" i="15"/>
  <c r="K1196" i="15"/>
  <c r="K1197" i="15"/>
  <c r="K1121" i="15"/>
  <c r="K1122" i="15"/>
  <c r="K411" i="15"/>
  <c r="K1043" i="15"/>
  <c r="K169" i="15"/>
  <c r="K155" i="15"/>
  <c r="K174" i="15"/>
  <c r="K182" i="15"/>
  <c r="K186" i="15"/>
  <c r="K173" i="15"/>
  <c r="K1192" i="15"/>
  <c r="K1221" i="15"/>
  <c r="K178" i="15"/>
  <c r="K185" i="15"/>
  <c r="K172" i="15"/>
  <c r="K170" i="15"/>
  <c r="K171" i="15"/>
  <c r="K175" i="15"/>
  <c r="K153" i="15"/>
  <c r="K177" i="15"/>
  <c r="K1165" i="15"/>
  <c r="K52" i="15"/>
  <c r="K148" i="15"/>
  <c r="K324" i="15"/>
  <c r="K505" i="15"/>
  <c r="K680" i="15"/>
  <c r="K982" i="15"/>
  <c r="K1028" i="15"/>
  <c r="K1129" i="15"/>
  <c r="K1240" i="15"/>
  <c r="K1380" i="15"/>
  <c r="K351" i="15"/>
  <c r="K415" i="15"/>
  <c r="K718" i="15"/>
  <c r="K1300" i="15"/>
  <c r="K1233" i="15"/>
  <c r="K1216" i="15"/>
  <c r="K473" i="15"/>
  <c r="K336" i="15"/>
  <c r="K1081" i="15"/>
  <c r="K1166" i="15"/>
  <c r="K1125" i="15"/>
  <c r="K98" i="15"/>
  <c r="K863" i="15"/>
  <c r="K189" i="15"/>
  <c r="K1169" i="15"/>
  <c r="K283" i="15"/>
  <c r="K909" i="15"/>
  <c r="K280" i="15"/>
  <c r="K306" i="15"/>
  <c r="K293" i="15"/>
  <c r="K446" i="15"/>
  <c r="K1034" i="15"/>
  <c r="K876" i="15"/>
  <c r="K1029" i="15"/>
  <c r="K413" i="15"/>
  <c r="K111" i="15"/>
  <c r="K68" i="15"/>
  <c r="K1131" i="15"/>
  <c r="K1435" i="15"/>
  <c r="K1446" i="15"/>
  <c r="K1208" i="15"/>
  <c r="K127" i="15"/>
  <c r="K836" i="15"/>
  <c r="K150" i="15"/>
  <c r="K1204" i="15"/>
  <c r="K184" i="15"/>
  <c r="K1439" i="15"/>
  <c r="K1387" i="15"/>
  <c r="K918" i="15"/>
  <c r="K1220" i="15"/>
  <c r="K994" i="15"/>
  <c r="K1393" i="15"/>
  <c r="K1138" i="15"/>
  <c r="K1429" i="15"/>
  <c r="K1230" i="15"/>
  <c r="K1134" i="15"/>
  <c r="K1198" i="15"/>
  <c r="K70" i="15"/>
  <c r="K1085" i="15"/>
  <c r="K1036" i="15"/>
  <c r="K581" i="15"/>
  <c r="K378" i="15"/>
  <c r="K832" i="15"/>
  <c r="K483" i="15"/>
  <c r="K1373" i="15"/>
  <c r="K1273" i="15"/>
  <c r="K1356" i="15"/>
  <c r="K858" i="15"/>
  <c r="K1079" i="15"/>
  <c r="K26" i="15"/>
  <c r="K218" i="15"/>
  <c r="K1020" i="15"/>
  <c r="K440" i="15"/>
  <c r="K1262" i="15"/>
  <c r="K1226" i="15"/>
  <c r="K1194" i="15"/>
  <c r="K471" i="15"/>
  <c r="K655" i="15"/>
  <c r="K1441" i="15"/>
  <c r="K193" i="15"/>
  <c r="K1014" i="15"/>
  <c r="K537" i="15"/>
  <c r="K1054" i="15"/>
  <c r="K72" i="15"/>
  <c r="K430" i="15"/>
  <c r="K1424" i="15"/>
  <c r="K419" i="15"/>
  <c r="K1394" i="15"/>
  <c r="K303" i="15"/>
  <c r="K1252" i="15"/>
  <c r="K801" i="15"/>
  <c r="K223" i="15"/>
  <c r="K477" i="15"/>
  <c r="K1399" i="15"/>
  <c r="K176" i="15"/>
  <c r="K397" i="15"/>
  <c r="K265" i="15"/>
  <c r="K934" i="15"/>
  <c r="K108" i="15"/>
  <c r="K243" i="15"/>
  <c r="K465" i="15"/>
  <c r="K1200" i="15"/>
  <c r="K119" i="15"/>
  <c r="K207" i="15"/>
  <c r="K488" i="15"/>
  <c r="K35" i="15"/>
  <c r="K106" i="15"/>
  <c r="K1010" i="15"/>
  <c r="K25" i="15"/>
  <c r="K99" i="15"/>
  <c r="K104" i="15"/>
  <c r="K116" i="15"/>
  <c r="K121" i="15"/>
  <c r="K126" i="15"/>
  <c r="K268" i="15"/>
  <c r="K310" i="15"/>
  <c r="K389" i="15"/>
  <c r="K418" i="15"/>
  <c r="K443" i="15"/>
  <c r="K1103" i="15"/>
  <c r="K831" i="15"/>
  <c r="K985" i="15"/>
  <c r="K496" i="15"/>
  <c r="K1234" i="15"/>
  <c r="K1215" i="15"/>
  <c r="K728" i="15"/>
  <c r="K1277" i="15"/>
  <c r="K1444" i="15"/>
  <c r="K910" i="15"/>
  <c r="K1363" i="15"/>
  <c r="K1013" i="15"/>
  <c r="K112" i="15"/>
  <c r="K1104" i="15"/>
  <c r="K8" i="15"/>
  <c r="K506" i="15"/>
  <c r="K523" i="15"/>
  <c r="K1109" i="15"/>
  <c r="K653" i="15"/>
  <c r="K264" i="15"/>
  <c r="K296" i="15"/>
  <c r="K15" i="15"/>
  <c r="K289" i="15"/>
  <c r="K428" i="15"/>
  <c r="K492" i="15"/>
  <c r="K713" i="15"/>
  <c r="K758" i="15"/>
  <c r="K771" i="15"/>
  <c r="K674" i="15"/>
  <c r="K827" i="15"/>
  <c r="K882" i="15"/>
  <c r="K1051" i="15"/>
  <c r="K1086" i="15"/>
  <c r="K1206" i="15"/>
  <c r="K1024" i="15"/>
  <c r="K1285" i="15"/>
  <c r="K1357" i="15"/>
  <c r="K846" i="15"/>
  <c r="K1385" i="15"/>
  <c r="K611" i="15"/>
  <c r="K1405" i="15"/>
  <c r="K613" i="15"/>
  <c r="K592" i="15"/>
  <c r="K1445" i="15"/>
  <c r="K843" i="15"/>
  <c r="K517" i="15"/>
  <c r="K1276" i="15"/>
  <c r="K1264" i="15"/>
  <c r="K624" i="15"/>
  <c r="K50" i="15"/>
  <c r="K102" i="15"/>
  <c r="K164" i="15"/>
  <c r="K59" i="15"/>
  <c r="K364" i="15"/>
  <c r="K1140" i="15"/>
  <c r="K1404" i="15"/>
  <c r="K281" i="15"/>
  <c r="K602" i="15"/>
  <c r="K807" i="15"/>
  <c r="K654" i="15"/>
  <c r="K493" i="15"/>
  <c r="K366" i="15"/>
  <c r="K244" i="15"/>
  <c r="K992" i="15"/>
  <c r="K14" i="15"/>
  <c r="K149" i="15"/>
  <c r="K1115" i="15"/>
  <c r="K361" i="15"/>
  <c r="K879" i="15"/>
  <c r="K1247" i="15"/>
  <c r="K494" i="15"/>
  <c r="K987" i="15"/>
  <c r="K1324" i="15"/>
  <c r="K881" i="15"/>
  <c r="K896" i="15"/>
  <c r="K260" i="15"/>
  <c r="K727" i="15"/>
  <c r="K211" i="15"/>
  <c r="K249" i="15"/>
  <c r="K1089" i="15"/>
  <c r="K861" i="15"/>
  <c r="K917" i="15"/>
  <c r="K500" i="15"/>
  <c r="K323" i="15"/>
  <c r="K656" i="15"/>
  <c r="K533" i="15"/>
  <c r="K839" i="15"/>
  <c r="K956" i="15"/>
  <c r="K213" i="15"/>
  <c r="K1281" i="15"/>
  <c r="K641" i="15"/>
  <c r="K69" i="15"/>
  <c r="K903" i="15"/>
  <c r="K208" i="15"/>
  <c r="K1061" i="15"/>
  <c r="K247" i="15"/>
  <c r="K51" i="15"/>
  <c r="K329" i="15"/>
  <c r="K31" i="15"/>
  <c r="K1339" i="15"/>
  <c r="K1251" i="15"/>
  <c r="K1379" i="15"/>
  <c r="K1317" i="15"/>
  <c r="K1238" i="15"/>
  <c r="K1369" i="15"/>
  <c r="K30" i="15"/>
  <c r="K330" i="15"/>
  <c r="K1001" i="15"/>
  <c r="K621" i="15"/>
  <c r="K1207" i="15"/>
  <c r="K864" i="15"/>
  <c r="K545" i="15"/>
  <c r="K635" i="15"/>
  <c r="K1289" i="15"/>
  <c r="K597" i="15"/>
  <c r="K258" i="15"/>
  <c r="K582" i="15"/>
  <c r="K1224" i="15"/>
  <c r="K959" i="15"/>
  <c r="K1389" i="15"/>
  <c r="K532" i="15"/>
  <c r="K315" i="15"/>
  <c r="K380" i="15"/>
  <c r="K89" i="15"/>
  <c r="K1343" i="15"/>
  <c r="K884" i="15"/>
  <c r="K921" i="15"/>
  <c r="K799" i="15"/>
  <c r="K568" i="15"/>
  <c r="K589" i="15"/>
  <c r="K1391" i="15"/>
  <c r="K699" i="15"/>
  <c r="K273" i="15"/>
  <c r="K1055" i="15"/>
  <c r="K307" i="15"/>
  <c r="K1083" i="15"/>
  <c r="K1144" i="15"/>
  <c r="K21" i="15"/>
  <c r="K1137" i="15"/>
  <c r="K255" i="15"/>
  <c r="K504" i="15"/>
  <c r="K45" i="15"/>
  <c r="K135" i="15"/>
  <c r="K146" i="15"/>
  <c r="K188" i="15"/>
  <c r="K335" i="15"/>
  <c r="K835" i="15"/>
  <c r="K1062" i="15"/>
  <c r="K937" i="15"/>
  <c r="K1070" i="15"/>
  <c r="K1142" i="15"/>
  <c r="K1176" i="15"/>
  <c r="K614" i="15"/>
  <c r="K866" i="15"/>
  <c r="K191" i="15"/>
  <c r="K706" i="15"/>
  <c r="K1222" i="15"/>
  <c r="K1241" i="15"/>
  <c r="K766" i="15"/>
  <c r="K586" i="15"/>
  <c r="K958" i="15"/>
  <c r="K55" i="15"/>
  <c r="K341" i="15"/>
  <c r="K363" i="15"/>
  <c r="K989" i="15"/>
  <c r="K464" i="15"/>
  <c r="K1334" i="15"/>
  <c r="K530" i="15"/>
  <c r="K1271" i="15"/>
  <c r="K646" i="15"/>
  <c r="K76" i="15"/>
  <c r="K536" i="15"/>
  <c r="K1032" i="15"/>
  <c r="K84" i="15"/>
  <c r="K995" i="15"/>
  <c r="K421" i="15"/>
  <c r="K1416" i="15"/>
  <c r="K1128" i="15"/>
  <c r="K181" i="15"/>
  <c r="K715" i="15"/>
  <c r="K151" i="15"/>
  <c r="K1402" i="15"/>
  <c r="K993" i="15"/>
  <c r="K1219" i="15"/>
  <c r="K888" i="15"/>
  <c r="K217" i="15"/>
  <c r="K1019" i="15"/>
  <c r="K1316" i="15"/>
  <c r="K1027" i="15"/>
  <c r="K1107" i="15"/>
  <c r="K257" i="15"/>
  <c r="K1440" i="15"/>
  <c r="K747" i="15"/>
  <c r="K751" i="15"/>
  <c r="K607" i="15"/>
  <c r="K798" i="15"/>
  <c r="K1249" i="15"/>
  <c r="K1390" i="15"/>
  <c r="K803" i="15"/>
  <c r="K1136" i="15"/>
  <c r="K1018" i="15"/>
  <c r="K1291" i="15"/>
  <c r="K931" i="15"/>
  <c r="K1386" i="15"/>
  <c r="K522" i="15"/>
  <c r="K791" i="15"/>
  <c r="K467" i="15"/>
  <c r="K919" i="15"/>
  <c r="K161" i="15"/>
  <c r="K343" i="15"/>
  <c r="K1154" i="15"/>
  <c r="K867" i="15"/>
  <c r="K444" i="15"/>
  <c r="K360" i="15"/>
  <c r="K497" i="15"/>
  <c r="K1037" i="15"/>
  <c r="K1201" i="15"/>
  <c r="K1422" i="15"/>
  <c r="K534" i="15"/>
  <c r="K1225" i="15"/>
  <c r="K1040" i="15"/>
  <c r="K908" i="15"/>
  <c r="K1331" i="15"/>
  <c r="K180" i="15"/>
  <c r="K721" i="15"/>
  <c r="K851" i="15"/>
  <c r="K1066" i="15"/>
  <c r="K1091" i="15"/>
  <c r="K1003" i="15"/>
  <c r="K1245" i="15"/>
  <c r="K1414" i="15"/>
  <c r="K122" i="15"/>
  <c r="K526" i="15"/>
  <c r="K823" i="15"/>
  <c r="K1167" i="15"/>
  <c r="K808" i="15"/>
  <c r="K19" i="15"/>
  <c r="K110" i="15"/>
  <c r="K1257" i="15"/>
  <c r="K604" i="15"/>
  <c r="K1223" i="15"/>
  <c r="K1244" i="15"/>
  <c r="K202" i="15"/>
  <c r="K583" i="15"/>
  <c r="K1146" i="15"/>
  <c r="K588" i="15"/>
  <c r="K1093" i="15"/>
  <c r="K1155" i="15"/>
  <c r="K318" i="15"/>
  <c r="K65" i="15"/>
  <c r="K1012" i="15"/>
  <c r="K774" i="15"/>
  <c r="K938" i="15"/>
  <c r="K1329" i="15"/>
  <c r="K1092" i="15"/>
  <c r="K192" i="15"/>
  <c r="K663" i="15"/>
  <c r="K609" i="15"/>
  <c r="K1412" i="15"/>
  <c r="K660" i="15"/>
  <c r="K1279" i="15"/>
  <c r="K266" i="15"/>
  <c r="K627" i="15"/>
  <c r="K4" i="15"/>
  <c r="K414" i="15"/>
  <c r="K642" i="15"/>
  <c r="K401" i="15"/>
  <c r="K216" i="15"/>
  <c r="K117" i="15"/>
  <c r="K1328" i="15"/>
  <c r="K890" i="15"/>
  <c r="K1419" i="15"/>
  <c r="K81" i="15"/>
  <c r="K325" i="15"/>
  <c r="K6" i="15"/>
  <c r="K96" i="15"/>
  <c r="K222" i="15"/>
  <c r="K342" i="15"/>
  <c r="K616" i="15"/>
  <c r="K1409" i="15"/>
  <c r="K657" i="15"/>
  <c r="K942" i="15"/>
  <c r="K626" i="15"/>
  <c r="K1053" i="15"/>
  <c r="K18" i="15"/>
  <c r="K1293" i="15"/>
  <c r="K1189" i="15"/>
  <c r="K94" i="15"/>
  <c r="K1348" i="15"/>
  <c r="K204" i="15"/>
  <c r="K1333" i="15"/>
  <c r="K7" i="15"/>
  <c r="K962" i="15"/>
  <c r="K195" i="15"/>
  <c r="K878" i="15"/>
  <c r="K27" i="15"/>
  <c r="K1290" i="15"/>
  <c r="K200" i="15"/>
  <c r="K308" i="15"/>
  <c r="K920" i="15"/>
  <c r="K605" i="15"/>
  <c r="K1338" i="15"/>
  <c r="K1392" i="15"/>
  <c r="K640" i="15"/>
  <c r="K946" i="15"/>
  <c r="K486" i="15"/>
  <c r="K853" i="15"/>
  <c r="K190" i="15"/>
  <c r="K1423" i="15"/>
  <c r="K1292" i="15"/>
  <c r="K569" i="15"/>
  <c r="K731" i="15"/>
  <c r="K412" i="15"/>
  <c r="K996" i="15"/>
  <c r="K1332" i="15"/>
  <c r="K1160" i="15"/>
  <c r="K1327" i="15"/>
  <c r="K906" i="15"/>
  <c r="K509" i="15"/>
  <c r="K941" i="15"/>
  <c r="K1406" i="15"/>
  <c r="K950" i="15"/>
  <c r="K1397" i="15"/>
  <c r="K696" i="15"/>
  <c r="K702" i="15"/>
  <c r="K1031" i="15"/>
  <c r="K1413" i="15"/>
  <c r="K328" i="15"/>
  <c r="K230" i="15"/>
  <c r="K1398" i="15"/>
  <c r="K1168" i="15"/>
  <c r="K1217" i="15"/>
  <c r="K9" i="15"/>
  <c r="K789" i="15"/>
  <c r="K1346" i="15"/>
  <c r="K772" i="15"/>
  <c r="K203" i="15"/>
  <c r="K36" i="15"/>
  <c r="K432" i="15"/>
  <c r="K1022" i="15"/>
  <c r="K601" i="15"/>
  <c r="K71" i="15"/>
  <c r="K107" i="15"/>
  <c r="K662" i="15"/>
  <c r="K101" i="15"/>
  <c r="K1426" i="15"/>
  <c r="K1425" i="15"/>
  <c r="K1127" i="15"/>
  <c r="K625" i="15"/>
  <c r="K725" i="15"/>
  <c r="K566" i="15"/>
  <c r="K889" i="15"/>
  <c r="K294" i="15"/>
  <c r="K369" i="15"/>
  <c r="K668" i="15"/>
  <c r="K933" i="15"/>
  <c r="H1173" i="15" l="1"/>
  <c r="I1173" i="15"/>
  <c r="H470" i="15"/>
  <c r="I470" i="15"/>
  <c r="H1060" i="15"/>
  <c r="I1060" i="15"/>
  <c r="H902" i="15"/>
  <c r="I902" i="15"/>
  <c r="H1075" i="15"/>
  <c r="I1075" i="15"/>
  <c r="H495" i="15"/>
  <c r="I495" i="15"/>
  <c r="H1325" i="15"/>
  <c r="I1325" i="15"/>
  <c r="H1218" i="15"/>
  <c r="I1218" i="15"/>
  <c r="H551" i="15"/>
  <c r="I551" i="15"/>
  <c r="H576" i="15"/>
  <c r="I576" i="15"/>
  <c r="H1205" i="15"/>
  <c r="I1205" i="15"/>
  <c r="H557" i="15"/>
  <c r="I557" i="15"/>
  <c r="H644" i="15"/>
  <c r="I644" i="15"/>
  <c r="H926" i="15"/>
  <c r="I926" i="15"/>
  <c r="H124" i="15"/>
  <c r="I124" i="15"/>
  <c r="H429" i="15"/>
  <c r="I429" i="15"/>
  <c r="H925" i="15"/>
  <c r="I925" i="15"/>
  <c r="H953" i="15"/>
  <c r="I953" i="15"/>
  <c r="H1272" i="15"/>
  <c r="I1272" i="15"/>
  <c r="H606" i="15"/>
  <c r="I606" i="15"/>
  <c r="H1179" i="15"/>
  <c r="I1179" i="15"/>
  <c r="H1349" i="15"/>
  <c r="I1349" i="15"/>
  <c r="H462" i="15"/>
  <c r="I462" i="15"/>
  <c r="H179" i="15"/>
  <c r="I179" i="15"/>
  <c r="H875" i="15"/>
  <c r="I875" i="15"/>
  <c r="H205" i="15"/>
  <c r="I205" i="15"/>
  <c r="H206" i="15"/>
  <c r="I206" i="15"/>
  <c r="H1259" i="15"/>
  <c r="I1259" i="15"/>
  <c r="H28" i="15"/>
  <c r="I28" i="15"/>
  <c r="H40" i="15"/>
  <c r="I40" i="15"/>
  <c r="H64" i="15"/>
  <c r="I64" i="15"/>
  <c r="H209" i="15"/>
  <c r="I209" i="15"/>
  <c r="H633" i="15"/>
  <c r="I633" i="15"/>
  <c r="H210" i="15"/>
  <c r="I210" i="15"/>
  <c r="H672" i="15"/>
  <c r="I672" i="15"/>
  <c r="H212" i="15"/>
  <c r="I212" i="15"/>
  <c r="H214" i="15"/>
  <c r="I214" i="15"/>
  <c r="H215" i="15"/>
  <c r="I215" i="15"/>
  <c r="H220" i="15"/>
  <c r="I220" i="15"/>
  <c r="H221" i="15"/>
  <c r="I221" i="15"/>
  <c r="H833" i="15"/>
  <c r="I833" i="15"/>
  <c r="H834" i="15"/>
  <c r="I834" i="15"/>
  <c r="H1030" i="15"/>
  <c r="I1030" i="15"/>
  <c r="H2" i="15"/>
  <c r="I2" i="15"/>
  <c r="H1260" i="15"/>
  <c r="I1260" i="15"/>
  <c r="H3" i="15"/>
  <c r="I3" i="15"/>
  <c r="H1261" i="15"/>
  <c r="I1261" i="15"/>
  <c r="H1033" i="15"/>
  <c r="I1033" i="15"/>
  <c r="H1263" i="15"/>
  <c r="I1263" i="15"/>
  <c r="H679" i="15"/>
  <c r="I679" i="15"/>
  <c r="H837" i="15"/>
  <c r="I837" i="15"/>
  <c r="H692" i="15"/>
  <c r="I692" i="15"/>
  <c r="H838" i="15"/>
  <c r="I838" i="15"/>
  <c r="H714" i="15"/>
  <c r="I714" i="15"/>
  <c r="H840" i="15"/>
  <c r="I840" i="15"/>
  <c r="H1294" i="15"/>
  <c r="I1294" i="15"/>
  <c r="H664" i="15"/>
  <c r="I664" i="15"/>
  <c r="H1298" i="15"/>
  <c r="I1298" i="15"/>
  <c r="H765" i="15"/>
  <c r="I765" i="15"/>
  <c r="H841" i="15"/>
  <c r="I841" i="15"/>
  <c r="H819" i="15"/>
  <c r="I819" i="15"/>
  <c r="H1309" i="15"/>
  <c r="I1309" i="15"/>
  <c r="H5" i="15"/>
  <c r="I5" i="15"/>
  <c r="H649" i="15"/>
  <c r="I649" i="15"/>
  <c r="H842" i="15"/>
  <c r="I842" i="15"/>
  <c r="H1313" i="15"/>
  <c r="I1313" i="15"/>
  <c r="H1314" i="15"/>
  <c r="I1314" i="15"/>
  <c r="H1035" i="15"/>
  <c r="I1035" i="15"/>
  <c r="H681" i="15"/>
  <c r="I681" i="15"/>
  <c r="H1351" i="15"/>
  <c r="I1351" i="15"/>
  <c r="H687" i="15"/>
  <c r="I687" i="15"/>
  <c r="H1353" i="15"/>
  <c r="I1353" i="15"/>
  <c r="H694" i="15"/>
  <c r="I694" i="15"/>
  <c r="H844" i="15"/>
  <c r="I844" i="15"/>
  <c r="H1038" i="15"/>
  <c r="I1038" i="15"/>
  <c r="H1376" i="15"/>
  <c r="I1376" i="15"/>
  <c r="H698" i="15"/>
  <c r="I698" i="15"/>
  <c r="H703" i="15"/>
  <c r="I703" i="15"/>
  <c r="H1430" i="15"/>
  <c r="I1430" i="15"/>
  <c r="H733" i="15"/>
  <c r="I733" i="15"/>
  <c r="H845" i="15"/>
  <c r="I845" i="15"/>
  <c r="H10" i="15"/>
  <c r="I10" i="15"/>
  <c r="H746" i="15"/>
  <c r="I746" i="15"/>
  <c r="H847" i="15"/>
  <c r="I847" i="15"/>
  <c r="H1266" i="15"/>
  <c r="I1266" i="15"/>
  <c r="H11" i="15"/>
  <c r="I11" i="15"/>
  <c r="H748" i="15"/>
  <c r="I748" i="15"/>
  <c r="H1267" i="15"/>
  <c r="I1267" i="15"/>
  <c r="H1039" i="15"/>
  <c r="I1039" i="15"/>
  <c r="H1268" i="15"/>
  <c r="I1268" i="15"/>
  <c r="H776" i="15"/>
  <c r="I776" i="15"/>
  <c r="H12" i="15"/>
  <c r="I12" i="15"/>
  <c r="H848" i="15"/>
  <c r="I848" i="15"/>
  <c r="H814" i="15"/>
  <c r="I814" i="15"/>
  <c r="H13" i="15"/>
  <c r="I13" i="15"/>
  <c r="H849" i="15"/>
  <c r="I849" i="15"/>
  <c r="H1280" i="15"/>
  <c r="I1280" i="15"/>
  <c r="H1041" i="15"/>
  <c r="I1041" i="15"/>
  <c r="H1282" i="15"/>
  <c r="I1282" i="15"/>
  <c r="H16" i="15"/>
  <c r="I16" i="15"/>
  <c r="H824" i="15"/>
  <c r="I824" i="15"/>
  <c r="H850" i="15"/>
  <c r="I850" i="15"/>
  <c r="H1288" i="15"/>
  <c r="I1288" i="15"/>
  <c r="H818" i="15"/>
  <c r="I818" i="15"/>
  <c r="H420" i="15"/>
  <c r="I420" i="15"/>
  <c r="H1306" i="15"/>
  <c r="I1306" i="15"/>
  <c r="H852" i="15"/>
  <c r="I852" i="15"/>
  <c r="H1310" i="15"/>
  <c r="I1310" i="15"/>
  <c r="H854" i="15"/>
  <c r="I854" i="15"/>
  <c r="H422" i="15"/>
  <c r="I422" i="15"/>
  <c r="H1319" i="15"/>
  <c r="I1319" i="15"/>
  <c r="H17" i="15"/>
  <c r="I17" i="15"/>
  <c r="H1258" i="15"/>
  <c r="I1258" i="15"/>
  <c r="H1042" i="15"/>
  <c r="I1042" i="15"/>
  <c r="H709" i="15"/>
  <c r="I709" i="15"/>
  <c r="H855" i="15"/>
  <c r="I855" i="15"/>
  <c r="H729" i="15"/>
  <c r="I729" i="15"/>
  <c r="H224" i="15"/>
  <c r="I224" i="15"/>
  <c r="H20" i="15"/>
  <c r="I20" i="15"/>
  <c r="H754" i="15"/>
  <c r="I754" i="15"/>
  <c r="H1352" i="15"/>
  <c r="I1352" i="15"/>
  <c r="H225" i="15"/>
  <c r="I225" i="15"/>
  <c r="H226" i="15"/>
  <c r="I226" i="15"/>
  <c r="H761" i="15"/>
  <c r="I761" i="15"/>
  <c r="H1355" i="15"/>
  <c r="I1355" i="15"/>
  <c r="H828" i="15"/>
  <c r="I828" i="15"/>
  <c r="H1364" i="15"/>
  <c r="I1364" i="15"/>
  <c r="H1370" i="15"/>
  <c r="I1370" i="15"/>
  <c r="H1378" i="15"/>
  <c r="I1378" i="15"/>
  <c r="H227" i="15"/>
  <c r="I227" i="15"/>
  <c r="H815" i="15"/>
  <c r="I815" i="15"/>
  <c r="H675" i="15"/>
  <c r="I675" i="15"/>
  <c r="H228" i="15"/>
  <c r="I228" i="15"/>
  <c r="H686" i="15"/>
  <c r="I686" i="15"/>
  <c r="H1410" i="15"/>
  <c r="I1410" i="15"/>
  <c r="H691" i="15"/>
  <c r="I691" i="15"/>
  <c r="H229" i="15"/>
  <c r="I229" i="15"/>
  <c r="H700" i="15"/>
  <c r="I700" i="15"/>
  <c r="H759" i="15"/>
  <c r="I759" i="15"/>
  <c r="H784" i="15"/>
  <c r="I784" i="15"/>
  <c r="H1421" i="15"/>
  <c r="I1421" i="15"/>
  <c r="H23" i="15"/>
  <c r="I23" i="15"/>
  <c r="H24" i="15"/>
  <c r="I24" i="15"/>
  <c r="H423" i="15"/>
  <c r="I423" i="15"/>
  <c r="H1428" i="15"/>
  <c r="I1428" i="15"/>
  <c r="H424" i="15"/>
  <c r="I424" i="15"/>
  <c r="H1433" i="15"/>
  <c r="I1433" i="15"/>
  <c r="H857" i="15"/>
  <c r="I857" i="15"/>
  <c r="H425" i="15"/>
  <c r="I425" i="15"/>
  <c r="H1044" i="15"/>
  <c r="I1044" i="15"/>
  <c r="H1447" i="15"/>
  <c r="I1447" i="15"/>
  <c r="H29" i="15"/>
  <c r="I29" i="15"/>
  <c r="H426" i="15"/>
  <c r="I426" i="15"/>
  <c r="H859" i="15"/>
  <c r="I859" i="15"/>
  <c r="H1045" i="15"/>
  <c r="I1045" i="15"/>
  <c r="H1269" i="15"/>
  <c r="I1269" i="15"/>
  <c r="H427" i="15"/>
  <c r="I427" i="15"/>
  <c r="H1270" i="15"/>
  <c r="I1270" i="15"/>
  <c r="H860" i="15"/>
  <c r="I860" i="15"/>
  <c r="H32" i="15"/>
  <c r="I32" i="15"/>
  <c r="H1046" i="15"/>
  <c r="I1046" i="15"/>
  <c r="H33" i="15"/>
  <c r="I33" i="15"/>
  <c r="H862" i="15"/>
  <c r="I862" i="15"/>
  <c r="H34" i="15"/>
  <c r="I34" i="15"/>
  <c r="H1048" i="15"/>
  <c r="I1048" i="15"/>
  <c r="H1256" i="15"/>
  <c r="I1256" i="15"/>
  <c r="H37" i="15"/>
  <c r="I37" i="15"/>
  <c r="H431" i="15"/>
  <c r="I431" i="15"/>
  <c r="H865" i="15"/>
  <c r="I865" i="15"/>
  <c r="H1049" i="15"/>
  <c r="I1049" i="15"/>
  <c r="H1255" i="15"/>
  <c r="I1255" i="15"/>
  <c r="H1050" i="15"/>
  <c r="I1050" i="15"/>
  <c r="H787" i="15"/>
  <c r="I787" i="15"/>
  <c r="H796" i="15"/>
  <c r="I796" i="15"/>
  <c r="H433" i="15"/>
  <c r="I433" i="15"/>
  <c r="H435" i="15"/>
  <c r="I435" i="15"/>
  <c r="H1254" i="15"/>
  <c r="I1254" i="15"/>
  <c r="H868" i="15"/>
  <c r="I868" i="15"/>
  <c r="H436" i="15"/>
  <c r="I436" i="15"/>
  <c r="H869" i="15"/>
  <c r="I869" i="15"/>
  <c r="H38" i="15"/>
  <c r="I38" i="15"/>
  <c r="H870" i="15"/>
  <c r="I870" i="15"/>
  <c r="H39" i="15"/>
  <c r="I39" i="15"/>
  <c r="H871" i="15"/>
  <c r="I871" i="15"/>
  <c r="H1286" i="15"/>
  <c r="I1286" i="15"/>
  <c r="H41" i="15"/>
  <c r="I41" i="15"/>
  <c r="H872" i="15"/>
  <c r="I872" i="15"/>
  <c r="H1287" i="15"/>
  <c r="I1287" i="15"/>
  <c r="H42" i="15"/>
  <c r="I42" i="15"/>
  <c r="H1295" i="15"/>
  <c r="I1295" i="15"/>
  <c r="H43" i="15"/>
  <c r="I43" i="15"/>
  <c r="H873" i="15"/>
  <c r="I873" i="15"/>
  <c r="H437" i="15"/>
  <c r="I437" i="15"/>
  <c r="H1250" i="15"/>
  <c r="I1250" i="15"/>
  <c r="H812" i="15"/>
  <c r="I812" i="15"/>
  <c r="H231" i="15"/>
  <c r="I231" i="15"/>
  <c r="H1297" i="15"/>
  <c r="I1297" i="15"/>
  <c r="H1052" i="15"/>
  <c r="I1052" i="15"/>
  <c r="H1248" i="15"/>
  <c r="I1248" i="15"/>
  <c r="H438" i="15"/>
  <c r="I438" i="15"/>
  <c r="H1056" i="15"/>
  <c r="I1056" i="15"/>
  <c r="H1302" i="15"/>
  <c r="I1302" i="15"/>
  <c r="H1246" i="15"/>
  <c r="I1246" i="15"/>
  <c r="H707" i="15"/>
  <c r="I707" i="15"/>
  <c r="H1307" i="15"/>
  <c r="I1307" i="15"/>
  <c r="H44" i="15"/>
  <c r="I44" i="15"/>
  <c r="H717" i="15"/>
  <c r="I717" i="15"/>
  <c r="H1057" i="15"/>
  <c r="I1057" i="15"/>
  <c r="H874" i="15"/>
  <c r="I874" i="15"/>
  <c r="H439" i="15"/>
  <c r="I439" i="15"/>
  <c r="H1312" i="15"/>
  <c r="I1312" i="15"/>
  <c r="H442" i="15"/>
  <c r="I442" i="15"/>
  <c r="H1315" i="15"/>
  <c r="I1315" i="15"/>
  <c r="H1058" i="15"/>
  <c r="I1058" i="15"/>
  <c r="H880" i="15"/>
  <c r="I880" i="15"/>
  <c r="H1322" i="15"/>
  <c r="I1322" i="15"/>
  <c r="H1344" i="15"/>
  <c r="I1344" i="15"/>
  <c r="H1350" i="15"/>
  <c r="I1350" i="15"/>
  <c r="H232" i="15"/>
  <c r="I232" i="15"/>
  <c r="H1063" i="15"/>
  <c r="I1063" i="15"/>
  <c r="H445" i="15"/>
  <c r="I445" i="15"/>
  <c r="H794" i="15"/>
  <c r="I794" i="15"/>
  <c r="H1064" i="15"/>
  <c r="I1064" i="15"/>
  <c r="H1359" i="15"/>
  <c r="I1359" i="15"/>
  <c r="H755" i="15"/>
  <c r="I755" i="15"/>
  <c r="H447" i="15"/>
  <c r="I447" i="15"/>
  <c r="H233" i="15"/>
  <c r="I233" i="15"/>
  <c r="H883" i="15"/>
  <c r="I883" i="15"/>
  <c r="H1361" i="15"/>
  <c r="I1361" i="15"/>
  <c r="H760" i="15"/>
  <c r="I760" i="15"/>
  <c r="H448" i="15"/>
  <c r="I448" i="15"/>
  <c r="H1362" i="15"/>
  <c r="I1362" i="15"/>
  <c r="H741" i="15"/>
  <c r="I741" i="15"/>
  <c r="H449" i="15"/>
  <c r="I449" i="15"/>
  <c r="H1365" i="15"/>
  <c r="I1365" i="15"/>
  <c r="H661" i="15"/>
  <c r="I661" i="15"/>
  <c r="H450" i="15"/>
  <c r="I450" i="15"/>
  <c r="H724" i="15"/>
  <c r="I724" i="15"/>
  <c r="H767" i="15"/>
  <c r="I767" i="15"/>
  <c r="H451" i="15"/>
  <c r="I451" i="15"/>
  <c r="H452" i="15"/>
  <c r="I452" i="15"/>
  <c r="H234" i="15"/>
  <c r="I234" i="15"/>
  <c r="H453" i="15"/>
  <c r="I453" i="15"/>
  <c r="H236" i="15"/>
  <c r="I236" i="15"/>
  <c r="H830" i="15"/>
  <c r="I830" i="15"/>
  <c r="H237" i="15"/>
  <c r="I237" i="15"/>
  <c r="H623" i="15"/>
  <c r="I623" i="15"/>
  <c r="H238" i="15"/>
  <c r="I238" i="15"/>
  <c r="H628" i="15"/>
  <c r="I628" i="15"/>
  <c r="H239" i="15"/>
  <c r="I239" i="15"/>
  <c r="H240" i="15"/>
  <c r="I240" i="15"/>
  <c r="H288" i="15"/>
  <c r="I288" i="15"/>
  <c r="H241" i="15"/>
  <c r="I241" i="15"/>
  <c r="H290" i="15"/>
  <c r="I290" i="15"/>
  <c r="H242" i="15"/>
  <c r="I242" i="15"/>
  <c r="H291" i="15"/>
  <c r="I291" i="15"/>
  <c r="H292" i="15"/>
  <c r="I292" i="15"/>
  <c r="H245" i="15"/>
  <c r="I245" i="15"/>
  <c r="H886" i="15"/>
  <c r="I886" i="15"/>
  <c r="H887" i="15"/>
  <c r="I887" i="15"/>
  <c r="H46" i="15"/>
  <c r="I46" i="15"/>
  <c r="H246" i="15"/>
  <c r="I246" i="15"/>
  <c r="H48" i="15"/>
  <c r="I48" i="15"/>
  <c r="H248" i="15"/>
  <c r="I248" i="15"/>
  <c r="H250" i="15"/>
  <c r="I250" i="15"/>
  <c r="H251" i="15"/>
  <c r="I251" i="15"/>
  <c r="H252" i="15"/>
  <c r="I252" i="15"/>
  <c r="H891" i="15"/>
  <c r="I891" i="15"/>
  <c r="H253" i="15"/>
  <c r="I253" i="15"/>
  <c r="H254" i="15"/>
  <c r="I254" i="15"/>
  <c r="H256" i="15"/>
  <c r="I256" i="15"/>
  <c r="H1371" i="15"/>
  <c r="I1371" i="15"/>
  <c r="H57" i="15"/>
  <c r="I57" i="15"/>
  <c r="H259" i="15"/>
  <c r="I259" i="15"/>
  <c r="H1372" i="15"/>
  <c r="I1372" i="15"/>
  <c r="H1375" i="15"/>
  <c r="I1375" i="15"/>
  <c r="H261" i="15"/>
  <c r="I261" i="15"/>
  <c r="H892" i="15"/>
  <c r="I892" i="15"/>
  <c r="H1065" i="15"/>
  <c r="I1065" i="15"/>
  <c r="H1381" i="15"/>
  <c r="I1381" i="15"/>
  <c r="H262" i="15"/>
  <c r="I262" i="15"/>
  <c r="H893" i="15"/>
  <c r="I893" i="15"/>
  <c r="H454" i="15"/>
  <c r="I454" i="15"/>
  <c r="H263" i="15"/>
  <c r="I263" i="15"/>
  <c r="H894" i="15"/>
  <c r="I894" i="15"/>
  <c r="H455" i="15"/>
  <c r="I455" i="15"/>
  <c r="H267" i="15"/>
  <c r="I267" i="15"/>
  <c r="H895" i="15"/>
  <c r="I895" i="15"/>
  <c r="H1407" i="15"/>
  <c r="I1407" i="15"/>
  <c r="H456" i="15"/>
  <c r="I456" i="15"/>
  <c r="H1411" i="15"/>
  <c r="I1411" i="15"/>
  <c r="H457" i="15"/>
  <c r="I457" i="15"/>
  <c r="H897" i="15"/>
  <c r="I897" i="15"/>
  <c r="H458" i="15"/>
  <c r="I458" i="15"/>
  <c r="H1417" i="15"/>
  <c r="I1417" i="15"/>
  <c r="H1067" i="15"/>
  <c r="I1067" i="15"/>
  <c r="H459" i="15"/>
  <c r="I459" i="15"/>
  <c r="H269" i="15"/>
  <c r="I269" i="15"/>
  <c r="H898" i="15"/>
  <c r="I898" i="15"/>
  <c r="H1418" i="15"/>
  <c r="I1418" i="15"/>
  <c r="H270" i="15"/>
  <c r="I270" i="15"/>
  <c r="H1071" i="15"/>
  <c r="I1071" i="15"/>
  <c r="H899" i="15"/>
  <c r="I899" i="15"/>
  <c r="H1437" i="15"/>
  <c r="I1437" i="15"/>
  <c r="H460" i="15"/>
  <c r="I460" i="15"/>
  <c r="H271" i="15"/>
  <c r="I271" i="15"/>
  <c r="H1072" i="15"/>
  <c r="I1072" i="15"/>
  <c r="H900" i="15"/>
  <c r="I900" i="15"/>
  <c r="H1434" i="15"/>
  <c r="I1434" i="15"/>
  <c r="H1438" i="15"/>
  <c r="I1438" i="15"/>
  <c r="H463" i="15"/>
  <c r="I463" i="15"/>
  <c r="H901" i="15"/>
  <c r="I901" i="15"/>
  <c r="H47" i="15"/>
  <c r="I47" i="15"/>
  <c r="H272" i="15"/>
  <c r="I272" i="15"/>
  <c r="H1073" i="15"/>
  <c r="I1073" i="15"/>
  <c r="H466" i="15"/>
  <c r="I466" i="15"/>
  <c r="H1265" i="15"/>
  <c r="I1265" i="15"/>
  <c r="H904" i="15"/>
  <c r="I904" i="15"/>
  <c r="H49" i="15"/>
  <c r="I49" i="15"/>
  <c r="H468" i="15"/>
  <c r="I468" i="15"/>
  <c r="H53" i="15"/>
  <c r="I53" i="15"/>
  <c r="H905" i="15"/>
  <c r="I905" i="15"/>
  <c r="H469" i="15"/>
  <c r="I469" i="15"/>
  <c r="H56" i="15"/>
  <c r="I56" i="15"/>
  <c r="H472" i="15"/>
  <c r="I472" i="15"/>
  <c r="H58" i="15"/>
  <c r="I58" i="15"/>
  <c r="H907" i="15"/>
  <c r="I907" i="15"/>
  <c r="H1074" i="15"/>
  <c r="I1074" i="15"/>
  <c r="H474" i="15"/>
  <c r="I474" i="15"/>
  <c r="H1274" i="15"/>
  <c r="I1274" i="15"/>
  <c r="H911" i="15"/>
  <c r="I911" i="15"/>
  <c r="H1076" i="15"/>
  <c r="I1076" i="15"/>
  <c r="H1278" i="15"/>
  <c r="I1278" i="15"/>
  <c r="H1077" i="15"/>
  <c r="I1077" i="15"/>
  <c r="H912" i="15"/>
  <c r="I912" i="15"/>
  <c r="H1330" i="15"/>
  <c r="I1330" i="15"/>
  <c r="H476" i="15"/>
  <c r="I476" i="15"/>
  <c r="H1078" i="15"/>
  <c r="I1078" i="15"/>
  <c r="H913" i="15"/>
  <c r="I913" i="15"/>
  <c r="H1449" i="15"/>
  <c r="I1449" i="15"/>
  <c r="H914" i="15"/>
  <c r="I914" i="15"/>
  <c r="H1284" i="15"/>
  <c r="I1284" i="15"/>
  <c r="H915" i="15"/>
  <c r="I915" i="15"/>
  <c r="H916" i="15"/>
  <c r="I916" i="15"/>
  <c r="H61" i="15"/>
  <c r="I61" i="15"/>
  <c r="H1080" i="15"/>
  <c r="I1080" i="15"/>
  <c r="H922" i="15"/>
  <c r="I922" i="15"/>
  <c r="H923" i="15"/>
  <c r="I923" i="15"/>
  <c r="H62" i="15"/>
  <c r="I62" i="15"/>
  <c r="H1296" i="15"/>
  <c r="I1296" i="15"/>
  <c r="H924" i="15"/>
  <c r="I924" i="15"/>
  <c r="H63" i="15"/>
  <c r="I63" i="15"/>
  <c r="H1084" i="15"/>
  <c r="I1084" i="15"/>
  <c r="H1299" i="15"/>
  <c r="I1299" i="15"/>
  <c r="H1303" i="15"/>
  <c r="I1303" i="15"/>
  <c r="H1305" i="15"/>
  <c r="I1305" i="15"/>
  <c r="H478" i="15"/>
  <c r="I478" i="15"/>
  <c r="H479" i="15"/>
  <c r="I479" i="15"/>
  <c r="H1308" i="15"/>
  <c r="I1308" i="15"/>
  <c r="H480" i="15"/>
  <c r="I480" i="15"/>
  <c r="H1311" i="15"/>
  <c r="I1311" i="15"/>
  <c r="H1087" i="15"/>
  <c r="I1087" i="15"/>
  <c r="H66" i="15"/>
  <c r="I66" i="15"/>
  <c r="H481" i="15"/>
  <c r="I481" i="15"/>
  <c r="H1318" i="15"/>
  <c r="I1318" i="15"/>
  <c r="H482" i="15"/>
  <c r="I482" i="15"/>
  <c r="H1321" i="15"/>
  <c r="I1321" i="15"/>
  <c r="H67" i="15"/>
  <c r="I67" i="15"/>
  <c r="H1326" i="15"/>
  <c r="I1326" i="15"/>
  <c r="H1342" i="15"/>
  <c r="I1342" i="15"/>
  <c r="H1088" i="15"/>
  <c r="I1088" i="15"/>
  <c r="H927" i="15"/>
  <c r="I927" i="15"/>
  <c r="H1347" i="15"/>
  <c r="I1347" i="15"/>
  <c r="H484" i="15"/>
  <c r="I484" i="15"/>
  <c r="H1243" i="15"/>
  <c r="I1243" i="15"/>
  <c r="H485" i="15"/>
  <c r="I485" i="15"/>
  <c r="H1090" i="15"/>
  <c r="I1090" i="15"/>
  <c r="H487" i="15"/>
  <c r="I487" i="15"/>
  <c r="H1242" i="15"/>
  <c r="I1242" i="15"/>
  <c r="H928" i="15"/>
  <c r="I928" i="15"/>
  <c r="H489" i="15"/>
  <c r="I489" i="15"/>
  <c r="H490" i="15"/>
  <c r="I490" i="15"/>
  <c r="H1239" i="15"/>
  <c r="I1239" i="15"/>
  <c r="H491" i="15"/>
  <c r="I491" i="15"/>
  <c r="H1354" i="15"/>
  <c r="I1354" i="15"/>
  <c r="H1094" i="15"/>
  <c r="I1094" i="15"/>
  <c r="H73" i="15"/>
  <c r="I73" i="15"/>
  <c r="H498" i="15"/>
  <c r="I498" i="15"/>
  <c r="H1095" i="15"/>
  <c r="I1095" i="15"/>
  <c r="H502" i="15"/>
  <c r="I502" i="15"/>
  <c r="H1237" i="15"/>
  <c r="I1237" i="15"/>
  <c r="H929" i="15"/>
  <c r="I929" i="15"/>
  <c r="H1096" i="15"/>
  <c r="I1096" i="15"/>
  <c r="H637" i="15"/>
  <c r="I637" i="15"/>
  <c r="H930" i="15"/>
  <c r="I930" i="15"/>
  <c r="H1360" i="15"/>
  <c r="I1360" i="15"/>
  <c r="H1236" i="15"/>
  <c r="I1236" i="15"/>
  <c r="H1366" i="15"/>
  <c r="I1366" i="15"/>
  <c r="H1097" i="15"/>
  <c r="I1097" i="15"/>
  <c r="H932" i="15"/>
  <c r="I932" i="15"/>
  <c r="H1367" i="15"/>
  <c r="I1367" i="15"/>
  <c r="H1098" i="15"/>
  <c r="I1098" i="15"/>
  <c r="H1368" i="15"/>
  <c r="I1368" i="15"/>
  <c r="H1235" i="15"/>
  <c r="I1235" i="15"/>
  <c r="H651" i="15"/>
  <c r="I651" i="15"/>
  <c r="H1099" i="15"/>
  <c r="I1099" i="15"/>
  <c r="H75" i="15"/>
  <c r="I75" i="15"/>
  <c r="H1377" i="15"/>
  <c r="I1377" i="15"/>
  <c r="H275" i="15"/>
  <c r="I275" i="15"/>
  <c r="H77" i="15"/>
  <c r="I77" i="15"/>
  <c r="H503" i="15"/>
  <c r="I503" i="15"/>
  <c r="H1384" i="15"/>
  <c r="I1384" i="15"/>
  <c r="H1100" i="15"/>
  <c r="I1100" i="15"/>
  <c r="H935" i="15"/>
  <c r="I935" i="15"/>
  <c r="H79" i="15"/>
  <c r="I79" i="15"/>
  <c r="H1450" i="15"/>
  <c r="I1450" i="15"/>
  <c r="H936" i="15"/>
  <c r="I936" i="15"/>
  <c r="H1101" i="15"/>
  <c r="I1101" i="15"/>
  <c r="H1232" i="15"/>
  <c r="I1232" i="15"/>
  <c r="H82" i="15"/>
  <c r="I82" i="15"/>
  <c r="H939" i="15"/>
  <c r="I939" i="15"/>
  <c r="H1374" i="15"/>
  <c r="I1374" i="15"/>
  <c r="H83" i="15"/>
  <c r="I83" i="15"/>
  <c r="H1102" i="15"/>
  <c r="I1102" i="15"/>
  <c r="H507" i="15"/>
  <c r="I507" i="15"/>
  <c r="H1382" i="15"/>
  <c r="I1382" i="15"/>
  <c r="H295" i="15"/>
  <c r="I295" i="15"/>
  <c r="H1231" i="15"/>
  <c r="I1231" i="15"/>
  <c r="H86" i="15"/>
  <c r="I86" i="15"/>
  <c r="H348" i="15"/>
  <c r="I348" i="15"/>
  <c r="H297" i="15"/>
  <c r="I297" i="15"/>
  <c r="H510" i="15"/>
  <c r="I510" i="15"/>
  <c r="H349" i="15"/>
  <c r="I349" i="15"/>
  <c r="H511" i="15"/>
  <c r="I511" i="15"/>
  <c r="H1105" i="15"/>
  <c r="I1105" i="15"/>
  <c r="H298" i="15"/>
  <c r="I298" i="15"/>
  <c r="H940" i="15"/>
  <c r="I940" i="15"/>
  <c r="H350" i="15"/>
  <c r="I350" i="15"/>
  <c r="H512" i="15"/>
  <c r="I512" i="15"/>
  <c r="H1106" i="15"/>
  <c r="I1106" i="15"/>
  <c r="H352" i="15"/>
  <c r="I352" i="15"/>
  <c r="H513" i="15"/>
  <c r="I513" i="15"/>
  <c r="H353" i="15"/>
  <c r="I353" i="15"/>
  <c r="H276" i="15"/>
  <c r="I276" i="15"/>
  <c r="H1229" i="15"/>
  <c r="I1229" i="15"/>
  <c r="H277" i="15"/>
  <c r="I277" i="15"/>
  <c r="H354" i="15"/>
  <c r="I354" i="15"/>
  <c r="H278" i="15"/>
  <c r="I278" i="15"/>
  <c r="H1228" i="15"/>
  <c r="I1228" i="15"/>
  <c r="H514" i="15"/>
  <c r="I514" i="15"/>
  <c r="H279" i="15"/>
  <c r="I279" i="15"/>
  <c r="H355" i="15"/>
  <c r="I355" i="15"/>
  <c r="H356" i="15"/>
  <c r="I356" i="15"/>
  <c r="H515" i="15"/>
  <c r="I515" i="15"/>
  <c r="H1108" i="15"/>
  <c r="I1108" i="15"/>
  <c r="H1388" i="15"/>
  <c r="I1388" i="15"/>
  <c r="H357" i="15"/>
  <c r="I357" i="15"/>
  <c r="H282" i="15"/>
  <c r="I282" i="15"/>
  <c r="H1395" i="15"/>
  <c r="I1395" i="15"/>
  <c r="H1110" i="15"/>
  <c r="I1110" i="15"/>
  <c r="H359" i="15"/>
  <c r="I359" i="15"/>
  <c r="H358" i="15"/>
  <c r="I358" i="15"/>
  <c r="H1408" i="15"/>
  <c r="I1408" i="15"/>
  <c r="H284" i="15"/>
  <c r="I284" i="15"/>
  <c r="H516" i="15"/>
  <c r="I516" i="15"/>
  <c r="H1111" i="15"/>
  <c r="I1111" i="15"/>
  <c r="H1415" i="15"/>
  <c r="I1415" i="15"/>
  <c r="H285" i="15"/>
  <c r="I285" i="15"/>
  <c r="H943" i="15"/>
  <c r="I943" i="15"/>
  <c r="H1431" i="15"/>
  <c r="I1431" i="15"/>
  <c r="H1112" i="15"/>
  <c r="I1112" i="15"/>
  <c r="H1432" i="15"/>
  <c r="I1432" i="15"/>
  <c r="H944" i="15"/>
  <c r="I944" i="15"/>
  <c r="H1436" i="15"/>
  <c r="I1436" i="15"/>
  <c r="H286" i="15"/>
  <c r="I286" i="15"/>
  <c r="H945" i="15"/>
  <c r="I945" i="15"/>
  <c r="H518" i="15"/>
  <c r="I518" i="15"/>
  <c r="H1442" i="15"/>
  <c r="I1442" i="15"/>
  <c r="H947" i="15"/>
  <c r="I947" i="15"/>
  <c r="H1443" i="15"/>
  <c r="I1443" i="15"/>
  <c r="H1113" i="15"/>
  <c r="I1113" i="15"/>
  <c r="H678" i="15"/>
  <c r="I678" i="15"/>
  <c r="H1448" i="15"/>
  <c r="I1448" i="15"/>
  <c r="H519" i="15"/>
  <c r="I519" i="15"/>
  <c r="H287" i="15"/>
  <c r="I287" i="15"/>
  <c r="H685" i="15"/>
  <c r="I685" i="15"/>
  <c r="H948" i="15"/>
  <c r="I948" i="15"/>
  <c r="H300" i="15"/>
  <c r="I300" i="15"/>
  <c r="H695" i="15"/>
  <c r="I695" i="15"/>
  <c r="H701" i="15"/>
  <c r="I701" i="15"/>
  <c r="H710" i="15"/>
  <c r="I710" i="15"/>
  <c r="H712" i="15"/>
  <c r="I712" i="15"/>
  <c r="H301" i="15"/>
  <c r="I301" i="15"/>
  <c r="H744" i="15"/>
  <c r="I744" i="15"/>
  <c r="H304" i="15"/>
  <c r="I304" i="15"/>
  <c r="H750" i="15"/>
  <c r="I750" i="15"/>
  <c r="H764" i="15"/>
  <c r="I764" i="15"/>
  <c r="H768" i="15"/>
  <c r="I768" i="15"/>
  <c r="H305" i="15"/>
  <c r="I305" i="15"/>
  <c r="H769" i="15"/>
  <c r="I769" i="15"/>
  <c r="H777" i="15"/>
  <c r="I777" i="15"/>
  <c r="H781" i="15"/>
  <c r="I781" i="15"/>
  <c r="H793" i="15"/>
  <c r="I793" i="15"/>
  <c r="H309" i="15"/>
  <c r="I309" i="15"/>
  <c r="H813" i="15"/>
  <c r="I813" i="15"/>
  <c r="H822" i="15"/>
  <c r="I822" i="15"/>
  <c r="H311" i="15"/>
  <c r="I311" i="15"/>
  <c r="H312" i="15"/>
  <c r="I312" i="15"/>
  <c r="H648" i="15"/>
  <c r="I648" i="15"/>
  <c r="H711" i="15"/>
  <c r="I711" i="15"/>
  <c r="H313" i="15"/>
  <c r="I313" i="15"/>
  <c r="H804" i="15"/>
  <c r="I804" i="15"/>
  <c r="H821" i="15"/>
  <c r="I821" i="15"/>
  <c r="H639" i="15"/>
  <c r="I639" i="15"/>
  <c r="H705" i="15"/>
  <c r="I705" i="15"/>
  <c r="H520" i="15"/>
  <c r="I520" i="15"/>
  <c r="H949" i="15"/>
  <c r="I949" i="15"/>
  <c r="H521" i="15"/>
  <c r="I521" i="15"/>
  <c r="H745" i="15"/>
  <c r="I745" i="15"/>
  <c r="H753" i="15"/>
  <c r="I753" i="15"/>
  <c r="H816" i="15"/>
  <c r="I816" i="15"/>
  <c r="H749" i="15"/>
  <c r="I749" i="15"/>
  <c r="H1275" i="15"/>
  <c r="I1275" i="15"/>
  <c r="H688" i="15"/>
  <c r="I688" i="15"/>
  <c r="H1283" i="15"/>
  <c r="I1283" i="15"/>
  <c r="H88" i="15"/>
  <c r="I88" i="15"/>
  <c r="H951" i="15"/>
  <c r="I951" i="15"/>
  <c r="H74" i="15"/>
  <c r="I74" i="15"/>
  <c r="H952" i="15"/>
  <c r="I952" i="15"/>
  <c r="H1304" i="15"/>
  <c r="I1304" i="15"/>
  <c r="H1114" i="15"/>
  <c r="I1114" i="15"/>
  <c r="H1320" i="15"/>
  <c r="I1320" i="15"/>
  <c r="H1323" i="15"/>
  <c r="I1323" i="15"/>
  <c r="H1335" i="15"/>
  <c r="I1335" i="15"/>
  <c r="H682" i="15"/>
  <c r="I682" i="15"/>
  <c r="H316" i="15"/>
  <c r="I316" i="15"/>
  <c r="H954" i="15"/>
  <c r="I954" i="15"/>
  <c r="H1116" i="15"/>
  <c r="I1116" i="15"/>
  <c r="H78" i="15"/>
  <c r="I78" i="15"/>
  <c r="H524" i="15"/>
  <c r="I524" i="15"/>
  <c r="H1336" i="15"/>
  <c r="I1336" i="15"/>
  <c r="H1117" i="15"/>
  <c r="I1117" i="15"/>
  <c r="H955" i="15"/>
  <c r="I955" i="15"/>
  <c r="H1358" i="15"/>
  <c r="I1358" i="15"/>
  <c r="H525" i="15"/>
  <c r="I525" i="15"/>
  <c r="H734" i="15"/>
  <c r="I734" i="15"/>
  <c r="H756" i="15"/>
  <c r="I756" i="15"/>
  <c r="H1383" i="15"/>
  <c r="I1383" i="15"/>
  <c r="H957" i="15"/>
  <c r="I957" i="15"/>
  <c r="H80" i="15"/>
  <c r="I80" i="15"/>
  <c r="H1118" i="15"/>
  <c r="I1118" i="15"/>
  <c r="H1400" i="15"/>
  <c r="I1400" i="15"/>
  <c r="H630" i="15"/>
  <c r="I630" i="15"/>
  <c r="H960" i="15"/>
  <c r="I960" i="15"/>
  <c r="H704" i="15"/>
  <c r="I704" i="15"/>
  <c r="H85" i="15"/>
  <c r="I85" i="15"/>
  <c r="H1401" i="15"/>
  <c r="I1401" i="15"/>
  <c r="H1403" i="15"/>
  <c r="I1403" i="15"/>
  <c r="H317" i="15"/>
  <c r="I317" i="15"/>
  <c r="H528" i="15"/>
  <c r="I528" i="15"/>
  <c r="H636" i="15"/>
  <c r="I636" i="15"/>
  <c r="H961" i="15"/>
  <c r="I961" i="15"/>
  <c r="H1427" i="15"/>
  <c r="I1427" i="15"/>
  <c r="H529" i="15"/>
  <c r="I529" i="15"/>
  <c r="H531" i="15"/>
  <c r="I531" i="15"/>
  <c r="H667" i="15"/>
  <c r="I667" i="15"/>
  <c r="H673" i="15"/>
  <c r="I673" i="15"/>
  <c r="H716" i="15"/>
  <c r="I716" i="15"/>
  <c r="H1119" i="15"/>
  <c r="I1119" i="15"/>
  <c r="H87" i="15"/>
  <c r="I87" i="15"/>
  <c r="H631" i="15"/>
  <c r="I631" i="15"/>
  <c r="H632" i="15"/>
  <c r="I632" i="15"/>
  <c r="H963" i="15"/>
  <c r="I963" i="15"/>
  <c r="H634" i="15"/>
  <c r="I634" i="15"/>
  <c r="H964" i="15"/>
  <c r="I964" i="15"/>
  <c r="H90" i="15"/>
  <c r="I90" i="15"/>
  <c r="H965" i="15"/>
  <c r="I965" i="15"/>
  <c r="H319" i="15"/>
  <c r="I319" i="15"/>
  <c r="H91" i="15"/>
  <c r="I91" i="15"/>
  <c r="H966" i="15"/>
  <c r="I966" i="15"/>
  <c r="H770" i="15"/>
  <c r="I770" i="15"/>
  <c r="H967" i="15"/>
  <c r="I967" i="15"/>
  <c r="H92" i="15"/>
  <c r="I92" i="15"/>
  <c r="H795" i="15"/>
  <c r="I795" i="15"/>
  <c r="H320" i="15"/>
  <c r="I320" i="15"/>
  <c r="H677" i="15"/>
  <c r="I677" i="15"/>
  <c r="H538" i="15"/>
  <c r="I538" i="15"/>
  <c r="H968" i="15"/>
  <c r="I968" i="15"/>
  <c r="H659" i="15"/>
  <c r="I659" i="15"/>
  <c r="H93" i="15"/>
  <c r="I93" i="15"/>
  <c r="H722" i="15"/>
  <c r="I722" i="15"/>
  <c r="H969" i="15"/>
  <c r="I969" i="15"/>
  <c r="H539" i="15"/>
  <c r="I539" i="15"/>
  <c r="H647" i="15"/>
  <c r="I647" i="15"/>
  <c r="H740" i="15"/>
  <c r="I740" i="15"/>
  <c r="H95" i="15"/>
  <c r="I95" i="15"/>
  <c r="H540" i="15"/>
  <c r="I540" i="15"/>
  <c r="H970" i="15"/>
  <c r="I970" i="15"/>
  <c r="H97" i="15"/>
  <c r="I97" i="15"/>
  <c r="H971" i="15"/>
  <c r="I971" i="15"/>
  <c r="H1120" i="15"/>
  <c r="I1120" i="15"/>
  <c r="H972" i="15"/>
  <c r="I972" i="15"/>
  <c r="H973" i="15"/>
  <c r="I973" i="15"/>
  <c r="H974" i="15"/>
  <c r="I974" i="15"/>
  <c r="H541" i="15"/>
  <c r="I541" i="15"/>
  <c r="H100" i="15"/>
  <c r="I100" i="15"/>
  <c r="H542" i="15"/>
  <c r="I542" i="15"/>
  <c r="H975" i="15"/>
  <c r="I975" i="15"/>
  <c r="H321" i="15"/>
  <c r="I321" i="15"/>
  <c r="H786" i="15"/>
  <c r="I786" i="15"/>
  <c r="H797" i="15"/>
  <c r="I797" i="15"/>
  <c r="H811" i="15"/>
  <c r="I811" i="15"/>
  <c r="H763" i="15"/>
  <c r="I763" i="15"/>
  <c r="H792" i="15"/>
  <c r="I792" i="15"/>
  <c r="H826" i="15"/>
  <c r="I826" i="15"/>
  <c r="H638" i="15"/>
  <c r="I638" i="15"/>
  <c r="H650" i="15"/>
  <c r="I650" i="15"/>
  <c r="H976" i="15"/>
  <c r="I976" i="15"/>
  <c r="H977" i="15"/>
  <c r="I977" i="15"/>
  <c r="H103" i="15"/>
  <c r="I103" i="15"/>
  <c r="H978" i="15"/>
  <c r="I978" i="15"/>
  <c r="H105" i="15"/>
  <c r="I105" i="15"/>
  <c r="H979" i="15"/>
  <c r="I979" i="15"/>
  <c r="H543" i="15"/>
  <c r="I543" i="15"/>
  <c r="H544" i="15"/>
  <c r="I544" i="15"/>
  <c r="H1123" i="15"/>
  <c r="I1123" i="15"/>
  <c r="H980" i="15"/>
  <c r="I980" i="15"/>
  <c r="H109" i="15"/>
  <c r="I109" i="15"/>
  <c r="H1124" i="15"/>
  <c r="I1124" i="15"/>
  <c r="H981" i="15"/>
  <c r="I981" i="15"/>
  <c r="H1126" i="15"/>
  <c r="I1126" i="15"/>
  <c r="H546" i="15"/>
  <c r="I546" i="15"/>
  <c r="H983" i="15"/>
  <c r="I983" i="15"/>
  <c r="H547" i="15"/>
  <c r="I547" i="15"/>
  <c r="H1130" i="15"/>
  <c r="I1130" i="15"/>
  <c r="H548" i="15"/>
  <c r="I548" i="15"/>
  <c r="H984" i="15"/>
  <c r="I984" i="15"/>
  <c r="H322" i="15"/>
  <c r="I322" i="15"/>
  <c r="H986" i="15"/>
  <c r="I986" i="15"/>
  <c r="H549" i="15"/>
  <c r="I549" i="15"/>
  <c r="H988" i="15"/>
  <c r="I988" i="15"/>
  <c r="H550" i="15"/>
  <c r="I550" i="15"/>
  <c r="H113" i="15"/>
  <c r="I113" i="15"/>
  <c r="H1132" i="15"/>
  <c r="I1132" i="15"/>
  <c r="H114" i="15"/>
  <c r="I114" i="15"/>
  <c r="H115" i="15"/>
  <c r="I115" i="15"/>
  <c r="H1133" i="15"/>
  <c r="I1133" i="15"/>
  <c r="H552" i="15"/>
  <c r="I552" i="15"/>
  <c r="H118" i="15"/>
  <c r="I118" i="15"/>
  <c r="H991" i="15"/>
  <c r="I991" i="15"/>
  <c r="H553" i="15"/>
  <c r="I553" i="15"/>
  <c r="H120" i="15"/>
  <c r="I120" i="15"/>
  <c r="H554" i="15"/>
  <c r="I554" i="15"/>
  <c r="H1135" i="15"/>
  <c r="I1135" i="15"/>
  <c r="H997" i="15"/>
  <c r="I997" i="15"/>
  <c r="H998" i="15"/>
  <c r="I998" i="15"/>
  <c r="H999" i="15"/>
  <c r="I999" i="15"/>
  <c r="H1000" i="15"/>
  <c r="I1000" i="15"/>
  <c r="H555" i="15"/>
  <c r="I555" i="15"/>
  <c r="H556" i="15"/>
  <c r="I556" i="15"/>
  <c r="H1002" i="15"/>
  <c r="I1002" i="15"/>
  <c r="H123" i="15"/>
  <c r="I123" i="15"/>
  <c r="H125" i="15"/>
  <c r="I125" i="15"/>
  <c r="H1141" i="15"/>
  <c r="I1141" i="15"/>
  <c r="H128" i="15"/>
  <c r="I128" i="15"/>
  <c r="H558" i="15"/>
  <c r="I558" i="15"/>
  <c r="H1143" i="15"/>
  <c r="I1143" i="15"/>
  <c r="H1004" i="15"/>
  <c r="I1004" i="15"/>
  <c r="H559" i="15"/>
  <c r="I559" i="15"/>
  <c r="H560" i="15"/>
  <c r="I560" i="15"/>
  <c r="H561" i="15"/>
  <c r="I561" i="15"/>
  <c r="H1006" i="15"/>
  <c r="I1006" i="15"/>
  <c r="H562" i="15"/>
  <c r="I562" i="15"/>
  <c r="H1007" i="15"/>
  <c r="I1007" i="15"/>
  <c r="H563" i="15"/>
  <c r="I563" i="15"/>
  <c r="H1008" i="15"/>
  <c r="I1008" i="15"/>
  <c r="H564" i="15"/>
  <c r="I564" i="15"/>
  <c r="H1009" i="15"/>
  <c r="I1009" i="15"/>
  <c r="H1011" i="15"/>
  <c r="I1011" i="15"/>
  <c r="H565" i="15"/>
  <c r="I565" i="15"/>
  <c r="H1145" i="15"/>
  <c r="I1145" i="15"/>
  <c r="H567" i="15"/>
  <c r="I567" i="15"/>
  <c r="H1015" i="15"/>
  <c r="I1015" i="15"/>
  <c r="H1016" i="15"/>
  <c r="I1016" i="15"/>
  <c r="H570" i="15"/>
  <c r="I570" i="15"/>
  <c r="H129" i="15"/>
  <c r="I129" i="15"/>
  <c r="H666" i="15"/>
  <c r="I666" i="15"/>
  <c r="H235" i="15"/>
  <c r="I235" i="15"/>
  <c r="H571" i="15"/>
  <c r="I571" i="15"/>
  <c r="H326" i="15"/>
  <c r="I326" i="15"/>
  <c r="H131" i="15"/>
  <c r="I131" i="15"/>
  <c r="H572" i="15"/>
  <c r="I572" i="15"/>
  <c r="H327" i="15"/>
  <c r="I327" i="15"/>
  <c r="H780" i="15"/>
  <c r="I780" i="15"/>
  <c r="H573" i="15"/>
  <c r="I573" i="15"/>
  <c r="H1021" i="15"/>
  <c r="I1021" i="15"/>
  <c r="H817" i="15"/>
  <c r="I817" i="15"/>
  <c r="H574" i="15"/>
  <c r="I574" i="15"/>
  <c r="H1023" i="15"/>
  <c r="I1023" i="15"/>
  <c r="H331" i="15"/>
  <c r="I331" i="15"/>
  <c r="H133" i="15"/>
  <c r="I133" i="15"/>
  <c r="H742" i="15"/>
  <c r="I742" i="15"/>
  <c r="H1025" i="15"/>
  <c r="I1025" i="15"/>
  <c r="H723" i="15"/>
  <c r="I723" i="15"/>
  <c r="H332" i="15"/>
  <c r="I332" i="15"/>
  <c r="H1026" i="15"/>
  <c r="I1026" i="15"/>
  <c r="H775" i="15"/>
  <c r="I775" i="15"/>
  <c r="H333" i="15"/>
  <c r="I333" i="15"/>
  <c r="H1148" i="15"/>
  <c r="I1148" i="15"/>
  <c r="H575" i="15"/>
  <c r="I575" i="15"/>
  <c r="H334" i="15"/>
  <c r="I334" i="15"/>
  <c r="H134" i="15"/>
  <c r="I134" i="15"/>
  <c r="H1149" i="15"/>
  <c r="I1149" i="15"/>
  <c r="H577" i="15"/>
  <c r="I577" i="15"/>
  <c r="H735" i="15"/>
  <c r="I735" i="15"/>
  <c r="H337" i="15"/>
  <c r="I337" i="15"/>
  <c r="H782" i="15"/>
  <c r="I782" i="15"/>
  <c r="H697" i="15"/>
  <c r="I697" i="15"/>
  <c r="H338" i="15"/>
  <c r="I338" i="15"/>
  <c r="H1150" i="15"/>
  <c r="I1150" i="15"/>
  <c r="H790" i="15"/>
  <c r="I790" i="15"/>
  <c r="H578" i="15"/>
  <c r="I578" i="15"/>
  <c r="H339" i="15"/>
  <c r="I339" i="15"/>
  <c r="H137" i="15"/>
  <c r="I137" i="15"/>
  <c r="H676" i="15"/>
  <c r="I676" i="15"/>
  <c r="H683" i="15"/>
  <c r="I683" i="15"/>
  <c r="H340" i="15"/>
  <c r="I340" i="15"/>
  <c r="H690" i="15"/>
  <c r="I690" i="15"/>
  <c r="H580" i="15"/>
  <c r="I580" i="15"/>
  <c r="H708" i="15"/>
  <c r="I708" i="15"/>
  <c r="H1152" i="15"/>
  <c r="I1152" i="15"/>
  <c r="H140" i="15"/>
  <c r="I140" i="15"/>
  <c r="H732" i="15"/>
  <c r="I732" i="15"/>
  <c r="H752" i="15"/>
  <c r="I752" i="15"/>
  <c r="H783" i="15"/>
  <c r="I783" i="15"/>
  <c r="H785" i="15"/>
  <c r="I785" i="15"/>
  <c r="H142" i="15"/>
  <c r="I142" i="15"/>
  <c r="H1153" i="15"/>
  <c r="I1153" i="15"/>
  <c r="H345" i="15"/>
  <c r="I345" i="15"/>
  <c r="H585" i="15"/>
  <c r="I585" i="15"/>
  <c r="H346" i="15"/>
  <c r="I346" i="15"/>
  <c r="H587" i="15"/>
  <c r="I587" i="15"/>
  <c r="H802" i="15"/>
  <c r="I802" i="15"/>
  <c r="H143" i="15"/>
  <c r="I143" i="15"/>
  <c r="H1156" i="15"/>
  <c r="I1156" i="15"/>
  <c r="H144" i="15"/>
  <c r="I144" i="15"/>
  <c r="H810" i="15"/>
  <c r="I810" i="15"/>
  <c r="H347" i="15"/>
  <c r="I347" i="15"/>
  <c r="H590" i="15"/>
  <c r="I590" i="15"/>
  <c r="H643" i="15"/>
  <c r="I643" i="15"/>
  <c r="H1157" i="15"/>
  <c r="I1157" i="15"/>
  <c r="H652" i="15"/>
  <c r="I652" i="15"/>
  <c r="H762" i="15"/>
  <c r="I762" i="15"/>
  <c r="H591" i="15"/>
  <c r="I591" i="15"/>
  <c r="H773" i="15"/>
  <c r="I773" i="15"/>
  <c r="H130" i="15"/>
  <c r="I130" i="15"/>
  <c r="H362" i="15"/>
  <c r="I362" i="15"/>
  <c r="H788" i="15"/>
  <c r="I788" i="15"/>
  <c r="H593" i="15"/>
  <c r="I593" i="15"/>
  <c r="H132" i="15"/>
  <c r="I132" i="15"/>
  <c r="H684" i="15"/>
  <c r="I684" i="15"/>
  <c r="H594" i="15"/>
  <c r="I594" i="15"/>
  <c r="H689" i="15"/>
  <c r="I689" i="15"/>
  <c r="H629" i="15"/>
  <c r="I629" i="15"/>
  <c r="H1158" i="15"/>
  <c r="I1158" i="15"/>
  <c r="H136" i="15"/>
  <c r="I136" i="15"/>
  <c r="H670" i="15"/>
  <c r="I670" i="15"/>
  <c r="H595" i="15"/>
  <c r="I595" i="15"/>
  <c r="H726" i="15"/>
  <c r="I726" i="15"/>
  <c r="H1159" i="15"/>
  <c r="I1159" i="15"/>
  <c r="H736" i="15"/>
  <c r="I736" i="15"/>
  <c r="H139" i="15"/>
  <c r="I139" i="15"/>
  <c r="H596" i="15"/>
  <c r="I596" i="15"/>
  <c r="H365" i="15"/>
  <c r="I365" i="15"/>
  <c r="H1161" i="15"/>
  <c r="I1161" i="15"/>
  <c r="H141" i="15"/>
  <c r="I141" i="15"/>
  <c r="H367" i="15"/>
  <c r="I367" i="15"/>
  <c r="H779" i="15"/>
  <c r="I779" i="15"/>
  <c r="H1162" i="15"/>
  <c r="I1162" i="15"/>
  <c r="H598" i="15"/>
  <c r="I598" i="15"/>
  <c r="H368" i="15"/>
  <c r="I368" i="15"/>
  <c r="H805" i="15"/>
  <c r="I805" i="15"/>
  <c r="H599" i="15"/>
  <c r="I599" i="15"/>
  <c r="H370" i="15"/>
  <c r="I370" i="15"/>
  <c r="H806" i="15"/>
  <c r="I806" i="15"/>
  <c r="H1163" i="15"/>
  <c r="I1163" i="15"/>
  <c r="H600" i="15"/>
  <c r="I600" i="15"/>
  <c r="H820" i="15"/>
  <c r="I820" i="15"/>
  <c r="H371" i="15"/>
  <c r="I371" i="15"/>
  <c r="H1164" i="15"/>
  <c r="I1164" i="15"/>
  <c r="H603" i="15"/>
  <c r="I603" i="15"/>
  <c r="H608" i="15"/>
  <c r="I608" i="15"/>
  <c r="H1170" i="15"/>
  <c r="I1170" i="15"/>
  <c r="H610" i="15"/>
  <c r="I610" i="15"/>
  <c r="H612" i="15"/>
  <c r="I612" i="15"/>
  <c r="H145" i="15"/>
  <c r="I145" i="15"/>
  <c r="H615" i="15"/>
  <c r="I615" i="15"/>
  <c r="H617" i="15"/>
  <c r="I617" i="15"/>
  <c r="H618" i="15"/>
  <c r="I618" i="15"/>
  <c r="H147" i="15"/>
  <c r="I147" i="15"/>
  <c r="H372" i="15"/>
  <c r="I372" i="15"/>
  <c r="H373" i="15"/>
  <c r="I373" i="15"/>
  <c r="H1172" i="15"/>
  <c r="I1172" i="15"/>
  <c r="H374" i="15"/>
  <c r="I374" i="15"/>
  <c r="H619" i="15"/>
  <c r="I619" i="15"/>
  <c r="H1174" i="15"/>
  <c r="I1174" i="15"/>
  <c r="H1175" i="15"/>
  <c r="I1175" i="15"/>
  <c r="H620" i="15"/>
  <c r="I620" i="15"/>
  <c r="H152" i="15"/>
  <c r="I152" i="15"/>
  <c r="H375" i="15"/>
  <c r="I375" i="15"/>
  <c r="H376" i="15"/>
  <c r="I376" i="15"/>
  <c r="H154" i="15"/>
  <c r="I154" i="15"/>
  <c r="H377" i="15"/>
  <c r="I377" i="15"/>
  <c r="H622" i="15"/>
  <c r="I622" i="15"/>
  <c r="H1177" i="15"/>
  <c r="I1177" i="15"/>
  <c r="H379" i="15"/>
  <c r="I379" i="15"/>
  <c r="H381" i="15"/>
  <c r="I381" i="15"/>
  <c r="H1178" i="15"/>
  <c r="I1178" i="15"/>
  <c r="H156" i="15"/>
  <c r="I156" i="15"/>
  <c r="H382" i="15"/>
  <c r="I382" i="15"/>
  <c r="H1180" i="15"/>
  <c r="I1180" i="15"/>
  <c r="H383" i="15"/>
  <c r="I383" i="15"/>
  <c r="H157" i="15"/>
  <c r="I157" i="15"/>
  <c r="H384" i="15"/>
  <c r="I384" i="15"/>
  <c r="H1181" i="15"/>
  <c r="I1181" i="15"/>
  <c r="H385" i="15"/>
  <c r="I385" i="15"/>
  <c r="H1182" i="15"/>
  <c r="I1182" i="15"/>
  <c r="H201" i="15"/>
  <c r="I201" i="15"/>
  <c r="H386" i="15"/>
  <c r="I386" i="15"/>
  <c r="H158" i="15"/>
  <c r="I158" i="15"/>
  <c r="H199" i="15"/>
  <c r="I199" i="15"/>
  <c r="H198" i="15"/>
  <c r="I198" i="15"/>
  <c r="H1183" i="15"/>
  <c r="I1183" i="15"/>
  <c r="H387" i="15"/>
  <c r="I387" i="15"/>
  <c r="H197" i="15"/>
  <c r="I197" i="15"/>
  <c r="H388" i="15"/>
  <c r="I388" i="15"/>
  <c r="H1184" i="15"/>
  <c r="I1184" i="15"/>
  <c r="H160" i="15"/>
  <c r="I160" i="15"/>
  <c r="H1185" i="15"/>
  <c r="I1185" i="15"/>
  <c r="H1186" i="15"/>
  <c r="I1186" i="15"/>
  <c r="H162" i="15"/>
  <c r="I162" i="15"/>
  <c r="H1187" i="15"/>
  <c r="I1187" i="15"/>
  <c r="H196" i="15"/>
  <c r="I196" i="15"/>
  <c r="H163" i="15"/>
  <c r="I163" i="15"/>
  <c r="H1188" i="15"/>
  <c r="I1188" i="15"/>
  <c r="H391" i="15"/>
  <c r="I391" i="15"/>
  <c r="H194" i="15"/>
  <c r="I194" i="15"/>
  <c r="H1190" i="15"/>
  <c r="I1190" i="15"/>
  <c r="H1191" i="15"/>
  <c r="I1191" i="15"/>
  <c r="H393" i="15"/>
  <c r="I393" i="15"/>
  <c r="H1082" i="15"/>
  <c r="I1082" i="15"/>
  <c r="H394" i="15"/>
  <c r="I394" i="15"/>
  <c r="H187" i="15"/>
  <c r="I187" i="15"/>
  <c r="H395" i="15"/>
  <c r="I395" i="15"/>
  <c r="H1193" i="15"/>
  <c r="I1193" i="15"/>
  <c r="H165" i="15"/>
  <c r="I165" i="15"/>
  <c r="H396" i="15"/>
  <c r="I396" i="15"/>
  <c r="H398" i="15"/>
  <c r="I398" i="15"/>
  <c r="H400" i="15"/>
  <c r="I400" i="15"/>
  <c r="H390" i="15"/>
  <c r="I390" i="15"/>
  <c r="H392" i="15"/>
  <c r="I392" i="15"/>
  <c r="H645" i="15"/>
  <c r="I645" i="15"/>
  <c r="H669" i="15"/>
  <c r="I669" i="15"/>
  <c r="H403" i="15"/>
  <c r="I403" i="15"/>
  <c r="H1195" i="15"/>
  <c r="I1195" i="15"/>
  <c r="H404" i="15"/>
  <c r="I404" i="15"/>
  <c r="H1227" i="15"/>
  <c r="I1227" i="15"/>
  <c r="H406" i="15"/>
  <c r="I406" i="15"/>
  <c r="H737" i="15"/>
  <c r="I737" i="15"/>
  <c r="H739" i="15"/>
  <c r="I739" i="15"/>
  <c r="H743" i="15"/>
  <c r="I743" i="15"/>
  <c r="H407" i="15"/>
  <c r="I407" i="15"/>
  <c r="H408" i="15"/>
  <c r="I408" i="15"/>
  <c r="H166" i="15"/>
  <c r="I166" i="15"/>
  <c r="H409" i="15"/>
  <c r="I409" i="15"/>
  <c r="H1214" i="15"/>
  <c r="I1214" i="15"/>
  <c r="H757" i="15"/>
  <c r="I757" i="15"/>
  <c r="H1213" i="15"/>
  <c r="I1213" i="15"/>
  <c r="H167" i="15"/>
  <c r="I167" i="15"/>
  <c r="H825" i="15"/>
  <c r="I825" i="15"/>
  <c r="H1212" i="15"/>
  <c r="I1212" i="15"/>
  <c r="H829" i="15"/>
  <c r="I829" i="15"/>
  <c r="H410" i="15"/>
  <c r="I410" i="15"/>
  <c r="H778" i="15"/>
  <c r="I778" i="15"/>
  <c r="H1211" i="15"/>
  <c r="I1211" i="15"/>
  <c r="H1210" i="15"/>
  <c r="I1210" i="15"/>
  <c r="H719" i="15"/>
  <c r="I719" i="15"/>
  <c r="H416" i="15"/>
  <c r="I416" i="15"/>
  <c r="H1209" i="15"/>
  <c r="I1209" i="15"/>
  <c r="H720" i="15"/>
  <c r="I720" i="15"/>
  <c r="H1005" i="15"/>
  <c r="I1005" i="15"/>
  <c r="H738" i="15"/>
  <c r="I738" i="15"/>
  <c r="H1203" i="15"/>
  <c r="I1203" i="15"/>
  <c r="H800" i="15"/>
  <c r="I800" i="15"/>
  <c r="H417" i="15"/>
  <c r="I417" i="15"/>
  <c r="H1202" i="15"/>
  <c r="I1202" i="15"/>
  <c r="H405" i="15"/>
  <c r="I405" i="15"/>
  <c r="H1199" i="15"/>
  <c r="I1199" i="15"/>
  <c r="H168" i="15"/>
  <c r="I168" i="15"/>
  <c r="H1196" i="15"/>
  <c r="I1196" i="15"/>
  <c r="H1197" i="15"/>
  <c r="I1197" i="15"/>
  <c r="H1121" i="15"/>
  <c r="I1121" i="15"/>
  <c r="H1122" i="15"/>
  <c r="I1122" i="15"/>
  <c r="H411" i="15"/>
  <c r="I411" i="15"/>
  <c r="H1043" i="15"/>
  <c r="I1043" i="15"/>
  <c r="H169" i="15"/>
  <c r="I169" i="15"/>
  <c r="H155" i="15"/>
  <c r="I155" i="15"/>
  <c r="H174" i="15"/>
  <c r="I174" i="15"/>
  <c r="H182" i="15"/>
  <c r="I182" i="15"/>
  <c r="H186" i="15"/>
  <c r="I186" i="15"/>
  <c r="H173" i="15"/>
  <c r="I173" i="15"/>
  <c r="H1192" i="15"/>
  <c r="I1192" i="15"/>
  <c r="H1221" i="15"/>
  <c r="I1221" i="15"/>
  <c r="H178" i="15"/>
  <c r="I178" i="15"/>
  <c r="H185" i="15"/>
  <c r="I185" i="15"/>
  <c r="H172" i="15"/>
  <c r="I172" i="15"/>
  <c r="H170" i="15"/>
  <c r="I170" i="15"/>
  <c r="H171" i="15"/>
  <c r="I171" i="15"/>
  <c r="H175" i="15"/>
  <c r="I175" i="15"/>
  <c r="H153" i="15"/>
  <c r="I153" i="15"/>
  <c r="H177" i="15"/>
  <c r="I177" i="15"/>
  <c r="H1165" i="15"/>
  <c r="I1165" i="15"/>
  <c r="H52" i="15"/>
  <c r="I52" i="15"/>
  <c r="H148" i="15"/>
  <c r="I148" i="15"/>
  <c r="H324" i="15"/>
  <c r="I324" i="15"/>
  <c r="H505" i="15"/>
  <c r="I505" i="15"/>
  <c r="H680" i="15"/>
  <c r="I680" i="15"/>
  <c r="H982" i="15"/>
  <c r="I982" i="15"/>
  <c r="H1028" i="15"/>
  <c r="I1028" i="15"/>
  <c r="H1129" i="15"/>
  <c r="I1129" i="15"/>
  <c r="H1240" i="15"/>
  <c r="I1240" i="15"/>
  <c r="H1380" i="15"/>
  <c r="I1380" i="15"/>
  <c r="H351" i="15"/>
  <c r="I351" i="15"/>
  <c r="H415" i="15"/>
  <c r="I415" i="15"/>
  <c r="H718" i="15"/>
  <c r="I718" i="15"/>
  <c r="H1300" i="15"/>
  <c r="I1300" i="15"/>
  <c r="H1233" i="15"/>
  <c r="I1233" i="15"/>
  <c r="H1216" i="15"/>
  <c r="I1216" i="15"/>
  <c r="H473" i="15"/>
  <c r="I473" i="15"/>
  <c r="H336" i="15"/>
  <c r="I336" i="15"/>
  <c r="H1081" i="15"/>
  <c r="I1081" i="15"/>
  <c r="H1166" i="15"/>
  <c r="I1166" i="15"/>
  <c r="H1125" i="15"/>
  <c r="I1125" i="15"/>
  <c r="H98" i="15"/>
  <c r="I98" i="15"/>
  <c r="H863" i="15"/>
  <c r="I863" i="15"/>
  <c r="H189" i="15"/>
  <c r="I189" i="15"/>
  <c r="H1169" i="15"/>
  <c r="I1169" i="15"/>
  <c r="H283" i="15"/>
  <c r="I283" i="15"/>
  <c r="H909" i="15"/>
  <c r="I909" i="15"/>
  <c r="H280" i="15"/>
  <c r="I280" i="15"/>
  <c r="H306" i="15"/>
  <c r="I306" i="15"/>
  <c r="H293" i="15"/>
  <c r="I293" i="15"/>
  <c r="H446" i="15"/>
  <c r="I446" i="15"/>
  <c r="H1034" i="15"/>
  <c r="I1034" i="15"/>
  <c r="H876" i="15"/>
  <c r="I876" i="15"/>
  <c r="H1029" i="15"/>
  <c r="I1029" i="15"/>
  <c r="H413" i="15"/>
  <c r="I413" i="15"/>
  <c r="H111" i="15"/>
  <c r="I111" i="15"/>
  <c r="H68" i="15"/>
  <c r="I68" i="15"/>
  <c r="H1131" i="15"/>
  <c r="I1131" i="15"/>
  <c r="H1435" i="15"/>
  <c r="I1435" i="15"/>
  <c r="H1446" i="15"/>
  <c r="I1446" i="15"/>
  <c r="H1208" i="15"/>
  <c r="I1208" i="15"/>
  <c r="H127" i="15"/>
  <c r="I127" i="15"/>
  <c r="H836" i="15"/>
  <c r="I836" i="15"/>
  <c r="H150" i="15"/>
  <c r="I150" i="15"/>
  <c r="H1204" i="15"/>
  <c r="I1204" i="15"/>
  <c r="H184" i="15"/>
  <c r="I184" i="15"/>
  <c r="H1439" i="15"/>
  <c r="I1439" i="15"/>
  <c r="H1387" i="15"/>
  <c r="I1387" i="15"/>
  <c r="H918" i="15"/>
  <c r="I918" i="15"/>
  <c r="H1220" i="15"/>
  <c r="I1220" i="15"/>
  <c r="H994" i="15"/>
  <c r="I994" i="15"/>
  <c r="H1393" i="15"/>
  <c r="I1393" i="15"/>
  <c r="H1138" i="15"/>
  <c r="I1138" i="15"/>
  <c r="H1429" i="15"/>
  <c r="I1429" i="15"/>
  <c r="H1230" i="15"/>
  <c r="I1230" i="15"/>
  <c r="I1134" i="15"/>
  <c r="H1198" i="15"/>
  <c r="I1198" i="15"/>
  <c r="H70" i="15"/>
  <c r="I70" i="15"/>
  <c r="H1085" i="15"/>
  <c r="I1085" i="15"/>
  <c r="H1036" i="15"/>
  <c r="I1036" i="15"/>
  <c r="H581" i="15"/>
  <c r="I581" i="15"/>
  <c r="H378" i="15"/>
  <c r="I378" i="15"/>
  <c r="H832" i="15"/>
  <c r="I832" i="15"/>
  <c r="H483" i="15"/>
  <c r="I483" i="15"/>
  <c r="H1373" i="15"/>
  <c r="I1373" i="15"/>
  <c r="H1273" i="15"/>
  <c r="I1273" i="15"/>
  <c r="H1356" i="15"/>
  <c r="I1356" i="15"/>
  <c r="H858" i="15"/>
  <c r="I858" i="15"/>
  <c r="H1079" i="15"/>
  <c r="I1079" i="15"/>
  <c r="H26" i="15"/>
  <c r="I26" i="15"/>
  <c r="H218" i="15"/>
  <c r="I218" i="15"/>
  <c r="H1020" i="15"/>
  <c r="I1020" i="15"/>
  <c r="H440" i="15"/>
  <c r="I440" i="15"/>
  <c r="H1262" i="15"/>
  <c r="I1262" i="15"/>
  <c r="H1226" i="15"/>
  <c r="I1226" i="15"/>
  <c r="H1194" i="15"/>
  <c r="I1194" i="15"/>
  <c r="H471" i="15"/>
  <c r="I471" i="15"/>
  <c r="H655" i="15"/>
  <c r="I655" i="15"/>
  <c r="H1441" i="15"/>
  <c r="I1441" i="15"/>
  <c r="H193" i="15"/>
  <c r="I193" i="15"/>
  <c r="H1014" i="15"/>
  <c r="I1014" i="15"/>
  <c r="H537" i="15"/>
  <c r="I537" i="15"/>
  <c r="H1054" i="15"/>
  <c r="I1054" i="15"/>
  <c r="H72" i="15"/>
  <c r="I72" i="15"/>
  <c r="H430" i="15"/>
  <c r="I430" i="15"/>
  <c r="H1424" i="15"/>
  <c r="I1424" i="15"/>
  <c r="H419" i="15"/>
  <c r="I419" i="15"/>
  <c r="H1394" i="15"/>
  <c r="I1394" i="15"/>
  <c r="H303" i="15"/>
  <c r="I303" i="15"/>
  <c r="H1252" i="15"/>
  <c r="I1252" i="15"/>
  <c r="H801" i="15"/>
  <c r="I801" i="15"/>
  <c r="H223" i="15"/>
  <c r="I223" i="15"/>
  <c r="H477" i="15"/>
  <c r="I477" i="15"/>
  <c r="H1399" i="15"/>
  <c r="I1399" i="15"/>
  <c r="H176" i="15"/>
  <c r="I176" i="15"/>
  <c r="H397" i="15"/>
  <c r="I397" i="15"/>
  <c r="H265" i="15"/>
  <c r="I265" i="15"/>
  <c r="H934" i="15"/>
  <c r="I934" i="15"/>
  <c r="H108" i="15"/>
  <c r="I108" i="15"/>
  <c r="H243" i="15"/>
  <c r="I243" i="15"/>
  <c r="H465" i="15"/>
  <c r="I465" i="15"/>
  <c r="H1200" i="15"/>
  <c r="I1200" i="15"/>
  <c r="H119" i="15"/>
  <c r="I119" i="15"/>
  <c r="H207" i="15"/>
  <c r="I207" i="15"/>
  <c r="H488" i="15"/>
  <c r="I488" i="15"/>
  <c r="H35" i="15"/>
  <c r="I35" i="15"/>
  <c r="H106" i="15"/>
  <c r="I106" i="15"/>
  <c r="H1010" i="15"/>
  <c r="I1010" i="15"/>
  <c r="H25" i="15"/>
  <c r="I25" i="15"/>
  <c r="H99" i="15"/>
  <c r="I99" i="15"/>
  <c r="H104" i="15"/>
  <c r="I104" i="15"/>
  <c r="H116" i="15"/>
  <c r="I116" i="15"/>
  <c r="H121" i="15"/>
  <c r="I121" i="15"/>
  <c r="H126" i="15"/>
  <c r="I126" i="15"/>
  <c r="H268" i="15"/>
  <c r="I268" i="15"/>
  <c r="H310" i="15"/>
  <c r="I310" i="15"/>
  <c r="H389" i="15"/>
  <c r="I389" i="15"/>
  <c r="H418" i="15"/>
  <c r="I418" i="15"/>
  <c r="H443" i="15"/>
  <c r="I443" i="15"/>
  <c r="H1103" i="15"/>
  <c r="I1103" i="15"/>
  <c r="H831" i="15"/>
  <c r="I831" i="15"/>
  <c r="H985" i="15"/>
  <c r="I985" i="15"/>
  <c r="H496" i="15"/>
  <c r="I496" i="15"/>
  <c r="H1234" i="15"/>
  <c r="I1234" i="15"/>
  <c r="H1215" i="15"/>
  <c r="I1215" i="15"/>
  <c r="H728" i="15"/>
  <c r="I728" i="15"/>
  <c r="H1277" i="15"/>
  <c r="I1277" i="15"/>
  <c r="H1444" i="15"/>
  <c r="I1444" i="15"/>
  <c r="H910" i="15"/>
  <c r="I910" i="15"/>
  <c r="H1363" i="15"/>
  <c r="I1363" i="15"/>
  <c r="H1013" i="15"/>
  <c r="I1013" i="15"/>
  <c r="H112" i="15"/>
  <c r="I112" i="15"/>
  <c r="H1104" i="15"/>
  <c r="I1104" i="15"/>
  <c r="H8" i="15"/>
  <c r="I8" i="15"/>
  <c r="H506" i="15"/>
  <c r="I506" i="15"/>
  <c r="H523" i="15"/>
  <c r="I523" i="15"/>
  <c r="H1109" i="15"/>
  <c r="I1109" i="15"/>
  <c r="H653" i="15"/>
  <c r="I653" i="15"/>
  <c r="H264" i="15"/>
  <c r="I264" i="15"/>
  <c r="H296" i="15"/>
  <c r="I296" i="15"/>
  <c r="H15" i="15"/>
  <c r="I15" i="15"/>
  <c r="H289" i="15"/>
  <c r="I289" i="15"/>
  <c r="H428" i="15"/>
  <c r="I428" i="15"/>
  <c r="H492" i="15"/>
  <c r="I492" i="15"/>
  <c r="H713" i="15"/>
  <c r="I713" i="15"/>
  <c r="H758" i="15"/>
  <c r="I758" i="15"/>
  <c r="H771" i="15"/>
  <c r="I771" i="15"/>
  <c r="H674" i="15"/>
  <c r="I674" i="15"/>
  <c r="H827" i="15"/>
  <c r="I827" i="15"/>
  <c r="H882" i="15"/>
  <c r="I882" i="15"/>
  <c r="H1051" i="15"/>
  <c r="I1051" i="15"/>
  <c r="H1086" i="15"/>
  <c r="I1086" i="15"/>
  <c r="H1206" i="15"/>
  <c r="I1206" i="15"/>
  <c r="H1024" i="15"/>
  <c r="I1024" i="15"/>
  <c r="H1285" i="15"/>
  <c r="I1285" i="15"/>
  <c r="H1357" i="15"/>
  <c r="I1357" i="15"/>
  <c r="H846" i="15"/>
  <c r="I846" i="15"/>
  <c r="H1385" i="15"/>
  <c r="I1385" i="15"/>
  <c r="H611" i="15"/>
  <c r="I611" i="15"/>
  <c r="H1405" i="15"/>
  <c r="I1405" i="15"/>
  <c r="H613" i="15"/>
  <c r="I613" i="15"/>
  <c r="H592" i="15"/>
  <c r="I592" i="15"/>
  <c r="H1445" i="15"/>
  <c r="I1445" i="15"/>
  <c r="H843" i="15"/>
  <c r="I843" i="15"/>
  <c r="H517" i="15"/>
  <c r="I517" i="15"/>
  <c r="H1276" i="15"/>
  <c r="I1276" i="15"/>
  <c r="H1264" i="15"/>
  <c r="I1264" i="15"/>
  <c r="H624" i="15"/>
  <c r="I624" i="15"/>
  <c r="H50" i="15"/>
  <c r="I50" i="15"/>
  <c r="H102" i="15"/>
  <c r="I102" i="15"/>
  <c r="H164" i="15"/>
  <c r="I164" i="15"/>
  <c r="H59" i="15"/>
  <c r="I59" i="15"/>
  <c r="H364" i="15"/>
  <c r="I364" i="15"/>
  <c r="H1140" i="15"/>
  <c r="I1140" i="15"/>
  <c r="H1404" i="15"/>
  <c r="I1404" i="15"/>
  <c r="H281" i="15"/>
  <c r="I281" i="15"/>
  <c r="H602" i="15"/>
  <c r="I602" i="15"/>
  <c r="H807" i="15"/>
  <c r="I807" i="15"/>
  <c r="H654" i="15"/>
  <c r="I654" i="15"/>
  <c r="H493" i="15"/>
  <c r="I493" i="15"/>
  <c r="H366" i="15"/>
  <c r="I366" i="15"/>
  <c r="H244" i="15"/>
  <c r="I244" i="15"/>
  <c r="H992" i="15"/>
  <c r="I992" i="15"/>
  <c r="H14" i="15"/>
  <c r="I14" i="15"/>
  <c r="H149" i="15"/>
  <c r="I149" i="15"/>
  <c r="H1115" i="15"/>
  <c r="I1115" i="15"/>
  <c r="H361" i="15"/>
  <c r="I361" i="15"/>
  <c r="H879" i="15"/>
  <c r="I879" i="15"/>
  <c r="H1247" i="15"/>
  <c r="I1247" i="15"/>
  <c r="H494" i="15"/>
  <c r="I494" i="15"/>
  <c r="H987" i="15"/>
  <c r="I987" i="15"/>
  <c r="H1324" i="15"/>
  <c r="I1324" i="15"/>
  <c r="H881" i="15"/>
  <c r="I881" i="15"/>
  <c r="H896" i="15"/>
  <c r="I896" i="15"/>
  <c r="H260" i="15"/>
  <c r="I260" i="15"/>
  <c r="H727" i="15"/>
  <c r="I727" i="15"/>
  <c r="H211" i="15"/>
  <c r="I211" i="15"/>
  <c r="H249" i="15"/>
  <c r="I249" i="15"/>
  <c r="H1089" i="15"/>
  <c r="I1089" i="15"/>
  <c r="H861" i="15"/>
  <c r="I861" i="15"/>
  <c r="H917" i="15"/>
  <c r="I917" i="15"/>
  <c r="H500" i="15"/>
  <c r="I500" i="15"/>
  <c r="H323" i="15"/>
  <c r="I323" i="15"/>
  <c r="H656" i="15"/>
  <c r="I656" i="15"/>
  <c r="H533" i="15"/>
  <c r="I533" i="15"/>
  <c r="H839" i="15"/>
  <c r="I839" i="15"/>
  <c r="H956" i="15"/>
  <c r="I956" i="15"/>
  <c r="H213" i="15"/>
  <c r="I213" i="15"/>
  <c r="H1281" i="15"/>
  <c r="I1281" i="15"/>
  <c r="H641" i="15"/>
  <c r="I641" i="15"/>
  <c r="H69" i="15"/>
  <c r="I69" i="15"/>
  <c r="H903" i="15"/>
  <c r="I903" i="15"/>
  <c r="H208" i="15"/>
  <c r="I208" i="15"/>
  <c r="H1061" i="15"/>
  <c r="I1061" i="15"/>
  <c r="H247" i="15"/>
  <c r="I247" i="15"/>
  <c r="H51" i="15"/>
  <c r="I51" i="15"/>
  <c r="H329" i="15"/>
  <c r="I329" i="15"/>
  <c r="H31" i="15"/>
  <c r="I31" i="15"/>
  <c r="H1339" i="15"/>
  <c r="I1339" i="15"/>
  <c r="H1251" i="15"/>
  <c r="I1251" i="15"/>
  <c r="H1379" i="15"/>
  <c r="I1379" i="15"/>
  <c r="H1317" i="15"/>
  <c r="I1317" i="15"/>
  <c r="H1238" i="15"/>
  <c r="I1238" i="15"/>
  <c r="H1369" i="15"/>
  <c r="I1369" i="15"/>
  <c r="H30" i="15"/>
  <c r="I30" i="15"/>
  <c r="H330" i="15"/>
  <c r="I330" i="15"/>
  <c r="H1001" i="15"/>
  <c r="I1001" i="15"/>
  <c r="H621" i="15"/>
  <c r="I621" i="15"/>
  <c r="H1207" i="15"/>
  <c r="I1207" i="15"/>
  <c r="H864" i="15"/>
  <c r="I864" i="15"/>
  <c r="H545" i="15"/>
  <c r="I545" i="15"/>
  <c r="H635" i="15"/>
  <c r="I635" i="15"/>
  <c r="H1289" i="15"/>
  <c r="I1289" i="15"/>
  <c r="H597" i="15"/>
  <c r="I597" i="15"/>
  <c r="H258" i="15"/>
  <c r="I258" i="15"/>
  <c r="H582" i="15"/>
  <c r="I582" i="15"/>
  <c r="H1224" i="15"/>
  <c r="I1224" i="15"/>
  <c r="H959" i="15"/>
  <c r="I959" i="15"/>
  <c r="H1389" i="15"/>
  <c r="I1389" i="15"/>
  <c r="H532" i="15"/>
  <c r="I532" i="15"/>
  <c r="H315" i="15"/>
  <c r="I315" i="15"/>
  <c r="H380" i="15"/>
  <c r="I380" i="15"/>
  <c r="H89" i="15"/>
  <c r="I89" i="15"/>
  <c r="H1343" i="15"/>
  <c r="I1343" i="15"/>
  <c r="H884" i="15"/>
  <c r="I884" i="15"/>
  <c r="H921" i="15"/>
  <c r="I921" i="15"/>
  <c r="H799" i="15"/>
  <c r="I799" i="15"/>
  <c r="H568" i="15"/>
  <c r="I568" i="15"/>
  <c r="H589" i="15"/>
  <c r="I589" i="15"/>
  <c r="H1391" i="15"/>
  <c r="I1391" i="15"/>
  <c r="H699" i="15"/>
  <c r="I699" i="15"/>
  <c r="H273" i="15"/>
  <c r="I273" i="15"/>
  <c r="H1055" i="15"/>
  <c r="I1055" i="15"/>
  <c r="H307" i="15"/>
  <c r="I307" i="15"/>
  <c r="H1083" i="15"/>
  <c r="I1083" i="15"/>
  <c r="H1144" i="15"/>
  <c r="I1144" i="15"/>
  <c r="H21" i="15"/>
  <c r="I21" i="15"/>
  <c r="H1137" i="15"/>
  <c r="I1137" i="15"/>
  <c r="H255" i="15"/>
  <c r="I255" i="15"/>
  <c r="H504" i="15"/>
  <c r="I504" i="15"/>
  <c r="H45" i="15"/>
  <c r="I45" i="15"/>
  <c r="H135" i="15"/>
  <c r="I135" i="15"/>
  <c r="H146" i="15"/>
  <c r="I146" i="15"/>
  <c r="H188" i="15"/>
  <c r="I188" i="15"/>
  <c r="H335" i="15"/>
  <c r="I335" i="15"/>
  <c r="H835" i="15"/>
  <c r="I835" i="15"/>
  <c r="H1062" i="15"/>
  <c r="I1062" i="15"/>
  <c r="H937" i="15"/>
  <c r="I937" i="15"/>
  <c r="H1070" i="15"/>
  <c r="I1070" i="15"/>
  <c r="H1142" i="15"/>
  <c r="I1142" i="15"/>
  <c r="H1176" i="15"/>
  <c r="I1176" i="15"/>
  <c r="H614" i="15"/>
  <c r="I614" i="15"/>
  <c r="H866" i="15"/>
  <c r="I866" i="15"/>
  <c r="H191" i="15"/>
  <c r="I191" i="15"/>
  <c r="H706" i="15"/>
  <c r="I706" i="15"/>
  <c r="H1222" i="15"/>
  <c r="I1222" i="15"/>
  <c r="H1241" i="15"/>
  <c r="I1241" i="15"/>
  <c r="H766" i="15"/>
  <c r="I766" i="15"/>
  <c r="H586" i="15"/>
  <c r="I586" i="15"/>
  <c r="H958" i="15"/>
  <c r="I958" i="15"/>
  <c r="H55" i="15"/>
  <c r="I55" i="15"/>
  <c r="H341" i="15"/>
  <c r="I341" i="15"/>
  <c r="H363" i="15"/>
  <c r="I363" i="15"/>
  <c r="H989" i="15"/>
  <c r="I989" i="15"/>
  <c r="H464" i="15"/>
  <c r="I464" i="15"/>
  <c r="H1334" i="15"/>
  <c r="I1334" i="15"/>
  <c r="H530" i="15"/>
  <c r="I530" i="15"/>
  <c r="H1271" i="15"/>
  <c r="I1271" i="15"/>
  <c r="H646" i="15"/>
  <c r="I646" i="15"/>
  <c r="H76" i="15"/>
  <c r="I76" i="15"/>
  <c r="H536" i="15"/>
  <c r="I536" i="15"/>
  <c r="H1032" i="15"/>
  <c r="I1032" i="15"/>
  <c r="H84" i="15"/>
  <c r="I84" i="15"/>
  <c r="H995" i="15"/>
  <c r="I995" i="15"/>
  <c r="H421" i="15"/>
  <c r="I421" i="15"/>
  <c r="H1416" i="15"/>
  <c r="I1416" i="15"/>
  <c r="H1128" i="15"/>
  <c r="I1128" i="15"/>
  <c r="H181" i="15"/>
  <c r="I181" i="15"/>
  <c r="H715" i="15"/>
  <c r="I715" i="15"/>
  <c r="H151" i="15"/>
  <c r="I151" i="15"/>
  <c r="H1402" i="15"/>
  <c r="I1402" i="15"/>
  <c r="H993" i="15"/>
  <c r="I993" i="15"/>
  <c r="H1219" i="15"/>
  <c r="I1219" i="15"/>
  <c r="H888" i="15"/>
  <c r="I888" i="15"/>
  <c r="H217" i="15"/>
  <c r="I217" i="15"/>
  <c r="H1019" i="15"/>
  <c r="I1019" i="15"/>
  <c r="H1316" i="15"/>
  <c r="I1316" i="15"/>
  <c r="H1027" i="15"/>
  <c r="I1027" i="15"/>
  <c r="H1107" i="15"/>
  <c r="I1107" i="15"/>
  <c r="H257" i="15"/>
  <c r="I257" i="15"/>
  <c r="H1440" i="15"/>
  <c r="I1440" i="15"/>
  <c r="H747" i="15"/>
  <c r="I747" i="15"/>
  <c r="H751" i="15"/>
  <c r="I751" i="15"/>
  <c r="H607" i="15"/>
  <c r="I607" i="15"/>
  <c r="H798" i="15"/>
  <c r="I798" i="15"/>
  <c r="H1249" i="15"/>
  <c r="I1249" i="15"/>
  <c r="H1390" i="15"/>
  <c r="I1390" i="15"/>
  <c r="H803" i="15"/>
  <c r="I803" i="15"/>
  <c r="H1136" i="15"/>
  <c r="I1136" i="15"/>
  <c r="H1018" i="15"/>
  <c r="I1018" i="15"/>
  <c r="H1291" i="15"/>
  <c r="I1291" i="15"/>
  <c r="H931" i="15"/>
  <c r="I931" i="15"/>
  <c r="H1386" i="15"/>
  <c r="I1386" i="15"/>
  <c r="H522" i="15"/>
  <c r="I522" i="15"/>
  <c r="H791" i="15"/>
  <c r="I791" i="15"/>
  <c r="H467" i="15"/>
  <c r="I467" i="15"/>
  <c r="H919" i="15"/>
  <c r="I919" i="15"/>
  <c r="H161" i="15"/>
  <c r="I161" i="15"/>
  <c r="H343" i="15"/>
  <c r="I343" i="15"/>
  <c r="H1154" i="15"/>
  <c r="I1154" i="15"/>
  <c r="H867" i="15"/>
  <c r="I867" i="15"/>
  <c r="H444" i="15"/>
  <c r="I444" i="15"/>
  <c r="H360" i="15"/>
  <c r="I360" i="15"/>
  <c r="H497" i="15"/>
  <c r="I497" i="15"/>
  <c r="H1037" i="15"/>
  <c r="I1037" i="15"/>
  <c r="H1201" i="15"/>
  <c r="I1201" i="15"/>
  <c r="H1422" i="15"/>
  <c r="I1422" i="15"/>
  <c r="H534" i="15"/>
  <c r="I534" i="15"/>
  <c r="H1225" i="15"/>
  <c r="I1225" i="15"/>
  <c r="H1040" i="15"/>
  <c r="I1040" i="15"/>
  <c r="H908" i="15"/>
  <c r="I908" i="15"/>
  <c r="H1331" i="15"/>
  <c r="I1331" i="15"/>
  <c r="H180" i="15"/>
  <c r="I180" i="15"/>
  <c r="H721" i="15"/>
  <c r="I721" i="15"/>
  <c r="H851" i="15"/>
  <c r="I851" i="15"/>
  <c r="H1066" i="15"/>
  <c r="I1066" i="15"/>
  <c r="H1091" i="15"/>
  <c r="I1091" i="15"/>
  <c r="H1003" i="15"/>
  <c r="I1003" i="15"/>
  <c r="H1245" i="15"/>
  <c r="I1245" i="15"/>
  <c r="H1414" i="15"/>
  <c r="I1414" i="15"/>
  <c r="H122" i="15"/>
  <c r="I122" i="15"/>
  <c r="H526" i="15"/>
  <c r="I526" i="15"/>
  <c r="H823" i="15"/>
  <c r="I823" i="15"/>
  <c r="H1167" i="15"/>
  <c r="I1167" i="15"/>
  <c r="H808" i="15"/>
  <c r="I808" i="15"/>
  <c r="H19" i="15"/>
  <c r="I19" i="15"/>
  <c r="H110" i="15"/>
  <c r="I110" i="15"/>
  <c r="H1257" i="15"/>
  <c r="I1257" i="15"/>
  <c r="H604" i="15"/>
  <c r="I604" i="15"/>
  <c r="H1223" i="15"/>
  <c r="I1223" i="15"/>
  <c r="H1244" i="15"/>
  <c r="I1244" i="15"/>
  <c r="H202" i="15"/>
  <c r="I202" i="15"/>
  <c r="H583" i="15"/>
  <c r="I583" i="15"/>
  <c r="H1146" i="15"/>
  <c r="I1146" i="15"/>
  <c r="H588" i="15"/>
  <c r="I588" i="15"/>
  <c r="H1093" i="15"/>
  <c r="I1093" i="15"/>
  <c r="H1155" i="15"/>
  <c r="I1155" i="15"/>
  <c r="H318" i="15"/>
  <c r="I318" i="15"/>
  <c r="H65" i="15"/>
  <c r="I65" i="15"/>
  <c r="H1012" i="15"/>
  <c r="I1012" i="15"/>
  <c r="H774" i="15"/>
  <c r="I774" i="15"/>
  <c r="H938" i="15"/>
  <c r="I938" i="15"/>
  <c r="H1329" i="15"/>
  <c r="I1329" i="15"/>
  <c r="H1092" i="15"/>
  <c r="I1092" i="15"/>
  <c r="H192" i="15"/>
  <c r="I192" i="15"/>
  <c r="H663" i="15"/>
  <c r="I663" i="15"/>
  <c r="H609" i="15"/>
  <c r="I609" i="15"/>
  <c r="H1412" i="15"/>
  <c r="I1412" i="15"/>
  <c r="H660" i="15"/>
  <c r="I660" i="15"/>
  <c r="H1279" i="15"/>
  <c r="I1279" i="15"/>
  <c r="H266" i="15"/>
  <c r="I266" i="15"/>
  <c r="H627" i="15"/>
  <c r="I627" i="15"/>
  <c r="H4" i="15"/>
  <c r="I4" i="15"/>
  <c r="H414" i="15"/>
  <c r="I414" i="15"/>
  <c r="H642" i="15"/>
  <c r="I642" i="15"/>
  <c r="H401" i="15"/>
  <c r="I401" i="15"/>
  <c r="H216" i="15"/>
  <c r="I216" i="15"/>
  <c r="H117" i="15"/>
  <c r="I117" i="15"/>
  <c r="H1328" i="15"/>
  <c r="I1328" i="15"/>
  <c r="H890" i="15"/>
  <c r="I890" i="15"/>
  <c r="H1419" i="15"/>
  <c r="I1419" i="15"/>
  <c r="H81" i="15"/>
  <c r="I81" i="15"/>
  <c r="H325" i="15"/>
  <c r="I325" i="15"/>
  <c r="H6" i="15"/>
  <c r="I6" i="15"/>
  <c r="H96" i="15"/>
  <c r="I96" i="15"/>
  <c r="H222" i="15"/>
  <c r="I222" i="15"/>
  <c r="H342" i="15"/>
  <c r="I342" i="15"/>
  <c r="H616" i="15"/>
  <c r="I616" i="15"/>
  <c r="H1409" i="15"/>
  <c r="I1409" i="15"/>
  <c r="H657" i="15"/>
  <c r="I657" i="15"/>
  <c r="H942" i="15"/>
  <c r="I942" i="15"/>
  <c r="H626" i="15"/>
  <c r="I626" i="15"/>
  <c r="H1053" i="15"/>
  <c r="I1053" i="15"/>
  <c r="H18" i="15"/>
  <c r="I18" i="15"/>
  <c r="H1293" i="15"/>
  <c r="I1293" i="15"/>
  <c r="H1189" i="15"/>
  <c r="I1189" i="15"/>
  <c r="H94" i="15"/>
  <c r="I94" i="15"/>
  <c r="H1348" i="15"/>
  <c r="I1348" i="15"/>
  <c r="H204" i="15"/>
  <c r="I204" i="15"/>
  <c r="H1333" i="15"/>
  <c r="I1333" i="15"/>
  <c r="H7" i="15"/>
  <c r="I7" i="15"/>
  <c r="H962" i="15"/>
  <c r="I962" i="15"/>
  <c r="H195" i="15"/>
  <c r="I195" i="15"/>
  <c r="H878" i="15"/>
  <c r="I878" i="15"/>
  <c r="H27" i="15"/>
  <c r="I27" i="15"/>
  <c r="H1290" i="15"/>
  <c r="I1290" i="15"/>
  <c r="H200" i="15"/>
  <c r="I200" i="15"/>
  <c r="H308" i="15"/>
  <c r="I308" i="15"/>
  <c r="H920" i="15"/>
  <c r="I920" i="15"/>
  <c r="H605" i="15"/>
  <c r="I605" i="15"/>
  <c r="H1338" i="15"/>
  <c r="I1338" i="15"/>
  <c r="H1392" i="15"/>
  <c r="I1392" i="15"/>
  <c r="H640" i="15"/>
  <c r="I640" i="15"/>
  <c r="H946" i="15"/>
  <c r="I946" i="15"/>
  <c r="H486" i="15"/>
  <c r="I486" i="15"/>
  <c r="H853" i="15"/>
  <c r="I853" i="15"/>
  <c r="H190" i="15"/>
  <c r="I190" i="15"/>
  <c r="H1423" i="15"/>
  <c r="I1423" i="15"/>
  <c r="H1292" i="15"/>
  <c r="I1292" i="15"/>
  <c r="H569" i="15"/>
  <c r="I569" i="15"/>
  <c r="H731" i="15"/>
  <c r="I731" i="15"/>
  <c r="H412" i="15"/>
  <c r="I412" i="15"/>
  <c r="H996" i="15"/>
  <c r="I996" i="15"/>
  <c r="H1332" i="15"/>
  <c r="I1332" i="15"/>
  <c r="H1160" i="15"/>
  <c r="I1160" i="15"/>
  <c r="H1327" i="15"/>
  <c r="I1327" i="15"/>
  <c r="H906" i="15"/>
  <c r="I906" i="15"/>
  <c r="H509" i="15"/>
  <c r="I509" i="15"/>
  <c r="H941" i="15"/>
  <c r="I941" i="15"/>
  <c r="H1406" i="15"/>
  <c r="I1406" i="15"/>
  <c r="H950" i="15"/>
  <c r="I950" i="15"/>
  <c r="H1397" i="15"/>
  <c r="I1397" i="15"/>
  <c r="H696" i="15"/>
  <c r="I696" i="15"/>
  <c r="H702" i="15"/>
  <c r="I702" i="15"/>
  <c r="H1031" i="15"/>
  <c r="I1031" i="15"/>
  <c r="H1413" i="15"/>
  <c r="I1413" i="15"/>
  <c r="H328" i="15"/>
  <c r="I328" i="15"/>
  <c r="H230" i="15"/>
  <c r="I230" i="15"/>
  <c r="H1398" i="15"/>
  <c r="I1398" i="15"/>
  <c r="H1168" i="15"/>
  <c r="I1168" i="15"/>
  <c r="H1217" i="15"/>
  <c r="I1217" i="15"/>
  <c r="H9" i="15"/>
  <c r="I9" i="15"/>
  <c r="H789" i="15"/>
  <c r="I789" i="15"/>
  <c r="H1346" i="15"/>
  <c r="I1346" i="15"/>
  <c r="H772" i="15"/>
  <c r="I772" i="15"/>
  <c r="H203" i="15"/>
  <c r="I203" i="15"/>
  <c r="H36" i="15"/>
  <c r="I36" i="15"/>
  <c r="H432" i="15"/>
  <c r="I432" i="15"/>
  <c r="H1022" i="15"/>
  <c r="I1022" i="15"/>
  <c r="H601" i="15"/>
  <c r="I601" i="15"/>
  <c r="H71" i="15"/>
  <c r="I71" i="15"/>
  <c r="H107" i="15"/>
  <c r="I107" i="15"/>
  <c r="H662" i="15"/>
  <c r="I662" i="15"/>
  <c r="H101" i="15"/>
  <c r="I101" i="15"/>
  <c r="H1426" i="15"/>
  <c r="I1426" i="15"/>
  <c r="H1425" i="15"/>
  <c r="I1425" i="15"/>
  <c r="H1127" i="15"/>
  <c r="I1127" i="15"/>
  <c r="H625" i="15"/>
  <c r="I625" i="15"/>
  <c r="H725" i="15"/>
  <c r="I725" i="15"/>
  <c r="H566" i="15"/>
  <c r="I566" i="15"/>
  <c r="H889" i="15"/>
  <c r="I889" i="15"/>
  <c r="H294" i="15"/>
  <c r="I294" i="15"/>
  <c r="H369" i="15"/>
  <c r="I369" i="15"/>
  <c r="H668" i="15"/>
  <c r="I668" i="15"/>
  <c r="H933" i="15"/>
  <c r="I933" i="15"/>
  <c r="C35" i="84"/>
  <c r="D31" i="84"/>
  <c r="D34" i="84"/>
  <c r="D30" i="84"/>
  <c r="D35" i="84" l="1"/>
  <c r="J294" i="15"/>
  <c r="J625" i="15"/>
  <c r="J101" i="15"/>
  <c r="J601" i="15"/>
  <c r="J203" i="15"/>
  <c r="J9" i="15"/>
  <c r="J230" i="15"/>
  <c r="J702" i="15"/>
  <c r="J1406" i="15"/>
  <c r="J1327" i="15"/>
  <c r="G1328" i="96" s="1"/>
  <c r="H1328" i="96" s="1"/>
  <c r="J412" i="15"/>
  <c r="J1423" i="15"/>
  <c r="J946" i="15"/>
  <c r="G947" i="96" s="1"/>
  <c r="H947" i="96" s="1"/>
  <c r="J605" i="15"/>
  <c r="J1290" i="15"/>
  <c r="J962" i="15"/>
  <c r="G963" i="96" s="1"/>
  <c r="H963" i="96" s="1"/>
  <c r="J1348" i="15"/>
  <c r="J18" i="15"/>
  <c r="J657" i="15"/>
  <c r="J222" i="15"/>
  <c r="J81" i="15"/>
  <c r="J117" i="15"/>
  <c r="J414" i="15"/>
  <c r="J1279" i="15"/>
  <c r="G1280" i="96" s="1"/>
  <c r="H1280" i="96" s="1"/>
  <c r="J663" i="15"/>
  <c r="J938" i="15"/>
  <c r="J318" i="15"/>
  <c r="J1146" i="15"/>
  <c r="J1223" i="15"/>
  <c r="J19" i="15"/>
  <c r="J526" i="15"/>
  <c r="J1003" i="15"/>
  <c r="J721" i="15"/>
  <c r="J1040" i="15"/>
  <c r="G1040" i="96" s="1"/>
  <c r="H1040" i="96" s="1"/>
  <c r="J1201" i="15"/>
  <c r="J444" i="15"/>
  <c r="J161" i="15"/>
  <c r="J522" i="15"/>
  <c r="J1018" i="15"/>
  <c r="J1249" i="15"/>
  <c r="J747" i="15"/>
  <c r="J1027" i="15"/>
  <c r="J888" i="15"/>
  <c r="J151" i="15"/>
  <c r="J1416" i="15"/>
  <c r="G1419" i="96" s="1"/>
  <c r="H1419" i="96" s="1"/>
  <c r="J1032" i="15"/>
  <c r="J1271" i="15"/>
  <c r="G1272" i="96" s="1"/>
  <c r="H1272" i="96" s="1"/>
  <c r="J989" i="15"/>
  <c r="G990" i="96" s="1"/>
  <c r="H990" i="96" s="1"/>
  <c r="J958" i="15"/>
  <c r="G959" i="96" s="1"/>
  <c r="H959" i="96" s="1"/>
  <c r="J1222" i="15"/>
  <c r="J614" i="15"/>
  <c r="J937" i="15"/>
  <c r="G939" i="96" s="1"/>
  <c r="H939" i="96" s="1"/>
  <c r="J188" i="15"/>
  <c r="J504" i="15"/>
  <c r="J1144" i="15"/>
  <c r="J273" i="15"/>
  <c r="J568" i="15"/>
  <c r="G569" i="96" s="1"/>
  <c r="H569" i="96" s="1"/>
  <c r="J1343" i="15"/>
  <c r="G1346" i="96" s="1"/>
  <c r="H1346" i="96" s="1"/>
  <c r="J532" i="15"/>
  <c r="J582" i="15"/>
  <c r="J635" i="15"/>
  <c r="J621" i="15"/>
  <c r="J1369" i="15"/>
  <c r="G1372" i="96" s="1"/>
  <c r="H1372" i="96" s="1"/>
  <c r="J1251" i="15"/>
  <c r="J51" i="15"/>
  <c r="J903" i="15"/>
  <c r="J213" i="15"/>
  <c r="J656" i="15"/>
  <c r="J861" i="15"/>
  <c r="J727" i="15"/>
  <c r="G728" i="96" s="1"/>
  <c r="H728" i="96" s="1"/>
  <c r="J1324" i="15"/>
  <c r="J879" i="15"/>
  <c r="J14" i="15"/>
  <c r="J493" i="15"/>
  <c r="J281" i="15"/>
  <c r="J59" i="15"/>
  <c r="J624" i="15"/>
  <c r="J843" i="15"/>
  <c r="J1405" i="15"/>
  <c r="G1408" i="96" s="1"/>
  <c r="H1408" i="96" s="1"/>
  <c r="J1357" i="15"/>
  <c r="G1360" i="96" s="1"/>
  <c r="H1360" i="96" s="1"/>
  <c r="J1086" i="15"/>
  <c r="G1088" i="96" s="1"/>
  <c r="H1088" i="96" s="1"/>
  <c r="J674" i="15"/>
  <c r="J492" i="15"/>
  <c r="J296" i="15"/>
  <c r="J523" i="15"/>
  <c r="J112" i="15"/>
  <c r="J1444" i="15"/>
  <c r="J1234" i="15"/>
  <c r="J1103" i="15"/>
  <c r="G1104" i="96" s="1"/>
  <c r="H1104" i="96" s="1"/>
  <c r="J310" i="15"/>
  <c r="J116" i="15"/>
  <c r="J1010" i="15"/>
  <c r="J207" i="15"/>
  <c r="J243" i="15"/>
  <c r="J397" i="15"/>
  <c r="J223" i="15"/>
  <c r="J1394" i="15"/>
  <c r="G1397" i="96" s="1"/>
  <c r="H1397" i="96" s="1"/>
  <c r="J72" i="15"/>
  <c r="J193" i="15"/>
  <c r="J1194" i="15"/>
  <c r="J1020" i="15"/>
  <c r="J858" i="15"/>
  <c r="G861" i="96" s="1"/>
  <c r="H861" i="96" s="1"/>
  <c r="J483" i="15"/>
  <c r="J1036" i="15"/>
  <c r="G1036" i="96" s="1"/>
  <c r="H1036" i="96" s="1"/>
  <c r="J1134" i="15"/>
  <c r="G1135" i="96" s="1"/>
  <c r="H1135" i="96" s="1"/>
  <c r="J1393" i="15"/>
  <c r="J1387" i="15"/>
  <c r="G1390" i="96" s="1"/>
  <c r="H1390" i="96" s="1"/>
  <c r="J150" i="15"/>
  <c r="J1446" i="15"/>
  <c r="J111" i="15"/>
  <c r="J1034" i="15"/>
  <c r="G1034" i="96" s="1"/>
  <c r="H1034" i="96" s="1"/>
  <c r="J280" i="15"/>
  <c r="J189" i="15"/>
  <c r="J1166" i="15"/>
  <c r="G1167" i="96" s="1"/>
  <c r="H1167" i="96" s="1"/>
  <c r="J1216" i="15"/>
  <c r="J415" i="15"/>
  <c r="J1129" i="15"/>
  <c r="G1130" i="96" s="1"/>
  <c r="H1130" i="96" s="1"/>
  <c r="J505" i="15"/>
  <c r="J1165" i="15"/>
  <c r="G1166" i="96" s="1"/>
  <c r="H1166" i="96" s="1"/>
  <c r="J171" i="15"/>
  <c r="J178" i="15"/>
  <c r="J186" i="15"/>
  <c r="J169" i="15"/>
  <c r="J1121" i="15"/>
  <c r="J1199" i="15"/>
  <c r="J800" i="15"/>
  <c r="J720" i="15"/>
  <c r="J1210" i="15"/>
  <c r="J829" i="15"/>
  <c r="J1213" i="15"/>
  <c r="J166" i="15"/>
  <c r="J739" i="15"/>
  <c r="J404" i="15"/>
  <c r="J645" i="15"/>
  <c r="J398" i="15"/>
  <c r="J395" i="15"/>
  <c r="J393" i="15"/>
  <c r="J391" i="15"/>
  <c r="J1187" i="15"/>
  <c r="J160" i="15"/>
  <c r="J387" i="15"/>
  <c r="J158" i="15"/>
  <c r="J385" i="15"/>
  <c r="J383" i="15"/>
  <c r="J1178" i="15"/>
  <c r="G1179" i="96" s="1"/>
  <c r="H1179" i="96" s="1"/>
  <c r="J622" i="15"/>
  <c r="J375" i="15"/>
  <c r="J1174" i="15"/>
  <c r="J373" i="15"/>
  <c r="J617" i="15"/>
  <c r="G619" i="96" s="1"/>
  <c r="H619" i="96" s="1"/>
  <c r="J610" i="15"/>
  <c r="J1164" i="15"/>
  <c r="J1163" i="15"/>
  <c r="G1164" i="96" s="1"/>
  <c r="H1164" i="96" s="1"/>
  <c r="J805" i="15"/>
  <c r="J779" i="15"/>
  <c r="J365" i="15"/>
  <c r="J1159" i="15"/>
  <c r="J136" i="15"/>
  <c r="J594" i="15"/>
  <c r="J788" i="15"/>
  <c r="J591" i="15"/>
  <c r="J643" i="15"/>
  <c r="G645" i="96" s="1"/>
  <c r="H645" i="96" s="1"/>
  <c r="J144" i="15"/>
  <c r="J587" i="15"/>
  <c r="J1153" i="15"/>
  <c r="G1153" i="96" s="1"/>
  <c r="H1153" i="96" s="1"/>
  <c r="J752" i="15"/>
  <c r="J708" i="15"/>
  <c r="J683" i="15"/>
  <c r="J578" i="15"/>
  <c r="J697" i="15"/>
  <c r="J577" i="15"/>
  <c r="J575" i="15"/>
  <c r="J1026" i="15"/>
  <c r="J742" i="15"/>
  <c r="J574" i="15"/>
  <c r="J780" i="15"/>
  <c r="J326" i="15"/>
  <c r="J129" i="15"/>
  <c r="J567" i="15"/>
  <c r="J1009" i="15"/>
  <c r="G1009" i="96" s="1"/>
  <c r="H1009" i="96" s="1"/>
  <c r="J1007" i="15"/>
  <c r="J560" i="15"/>
  <c r="J558" i="15"/>
  <c r="J123" i="15"/>
  <c r="J1000" i="15"/>
  <c r="G1000" i="96" s="1"/>
  <c r="H1000" i="96" s="1"/>
  <c r="J1135" i="15"/>
  <c r="G1136" i="96" s="1"/>
  <c r="H1136" i="96" s="1"/>
  <c r="J991" i="15"/>
  <c r="G992" i="96" s="1"/>
  <c r="H992" i="96" s="1"/>
  <c r="J115" i="15"/>
  <c r="J550" i="15"/>
  <c r="J322" i="15"/>
  <c r="J547" i="15"/>
  <c r="J981" i="15"/>
  <c r="G982" i="96" s="1"/>
  <c r="H982" i="96" s="1"/>
  <c r="J1123" i="15"/>
  <c r="G1124" i="96" s="1"/>
  <c r="H1124" i="96" s="1"/>
  <c r="J105" i="15"/>
  <c r="J976" i="15"/>
  <c r="G977" i="96" s="1"/>
  <c r="H977" i="96" s="1"/>
  <c r="J792" i="15"/>
  <c r="J786" i="15"/>
  <c r="J100" i="15"/>
  <c r="J972" i="15"/>
  <c r="G973" i="96" s="1"/>
  <c r="H973" i="96" s="1"/>
  <c r="J970" i="15"/>
  <c r="G971" i="96" s="1"/>
  <c r="H971" i="96" s="1"/>
  <c r="J647" i="15"/>
  <c r="J93" i="15"/>
  <c r="J677" i="15"/>
  <c r="J967" i="15"/>
  <c r="G968" i="96" s="1"/>
  <c r="H968" i="96" s="1"/>
  <c r="J319" i="15"/>
  <c r="J634" i="15"/>
  <c r="J87" i="15"/>
  <c r="J667" i="15"/>
  <c r="J961" i="15"/>
  <c r="G962" i="96" s="1"/>
  <c r="H962" i="96" s="1"/>
  <c r="J1403" i="15"/>
  <c r="J960" i="15"/>
  <c r="G961" i="96" s="1"/>
  <c r="H961" i="96" s="1"/>
  <c r="J80" i="15"/>
  <c r="J734" i="15"/>
  <c r="J1117" i="15"/>
  <c r="G1118" i="96" s="1"/>
  <c r="H1118" i="96" s="1"/>
  <c r="J1116" i="15"/>
  <c r="J1335" i="15"/>
  <c r="J1304" i="15"/>
  <c r="J88" i="15"/>
  <c r="J749" i="15"/>
  <c r="J521" i="15"/>
  <c r="J639" i="15"/>
  <c r="J711" i="15"/>
  <c r="J822" i="15"/>
  <c r="J781" i="15"/>
  <c r="J768" i="15"/>
  <c r="J744" i="15"/>
  <c r="J701" i="15"/>
  <c r="J1448" i="15"/>
  <c r="G1451" i="96" s="1"/>
  <c r="H1451" i="96" s="1"/>
  <c r="J947" i="15"/>
  <c r="J286" i="15"/>
  <c r="J1112" i="15"/>
  <c r="G1113" i="96" s="1"/>
  <c r="H1113" i="96" s="1"/>
  <c r="J1415" i="15"/>
  <c r="J1408" i="15"/>
  <c r="G1411" i="96" s="1"/>
  <c r="H1411" i="96" s="1"/>
  <c r="J1395" i="15"/>
  <c r="J1108" i="15"/>
  <c r="G1109" i="96" s="1"/>
  <c r="H1109" i="96" s="1"/>
  <c r="J279" i="15"/>
  <c r="J354" i="15"/>
  <c r="J353" i="15"/>
  <c r="J512" i="15"/>
  <c r="J1105" i="15"/>
  <c r="J297" i="15"/>
  <c r="J295" i="15"/>
  <c r="J83" i="15"/>
  <c r="J1232" i="15"/>
  <c r="J79" i="15"/>
  <c r="J503" i="15"/>
  <c r="J75" i="15"/>
  <c r="J1368" i="15"/>
  <c r="J1097" i="15"/>
  <c r="G1099" i="96" s="1"/>
  <c r="H1099" i="96" s="1"/>
  <c r="J930" i="15"/>
  <c r="G932" i="96" s="1"/>
  <c r="H932" i="96" s="1"/>
  <c r="J1237" i="15"/>
  <c r="J73" i="15"/>
  <c r="J1239" i="15"/>
  <c r="J1242" i="15"/>
  <c r="J1243" i="15"/>
  <c r="G1243" i="96" s="1"/>
  <c r="H1243" i="96" s="1"/>
  <c r="J1088" i="15"/>
  <c r="J1321" i="15"/>
  <c r="G1321" i="96" s="1"/>
  <c r="H1321" i="96" s="1"/>
  <c r="J66" i="15"/>
  <c r="J1308" i="15"/>
  <c r="J1303" i="15"/>
  <c r="G1303" i="96" s="1"/>
  <c r="H1303" i="96" s="1"/>
  <c r="J924" i="15"/>
  <c r="J830" i="15"/>
  <c r="J452" i="15"/>
  <c r="J450" i="15"/>
  <c r="J741" i="15"/>
  <c r="J1361" i="15"/>
  <c r="G1364" i="96" s="1"/>
  <c r="H1364" i="96" s="1"/>
  <c r="J755" i="15"/>
  <c r="J445" i="15"/>
  <c r="J1344" i="15"/>
  <c r="G1347" i="96" s="1"/>
  <c r="H1347" i="96" s="1"/>
  <c r="J427" i="15"/>
  <c r="J686" i="15"/>
  <c r="J227" i="15"/>
  <c r="J828" i="15"/>
  <c r="G830" i="96" s="1"/>
  <c r="H830" i="96" s="1"/>
  <c r="J225" i="15"/>
  <c r="J224" i="15"/>
  <c r="J1042" i="15"/>
  <c r="J422" i="15"/>
  <c r="J1306" i="15"/>
  <c r="J850" i="15"/>
  <c r="J1041" i="15"/>
  <c r="G1041" i="96" s="1"/>
  <c r="H1041" i="96" s="1"/>
  <c r="J814" i="15"/>
  <c r="J1268" i="15"/>
  <c r="J11" i="15"/>
  <c r="J10" i="15"/>
  <c r="J703" i="15"/>
  <c r="G704" i="96" s="1"/>
  <c r="H704" i="96" s="1"/>
  <c r="J844" i="15"/>
  <c r="J1351" i="15"/>
  <c r="J1313" i="15"/>
  <c r="J1309" i="15"/>
  <c r="J1298" i="15"/>
  <c r="G1299" i="96" s="1"/>
  <c r="H1299" i="96" s="1"/>
  <c r="J714" i="15"/>
  <c r="G715" i="96" s="1"/>
  <c r="H715" i="96" s="1"/>
  <c r="J679" i="15"/>
  <c r="J3" i="15"/>
  <c r="J834" i="15"/>
  <c r="J215" i="15"/>
  <c r="J210" i="15"/>
  <c r="J40" i="15"/>
  <c r="J205" i="15"/>
  <c r="J1349" i="15"/>
  <c r="J953" i="15"/>
  <c r="G954" i="96" s="1"/>
  <c r="H954" i="96" s="1"/>
  <c r="J926" i="15"/>
  <c r="G928" i="96" s="1"/>
  <c r="H928" i="96" s="1"/>
  <c r="J576" i="15"/>
  <c r="J495" i="15"/>
  <c r="J470" i="15"/>
  <c r="J933" i="15"/>
  <c r="G935" i="96" s="1"/>
  <c r="H935" i="96" s="1"/>
  <c r="J889" i="15"/>
  <c r="J1127" i="15"/>
  <c r="J662" i="15"/>
  <c r="J1022" i="15"/>
  <c r="G1022" i="96" s="1"/>
  <c r="H1022" i="96" s="1"/>
  <c r="J772" i="15"/>
  <c r="J1217" i="15"/>
  <c r="J328" i="15"/>
  <c r="J696" i="15"/>
  <c r="J941" i="15"/>
  <c r="J1160" i="15"/>
  <c r="J731" i="15"/>
  <c r="G732" i="96" s="1"/>
  <c r="H732" i="96" s="1"/>
  <c r="J190" i="15"/>
  <c r="J640" i="15"/>
  <c r="J920" i="15"/>
  <c r="G575" i="96" s="1"/>
  <c r="H575" i="96" s="1"/>
  <c r="J27" i="15"/>
  <c r="J7" i="15"/>
  <c r="J94" i="15"/>
  <c r="J1053" i="15"/>
  <c r="J1409" i="15"/>
  <c r="J96" i="15"/>
  <c r="J1419" i="15"/>
  <c r="J216" i="15"/>
  <c r="J4" i="15"/>
  <c r="J660" i="15"/>
  <c r="J192" i="15"/>
  <c r="J774" i="15"/>
  <c r="J1155" i="15"/>
  <c r="G1155" i="96" s="1"/>
  <c r="H1155" i="96" s="1"/>
  <c r="J583" i="15"/>
  <c r="J604" i="15"/>
  <c r="J1270" i="15"/>
  <c r="G1271" i="96" s="1"/>
  <c r="H1271" i="96" s="1"/>
  <c r="J1140" i="15"/>
  <c r="G1141" i="96" s="1"/>
  <c r="H1141" i="96" s="1"/>
  <c r="J102" i="15"/>
  <c r="J1276" i="15"/>
  <c r="J592" i="15"/>
  <c r="J1385" i="15"/>
  <c r="G1388" i="96" s="1"/>
  <c r="H1388" i="96" s="1"/>
  <c r="J1024" i="15"/>
  <c r="J882" i="15"/>
  <c r="J758" i="15"/>
  <c r="J289" i="15"/>
  <c r="J653" i="15"/>
  <c r="G655" i="96" s="1"/>
  <c r="H655" i="96" s="1"/>
  <c r="J8" i="15"/>
  <c r="J1363" i="15"/>
  <c r="J728" i="15"/>
  <c r="J985" i="15"/>
  <c r="J418" i="15"/>
  <c r="J126" i="15"/>
  <c r="J99" i="15"/>
  <c r="J35" i="15"/>
  <c r="J1200" i="15"/>
  <c r="J934" i="15"/>
  <c r="G936" i="96" s="1"/>
  <c r="H936" i="96" s="1"/>
  <c r="J1399" i="15"/>
  <c r="J1252" i="15"/>
  <c r="J1424" i="15"/>
  <c r="G1427" i="96" s="1"/>
  <c r="H1427" i="96" s="1"/>
  <c r="J537" i="15"/>
  <c r="J655" i="15"/>
  <c r="J1262" i="15"/>
  <c r="J26" i="15"/>
  <c r="J1273" i="15"/>
  <c r="G1274" i="96" s="1"/>
  <c r="H1274" i="96" s="1"/>
  <c r="J378" i="15"/>
  <c r="J70" i="15"/>
  <c r="J1429" i="15"/>
  <c r="G1432" i="96" s="1"/>
  <c r="H1432" i="96" s="1"/>
  <c r="J1220" i="15"/>
  <c r="G1220" i="96" s="1"/>
  <c r="H1220" i="96" s="1"/>
  <c r="J184" i="15"/>
  <c r="J127" i="15"/>
  <c r="J1131" i="15"/>
  <c r="G1132" i="96" s="1"/>
  <c r="H1132" i="96" s="1"/>
  <c r="J1029" i="15"/>
  <c r="J293" i="15"/>
  <c r="J283" i="15"/>
  <c r="J98" i="15"/>
  <c r="J336" i="15"/>
  <c r="J1300" i="15"/>
  <c r="G1300" i="96" s="1"/>
  <c r="H1300" i="96" s="1"/>
  <c r="J1380" i="15"/>
  <c r="J982" i="15"/>
  <c r="G983" i="96" s="1"/>
  <c r="H983" i="96" s="1"/>
  <c r="J148" i="15"/>
  <c r="J153" i="15"/>
  <c r="J172" i="15"/>
  <c r="J1192" i="15"/>
  <c r="J174" i="15"/>
  <c r="J411" i="15"/>
  <c r="J1196" i="15"/>
  <c r="G1196" i="96" s="1"/>
  <c r="H1196" i="96" s="1"/>
  <c r="J1202" i="15"/>
  <c r="G1202" i="96" s="1"/>
  <c r="H1202" i="96" s="1"/>
  <c r="J738" i="15"/>
  <c r="J416" i="15"/>
  <c r="J778" i="15"/>
  <c r="J825" i="15"/>
  <c r="J1214" i="15"/>
  <c r="G1214" i="96" s="1"/>
  <c r="H1214" i="96" s="1"/>
  <c r="J407" i="15"/>
  <c r="J406" i="15"/>
  <c r="J403" i="15"/>
  <c r="J390" i="15"/>
  <c r="J165" i="15"/>
  <c r="J394" i="15"/>
  <c r="J1190" i="15"/>
  <c r="J163" i="15"/>
  <c r="J1186" i="15"/>
  <c r="J388" i="15"/>
  <c r="J198" i="15"/>
  <c r="J201" i="15"/>
  <c r="J384" i="15"/>
  <c r="J382" i="15"/>
  <c r="J103" i="15"/>
  <c r="J638" i="15"/>
  <c r="J811" i="15"/>
  <c r="J359" i="15"/>
  <c r="J357" i="15"/>
  <c r="J356" i="15"/>
  <c r="J1228" i="15"/>
  <c r="J1229" i="15"/>
  <c r="G1229" i="96" s="1"/>
  <c r="H1229" i="96" s="1"/>
  <c r="J352" i="15"/>
  <c r="J940" i="15"/>
  <c r="G942" i="96" s="1"/>
  <c r="H942" i="96" s="1"/>
  <c r="J349" i="15"/>
  <c r="J86" i="15"/>
  <c r="J507" i="15"/>
  <c r="J939" i="15"/>
  <c r="G941" i="96" s="1"/>
  <c r="H941" i="96" s="1"/>
  <c r="J936" i="15"/>
  <c r="J1100" i="15"/>
  <c r="G1101" i="96" s="1"/>
  <c r="H1101" i="96" s="1"/>
  <c r="J275" i="15"/>
  <c r="J651" i="15"/>
  <c r="J1367" i="15"/>
  <c r="J1236" i="15"/>
  <c r="G1236" i="96" s="1"/>
  <c r="H1236" i="96" s="1"/>
  <c r="J1096" i="15"/>
  <c r="J1095" i="15"/>
  <c r="J1354" i="15"/>
  <c r="G1357" i="96" s="1"/>
  <c r="H1357" i="96" s="1"/>
  <c r="J489" i="15"/>
  <c r="J1090" i="15"/>
  <c r="J1347" i="15"/>
  <c r="G1350" i="96" s="1"/>
  <c r="H1350" i="96" s="1"/>
  <c r="J1326" i="15"/>
  <c r="J1318" i="15"/>
  <c r="J1311" i="15"/>
  <c r="G1311" i="96" s="1"/>
  <c r="H1311" i="96" s="1"/>
  <c r="J478" i="15"/>
  <c r="J1084" i="15"/>
  <c r="J62" i="15"/>
  <c r="J61" i="15"/>
  <c r="J1078" i="15"/>
  <c r="G1080" i="96" s="1"/>
  <c r="H1080" i="96" s="1"/>
  <c r="J1077" i="15"/>
  <c r="G1079" i="96" s="1"/>
  <c r="H1079" i="96" s="1"/>
  <c r="J911" i="15"/>
  <c r="J907" i="15"/>
  <c r="J469" i="15"/>
  <c r="J49" i="15"/>
  <c r="J1073" i="15"/>
  <c r="J463" i="15"/>
  <c r="J1072" i="15"/>
  <c r="G1074" i="96" s="1"/>
  <c r="H1074" i="96" s="1"/>
  <c r="J899" i="15"/>
  <c r="G561" i="96" s="1"/>
  <c r="H561" i="96" s="1"/>
  <c r="J898" i="15"/>
  <c r="J1417" i="15"/>
  <c r="G1420" i="96" s="1"/>
  <c r="H1420" i="96" s="1"/>
  <c r="J1411" i="15"/>
  <c r="J267" i="15"/>
  <c r="J454" i="15"/>
  <c r="J1065" i="15"/>
  <c r="G1065" i="96" s="1"/>
  <c r="H1065" i="96" s="1"/>
  <c r="J1372" i="15"/>
  <c r="G1375" i="96" s="1"/>
  <c r="H1375" i="96" s="1"/>
  <c r="J256" i="15"/>
  <c r="J252" i="15"/>
  <c r="J48" i="15"/>
  <c r="J886" i="15"/>
  <c r="G551" i="96" s="1"/>
  <c r="H551" i="96" s="1"/>
  <c r="J242" i="15"/>
  <c r="J240" i="15"/>
  <c r="J623" i="15"/>
  <c r="J453" i="15"/>
  <c r="J767" i="15"/>
  <c r="J1365" i="15"/>
  <c r="J448" i="15"/>
  <c r="J233" i="15"/>
  <c r="J1064" i="15"/>
  <c r="J232" i="15"/>
  <c r="J880" i="15"/>
  <c r="J1312" i="15"/>
  <c r="G1312" i="96" s="1"/>
  <c r="H1312" i="96" s="1"/>
  <c r="J717" i="15"/>
  <c r="G718" i="96" s="1"/>
  <c r="H718" i="96" s="1"/>
  <c r="J1246" i="15"/>
  <c r="G1247" i="96" s="1"/>
  <c r="H1247" i="96" s="1"/>
  <c r="J1248" i="15"/>
  <c r="J812" i="15"/>
  <c r="G814" i="96" s="1"/>
  <c r="H814" i="96" s="1"/>
  <c r="J43" i="15"/>
  <c r="J872" i="15"/>
  <c r="J39" i="15"/>
  <c r="J436" i="15"/>
  <c r="J433" i="15"/>
  <c r="J1255" i="15"/>
  <c r="J37" i="15"/>
  <c r="J862" i="15"/>
  <c r="J860" i="15"/>
  <c r="G863" i="96" s="1"/>
  <c r="H863" i="96" s="1"/>
  <c r="J859" i="15"/>
  <c r="J1044" i="15"/>
  <c r="J424" i="15"/>
  <c r="J23" i="15"/>
  <c r="J700" i="15"/>
  <c r="J698" i="15"/>
  <c r="J694" i="15"/>
  <c r="J681" i="15"/>
  <c r="J875" i="15"/>
  <c r="J1179" i="15"/>
  <c r="J925" i="15"/>
  <c r="G578" i="96" s="1"/>
  <c r="H578" i="96" s="1"/>
  <c r="J644" i="15"/>
  <c r="J551" i="15"/>
  <c r="J1173" i="15"/>
  <c r="J668" i="15"/>
  <c r="J566" i="15"/>
  <c r="J1425" i="15"/>
  <c r="G1428" i="96" s="1"/>
  <c r="H1428" i="96" s="1"/>
  <c r="J107" i="15"/>
  <c r="J432" i="15"/>
  <c r="J1346" i="15"/>
  <c r="G1349" i="96" s="1"/>
  <c r="H1349" i="96" s="1"/>
  <c r="J1168" i="15"/>
  <c r="J1413" i="15"/>
  <c r="G1416" i="96" s="1"/>
  <c r="H1416" i="96" s="1"/>
  <c r="J1397" i="15"/>
  <c r="G1400" i="96" s="1"/>
  <c r="H1400" i="96" s="1"/>
  <c r="J509" i="15"/>
  <c r="J1332" i="15"/>
  <c r="J569" i="15"/>
  <c r="J853" i="15"/>
  <c r="J1392" i="15"/>
  <c r="G1395" i="96" s="1"/>
  <c r="H1395" i="96" s="1"/>
  <c r="J308" i="15"/>
  <c r="J878" i="15"/>
  <c r="J1333" i="15"/>
  <c r="J1189" i="15"/>
  <c r="G1189" i="96" s="1"/>
  <c r="H1189" i="96" s="1"/>
  <c r="J626" i="15"/>
  <c r="J616" i="15"/>
  <c r="J6" i="15"/>
  <c r="J890" i="15"/>
  <c r="J401" i="15"/>
  <c r="J627" i="15"/>
  <c r="J1412" i="15"/>
  <c r="G1415" i="96" s="1"/>
  <c r="H1415" i="96" s="1"/>
  <c r="J1092" i="15"/>
  <c r="J1012" i="15"/>
  <c r="G1012" i="96" s="1"/>
  <c r="H1012" i="96" s="1"/>
  <c r="J1093" i="15"/>
  <c r="G1095" i="96" s="1"/>
  <c r="H1095" i="96" s="1"/>
  <c r="J202" i="15"/>
  <c r="J1257" i="15"/>
  <c r="G1258" i="96" s="1"/>
  <c r="H1258" i="96" s="1"/>
  <c r="J1167" i="15"/>
  <c r="G1168" i="96" s="1"/>
  <c r="H1168" i="96" s="1"/>
  <c r="J1414" i="15"/>
  <c r="G1417" i="96" s="1"/>
  <c r="H1417" i="96" s="1"/>
  <c r="J1066" i="15"/>
  <c r="G1066" i="96" s="1"/>
  <c r="H1066" i="96" s="1"/>
  <c r="J1331" i="15"/>
  <c r="G1332" i="96" s="1"/>
  <c r="H1332" i="96" s="1"/>
  <c r="J534" i="15"/>
  <c r="J497" i="15"/>
  <c r="J1154" i="15"/>
  <c r="G1154" i="96" s="1"/>
  <c r="H1154" i="96" s="1"/>
  <c r="J467" i="15"/>
  <c r="J931" i="15"/>
  <c r="G933" i="96" s="1"/>
  <c r="H933" i="96" s="1"/>
  <c r="J803" i="15"/>
  <c r="J607" i="15"/>
  <c r="J257" i="15"/>
  <c r="J1019" i="15"/>
  <c r="J993" i="15"/>
  <c r="G994" i="96" s="1"/>
  <c r="H994" i="96" s="1"/>
  <c r="J181" i="15"/>
  <c r="J995" i="15"/>
  <c r="G996" i="96" s="1"/>
  <c r="H996" i="96" s="1"/>
  <c r="J76" i="15"/>
  <c r="J1334" i="15"/>
  <c r="G1335" i="96" s="1"/>
  <c r="H1335" i="96" s="1"/>
  <c r="J341" i="15"/>
  <c r="J766" i="15"/>
  <c r="J191" i="15"/>
  <c r="J1142" i="15"/>
  <c r="G1143" i="96" s="1"/>
  <c r="H1143" i="96" s="1"/>
  <c r="J835" i="15"/>
  <c r="J135" i="15"/>
  <c r="J1137" i="15"/>
  <c r="G1138" i="96" s="1"/>
  <c r="H1138" i="96" s="1"/>
  <c r="J307" i="15"/>
  <c r="J1391" i="15"/>
  <c r="J921" i="15"/>
  <c r="J380" i="15"/>
  <c r="J959" i="15"/>
  <c r="G960" i="96" s="1"/>
  <c r="H960" i="96" s="1"/>
  <c r="J597" i="15"/>
  <c r="J864" i="15"/>
  <c r="J808" i="15"/>
  <c r="J122" i="15"/>
  <c r="J1091" i="15"/>
  <c r="G1093" i="96" s="1"/>
  <c r="H1093" i="96" s="1"/>
  <c r="J180" i="15"/>
  <c r="J1225" i="15"/>
  <c r="G1225" i="96" s="1"/>
  <c r="H1225" i="96" s="1"/>
  <c r="J1037" i="15"/>
  <c r="J867" i="15"/>
  <c r="J919" i="15"/>
  <c r="J1386" i="15"/>
  <c r="J1136" i="15"/>
  <c r="J798" i="15"/>
  <c r="J1440" i="15"/>
  <c r="G1443" i="96" s="1"/>
  <c r="H1443" i="96" s="1"/>
  <c r="J1316" i="15"/>
  <c r="G1316" i="96" s="1"/>
  <c r="H1316" i="96" s="1"/>
  <c r="J1219" i="15"/>
  <c r="G1219" i="96" s="1"/>
  <c r="H1219" i="96" s="1"/>
  <c r="J715" i="15"/>
  <c r="J421" i="15"/>
  <c r="J536" i="15"/>
  <c r="J530" i="15"/>
  <c r="J363" i="15"/>
  <c r="J586" i="15"/>
  <c r="J706" i="15"/>
  <c r="J1176" i="15"/>
  <c r="J1062" i="15"/>
  <c r="G1062" i="96" s="1"/>
  <c r="H1062" i="96" s="1"/>
  <c r="J146" i="15"/>
  <c r="J255" i="15"/>
  <c r="J1083" i="15"/>
  <c r="G1085" i="96" s="1"/>
  <c r="H1085" i="96" s="1"/>
  <c r="J369" i="15"/>
  <c r="J725" i="15"/>
  <c r="G726" i="96" s="1"/>
  <c r="H726" i="96" s="1"/>
  <c r="J1426" i="15"/>
  <c r="J71" i="15"/>
  <c r="J36" i="15"/>
  <c r="J789" i="15"/>
  <c r="J1398" i="15"/>
  <c r="G1401" i="96" s="1"/>
  <c r="H1401" i="96" s="1"/>
  <c r="J1031" i="15"/>
  <c r="J950" i="15"/>
  <c r="J906" i="15"/>
  <c r="J996" i="15"/>
  <c r="G997" i="96" s="1"/>
  <c r="H997" i="96" s="1"/>
  <c r="J1292" i="15"/>
  <c r="G1293" i="96" s="1"/>
  <c r="H1293" i="96" s="1"/>
  <c r="J486" i="15"/>
  <c r="J1338" i="15"/>
  <c r="J200" i="15"/>
  <c r="J195" i="15"/>
  <c r="J204" i="15"/>
  <c r="J1293" i="15"/>
  <c r="J942" i="15"/>
  <c r="G943" i="96" s="1"/>
  <c r="H943" i="96" s="1"/>
  <c r="J342" i="15"/>
  <c r="J325" i="15"/>
  <c r="J1328" i="15"/>
  <c r="G1329" i="96" s="1"/>
  <c r="H1329" i="96" s="1"/>
  <c r="J642" i="15"/>
  <c r="J266" i="15"/>
  <c r="J609" i="15"/>
  <c r="J1329" i="15"/>
  <c r="G1330" i="96" s="1"/>
  <c r="H1330" i="96" s="1"/>
  <c r="J65" i="15"/>
  <c r="J588" i="15"/>
  <c r="J1244" i="15"/>
  <c r="G1245" i="96" s="1"/>
  <c r="H1245" i="96" s="1"/>
  <c r="J110" i="15"/>
  <c r="J823" i="15"/>
  <c r="J1245" i="15"/>
  <c r="J851" i="15"/>
  <c r="J908" i="15"/>
  <c r="G570" i="96" s="1"/>
  <c r="H570" i="96" s="1"/>
  <c r="J1422" i="15"/>
  <c r="G1425" i="96" s="1"/>
  <c r="H1425" i="96" s="1"/>
  <c r="J360" i="15"/>
  <c r="J343" i="15"/>
  <c r="J791" i="15"/>
  <c r="J1291" i="15"/>
  <c r="G1292" i="96" s="1"/>
  <c r="H1292" i="96" s="1"/>
  <c r="J1390" i="15"/>
  <c r="J751" i="15"/>
  <c r="J1107" i="15"/>
  <c r="G1108" i="96" s="1"/>
  <c r="H1108" i="96" s="1"/>
  <c r="J217" i="15"/>
  <c r="J1402" i="15"/>
  <c r="J1128" i="15"/>
  <c r="G1129" i="96" s="1"/>
  <c r="H1129" i="96" s="1"/>
  <c r="J84" i="15"/>
  <c r="J646" i="15"/>
  <c r="J464" i="15"/>
  <c r="J55" i="15"/>
  <c r="J1241" i="15"/>
  <c r="G1241" i="96" s="1"/>
  <c r="H1241" i="96" s="1"/>
  <c r="J866" i="15"/>
  <c r="J1070" i="15"/>
  <c r="G1072" i="96" s="1"/>
  <c r="H1072" i="96" s="1"/>
  <c r="J335" i="15"/>
  <c r="J45" i="15"/>
  <c r="J21" i="15"/>
  <c r="J1055" i="15"/>
  <c r="G1055" i="96" s="1"/>
  <c r="H1055" i="96" s="1"/>
  <c r="J589" i="15"/>
  <c r="J884" i="15"/>
  <c r="J315" i="15"/>
  <c r="J1224" i="15"/>
  <c r="G1224" i="96" s="1"/>
  <c r="H1224" i="96" s="1"/>
  <c r="J1289" i="15"/>
  <c r="J1207" i="15"/>
  <c r="G1207" i="96" s="1"/>
  <c r="H1207" i="96" s="1"/>
  <c r="J30" i="15"/>
  <c r="J1379" i="15"/>
  <c r="J329" i="15"/>
  <c r="J208" i="15"/>
  <c r="J1281" i="15"/>
  <c r="G1282" i="96" s="1"/>
  <c r="H1282" i="96" s="1"/>
  <c r="J330" i="15"/>
  <c r="J1317" i="15"/>
  <c r="J31" i="15"/>
  <c r="J1061" i="15"/>
  <c r="G1061" i="96" s="1"/>
  <c r="H1061" i="96" s="1"/>
  <c r="J641" i="15"/>
  <c r="J839" i="15"/>
  <c r="G841" i="96" s="1"/>
  <c r="H841" i="96" s="1"/>
  <c r="J500" i="15"/>
  <c r="J249" i="15"/>
  <c r="J896" i="15"/>
  <c r="J494" i="15"/>
  <c r="J1115" i="15"/>
  <c r="J244" i="15"/>
  <c r="J807" i="15"/>
  <c r="J699" i="15"/>
  <c r="G433" i="96" s="1"/>
  <c r="H433" i="96" s="1"/>
  <c r="J799" i="15"/>
  <c r="J89" i="15"/>
  <c r="J1389" i="15"/>
  <c r="G1392" i="96" s="1"/>
  <c r="H1392" i="96" s="1"/>
  <c r="J258" i="15"/>
  <c r="J545" i="15"/>
  <c r="J1001" i="15"/>
  <c r="J1238" i="15"/>
  <c r="G1238" i="96" s="1"/>
  <c r="H1238" i="96" s="1"/>
  <c r="J1339" i="15"/>
  <c r="G1340" i="96" s="1"/>
  <c r="H1340" i="96" s="1"/>
  <c r="J247" i="15"/>
  <c r="J69" i="15"/>
  <c r="J956" i="15"/>
  <c r="G957" i="96" s="1"/>
  <c r="H957" i="96" s="1"/>
  <c r="J323" i="15"/>
  <c r="J1089" i="15"/>
  <c r="G1091" i="96" s="1"/>
  <c r="H1091" i="96" s="1"/>
  <c r="J260" i="15"/>
  <c r="J987" i="15"/>
  <c r="J361" i="15"/>
  <c r="J992" i="15"/>
  <c r="G993" i="96" s="1"/>
  <c r="H993" i="96" s="1"/>
  <c r="J654" i="15"/>
  <c r="J1404" i="15"/>
  <c r="J164" i="15"/>
  <c r="J1264" i="15"/>
  <c r="J1445" i="15"/>
  <c r="J611" i="15"/>
  <c r="J1285" i="15"/>
  <c r="J1051" i="15"/>
  <c r="G1051" i="96" s="1"/>
  <c r="H1051" i="96" s="1"/>
  <c r="J771" i="15"/>
  <c r="G241" i="96" s="1"/>
  <c r="H241" i="96" s="1"/>
  <c r="J428" i="15"/>
  <c r="J264" i="15"/>
  <c r="J506" i="15"/>
  <c r="J1013" i="15"/>
  <c r="G1013" i="96" s="1"/>
  <c r="H1013" i="96" s="1"/>
  <c r="J1277" i="15"/>
  <c r="J496" i="15"/>
  <c r="J443" i="15"/>
  <c r="J268" i="15"/>
  <c r="J104" i="15"/>
  <c r="J106" i="15"/>
  <c r="J119" i="15"/>
  <c r="J108" i="15"/>
  <c r="J176" i="15"/>
  <c r="J801" i="15"/>
  <c r="J419" i="15"/>
  <c r="J1054" i="15"/>
  <c r="J1441" i="15"/>
  <c r="G1444" i="96" s="1"/>
  <c r="H1444" i="96" s="1"/>
  <c r="J1226" i="15"/>
  <c r="J218" i="15"/>
  <c r="J1356" i="15"/>
  <c r="J832" i="15"/>
  <c r="J1085" i="15"/>
  <c r="G1087" i="96" s="1"/>
  <c r="H1087" i="96" s="1"/>
  <c r="J1230" i="15"/>
  <c r="G1230" i="96" s="1"/>
  <c r="H1230" i="96" s="1"/>
  <c r="J994" i="15"/>
  <c r="G995" i="96" s="1"/>
  <c r="H995" i="96" s="1"/>
  <c r="J1439" i="15"/>
  <c r="G1442" i="96" s="1"/>
  <c r="H1442" i="96" s="1"/>
  <c r="J836" i="15"/>
  <c r="J1435" i="15"/>
  <c r="J413" i="15"/>
  <c r="J446" i="15"/>
  <c r="J909" i="15"/>
  <c r="J863" i="15"/>
  <c r="J1081" i="15"/>
  <c r="J1233" i="15"/>
  <c r="J351" i="15"/>
  <c r="J1028" i="15"/>
  <c r="J324" i="15"/>
  <c r="J177" i="15"/>
  <c r="J170" i="15"/>
  <c r="J1221" i="15"/>
  <c r="J182" i="15"/>
  <c r="J1043" i="15"/>
  <c r="J1197" i="15"/>
  <c r="G1197" i="96" s="1"/>
  <c r="H1197" i="96" s="1"/>
  <c r="J405" i="15"/>
  <c r="J1203" i="15"/>
  <c r="G1203" i="96" s="1"/>
  <c r="H1203" i="96" s="1"/>
  <c r="J1209" i="15"/>
  <c r="G1209" i="96" s="1"/>
  <c r="H1209" i="96" s="1"/>
  <c r="J1211" i="15"/>
  <c r="J1212" i="15"/>
  <c r="J757" i="15"/>
  <c r="J408" i="15"/>
  <c r="J737" i="15"/>
  <c r="G738" i="96" s="1"/>
  <c r="H738" i="96" s="1"/>
  <c r="J1195" i="15"/>
  <c r="J392" i="15"/>
  <c r="J396" i="15"/>
  <c r="J187" i="15"/>
  <c r="J1191" i="15"/>
  <c r="G1191" i="96" s="1"/>
  <c r="H1191" i="96" s="1"/>
  <c r="J1188" i="15"/>
  <c r="G1188" i="96" s="1"/>
  <c r="H1188" i="96" s="1"/>
  <c r="J162" i="15"/>
  <c r="J1184" i="15"/>
  <c r="J533" i="15"/>
  <c r="J917" i="15"/>
  <c r="J211" i="15"/>
  <c r="J881" i="15"/>
  <c r="J1247" i="15"/>
  <c r="G1248" i="96" s="1"/>
  <c r="H1248" i="96" s="1"/>
  <c r="J149" i="15"/>
  <c r="J366" i="15"/>
  <c r="J602" i="15"/>
  <c r="J364" i="15"/>
  <c r="J50" i="15"/>
  <c r="J517" i="15"/>
  <c r="J613" i="15"/>
  <c r="J846" i="15"/>
  <c r="J1206" i="15"/>
  <c r="J827" i="15"/>
  <c r="J713" i="15"/>
  <c r="J15" i="15"/>
  <c r="J1109" i="15"/>
  <c r="G1110" i="96" s="1"/>
  <c r="H1110" i="96" s="1"/>
  <c r="J1104" i="15"/>
  <c r="J910" i="15"/>
  <c r="J1215" i="15"/>
  <c r="G1215" i="96" s="1"/>
  <c r="H1215" i="96" s="1"/>
  <c r="J831" i="15"/>
  <c r="J389" i="15"/>
  <c r="J121" i="15"/>
  <c r="J25" i="15"/>
  <c r="J488" i="15"/>
  <c r="J465" i="15"/>
  <c r="J265" i="15"/>
  <c r="J477" i="15"/>
  <c r="J303" i="15"/>
  <c r="J430" i="15"/>
  <c r="J1014" i="15"/>
  <c r="J471" i="15"/>
  <c r="J440" i="15"/>
  <c r="J1079" i="15"/>
  <c r="J1373" i="15"/>
  <c r="J581" i="15"/>
  <c r="J1198" i="15"/>
  <c r="G1198" i="96" s="1"/>
  <c r="H1198" i="96" s="1"/>
  <c r="J1138" i="15"/>
  <c r="G1139" i="96" s="1"/>
  <c r="H1139" i="96" s="1"/>
  <c r="J918" i="15"/>
  <c r="J1204" i="15"/>
  <c r="G1204" i="96" s="1"/>
  <c r="H1204" i="96" s="1"/>
  <c r="J1208" i="15"/>
  <c r="J68" i="15"/>
  <c r="J876" i="15"/>
  <c r="J306" i="15"/>
  <c r="J1169" i="15"/>
  <c r="J1125" i="15"/>
  <c r="G1126" i="96" s="1"/>
  <c r="H1126" i="96" s="1"/>
  <c r="J473" i="15"/>
  <c r="J718" i="15"/>
  <c r="J1240" i="15"/>
  <c r="G1240" i="96" s="1"/>
  <c r="H1240" i="96" s="1"/>
  <c r="J680" i="15"/>
  <c r="J52" i="15"/>
  <c r="J175" i="15"/>
  <c r="J185" i="15"/>
  <c r="J173" i="15"/>
  <c r="J155" i="15"/>
  <c r="J1122" i="15"/>
  <c r="G1123" i="96" s="1"/>
  <c r="H1123" i="96" s="1"/>
  <c r="J168" i="15"/>
  <c r="J417" i="15"/>
  <c r="J1005" i="15"/>
  <c r="J719" i="15"/>
  <c r="J410" i="15"/>
  <c r="J167" i="15"/>
  <c r="J409" i="15"/>
  <c r="J743" i="15"/>
  <c r="J1227" i="15"/>
  <c r="J669" i="15"/>
  <c r="G671" i="96" s="1"/>
  <c r="H671" i="96" s="1"/>
  <c r="J400" i="15"/>
  <c r="J1193" i="15"/>
  <c r="J1082" i="15"/>
  <c r="G1084" i="96" s="1"/>
  <c r="H1084" i="96" s="1"/>
  <c r="J194" i="15"/>
  <c r="J196" i="15"/>
  <c r="J1185" i="15"/>
  <c r="J197" i="15"/>
  <c r="J199" i="15"/>
  <c r="J1182" i="15"/>
  <c r="G1182" i="96" s="1"/>
  <c r="H1182" i="96" s="1"/>
  <c r="J157" i="15"/>
  <c r="J1183" i="15"/>
  <c r="J386" i="15"/>
  <c r="J1181" i="15"/>
  <c r="J1180" i="15"/>
  <c r="J978" i="15"/>
  <c r="G979" i="96" s="1"/>
  <c r="H979" i="96" s="1"/>
  <c r="J650" i="15"/>
  <c r="G652" i="96" s="1"/>
  <c r="H652" i="96" s="1"/>
  <c r="J763" i="15"/>
  <c r="J901" i="15"/>
  <c r="J847" i="15"/>
  <c r="J733" i="15"/>
  <c r="J1376" i="15"/>
  <c r="J1353" i="15"/>
  <c r="G1356" i="96" s="1"/>
  <c r="H1356" i="96" s="1"/>
  <c r="J1035" i="15"/>
  <c r="G1035" i="96" s="1"/>
  <c r="H1035" i="96" s="1"/>
  <c r="J649" i="15"/>
  <c r="J841" i="15"/>
  <c r="J156" i="15"/>
  <c r="J1177" i="15"/>
  <c r="G1178" i="96" s="1"/>
  <c r="H1178" i="96" s="1"/>
  <c r="J376" i="15"/>
  <c r="J1175" i="15"/>
  <c r="G1176" i="96" s="1"/>
  <c r="H1176" i="96" s="1"/>
  <c r="J1172" i="15"/>
  <c r="G1173" i="96" s="1"/>
  <c r="H1173" i="96" s="1"/>
  <c r="J618" i="15"/>
  <c r="J612" i="15"/>
  <c r="J603" i="15"/>
  <c r="J600" i="15"/>
  <c r="J599" i="15"/>
  <c r="J1162" i="15"/>
  <c r="G1162" i="96" s="1"/>
  <c r="H1162" i="96" s="1"/>
  <c r="J1161" i="15"/>
  <c r="G1161" i="96" s="1"/>
  <c r="H1161" i="96" s="1"/>
  <c r="J736" i="15"/>
  <c r="J670" i="15"/>
  <c r="J689" i="15"/>
  <c r="J593" i="15"/>
  <c r="J773" i="15"/>
  <c r="J1157" i="15"/>
  <c r="G1157" i="96" s="1"/>
  <c r="H1157" i="96" s="1"/>
  <c r="J810" i="15"/>
  <c r="J802" i="15"/>
  <c r="J345" i="15"/>
  <c r="J783" i="15"/>
  <c r="J1152" i="15"/>
  <c r="J340" i="15"/>
  <c r="J339" i="15"/>
  <c r="J338" i="15"/>
  <c r="J735" i="15"/>
  <c r="J334" i="15"/>
  <c r="J775" i="15"/>
  <c r="J1025" i="15"/>
  <c r="G1025" i="96" s="1"/>
  <c r="H1025" i="96" s="1"/>
  <c r="J1023" i="15"/>
  <c r="G1023" i="96" s="1"/>
  <c r="H1023" i="96" s="1"/>
  <c r="J573" i="15"/>
  <c r="J131" i="15"/>
  <c r="J666" i="15"/>
  <c r="J1015" i="15"/>
  <c r="G1015" i="96" s="1"/>
  <c r="H1015" i="96" s="1"/>
  <c r="J1011" i="15"/>
  <c r="J563" i="15"/>
  <c r="J561" i="15"/>
  <c r="J1143" i="15"/>
  <c r="G1144" i="96" s="1"/>
  <c r="H1144" i="96" s="1"/>
  <c r="J125" i="15"/>
  <c r="J555" i="15"/>
  <c r="J977" i="15"/>
  <c r="G978" i="96" s="1"/>
  <c r="H978" i="96" s="1"/>
  <c r="J826" i="15"/>
  <c r="J797" i="15"/>
  <c r="J63" i="15"/>
  <c r="J923" i="15"/>
  <c r="J916" i="15"/>
  <c r="J914" i="15"/>
  <c r="J476" i="15"/>
  <c r="J1278" i="15"/>
  <c r="G1279" i="96" s="1"/>
  <c r="H1279" i="96" s="1"/>
  <c r="J1274" i="15"/>
  <c r="J58" i="15"/>
  <c r="J905" i="15"/>
  <c r="G566" i="96" s="1"/>
  <c r="H566" i="96" s="1"/>
  <c r="J904" i="15"/>
  <c r="J272" i="15"/>
  <c r="J1438" i="15"/>
  <c r="J271" i="15"/>
  <c r="J1071" i="15"/>
  <c r="G1073" i="96" s="1"/>
  <c r="H1073" i="96" s="1"/>
  <c r="J269" i="15"/>
  <c r="J458" i="15"/>
  <c r="J456" i="15"/>
  <c r="J455" i="15"/>
  <c r="J893" i="15"/>
  <c r="J892" i="15"/>
  <c r="J259" i="15"/>
  <c r="J254" i="15"/>
  <c r="J251" i="15"/>
  <c r="G60" i="96" s="1"/>
  <c r="J246" i="15"/>
  <c r="J245" i="15"/>
  <c r="J290" i="15"/>
  <c r="J239" i="15"/>
  <c r="J237" i="15"/>
  <c r="J234" i="15"/>
  <c r="J724" i="15"/>
  <c r="J449" i="15"/>
  <c r="J760" i="15"/>
  <c r="J447" i="15"/>
  <c r="J794" i="15"/>
  <c r="J1350" i="15"/>
  <c r="G1353" i="96" s="1"/>
  <c r="H1353" i="96" s="1"/>
  <c r="J1058" i="15"/>
  <c r="G1058" i="96" s="1"/>
  <c r="H1058" i="96" s="1"/>
  <c r="J439" i="15"/>
  <c r="J44" i="15"/>
  <c r="J1302" i="15"/>
  <c r="J33" i="15"/>
  <c r="J845" i="15"/>
  <c r="G847" i="96" s="1"/>
  <c r="H847" i="96" s="1"/>
  <c r="J379" i="15"/>
  <c r="J154" i="15"/>
  <c r="G181" i="96" s="1"/>
  <c r="J620" i="15"/>
  <c r="J374" i="15"/>
  <c r="J147" i="15"/>
  <c r="J145" i="15"/>
  <c r="J608" i="15"/>
  <c r="J820" i="15"/>
  <c r="J370" i="15"/>
  <c r="J598" i="15"/>
  <c r="J141" i="15"/>
  <c r="J139" i="15"/>
  <c r="J595" i="15"/>
  <c r="J629" i="15"/>
  <c r="J132" i="15"/>
  <c r="J130" i="15"/>
  <c r="J652" i="15"/>
  <c r="J347" i="15"/>
  <c r="J143" i="15"/>
  <c r="J585" i="15"/>
  <c r="J785" i="15"/>
  <c r="G787" i="96" s="1"/>
  <c r="H787" i="96" s="1"/>
  <c r="J140" i="15"/>
  <c r="J690" i="15"/>
  <c r="J137" i="15"/>
  <c r="J1150" i="15"/>
  <c r="G1151" i="96" s="1"/>
  <c r="H1151" i="96" s="1"/>
  <c r="J337" i="15"/>
  <c r="J134" i="15"/>
  <c r="J333" i="15"/>
  <c r="J723" i="15"/>
  <c r="G724" i="96" s="1"/>
  <c r="H724" i="96" s="1"/>
  <c r="J331" i="15"/>
  <c r="J1021" i="15"/>
  <c r="J572" i="15"/>
  <c r="J235" i="15"/>
  <c r="J1016" i="15"/>
  <c r="G1016" i="96" s="1"/>
  <c r="H1016" i="96" s="1"/>
  <c r="J565" i="15"/>
  <c r="J1008" i="15"/>
  <c r="G1008" i="96" s="1"/>
  <c r="H1008" i="96" s="1"/>
  <c r="J1006" i="15"/>
  <c r="J1004" i="15"/>
  <c r="G1004" i="96" s="1"/>
  <c r="H1004" i="96" s="1"/>
  <c r="J1141" i="15"/>
  <c r="G1142" i="96" s="1"/>
  <c r="H1142" i="96" s="1"/>
  <c r="J556" i="15"/>
  <c r="J381" i="15"/>
  <c r="J377" i="15"/>
  <c r="J152" i="15"/>
  <c r="J619" i="15"/>
  <c r="J372" i="15"/>
  <c r="J615" i="15"/>
  <c r="J1170" i="15"/>
  <c r="G1171" i="96" s="1"/>
  <c r="H1171" i="96" s="1"/>
  <c r="J371" i="15"/>
  <c r="J806" i="15"/>
  <c r="J368" i="15"/>
  <c r="J367" i="15"/>
  <c r="J596" i="15"/>
  <c r="J726" i="15"/>
  <c r="G727" i="96" s="1"/>
  <c r="H727" i="96" s="1"/>
  <c r="J1158" i="15"/>
  <c r="G1158" i="96" s="1"/>
  <c r="H1158" i="96" s="1"/>
  <c r="J684" i="15"/>
  <c r="J362" i="15"/>
  <c r="J762" i="15"/>
  <c r="J590" i="15"/>
  <c r="J1156" i="15"/>
  <c r="G1156" i="96" s="1"/>
  <c r="H1156" i="96" s="1"/>
  <c r="J346" i="15"/>
  <c r="J142" i="15"/>
  <c r="J732" i="15"/>
  <c r="J580" i="15"/>
  <c r="J676" i="15"/>
  <c r="J790" i="15"/>
  <c r="J782" i="15"/>
  <c r="J1149" i="15"/>
  <c r="G1150" i="96" s="1"/>
  <c r="H1150" i="96" s="1"/>
  <c r="J1148" i="15"/>
  <c r="J332" i="15"/>
  <c r="J133" i="15"/>
  <c r="J817" i="15"/>
  <c r="J327" i="15"/>
  <c r="J571" i="15"/>
  <c r="J570" i="15"/>
  <c r="J1145" i="15"/>
  <c r="J564" i="15"/>
  <c r="J562" i="15"/>
  <c r="J559" i="15"/>
  <c r="J128" i="15"/>
  <c r="J1002" i="15"/>
  <c r="G1002" i="96" s="1"/>
  <c r="H1002" i="96" s="1"/>
  <c r="J997" i="15"/>
  <c r="G998" i="96" s="1"/>
  <c r="H998" i="96" s="1"/>
  <c r="J553" i="15"/>
  <c r="J1133" i="15"/>
  <c r="G1134" i="96" s="1"/>
  <c r="H1134" i="96" s="1"/>
  <c r="J113" i="15"/>
  <c r="J986" i="15"/>
  <c r="G987" i="96" s="1"/>
  <c r="H987" i="96" s="1"/>
  <c r="J1130" i="15"/>
  <c r="J1126" i="15"/>
  <c r="G1127" i="96" s="1"/>
  <c r="H1127" i="96" s="1"/>
  <c r="J980" i="15"/>
  <c r="J979" i="15"/>
  <c r="J542" i="15"/>
  <c r="J973" i="15"/>
  <c r="G974" i="96" s="1"/>
  <c r="H974" i="96" s="1"/>
  <c r="J998" i="15"/>
  <c r="G999" i="96" s="1"/>
  <c r="H999" i="96" s="1"/>
  <c r="J120" i="15"/>
  <c r="J552" i="15"/>
  <c r="J1132" i="15"/>
  <c r="J549" i="15"/>
  <c r="G550" i="96" s="1"/>
  <c r="H550" i="96" s="1"/>
  <c r="J548" i="15"/>
  <c r="J546" i="15"/>
  <c r="J109" i="15"/>
  <c r="J543" i="15"/>
  <c r="G134" i="96" s="1"/>
  <c r="J999" i="15"/>
  <c r="G621" i="96" s="1"/>
  <c r="H621" i="96" s="1"/>
  <c r="J554" i="15"/>
  <c r="J118" i="15"/>
  <c r="J114" i="15"/>
  <c r="J988" i="15"/>
  <c r="J984" i="15"/>
  <c r="G985" i="96" s="1"/>
  <c r="H985" i="96" s="1"/>
  <c r="J983" i="15"/>
  <c r="J1124" i="15"/>
  <c r="J544" i="15"/>
  <c r="J97" i="15"/>
  <c r="J740" i="15"/>
  <c r="J722" i="15"/>
  <c r="J538" i="15"/>
  <c r="J92" i="15"/>
  <c r="J91" i="15"/>
  <c r="J964" i="15"/>
  <c r="J631" i="15"/>
  <c r="G633" i="96" s="1"/>
  <c r="H633" i="96" s="1"/>
  <c r="J673" i="15"/>
  <c r="J1427" i="15"/>
  <c r="G1430" i="96" s="1"/>
  <c r="H1430" i="96" s="1"/>
  <c r="J317" i="15"/>
  <c r="J975" i="15"/>
  <c r="G976" i="96" s="1"/>
  <c r="H976" i="96" s="1"/>
  <c r="J974" i="15"/>
  <c r="G975" i="96" s="1"/>
  <c r="H975" i="96" s="1"/>
  <c r="J971" i="15"/>
  <c r="G972" i="96" s="1"/>
  <c r="H972" i="96" s="1"/>
  <c r="J95" i="15"/>
  <c r="J969" i="15"/>
  <c r="J968" i="15"/>
  <c r="J795" i="15"/>
  <c r="J966" i="15"/>
  <c r="J90" i="15"/>
  <c r="J632" i="15"/>
  <c r="J716" i="15"/>
  <c r="J529" i="15"/>
  <c r="J528" i="15"/>
  <c r="J85" i="15"/>
  <c r="J1400" i="15"/>
  <c r="G1403" i="96" s="1"/>
  <c r="H1403" i="96" s="1"/>
  <c r="J1383" i="15"/>
  <c r="G1386" i="96" s="1"/>
  <c r="H1386" i="96" s="1"/>
  <c r="J1358" i="15"/>
  <c r="G1361" i="96" s="1"/>
  <c r="H1361" i="96" s="1"/>
  <c r="J524" i="15"/>
  <c r="G326" i="96" s="1"/>
  <c r="H326" i="96" s="1"/>
  <c r="J316" i="15"/>
  <c r="J1320" i="15"/>
  <c r="G1320" i="96" s="1"/>
  <c r="H1320" i="96" s="1"/>
  <c r="J74" i="15"/>
  <c r="J688" i="15"/>
  <c r="G110" i="96" s="1"/>
  <c r="J753" i="15"/>
  <c r="J520" i="15"/>
  <c r="J804" i="15"/>
  <c r="J312" i="15"/>
  <c r="J309" i="15"/>
  <c r="J769" i="15"/>
  <c r="J750" i="15"/>
  <c r="J712" i="15"/>
  <c r="J300" i="15"/>
  <c r="J287" i="15"/>
  <c r="J1113" i="15"/>
  <c r="G1114" i="96" s="1"/>
  <c r="H1114" i="96" s="1"/>
  <c r="J518" i="15"/>
  <c r="J944" i="15"/>
  <c r="G945" i="96" s="1"/>
  <c r="H945" i="96" s="1"/>
  <c r="J943" i="15"/>
  <c r="G944" i="96" s="1"/>
  <c r="H944" i="96" s="1"/>
  <c r="J516" i="15"/>
  <c r="J321" i="15"/>
  <c r="J541" i="15"/>
  <c r="J1120" i="15"/>
  <c r="G1121" i="96" s="1"/>
  <c r="H1121" i="96" s="1"/>
  <c r="J540" i="15"/>
  <c r="J539" i="15"/>
  <c r="J659" i="15"/>
  <c r="J320" i="15"/>
  <c r="J770" i="15"/>
  <c r="J965" i="15"/>
  <c r="G966" i="96" s="1"/>
  <c r="H966" i="96" s="1"/>
  <c r="J963" i="15"/>
  <c r="G964" i="96" s="1"/>
  <c r="H964" i="96" s="1"/>
  <c r="J1119" i="15"/>
  <c r="J531" i="15"/>
  <c r="J636" i="15"/>
  <c r="J1401" i="15"/>
  <c r="G1404" i="96" s="1"/>
  <c r="H1404" i="96" s="1"/>
  <c r="J630" i="15"/>
  <c r="J957" i="15"/>
  <c r="G958" i="96" s="1"/>
  <c r="H958" i="96" s="1"/>
  <c r="J525" i="15"/>
  <c r="J1336" i="15"/>
  <c r="G1337" i="96" s="1"/>
  <c r="H1337" i="96" s="1"/>
  <c r="J954" i="15"/>
  <c r="J1323" i="15"/>
  <c r="J952" i="15"/>
  <c r="G953" i="96" s="1"/>
  <c r="H953" i="96" s="1"/>
  <c r="J1283" i="15"/>
  <c r="G1284" i="96" s="1"/>
  <c r="H1284" i="96" s="1"/>
  <c r="J816" i="15"/>
  <c r="J949" i="15"/>
  <c r="G950" i="96" s="1"/>
  <c r="H950" i="96" s="1"/>
  <c r="J821" i="15"/>
  <c r="J648" i="15"/>
  <c r="G650" i="96" s="1"/>
  <c r="H650" i="96" s="1"/>
  <c r="J813" i="15"/>
  <c r="J777" i="15"/>
  <c r="J764" i="15"/>
  <c r="J301" i="15"/>
  <c r="J695" i="15"/>
  <c r="J685" i="15"/>
  <c r="J678" i="15"/>
  <c r="J1442" i="15"/>
  <c r="G1445" i="96" s="1"/>
  <c r="H1445" i="96" s="1"/>
  <c r="J1436" i="15"/>
  <c r="J1431" i="15"/>
  <c r="G1434" i="96" s="1"/>
  <c r="H1434" i="96" s="1"/>
  <c r="J1111" i="15"/>
  <c r="G1112" i="96" s="1"/>
  <c r="H1112" i="96" s="1"/>
  <c r="J358" i="15"/>
  <c r="J282" i="15"/>
  <c r="J515" i="15"/>
  <c r="J514" i="15"/>
  <c r="J277" i="15"/>
  <c r="J513" i="15"/>
  <c r="J350" i="15"/>
  <c r="J511" i="15"/>
  <c r="J348" i="15"/>
  <c r="J1382" i="15"/>
  <c r="G1385" i="96" s="1"/>
  <c r="H1385" i="96" s="1"/>
  <c r="J1374" i="15"/>
  <c r="G1377" i="96" s="1"/>
  <c r="H1377" i="96" s="1"/>
  <c r="J1101" i="15"/>
  <c r="G1102" i="96" s="1"/>
  <c r="H1102" i="96" s="1"/>
  <c r="J935" i="15"/>
  <c r="G937" i="96" s="1"/>
  <c r="H937" i="96" s="1"/>
  <c r="J77" i="15"/>
  <c r="J1099" i="15"/>
  <c r="J1098" i="15"/>
  <c r="G1100" i="96" s="1"/>
  <c r="H1100" i="96" s="1"/>
  <c r="J1366" i="15"/>
  <c r="G1369" i="96" s="1"/>
  <c r="H1369" i="96" s="1"/>
  <c r="J637" i="15"/>
  <c r="J502" i="15"/>
  <c r="J1094" i="15"/>
  <c r="J490" i="15"/>
  <c r="J487" i="15"/>
  <c r="J484" i="15"/>
  <c r="J1342" i="15"/>
  <c r="J482" i="15"/>
  <c r="J1087" i="15"/>
  <c r="G1089" i="96" s="1"/>
  <c r="H1089" i="96" s="1"/>
  <c r="J479" i="15"/>
  <c r="J1299" i="15"/>
  <c r="G829" i="96" s="1"/>
  <c r="H829" i="96" s="1"/>
  <c r="J1296" i="15"/>
  <c r="J1080" i="15"/>
  <c r="G1082" i="96" s="1"/>
  <c r="H1082" i="96" s="1"/>
  <c r="J1284" i="15"/>
  <c r="G1285" i="96" s="1"/>
  <c r="H1285" i="96" s="1"/>
  <c r="J913" i="15"/>
  <c r="J912" i="15"/>
  <c r="J1074" i="15"/>
  <c r="J56" i="15"/>
  <c r="J468" i="15"/>
  <c r="J466" i="15"/>
  <c r="J922" i="15"/>
  <c r="J915" i="15"/>
  <c r="J1449" i="15"/>
  <c r="J1330" i="15"/>
  <c r="G1331" i="96" s="1"/>
  <c r="H1331" i="96" s="1"/>
  <c r="J1076" i="15"/>
  <c r="J474" i="15"/>
  <c r="J472" i="15"/>
  <c r="J53" i="15"/>
  <c r="J1265" i="15"/>
  <c r="G1266" i="96" s="1"/>
  <c r="H1266" i="96" s="1"/>
  <c r="J47" i="15"/>
  <c r="J704" i="15"/>
  <c r="J1118" i="15"/>
  <c r="G1119" i="96" s="1"/>
  <c r="H1119" i="96" s="1"/>
  <c r="J756" i="15"/>
  <c r="J955" i="15"/>
  <c r="J78" i="15"/>
  <c r="J682" i="15"/>
  <c r="J1114" i="15"/>
  <c r="J951" i="15"/>
  <c r="J1275" i="15"/>
  <c r="J745" i="15"/>
  <c r="J705" i="15"/>
  <c r="J313" i="15"/>
  <c r="J311" i="15"/>
  <c r="J793" i="15"/>
  <c r="J305" i="15"/>
  <c r="J304" i="15"/>
  <c r="J710" i="15"/>
  <c r="G711" i="96" s="1"/>
  <c r="H711" i="96" s="1"/>
  <c r="J948" i="15"/>
  <c r="G949" i="96" s="1"/>
  <c r="H949" i="96" s="1"/>
  <c r="J519" i="15"/>
  <c r="J1443" i="15"/>
  <c r="J945" i="15"/>
  <c r="G946" i="96" s="1"/>
  <c r="H946" i="96" s="1"/>
  <c r="J1432" i="15"/>
  <c r="G1435" i="96" s="1"/>
  <c r="H1435" i="96" s="1"/>
  <c r="J285" i="15"/>
  <c r="J284" i="15"/>
  <c r="J1110" i="15"/>
  <c r="J1388" i="15"/>
  <c r="G1391" i="96" s="1"/>
  <c r="H1391" i="96" s="1"/>
  <c r="J355" i="15"/>
  <c r="J278" i="15"/>
  <c r="J276" i="15"/>
  <c r="J1106" i="15"/>
  <c r="G1107" i="96" s="1"/>
  <c r="H1107" i="96" s="1"/>
  <c r="J298" i="15"/>
  <c r="J510" i="15"/>
  <c r="J1231" i="15"/>
  <c r="G1231" i="96" s="1"/>
  <c r="H1231" i="96" s="1"/>
  <c r="J1102" i="15"/>
  <c r="J82" i="15"/>
  <c r="J1450" i="15"/>
  <c r="G1453" i="96" s="1"/>
  <c r="H1453" i="96" s="1"/>
  <c r="J1384" i="15"/>
  <c r="G1387" i="96" s="1"/>
  <c r="H1387" i="96" s="1"/>
  <c r="J1377" i="15"/>
  <c r="J1235" i="15"/>
  <c r="G1235" i="96" s="1"/>
  <c r="H1235" i="96" s="1"/>
  <c r="J932" i="15"/>
  <c r="G934" i="96" s="1"/>
  <c r="H934" i="96" s="1"/>
  <c r="J1360" i="15"/>
  <c r="G1363" i="96" s="1"/>
  <c r="H1363" i="96" s="1"/>
  <c r="J929" i="15"/>
  <c r="J498" i="15"/>
  <c r="J491" i="15"/>
  <c r="J928" i="15"/>
  <c r="G930" i="96" s="1"/>
  <c r="H930" i="96" s="1"/>
  <c r="J485" i="15"/>
  <c r="J927" i="15"/>
  <c r="G929" i="96" s="1"/>
  <c r="H929" i="96" s="1"/>
  <c r="J67" i="15"/>
  <c r="J481" i="15"/>
  <c r="J480" i="15"/>
  <c r="J1305" i="15"/>
  <c r="J900" i="15"/>
  <c r="J1437" i="15"/>
  <c r="G1440" i="96" s="1"/>
  <c r="H1440" i="96" s="1"/>
  <c r="J1418" i="15"/>
  <c r="J1067" i="15"/>
  <c r="J457" i="15"/>
  <c r="J895" i="15"/>
  <c r="G557" i="96" s="1"/>
  <c r="H557" i="96" s="1"/>
  <c r="J263" i="15"/>
  <c r="J1381" i="15"/>
  <c r="G1384" i="96" s="1"/>
  <c r="H1384" i="96" s="1"/>
  <c r="J1375" i="15"/>
  <c r="G1378" i="96" s="1"/>
  <c r="H1378" i="96" s="1"/>
  <c r="J1371" i="15"/>
  <c r="G1374" i="96" s="1"/>
  <c r="H1374" i="96" s="1"/>
  <c r="J891" i="15"/>
  <c r="J248" i="15"/>
  <c r="J887" i="15"/>
  <c r="G552" i="96" s="1"/>
  <c r="H552" i="96" s="1"/>
  <c r="J291" i="15"/>
  <c r="J288" i="15"/>
  <c r="J238" i="15"/>
  <c r="J236" i="15"/>
  <c r="J451" i="15"/>
  <c r="J661" i="15"/>
  <c r="G663" i="96" s="1"/>
  <c r="H663" i="96" s="1"/>
  <c r="J1362" i="15"/>
  <c r="J883" i="15"/>
  <c r="J1359" i="15"/>
  <c r="G1362" i="96" s="1"/>
  <c r="H1362" i="96" s="1"/>
  <c r="J1063" i="15"/>
  <c r="G1063" i="96" s="1"/>
  <c r="H1063" i="96" s="1"/>
  <c r="J1322" i="15"/>
  <c r="J442" i="15"/>
  <c r="J1057" i="15"/>
  <c r="G1057" i="96" s="1"/>
  <c r="H1057" i="96" s="1"/>
  <c r="J707" i="15"/>
  <c r="J438" i="15"/>
  <c r="J231" i="15"/>
  <c r="J873" i="15"/>
  <c r="J1287" i="15"/>
  <c r="G1288" i="96" s="1"/>
  <c r="H1288" i="96" s="1"/>
  <c r="J871" i="15"/>
  <c r="J869" i="15"/>
  <c r="J435" i="15"/>
  <c r="J1050" i="15"/>
  <c r="J431" i="15"/>
  <c r="J34" i="15"/>
  <c r="J32" i="15"/>
  <c r="J1434" i="15"/>
  <c r="G1437" i="96" s="1"/>
  <c r="H1437" i="96" s="1"/>
  <c r="J460" i="15"/>
  <c r="J270" i="15"/>
  <c r="J459" i="15"/>
  <c r="J897" i="15"/>
  <c r="G559" i="96" s="1"/>
  <c r="H559" i="96" s="1"/>
  <c r="J1407" i="15"/>
  <c r="G1410" i="96" s="1"/>
  <c r="H1410" i="96" s="1"/>
  <c r="J894" i="15"/>
  <c r="J262" i="15"/>
  <c r="J261" i="15"/>
  <c r="J57" i="15"/>
  <c r="J253" i="15"/>
  <c r="J250" i="15"/>
  <c r="J46" i="15"/>
  <c r="J292" i="15"/>
  <c r="J241" i="15"/>
  <c r="J628" i="15"/>
  <c r="J1315" i="15"/>
  <c r="G1315" i="96" s="1"/>
  <c r="H1315" i="96" s="1"/>
  <c r="J874" i="15"/>
  <c r="J1307" i="15"/>
  <c r="G1307" i="96" s="1"/>
  <c r="H1307" i="96" s="1"/>
  <c r="J1056" i="15"/>
  <c r="G1056" i="96" s="1"/>
  <c r="H1056" i="96" s="1"/>
  <c r="J1297" i="15"/>
  <c r="G1298" i="96" s="1"/>
  <c r="H1298" i="96" s="1"/>
  <c r="J437" i="15"/>
  <c r="J42" i="15"/>
  <c r="J1286" i="15"/>
  <c r="J38" i="15"/>
  <c r="J1254" i="15"/>
  <c r="G1255" i="96" s="1"/>
  <c r="H1255" i="96" s="1"/>
  <c r="J787" i="15"/>
  <c r="G43" i="96" s="1"/>
  <c r="J865" i="15"/>
  <c r="J1048" i="15"/>
  <c r="J1046" i="15"/>
  <c r="G1046" i="96" s="1"/>
  <c r="H1046" i="96" s="1"/>
  <c r="J1052" i="15"/>
  <c r="G1052" i="96" s="1"/>
  <c r="H1052" i="96" s="1"/>
  <c r="J1250" i="15"/>
  <c r="G1251" i="96" s="1"/>
  <c r="H1251" i="96" s="1"/>
  <c r="J1295" i="15"/>
  <c r="J41" i="15"/>
  <c r="J870" i="15"/>
  <c r="G44" i="96" s="1"/>
  <c r="J868" i="15"/>
  <c r="J796" i="15"/>
  <c r="J1049" i="15"/>
  <c r="G1049" i="96" s="1"/>
  <c r="H1049" i="96" s="1"/>
  <c r="J1256" i="15"/>
  <c r="G1257" i="96" s="1"/>
  <c r="H1257" i="96" s="1"/>
  <c r="J1045" i="15"/>
  <c r="G1045" i="96" s="1"/>
  <c r="H1045" i="96" s="1"/>
  <c r="J1447" i="15"/>
  <c r="J1433" i="15"/>
  <c r="J24" i="15"/>
  <c r="J759" i="15"/>
  <c r="J1410" i="15"/>
  <c r="J815" i="15"/>
  <c r="J1364" i="15"/>
  <c r="G1367" i="96" s="1"/>
  <c r="H1367" i="96" s="1"/>
  <c r="J226" i="15"/>
  <c r="J20" i="15"/>
  <c r="J709" i="15"/>
  <c r="J1319" i="15"/>
  <c r="G1319" i="96" s="1"/>
  <c r="H1319" i="96" s="1"/>
  <c r="J852" i="15"/>
  <c r="J1288" i="15"/>
  <c r="G1289" i="96" s="1"/>
  <c r="H1289" i="96" s="1"/>
  <c r="J1282" i="15"/>
  <c r="J13" i="15"/>
  <c r="J776" i="15"/>
  <c r="J748" i="15"/>
  <c r="J1269" i="15"/>
  <c r="J29" i="15"/>
  <c r="J857" i="15"/>
  <c r="J423" i="15"/>
  <c r="J784" i="15"/>
  <c r="J691" i="15"/>
  <c r="J675" i="15"/>
  <c r="J1370" i="15"/>
  <c r="J761" i="15"/>
  <c r="J754" i="15"/>
  <c r="J855" i="15"/>
  <c r="J17" i="15"/>
  <c r="J1310" i="15"/>
  <c r="G1310" i="96" s="1"/>
  <c r="H1310" i="96" s="1"/>
  <c r="J818" i="15"/>
  <c r="J16" i="15"/>
  <c r="J849" i="15"/>
  <c r="J12" i="15"/>
  <c r="J1267" i="15"/>
  <c r="J426" i="15"/>
  <c r="J425" i="15"/>
  <c r="J1428" i="15"/>
  <c r="G1431" i="96" s="1"/>
  <c r="H1431" i="96" s="1"/>
  <c r="J1421" i="15"/>
  <c r="G1424" i="96" s="1"/>
  <c r="H1424" i="96" s="1"/>
  <c r="J229" i="15"/>
  <c r="J228" i="15"/>
  <c r="J1378" i="15"/>
  <c r="J1355" i="15"/>
  <c r="G1358" i="96" s="1"/>
  <c r="H1358" i="96" s="1"/>
  <c r="J1352" i="15"/>
  <c r="G1355" i="96" s="1"/>
  <c r="H1355" i="96" s="1"/>
  <c r="J729" i="15"/>
  <c r="J1258" i="15"/>
  <c r="J854" i="15"/>
  <c r="G857" i="96" s="1"/>
  <c r="H857" i="96" s="1"/>
  <c r="J420" i="15"/>
  <c r="J824" i="15"/>
  <c r="J1280" i="15"/>
  <c r="J848" i="15"/>
  <c r="G850" i="96" s="1"/>
  <c r="H850" i="96" s="1"/>
  <c r="J1039" i="15"/>
  <c r="G1039" i="96" s="1"/>
  <c r="H1039" i="96" s="1"/>
  <c r="J746" i="15"/>
  <c r="J1430" i="15"/>
  <c r="J1038" i="15"/>
  <c r="J687" i="15"/>
  <c r="J1314" i="15"/>
  <c r="J5" i="15"/>
  <c r="J765" i="15"/>
  <c r="J840" i="15"/>
  <c r="J837" i="15"/>
  <c r="J1261" i="15"/>
  <c r="J1030" i="15"/>
  <c r="G1030" i="96" s="1"/>
  <c r="H1030" i="96" s="1"/>
  <c r="J220" i="15"/>
  <c r="J672" i="15"/>
  <c r="J64" i="15"/>
  <c r="J206" i="15"/>
  <c r="J462" i="15"/>
  <c r="J1272" i="15"/>
  <c r="G1273" i="96" s="1"/>
  <c r="H1273" i="96" s="1"/>
  <c r="J124" i="15"/>
  <c r="J1205" i="15"/>
  <c r="G1205" i="96" s="1"/>
  <c r="H1205" i="96" s="1"/>
  <c r="J1325" i="15"/>
  <c r="G1325" i="96" s="1"/>
  <c r="H1325" i="96" s="1"/>
  <c r="J1060" i="15"/>
  <c r="G1060" i="96" s="1"/>
  <c r="H1060" i="96" s="1"/>
  <c r="J1294" i="15"/>
  <c r="G1295" i="96" s="1"/>
  <c r="H1295" i="96" s="1"/>
  <c r="J692" i="15"/>
  <c r="J1033" i="15"/>
  <c r="G1033" i="96" s="1"/>
  <c r="H1033" i="96" s="1"/>
  <c r="J2" i="15"/>
  <c r="J221" i="15"/>
  <c r="J212" i="15"/>
  <c r="J209" i="15"/>
  <c r="J1259" i="15"/>
  <c r="G1260" i="96" s="1"/>
  <c r="H1260" i="96" s="1"/>
  <c r="J179" i="15"/>
  <c r="J606" i="15"/>
  <c r="J429" i="15"/>
  <c r="J557" i="15"/>
  <c r="J1218" i="15"/>
  <c r="J902" i="15"/>
  <c r="G564" i="96" s="1"/>
  <c r="H564" i="96" s="1"/>
  <c r="J1266" i="15"/>
  <c r="J842" i="15"/>
  <c r="J819" i="15"/>
  <c r="J664" i="15"/>
  <c r="G666" i="96" s="1"/>
  <c r="H666" i="96" s="1"/>
  <c r="J838" i="15"/>
  <c r="J1263" i="15"/>
  <c r="J1260" i="15"/>
  <c r="G1261" i="96" s="1"/>
  <c r="H1261" i="96" s="1"/>
  <c r="J833" i="15"/>
  <c r="J214" i="15"/>
  <c r="J633" i="15"/>
  <c r="J28" i="15"/>
  <c r="J1075" i="15"/>
  <c r="G1077" i="96" s="1"/>
  <c r="H1077" i="96" s="1"/>
  <c r="B35" i="84"/>
  <c r="G13" i="96" l="1"/>
  <c r="G839" i="96"/>
  <c r="H839" i="96" s="1"/>
  <c r="G1314" i="96"/>
  <c r="H1314" i="96" s="1"/>
  <c r="G876" i="96"/>
  <c r="H876" i="96" s="1"/>
  <c r="G1373" i="96"/>
  <c r="H1373" i="96" s="1"/>
  <c r="G900" i="96"/>
  <c r="H900" i="96" s="1"/>
  <c r="G1413" i="96"/>
  <c r="H1413" i="96" s="1"/>
  <c r="G926" i="96"/>
  <c r="H926" i="96" s="1"/>
  <c r="G1450" i="96"/>
  <c r="H1450" i="96" s="1"/>
  <c r="G827" i="96"/>
  <c r="H827" i="96" s="1"/>
  <c r="G1296" i="96"/>
  <c r="H1296" i="96" s="1"/>
  <c r="G657" i="96"/>
  <c r="H657" i="96" s="1"/>
  <c r="G1048" i="96"/>
  <c r="H1048" i="96" s="1"/>
  <c r="G658" i="96"/>
  <c r="H658" i="96" s="1"/>
  <c r="G1050" i="96"/>
  <c r="H1050" i="96" s="1"/>
  <c r="G906" i="96"/>
  <c r="H906" i="96" s="1"/>
  <c r="G1421" i="96"/>
  <c r="H1421" i="96" s="1"/>
  <c r="G581" i="96"/>
  <c r="H581" i="96" s="1"/>
  <c r="G931" i="96"/>
  <c r="H931" i="96" s="1"/>
  <c r="G880" i="96"/>
  <c r="H880" i="96" s="1"/>
  <c r="G1380" i="96"/>
  <c r="H1380" i="96" s="1"/>
  <c r="G688" i="96"/>
  <c r="H688" i="96" s="1"/>
  <c r="G1103" i="96"/>
  <c r="H1103" i="96" s="1"/>
  <c r="G828" i="96"/>
  <c r="H828" i="96" s="1"/>
  <c r="G1297" i="96"/>
  <c r="H1297" i="96" s="1"/>
  <c r="G615" i="96"/>
  <c r="H615" i="96" s="1"/>
  <c r="G984" i="96"/>
  <c r="H984" i="96" s="1"/>
  <c r="G707" i="96"/>
  <c r="H707" i="96" s="1"/>
  <c r="G1133" i="96"/>
  <c r="H1133" i="96" s="1"/>
  <c r="G713" i="96"/>
  <c r="H713" i="96" s="1"/>
  <c r="G1146" i="96"/>
  <c r="H1146" i="96" s="1"/>
  <c r="G637" i="96"/>
  <c r="H637" i="96" s="1"/>
  <c r="G1021" i="96"/>
  <c r="H1021" i="96" s="1"/>
  <c r="G555" i="96"/>
  <c r="H555" i="96" s="1"/>
  <c r="G920" i="96"/>
  <c r="H920" i="96" s="1"/>
  <c r="G1441" i="96"/>
  <c r="H1441" i="96" s="1"/>
  <c r="G630" i="96"/>
  <c r="H630" i="96" s="1"/>
  <c r="G1011" i="96"/>
  <c r="H1011" i="96" s="1"/>
  <c r="G879" i="96"/>
  <c r="H879" i="96" s="1"/>
  <c r="G1379" i="96"/>
  <c r="H1379" i="96" s="1"/>
  <c r="G740" i="96"/>
  <c r="H740" i="96" s="1"/>
  <c r="G1181" i="96"/>
  <c r="H1181" i="96" s="1"/>
  <c r="G624" i="96"/>
  <c r="H624" i="96" s="1"/>
  <c r="G1005" i="96"/>
  <c r="H1005" i="96" s="1"/>
  <c r="G878" i="96"/>
  <c r="H878" i="96" s="1"/>
  <c r="G1376" i="96"/>
  <c r="H1376" i="96" s="1"/>
  <c r="G631" i="96"/>
  <c r="H631" i="96" s="1"/>
  <c r="G1014" i="96"/>
  <c r="H1014" i="96" s="1"/>
  <c r="G547" i="96"/>
  <c r="H547" i="96" s="1"/>
  <c r="G743" i="96"/>
  <c r="H743" i="96" s="1"/>
  <c r="G1184" i="96"/>
  <c r="H1184" i="96" s="1"/>
  <c r="G762" i="96"/>
  <c r="H762" i="96" s="1"/>
  <c r="G1211" i="96"/>
  <c r="H1211" i="96" s="1"/>
  <c r="G571" i="96"/>
  <c r="H571" i="96" s="1"/>
  <c r="G774" i="96"/>
  <c r="H774" i="96" s="1"/>
  <c r="G1226" i="96"/>
  <c r="H1226" i="96" s="1"/>
  <c r="G234" i="96"/>
  <c r="H234" i="96" s="1"/>
  <c r="G819" i="96"/>
  <c r="H819" i="96" s="1"/>
  <c r="G1286" i="96"/>
  <c r="H1286" i="96" s="1"/>
  <c r="G840" i="96"/>
  <c r="H840" i="96" s="1"/>
  <c r="G1317" i="96"/>
  <c r="H1317" i="96" s="1"/>
  <c r="G822" i="96"/>
  <c r="H822" i="96" s="1"/>
  <c r="G1290" i="96"/>
  <c r="H1290" i="96" s="1"/>
  <c r="G595" i="96"/>
  <c r="H595" i="96" s="1"/>
  <c r="G951" i="96"/>
  <c r="H951" i="96" s="1"/>
  <c r="G889" i="96"/>
  <c r="H889" i="96" s="1"/>
  <c r="G1394" i="96"/>
  <c r="H1394" i="96" s="1"/>
  <c r="G854" i="96"/>
  <c r="H854" i="96" s="1"/>
  <c r="G1334" i="96"/>
  <c r="H1334" i="96" s="1"/>
  <c r="G901" i="96"/>
  <c r="H901" i="96" s="1"/>
  <c r="G1414" i="96"/>
  <c r="H1414" i="96" s="1"/>
  <c r="G686" i="96"/>
  <c r="H686" i="96" s="1"/>
  <c r="G1097" i="96"/>
  <c r="H1097" i="96" s="1"/>
  <c r="G643" i="96"/>
  <c r="H643" i="96" s="1"/>
  <c r="G1029" i="96"/>
  <c r="H1029" i="96" s="1"/>
  <c r="G871" i="96"/>
  <c r="H871" i="96" s="1"/>
  <c r="G1366" i="96"/>
  <c r="H1366" i="96" s="1"/>
  <c r="G659" i="96"/>
  <c r="H659" i="96" s="1"/>
  <c r="G1053" i="96"/>
  <c r="H1053" i="96" s="1"/>
  <c r="G723" i="96"/>
  <c r="H723" i="96" s="1"/>
  <c r="G1160" i="96"/>
  <c r="H1160" i="96" s="1"/>
  <c r="G766" i="96"/>
  <c r="H766" i="96" s="1"/>
  <c r="G1217" i="96"/>
  <c r="H1217" i="96" s="1"/>
  <c r="G703" i="96"/>
  <c r="H703" i="96" s="1"/>
  <c r="G1128" i="96"/>
  <c r="H1128" i="96" s="1"/>
  <c r="G865" i="96"/>
  <c r="H865" i="96" s="1"/>
  <c r="G1352" i="96"/>
  <c r="H1352" i="96" s="1"/>
  <c r="G867" i="96"/>
  <c r="H867" i="96" s="1"/>
  <c r="G1354" i="96"/>
  <c r="H1354" i="96" s="1"/>
  <c r="G836" i="96"/>
  <c r="H836" i="96" s="1"/>
  <c r="G1308" i="96"/>
  <c r="H1308" i="96" s="1"/>
  <c r="G782" i="96"/>
  <c r="H782" i="96" s="1"/>
  <c r="G1237" i="96"/>
  <c r="H1237" i="96" s="1"/>
  <c r="G696" i="96"/>
  <c r="H696" i="96" s="1"/>
  <c r="G1117" i="96"/>
  <c r="H1117" i="96" s="1"/>
  <c r="G746" i="96"/>
  <c r="H746" i="96" s="1"/>
  <c r="G1187" i="96"/>
  <c r="H1187" i="96" s="1"/>
  <c r="G765" i="96"/>
  <c r="H765" i="96" s="1"/>
  <c r="G1216" i="96"/>
  <c r="H1216" i="96" s="1"/>
  <c r="G923" i="96"/>
  <c r="H923" i="96" s="1"/>
  <c r="G1447" i="96"/>
  <c r="H1447" i="96" s="1"/>
  <c r="G846" i="96"/>
  <c r="H846" i="96" s="1"/>
  <c r="G1324" i="96"/>
  <c r="H1324" i="96" s="1"/>
  <c r="G712" i="96"/>
  <c r="H712" i="96" s="1"/>
  <c r="G1145" i="96"/>
  <c r="H1145" i="96" s="1"/>
  <c r="G634" i="96"/>
  <c r="H634" i="96" s="1"/>
  <c r="G1018" i="96"/>
  <c r="H1018" i="96" s="1"/>
  <c r="G757" i="96"/>
  <c r="H757" i="96" s="1"/>
  <c r="G1201" i="96"/>
  <c r="H1201" i="96" s="1"/>
  <c r="G823" i="96"/>
  <c r="H823" i="96" s="1"/>
  <c r="G1291" i="96"/>
  <c r="H1291" i="96" s="1"/>
  <c r="G801" i="96"/>
  <c r="H801" i="96" s="1"/>
  <c r="G1264" i="96"/>
  <c r="H1264" i="96" s="1"/>
  <c r="G803" i="96"/>
  <c r="H803" i="96" s="1"/>
  <c r="G1267" i="96"/>
  <c r="H1267" i="96" s="1"/>
  <c r="G820" i="96"/>
  <c r="H820" i="96" s="1"/>
  <c r="G1287" i="96"/>
  <c r="H1287" i="96" s="1"/>
  <c r="G693" i="96"/>
  <c r="H693" i="96" s="1"/>
  <c r="G1111" i="96"/>
  <c r="H1111" i="96" s="1"/>
  <c r="G810" i="96"/>
  <c r="H810" i="96" s="1"/>
  <c r="G1276" i="96"/>
  <c r="H1276" i="96" s="1"/>
  <c r="G927" i="96"/>
  <c r="H927" i="96" s="1"/>
  <c r="G1452" i="96"/>
  <c r="H1452" i="96" s="1"/>
  <c r="G860" i="96"/>
  <c r="H860" i="96" s="1"/>
  <c r="G1344" i="96"/>
  <c r="H1344" i="96" s="1"/>
  <c r="G685" i="96"/>
  <c r="H685" i="96" s="1"/>
  <c r="G1096" i="96"/>
  <c r="H1096" i="96" s="1"/>
  <c r="G605" i="96"/>
  <c r="H605" i="96" s="1"/>
  <c r="G969" i="96"/>
  <c r="H969" i="96" s="1"/>
  <c r="G706" i="96"/>
  <c r="H706" i="96" s="1"/>
  <c r="G1131" i="96"/>
  <c r="H1131" i="96" s="1"/>
  <c r="G831" i="96"/>
  <c r="H831" i="96" s="1"/>
  <c r="G1302" i="96"/>
  <c r="H1302" i="96" s="1"/>
  <c r="G556" i="96"/>
  <c r="H556" i="96" s="1"/>
  <c r="G809" i="96"/>
  <c r="H809" i="96" s="1"/>
  <c r="G1275" i="96"/>
  <c r="H1275" i="96" s="1"/>
  <c r="G673" i="96"/>
  <c r="H673" i="96" s="1"/>
  <c r="G1081" i="96"/>
  <c r="H1081" i="96" s="1"/>
  <c r="G690" i="96"/>
  <c r="H690" i="96" s="1"/>
  <c r="G1105" i="96"/>
  <c r="H1105" i="96" s="1"/>
  <c r="G244" i="96"/>
  <c r="H244" i="96" s="1"/>
  <c r="G653" i="96"/>
  <c r="H653" i="96" s="1"/>
  <c r="G1043" i="96"/>
  <c r="H1043" i="96" s="1"/>
  <c r="G780" i="96"/>
  <c r="H780" i="96" s="1"/>
  <c r="G1233" i="96"/>
  <c r="H1233" i="96" s="1"/>
  <c r="G812" i="96"/>
  <c r="H812" i="96" s="1"/>
  <c r="G1278" i="96"/>
  <c r="H1278" i="96" s="1"/>
  <c r="G896" i="96"/>
  <c r="H896" i="96" s="1"/>
  <c r="G1407" i="96"/>
  <c r="H1407" i="96" s="1"/>
  <c r="G617" i="96"/>
  <c r="H617" i="96" s="1"/>
  <c r="G988" i="96"/>
  <c r="H988" i="96" s="1"/>
  <c r="G558" i="96"/>
  <c r="H558" i="96" s="1"/>
  <c r="G882" i="96"/>
  <c r="H882" i="96" s="1"/>
  <c r="G1382" i="96"/>
  <c r="H1382" i="96" s="1"/>
  <c r="G894" i="96"/>
  <c r="H894" i="96" s="1"/>
  <c r="G1405" i="96"/>
  <c r="H1405" i="96" s="1"/>
  <c r="G888" i="96"/>
  <c r="H888" i="96" s="1"/>
  <c r="G1393" i="96"/>
  <c r="H1393" i="96" s="1"/>
  <c r="G789" i="96"/>
  <c r="H789" i="96" s="1"/>
  <c r="G1246" i="96"/>
  <c r="H1246" i="96" s="1"/>
  <c r="G646" i="96"/>
  <c r="H646" i="96" s="1"/>
  <c r="G1031" i="96"/>
  <c r="H1031" i="96" s="1"/>
  <c r="G736" i="96"/>
  <c r="H736" i="96" s="1"/>
  <c r="G1177" i="96"/>
  <c r="H1177" i="96" s="1"/>
  <c r="G708" i="96"/>
  <c r="H708" i="96" s="1"/>
  <c r="G1137" i="96"/>
  <c r="H1137" i="96" s="1"/>
  <c r="G648" i="96"/>
  <c r="H648" i="96" s="1"/>
  <c r="G1037" i="96"/>
  <c r="H1037" i="96" s="1"/>
  <c r="G733" i="96"/>
  <c r="H733" i="96" s="1"/>
  <c r="G1174" i="96"/>
  <c r="H1174" i="96" s="1"/>
  <c r="G737" i="96"/>
  <c r="H737" i="96" s="1"/>
  <c r="G1180" i="96"/>
  <c r="H1180" i="96" s="1"/>
  <c r="G654" i="96"/>
  <c r="H654" i="96" s="1"/>
  <c r="G1044" i="96"/>
  <c r="H1044" i="96" s="1"/>
  <c r="G790" i="96"/>
  <c r="H790" i="96" s="1"/>
  <c r="G1249" i="96"/>
  <c r="H1249" i="96" s="1"/>
  <c r="G681" i="96"/>
  <c r="H681" i="96" s="1"/>
  <c r="G1092" i="96"/>
  <c r="H1092" i="96" s="1"/>
  <c r="G687" i="96"/>
  <c r="H687" i="96" s="1"/>
  <c r="G1098" i="96"/>
  <c r="H1098" i="96" s="1"/>
  <c r="G124" i="96"/>
  <c r="G749" i="96"/>
  <c r="H749" i="96" s="1"/>
  <c r="G1190" i="96"/>
  <c r="H1190" i="96" s="1"/>
  <c r="G751" i="96"/>
  <c r="H751" i="96" s="1"/>
  <c r="G1192" i="96"/>
  <c r="H1192" i="96" s="1"/>
  <c r="G756" i="96"/>
  <c r="H756" i="96" s="1"/>
  <c r="G1200" i="96"/>
  <c r="H1200" i="96" s="1"/>
  <c r="G811" i="96"/>
  <c r="H811" i="96" s="1"/>
  <c r="G1277" i="96"/>
  <c r="H1277" i="96" s="1"/>
  <c r="G907" i="96"/>
  <c r="H907" i="96" s="1"/>
  <c r="G1422" i="96"/>
  <c r="H1422" i="96" s="1"/>
  <c r="G553" i="96"/>
  <c r="H553" i="96" s="1"/>
  <c r="G805" i="96"/>
  <c r="H805" i="96" s="1"/>
  <c r="G1269" i="96"/>
  <c r="H1269" i="96" s="1"/>
  <c r="G835" i="96"/>
  <c r="H835" i="96" s="1"/>
  <c r="G1306" i="96"/>
  <c r="H1306" i="96" s="1"/>
  <c r="G785" i="96"/>
  <c r="H785" i="96" s="1"/>
  <c r="G1242" i="96"/>
  <c r="H1242" i="96" s="1"/>
  <c r="G891" i="96"/>
  <c r="H891" i="96" s="1"/>
  <c r="G1398" i="96"/>
  <c r="H1398" i="96" s="1"/>
  <c r="G895" i="96"/>
  <c r="H895" i="96" s="1"/>
  <c r="G1406" i="96"/>
  <c r="H1406" i="96" s="1"/>
  <c r="G764" i="96"/>
  <c r="H764" i="96" s="1"/>
  <c r="G1213" i="96"/>
  <c r="H1213" i="96" s="1"/>
  <c r="G890" i="96"/>
  <c r="H890" i="96" s="1"/>
  <c r="G1396" i="96"/>
  <c r="H1396" i="96" s="1"/>
  <c r="G770" i="96"/>
  <c r="H770" i="96" s="1"/>
  <c r="G1222" i="96"/>
  <c r="H1222" i="96" s="1"/>
  <c r="G647" i="96"/>
  <c r="H647" i="96" s="1"/>
  <c r="G1032" i="96"/>
  <c r="H1032" i="96" s="1"/>
  <c r="G641" i="96"/>
  <c r="H641" i="96" s="1"/>
  <c r="G1027" i="96"/>
  <c r="H1027" i="96" s="1"/>
  <c r="G587" i="96"/>
  <c r="H587" i="96" s="1"/>
  <c r="G940" i="96"/>
  <c r="H940" i="96" s="1"/>
  <c r="G649" i="96"/>
  <c r="H649" i="96" s="1"/>
  <c r="G1038" i="96"/>
  <c r="H1038" i="96" s="1"/>
  <c r="G804" i="96"/>
  <c r="H804" i="96" s="1"/>
  <c r="G1268" i="96"/>
  <c r="H1268" i="96" s="1"/>
  <c r="G845" i="96"/>
  <c r="H845" i="96" s="1"/>
  <c r="G1323" i="96"/>
  <c r="H1323" i="96" s="1"/>
  <c r="G606" i="96"/>
  <c r="H606" i="96" s="1"/>
  <c r="G970" i="96"/>
  <c r="H970" i="96" s="1"/>
  <c r="G618" i="96"/>
  <c r="H618" i="96" s="1"/>
  <c r="G989" i="96"/>
  <c r="H989" i="96" s="1"/>
  <c r="G612" i="96"/>
  <c r="H612" i="96" s="1"/>
  <c r="G980" i="96"/>
  <c r="H980" i="96" s="1"/>
  <c r="G625" i="96"/>
  <c r="H625" i="96" s="1"/>
  <c r="G1006" i="96"/>
  <c r="H1006" i="96" s="1"/>
  <c r="G742" i="96"/>
  <c r="H742" i="96" s="1"/>
  <c r="G1183" i="96"/>
  <c r="H1183" i="96" s="1"/>
  <c r="G775" i="96"/>
  <c r="H775" i="96" s="1"/>
  <c r="G1227" i="96"/>
  <c r="H1227" i="96" s="1"/>
  <c r="G731" i="96"/>
  <c r="H731" i="96" s="1"/>
  <c r="G1170" i="96"/>
  <c r="H1170" i="96" s="1"/>
  <c r="G760" i="96"/>
  <c r="H760" i="96" s="1"/>
  <c r="G1208" i="96"/>
  <c r="H1208" i="96" s="1"/>
  <c r="G759" i="96"/>
  <c r="H759" i="96" s="1"/>
  <c r="G1206" i="96"/>
  <c r="H1206" i="96" s="1"/>
  <c r="G674" i="96"/>
  <c r="H674" i="96" s="1"/>
  <c r="G1083" i="96"/>
  <c r="H1083" i="96" s="1"/>
  <c r="G869" i="96"/>
  <c r="H869" i="96" s="1"/>
  <c r="G1359" i="96"/>
  <c r="H1359" i="96" s="1"/>
  <c r="G660" i="96"/>
  <c r="H660" i="96" s="1"/>
  <c r="G1054" i="96"/>
  <c r="H1054" i="96" s="1"/>
  <c r="G924" i="96"/>
  <c r="H924" i="96" s="1"/>
  <c r="G1448" i="96"/>
  <c r="H1448" i="96" s="1"/>
  <c r="G622" i="96"/>
  <c r="H622" i="96" s="1"/>
  <c r="G1001" i="96"/>
  <c r="H1001" i="96" s="1"/>
  <c r="G911" i="96"/>
  <c r="H911" i="96" s="1"/>
  <c r="G1429" i="96"/>
  <c r="H1429" i="96" s="1"/>
  <c r="G886" i="96"/>
  <c r="H886" i="96" s="1"/>
  <c r="G1389" i="96"/>
  <c r="H1389" i="96" s="1"/>
  <c r="G635" i="96"/>
  <c r="H635" i="96" s="1"/>
  <c r="G1019" i="96"/>
  <c r="H1019" i="96" s="1"/>
  <c r="G853" i="96"/>
  <c r="H853" i="96" s="1"/>
  <c r="G1333" i="96"/>
  <c r="H1333" i="96" s="1"/>
  <c r="G730" i="96"/>
  <c r="H730" i="96" s="1"/>
  <c r="G1169" i="96"/>
  <c r="H1169" i="96" s="1"/>
  <c r="G796" i="96"/>
  <c r="H796" i="96" s="1"/>
  <c r="G1256" i="96"/>
  <c r="H1256" i="96" s="1"/>
  <c r="G873" i="96"/>
  <c r="H873" i="96" s="1"/>
  <c r="G1368" i="96"/>
  <c r="H1368" i="96" s="1"/>
  <c r="G560" i="96"/>
  <c r="H560" i="96" s="1"/>
  <c r="G669" i="96"/>
  <c r="H669" i="96" s="1"/>
  <c r="G1075" i="96"/>
  <c r="H1075" i="96" s="1"/>
  <c r="G842" i="96"/>
  <c r="H842" i="96" s="1"/>
  <c r="G1318" i="96"/>
  <c r="H1318" i="96" s="1"/>
  <c r="G883" i="96"/>
  <c r="H883" i="96" s="1"/>
  <c r="G1383" i="96"/>
  <c r="H1383" i="96" s="1"/>
  <c r="G800" i="96"/>
  <c r="H800" i="96" s="1"/>
  <c r="G1263" i="96"/>
  <c r="H1263" i="96" s="1"/>
  <c r="G794" i="96"/>
  <c r="H794" i="96" s="1"/>
  <c r="G1253" i="96"/>
  <c r="H1253" i="96" s="1"/>
  <c r="G616" i="96"/>
  <c r="H616" i="96" s="1"/>
  <c r="G986" i="96"/>
  <c r="H986" i="96" s="1"/>
  <c r="G638" i="96"/>
  <c r="H638" i="96" s="1"/>
  <c r="G1024" i="96"/>
  <c r="H1024" i="96" s="1"/>
  <c r="G837" i="96"/>
  <c r="H837" i="96" s="1"/>
  <c r="G1309" i="96"/>
  <c r="H1309" i="96" s="1"/>
  <c r="G783" i="96"/>
  <c r="H783" i="96" s="1"/>
  <c r="G1239" i="96"/>
  <c r="H1239" i="96" s="1"/>
  <c r="G593" i="96"/>
  <c r="H593" i="96" s="1"/>
  <c r="G948" i="96"/>
  <c r="H948" i="96" s="1"/>
  <c r="G833" i="96"/>
  <c r="H833" i="96" s="1"/>
  <c r="G1304" i="96"/>
  <c r="H1304" i="96" s="1"/>
  <c r="G626" i="96"/>
  <c r="H626" i="96" s="1"/>
  <c r="G1007" i="96"/>
  <c r="H1007" i="96" s="1"/>
  <c r="G640" i="96"/>
  <c r="H640" i="96" s="1"/>
  <c r="G1026" i="96"/>
  <c r="H1026" i="96" s="1"/>
  <c r="G722" i="96"/>
  <c r="H722" i="96" s="1"/>
  <c r="G1159" i="96"/>
  <c r="H1159" i="96" s="1"/>
  <c r="G755" i="96"/>
  <c r="H755" i="96" s="1"/>
  <c r="G1199" i="96"/>
  <c r="H1199" i="96" s="1"/>
  <c r="G925" i="96"/>
  <c r="H925" i="96" s="1"/>
  <c r="G1449" i="96"/>
  <c r="H1449" i="96" s="1"/>
  <c r="G636" i="96"/>
  <c r="H636" i="96" s="1"/>
  <c r="G1020" i="96"/>
  <c r="H1020" i="96" s="1"/>
  <c r="G771" i="96"/>
  <c r="H771" i="96" s="1"/>
  <c r="G1223" i="96"/>
  <c r="H1223" i="96" s="1"/>
  <c r="G864" i="96"/>
  <c r="H864" i="96" s="1"/>
  <c r="G1351" i="96"/>
  <c r="H1351" i="96" s="1"/>
  <c r="G897" i="96"/>
  <c r="H897" i="96" s="1"/>
  <c r="G1409" i="96"/>
  <c r="H1409" i="96" s="1"/>
  <c r="G548" i="96"/>
  <c r="H548" i="96" s="1"/>
  <c r="G884" i="96"/>
  <c r="H884" i="96" s="1"/>
  <c r="G922" i="96"/>
  <c r="H922" i="96" s="1"/>
  <c r="G1446" i="96"/>
  <c r="H1446" i="96" s="1"/>
  <c r="G596" i="96"/>
  <c r="H596" i="96" s="1"/>
  <c r="G952" i="96"/>
  <c r="H952" i="96" s="1"/>
  <c r="G598" i="96"/>
  <c r="H598" i="96" s="1"/>
  <c r="G956" i="96"/>
  <c r="H956" i="96" s="1"/>
  <c r="G767" i="96"/>
  <c r="H767" i="96" s="1"/>
  <c r="G1218" i="96"/>
  <c r="H1218" i="96" s="1"/>
  <c r="G799" i="96"/>
  <c r="H799" i="96" s="1"/>
  <c r="G1262" i="96"/>
  <c r="H1262" i="96" s="1"/>
  <c r="G914" i="96"/>
  <c r="H914" i="96" s="1"/>
  <c r="G1433" i="96"/>
  <c r="H1433" i="96" s="1"/>
  <c r="G815" i="96"/>
  <c r="H815" i="96" s="1"/>
  <c r="G1281" i="96"/>
  <c r="H1281" i="96" s="1"/>
  <c r="G797" i="96"/>
  <c r="H797" i="96" s="1"/>
  <c r="G1259" i="96"/>
  <c r="H1259" i="96" s="1"/>
  <c r="G881" i="96"/>
  <c r="H881" i="96" s="1"/>
  <c r="G1381" i="96"/>
  <c r="H1381" i="96" s="1"/>
  <c r="G806" i="96"/>
  <c r="H806" i="96" s="1"/>
  <c r="G1270" i="96"/>
  <c r="H1270" i="96" s="1"/>
  <c r="G817" i="96"/>
  <c r="H817" i="96" s="1"/>
  <c r="G1283" i="96"/>
  <c r="H1283" i="96" s="1"/>
  <c r="G915" i="96"/>
  <c r="H915" i="96" s="1"/>
  <c r="G1436" i="96"/>
  <c r="H1436" i="96" s="1"/>
  <c r="G844" i="96"/>
  <c r="H844" i="96" s="1"/>
  <c r="G1322" i="96"/>
  <c r="H1322" i="96" s="1"/>
  <c r="G870" i="96"/>
  <c r="H870" i="96" s="1"/>
  <c r="G1365" i="96"/>
  <c r="H1365" i="96" s="1"/>
  <c r="G665" i="96"/>
  <c r="H665" i="96" s="1"/>
  <c r="G1067" i="96"/>
  <c r="H1067" i="96" s="1"/>
  <c r="G834" i="96"/>
  <c r="H834" i="96" s="1"/>
  <c r="G1305" i="96"/>
  <c r="H1305" i="96" s="1"/>
  <c r="G694" i="96"/>
  <c r="H694" i="96" s="1"/>
  <c r="G1115" i="96"/>
  <c r="H1115" i="96" s="1"/>
  <c r="G672" i="96"/>
  <c r="H672" i="96" s="1"/>
  <c r="G1078" i="96"/>
  <c r="H1078" i="96" s="1"/>
  <c r="G670" i="96"/>
  <c r="H670" i="96" s="1"/>
  <c r="G1076" i="96"/>
  <c r="H1076" i="96" s="1"/>
  <c r="G918" i="96"/>
  <c r="H918" i="96" s="1"/>
  <c r="G1439" i="96"/>
  <c r="H1439" i="96" s="1"/>
  <c r="G597" i="96"/>
  <c r="H597" i="96" s="1"/>
  <c r="G955" i="96"/>
  <c r="H955" i="96" s="1"/>
  <c r="G697" i="96"/>
  <c r="H697" i="96" s="1"/>
  <c r="G1120" i="96"/>
  <c r="H1120" i="96" s="1"/>
  <c r="G603" i="96"/>
  <c r="H603" i="96" s="1"/>
  <c r="G967" i="96"/>
  <c r="H967" i="96" s="1"/>
  <c r="G602" i="96"/>
  <c r="H602" i="96" s="1"/>
  <c r="G965" i="96"/>
  <c r="H965" i="96" s="1"/>
  <c r="G701" i="96"/>
  <c r="H701" i="96" s="1"/>
  <c r="G1125" i="96"/>
  <c r="H1125" i="96" s="1"/>
  <c r="G613" i="96"/>
  <c r="H613" i="96" s="1"/>
  <c r="G981" i="96"/>
  <c r="H981" i="96" s="1"/>
  <c r="G716" i="96"/>
  <c r="H716" i="96" s="1"/>
  <c r="G1149" i="96"/>
  <c r="H1149" i="96" s="1"/>
  <c r="G563" i="96"/>
  <c r="H563" i="96" s="1"/>
  <c r="G744" i="96"/>
  <c r="H744" i="96" s="1"/>
  <c r="G1185" i="96"/>
  <c r="H1185" i="96" s="1"/>
  <c r="G752" i="96"/>
  <c r="H752" i="96" s="1"/>
  <c r="G1193" i="96"/>
  <c r="H1193" i="96" s="1"/>
  <c r="G754" i="96"/>
  <c r="H754" i="96" s="1"/>
  <c r="G1195" i="96"/>
  <c r="H1195" i="96" s="1"/>
  <c r="G763" i="96"/>
  <c r="H763" i="96" s="1"/>
  <c r="G1212" i="96"/>
  <c r="H1212" i="96" s="1"/>
  <c r="G769" i="96"/>
  <c r="H769" i="96" s="1"/>
  <c r="G1221" i="96"/>
  <c r="H1221" i="96" s="1"/>
  <c r="G642" i="96"/>
  <c r="H642" i="96" s="1"/>
  <c r="G1028" i="96"/>
  <c r="H1028" i="96" s="1"/>
  <c r="G917" i="96"/>
  <c r="H917" i="96" s="1"/>
  <c r="G1438" i="96"/>
  <c r="H1438" i="96" s="1"/>
  <c r="G802" i="96"/>
  <c r="H802" i="96" s="1"/>
  <c r="G1265" i="96"/>
  <c r="H1265" i="96" s="1"/>
  <c r="G695" i="96"/>
  <c r="H695" i="96" s="1"/>
  <c r="G1116" i="96"/>
  <c r="H1116" i="96" s="1"/>
  <c r="G549" i="96"/>
  <c r="H549" i="96" s="1"/>
  <c r="G885" i="96"/>
  <c r="H885" i="96" s="1"/>
  <c r="G825" i="96"/>
  <c r="H825" i="96" s="1"/>
  <c r="G1294" i="96"/>
  <c r="H1294" i="96" s="1"/>
  <c r="G858" i="96"/>
  <c r="H858" i="96" s="1"/>
  <c r="G1339" i="96"/>
  <c r="H1339" i="96" s="1"/>
  <c r="G683" i="96"/>
  <c r="H683" i="96" s="1"/>
  <c r="G1094" i="96"/>
  <c r="H1094" i="96" s="1"/>
  <c r="G664" i="96"/>
  <c r="H664" i="96" s="1"/>
  <c r="G1064" i="96"/>
  <c r="H1064" i="96" s="1"/>
  <c r="G676" i="96"/>
  <c r="H676" i="96" s="1"/>
  <c r="G1086" i="96"/>
  <c r="H1086" i="96" s="1"/>
  <c r="G848" i="96"/>
  <c r="H848" i="96" s="1"/>
  <c r="G1327" i="96"/>
  <c r="H1327" i="96" s="1"/>
  <c r="G874" i="96"/>
  <c r="H874" i="96" s="1"/>
  <c r="G1370" i="96"/>
  <c r="H1370" i="96" s="1"/>
  <c r="G586" i="96"/>
  <c r="H586" i="96" s="1"/>
  <c r="G938" i="96"/>
  <c r="H938" i="96" s="1"/>
  <c r="G776" i="96"/>
  <c r="H776" i="96" s="1"/>
  <c r="G1228" i="96"/>
  <c r="H1228" i="96" s="1"/>
  <c r="G745" i="96"/>
  <c r="H745" i="96" s="1"/>
  <c r="G1186" i="96"/>
  <c r="H1186" i="96" s="1"/>
  <c r="G893" i="96"/>
  <c r="H893" i="96" s="1"/>
  <c r="G1402" i="96"/>
  <c r="H1402" i="96" s="1"/>
  <c r="G899" i="96"/>
  <c r="H899" i="96" s="1"/>
  <c r="G1412" i="96"/>
  <c r="H1412" i="96" s="1"/>
  <c r="G838" i="96"/>
  <c r="H838" i="96" s="1"/>
  <c r="G1313" i="96"/>
  <c r="H1313" i="96" s="1"/>
  <c r="G651" i="96"/>
  <c r="H651" i="96" s="1"/>
  <c r="G1042" i="96"/>
  <c r="H1042" i="96" s="1"/>
  <c r="G680" i="96"/>
  <c r="H680" i="96" s="1"/>
  <c r="G1090" i="96"/>
  <c r="H1090" i="96" s="1"/>
  <c r="G875" i="96"/>
  <c r="H875" i="96" s="1"/>
  <c r="G1371" i="96"/>
  <c r="H1371" i="96" s="1"/>
  <c r="G779" i="96"/>
  <c r="H779" i="96" s="1"/>
  <c r="G1232" i="96"/>
  <c r="H1232" i="96" s="1"/>
  <c r="G691" i="96"/>
  <c r="H691" i="96" s="1"/>
  <c r="G1106" i="96"/>
  <c r="H1106" i="96" s="1"/>
  <c r="G904" i="96"/>
  <c r="H904" i="96" s="1"/>
  <c r="G1418" i="96"/>
  <c r="H1418" i="96" s="1"/>
  <c r="G856" i="96"/>
  <c r="H856" i="96" s="1"/>
  <c r="G1336" i="96"/>
  <c r="H1336" i="96" s="1"/>
  <c r="G725" i="96"/>
  <c r="H725" i="96" s="1"/>
  <c r="G1165" i="96"/>
  <c r="H1165" i="96" s="1"/>
  <c r="G734" i="96"/>
  <c r="H734" i="96" s="1"/>
  <c r="G1175" i="96"/>
  <c r="H1175" i="96" s="1"/>
  <c r="G761" i="96"/>
  <c r="H761" i="96" s="1"/>
  <c r="G1210" i="96"/>
  <c r="H1210" i="96" s="1"/>
  <c r="G699" i="96"/>
  <c r="H699" i="96" s="1"/>
  <c r="G1122" i="96"/>
  <c r="H1122" i="96" s="1"/>
  <c r="G753" i="96"/>
  <c r="H753" i="96" s="1"/>
  <c r="G1194" i="96"/>
  <c r="H1194" i="96" s="1"/>
  <c r="G629" i="96"/>
  <c r="H629" i="96" s="1"/>
  <c r="G1010" i="96"/>
  <c r="H1010" i="96" s="1"/>
  <c r="G781" i="96"/>
  <c r="H781" i="96" s="1"/>
  <c r="G1234" i="96"/>
  <c r="H1234" i="96" s="1"/>
  <c r="G793" i="96"/>
  <c r="H793" i="96" s="1"/>
  <c r="G1252" i="96"/>
  <c r="H1252" i="96" s="1"/>
  <c r="G791" i="96"/>
  <c r="H791" i="96" s="1"/>
  <c r="G1250" i="96"/>
  <c r="H1250" i="96" s="1"/>
  <c r="G623" i="96"/>
  <c r="H623" i="96" s="1"/>
  <c r="G1003" i="96"/>
  <c r="H1003" i="96" s="1"/>
  <c r="G714" i="96"/>
  <c r="H714" i="96" s="1"/>
  <c r="G1147" i="96"/>
  <c r="H1147" i="96" s="1"/>
  <c r="G910" i="96"/>
  <c r="H910" i="96" s="1"/>
  <c r="G1426" i="96"/>
  <c r="H1426" i="96" s="1"/>
  <c r="G242" i="96"/>
  <c r="H242" i="96" s="1"/>
  <c r="G140" i="96"/>
  <c r="G50" i="96"/>
  <c r="G80" i="96"/>
  <c r="G70" i="96"/>
  <c r="G62" i="96"/>
  <c r="G142" i="96"/>
  <c r="G146" i="96"/>
  <c r="G38" i="96"/>
  <c r="G10" i="96"/>
  <c r="G25" i="96"/>
  <c r="G42" i="96"/>
  <c r="G332" i="96"/>
  <c r="H332" i="96" s="1"/>
  <c r="G562" i="96"/>
  <c r="H562" i="96" s="1"/>
  <c r="G545" i="96"/>
  <c r="H545" i="96" s="1"/>
  <c r="G337" i="96"/>
  <c r="H337" i="96" s="1"/>
  <c r="G572" i="96"/>
  <c r="H572" i="96" s="1"/>
  <c r="G412" i="96"/>
  <c r="H412" i="96" s="1"/>
  <c r="G355" i="96"/>
  <c r="H355" i="96" s="1"/>
  <c r="G365" i="96"/>
  <c r="H365" i="96" s="1"/>
  <c r="G610" i="96"/>
  <c r="H610" i="96" s="1"/>
  <c r="G368" i="96"/>
  <c r="H368" i="96" s="1"/>
  <c r="G427" i="96"/>
  <c r="H427" i="96" s="1"/>
  <c r="G721" i="96"/>
  <c r="H721" i="96" s="1"/>
  <c r="G381" i="96"/>
  <c r="H381" i="96" s="1"/>
  <c r="G632" i="96"/>
  <c r="H632" i="96" s="1"/>
  <c r="G510" i="96"/>
  <c r="H510" i="96" s="1"/>
  <c r="G866" i="96"/>
  <c r="H866" i="96" s="1"/>
  <c r="G339" i="96"/>
  <c r="H339" i="96" s="1"/>
  <c r="G573" i="96"/>
  <c r="H573" i="96" s="1"/>
  <c r="G423" i="96"/>
  <c r="H423" i="96" s="1"/>
  <c r="G428" i="96"/>
  <c r="H428" i="96" s="1"/>
  <c r="G211" i="96"/>
  <c r="H211" i="96" s="1"/>
  <c r="G420" i="96"/>
  <c r="H420" i="96" s="1"/>
  <c r="G710" i="96"/>
  <c r="H710" i="96" s="1"/>
  <c r="G446" i="96"/>
  <c r="H446" i="96" s="1"/>
  <c r="G356" i="96"/>
  <c r="H356" i="96" s="1"/>
  <c r="G772" i="96"/>
  <c r="H772" i="96" s="1"/>
  <c r="G484" i="96"/>
  <c r="H484" i="96" s="1"/>
  <c r="G824" i="96"/>
  <c r="H824" i="96" s="1"/>
  <c r="G452" i="96"/>
  <c r="H452" i="96" s="1"/>
  <c r="G768" i="96"/>
  <c r="H768" i="96" s="1"/>
  <c r="G422" i="96"/>
  <c r="H422" i="96" s="1"/>
  <c r="G855" i="96"/>
  <c r="H855" i="96" s="1"/>
  <c r="G534" i="96"/>
  <c r="H534" i="96" s="1"/>
  <c r="G903" i="96"/>
  <c r="H903" i="96" s="1"/>
  <c r="G409" i="96"/>
  <c r="H409" i="96" s="1"/>
  <c r="G684" i="96"/>
  <c r="H684" i="96" s="1"/>
  <c r="G533" i="96"/>
  <c r="H533" i="96" s="1"/>
  <c r="G902" i="96"/>
  <c r="H902" i="96" s="1"/>
  <c r="G668" i="96"/>
  <c r="H668" i="96" s="1"/>
  <c r="G508" i="96"/>
  <c r="H508" i="96" s="1"/>
  <c r="G350" i="96"/>
  <c r="H350" i="96" s="1"/>
  <c r="G588" i="96"/>
  <c r="H588" i="96" s="1"/>
  <c r="G474" i="96"/>
  <c r="H474" i="96" s="1"/>
  <c r="G808" i="96"/>
  <c r="H808" i="96" s="1"/>
  <c r="G348" i="96"/>
  <c r="H348" i="96" s="1"/>
  <c r="G584" i="96"/>
  <c r="H584" i="96" s="1"/>
  <c r="G462" i="96"/>
  <c r="H462" i="96" s="1"/>
  <c r="G786" i="96"/>
  <c r="H786" i="96" s="1"/>
  <c r="G692" i="96"/>
  <c r="H692" i="96" s="1"/>
  <c r="G359" i="96"/>
  <c r="H359" i="96" s="1"/>
  <c r="G600" i="96"/>
  <c r="H600" i="96" s="1"/>
  <c r="G364" i="96"/>
  <c r="H364" i="96" s="1"/>
  <c r="G609" i="96"/>
  <c r="H609" i="96" s="1"/>
  <c r="G366" i="96"/>
  <c r="H366" i="96" s="1"/>
  <c r="G371" i="96"/>
  <c r="H371" i="96" s="1"/>
  <c r="G843" i="96"/>
  <c r="H843" i="96" s="1"/>
  <c r="G517" i="96"/>
  <c r="H517" i="96" s="1"/>
  <c r="G872" i="96"/>
  <c r="H872" i="96" s="1"/>
  <c r="G470" i="96"/>
  <c r="H470" i="96" s="1"/>
  <c r="G798" i="96"/>
  <c r="H798" i="96" s="1"/>
  <c r="G486" i="96"/>
  <c r="H486" i="96" s="1"/>
  <c r="G826" i="96"/>
  <c r="H826" i="96" s="1"/>
  <c r="G539" i="96"/>
  <c r="H539" i="96" s="1"/>
  <c r="G913" i="96"/>
  <c r="H913" i="96" s="1"/>
  <c r="G492" i="96"/>
  <c r="H492" i="96" s="1"/>
  <c r="G393" i="96"/>
  <c r="H393" i="96" s="1"/>
  <c r="G656" i="96"/>
  <c r="H656" i="96" s="1"/>
  <c r="G468" i="96"/>
  <c r="H468" i="96" s="1"/>
  <c r="G795" i="96"/>
  <c r="H795" i="96" s="1"/>
  <c r="G531" i="96"/>
  <c r="H531" i="96" s="1"/>
  <c r="G898" i="96"/>
  <c r="H898" i="96" s="1"/>
  <c r="G345" i="96"/>
  <c r="H345" i="96" s="1"/>
  <c r="G580" i="96"/>
  <c r="H580" i="96" s="1"/>
  <c r="G344" i="96"/>
  <c r="H344" i="96" s="1"/>
  <c r="G576" i="96"/>
  <c r="H576" i="96" s="1"/>
  <c r="G594" i="96"/>
  <c r="H594" i="96" s="1"/>
  <c r="G373" i="96"/>
  <c r="H373" i="96" s="1"/>
  <c r="G425" i="96"/>
  <c r="H425" i="96" s="1"/>
  <c r="G717" i="96"/>
  <c r="H717" i="96" s="1"/>
  <c r="G400" i="96"/>
  <c r="H400" i="96" s="1"/>
  <c r="G667" i="96"/>
  <c r="H667" i="96" s="1"/>
  <c r="G334" i="96"/>
  <c r="H334" i="96" s="1"/>
  <c r="G565" i="96"/>
  <c r="H565" i="96" s="1"/>
  <c r="G475" i="96"/>
  <c r="H475" i="96" s="1"/>
  <c r="G813" i="96"/>
  <c r="H813" i="96" s="1"/>
  <c r="G387" i="96"/>
  <c r="H387" i="96" s="1"/>
  <c r="G639" i="96"/>
  <c r="H639" i="96" s="1"/>
  <c r="G611" i="96"/>
  <c r="H611" i="96" s="1"/>
  <c r="G403" i="96"/>
  <c r="H403" i="96" s="1"/>
  <c r="G675" i="96"/>
  <c r="H675" i="96" s="1"/>
  <c r="G784" i="96"/>
  <c r="H784" i="96" s="1"/>
  <c r="G443" i="96"/>
  <c r="H443" i="96" s="1"/>
  <c r="G439" i="96"/>
  <c r="H439" i="96" s="1"/>
  <c r="G747" i="96"/>
  <c r="H747" i="96" s="1"/>
  <c r="G758" i="96"/>
  <c r="H758" i="96" s="1"/>
  <c r="G816" i="96"/>
  <c r="H816" i="96" s="1"/>
  <c r="G909" i="96"/>
  <c r="H909" i="96" s="1"/>
  <c r="G352" i="96"/>
  <c r="H352" i="96" s="1"/>
  <c r="G590" i="96"/>
  <c r="H590" i="96" s="1"/>
  <c r="G892" i="96"/>
  <c r="H892" i="96" s="1"/>
  <c r="G453" i="96"/>
  <c r="H453" i="96" s="1"/>
  <c r="G773" i="96"/>
  <c r="H773" i="96" s="1"/>
  <c r="G709" i="96"/>
  <c r="H709" i="96" s="1"/>
  <c r="G346" i="96"/>
  <c r="H346" i="96" s="1"/>
  <c r="G583" i="96"/>
  <c r="H583" i="96" s="1"/>
  <c r="G729" i="96"/>
  <c r="H729" i="96" s="1"/>
  <c r="G905" i="96"/>
  <c r="H905" i="96" s="1"/>
  <c r="G336" i="96"/>
  <c r="H336" i="96" s="1"/>
  <c r="G568" i="96"/>
  <c r="H568" i="96" s="1"/>
  <c r="G614" i="96"/>
  <c r="H614" i="96" s="1"/>
  <c r="G351" i="96"/>
  <c r="H351" i="96" s="1"/>
  <c r="G589" i="96"/>
  <c r="H589" i="96" s="1"/>
  <c r="G582" i="96"/>
  <c r="H582" i="96" s="1"/>
  <c r="G414" i="96"/>
  <c r="H414" i="96" s="1"/>
  <c r="G419" i="96"/>
  <c r="H419" i="96" s="1"/>
  <c r="G180" i="96"/>
  <c r="G506" i="96"/>
  <c r="H506" i="96" s="1"/>
  <c r="G498" i="96"/>
  <c r="H498" i="96" s="1"/>
  <c r="G644" i="96"/>
  <c r="H644" i="96" s="1"/>
  <c r="G469" i="96"/>
  <c r="H469" i="96" s="1"/>
  <c r="G807" i="96"/>
  <c r="H807" i="96" s="1"/>
  <c r="G482" i="96"/>
  <c r="H482" i="96" s="1"/>
  <c r="G821" i="96"/>
  <c r="H821" i="96" s="1"/>
  <c r="G916" i="96"/>
  <c r="H916" i="96" s="1"/>
  <c r="G481" i="96"/>
  <c r="H481" i="96" s="1"/>
  <c r="G330" i="96"/>
  <c r="H330" i="96" s="1"/>
  <c r="G554" i="96"/>
  <c r="H554" i="96" s="1"/>
  <c r="G887" i="96"/>
  <c r="H887" i="96" s="1"/>
  <c r="G501" i="96"/>
  <c r="H501" i="96" s="1"/>
  <c r="G852" i="96"/>
  <c r="H852" i="96" s="1"/>
  <c r="G407" i="96"/>
  <c r="H407" i="96" s="1"/>
  <c r="G679" i="96"/>
  <c r="H679" i="96" s="1"/>
  <c r="G525" i="96"/>
  <c r="H525" i="96" s="1"/>
  <c r="G698" i="96"/>
  <c r="H698" i="96" s="1"/>
  <c r="G591" i="96"/>
  <c r="H591" i="96" s="1"/>
  <c r="G377" i="96"/>
  <c r="H377" i="96" s="1"/>
  <c r="G627" i="96"/>
  <c r="H627" i="96" s="1"/>
  <c r="G436" i="96"/>
  <c r="H436" i="96" s="1"/>
  <c r="G739" i="96"/>
  <c r="H739" i="96" s="1"/>
  <c r="G444" i="96"/>
  <c r="H444" i="96" s="1"/>
  <c r="G464" i="96"/>
  <c r="H464" i="96" s="1"/>
  <c r="G750" i="96"/>
  <c r="H750" i="96" s="1"/>
  <c r="G456" i="96"/>
  <c r="H456" i="96" s="1"/>
  <c r="G777" i="96"/>
  <c r="H777" i="96" s="1"/>
  <c r="G372" i="96"/>
  <c r="H372" i="96" s="1"/>
  <c r="G620" i="96"/>
  <c r="H620" i="96" s="1"/>
  <c r="G408" i="96"/>
  <c r="H408" i="96" s="1"/>
  <c r="G500" i="96"/>
  <c r="H500" i="96" s="1"/>
  <c r="G851" i="96"/>
  <c r="H851" i="96" s="1"/>
  <c r="G499" i="96"/>
  <c r="H499" i="96" s="1"/>
  <c r="G849" i="96"/>
  <c r="H849" i="96" s="1"/>
  <c r="G335" i="96"/>
  <c r="H335" i="96" s="1"/>
  <c r="G567" i="96"/>
  <c r="H567" i="96" s="1"/>
  <c r="G341" i="96"/>
  <c r="H341" i="96" s="1"/>
  <c r="G574" i="96"/>
  <c r="H574" i="96" s="1"/>
  <c r="G343" i="96"/>
  <c r="H343" i="96" s="1"/>
  <c r="G748" i="96"/>
  <c r="H748" i="96" s="1"/>
  <c r="G411" i="96"/>
  <c r="H411" i="96" s="1"/>
  <c r="G579" i="96"/>
  <c r="H579" i="96" s="1"/>
  <c r="G507" i="96"/>
  <c r="H507" i="96" s="1"/>
  <c r="G862" i="96"/>
  <c r="H862" i="96" s="1"/>
  <c r="G577" i="96"/>
  <c r="H577" i="96" s="1"/>
  <c r="G410" i="96"/>
  <c r="H410" i="96" s="1"/>
  <c r="G360" i="96"/>
  <c r="H360" i="96" s="1"/>
  <c r="G700" i="96"/>
  <c r="H700" i="96" s="1"/>
  <c r="G719" i="96"/>
  <c r="H719" i="96" s="1"/>
  <c r="G429" i="96"/>
  <c r="H429" i="96" s="1"/>
  <c r="G416" i="96"/>
  <c r="H416" i="96" s="1"/>
  <c r="G418" i="96"/>
  <c r="H418" i="96" s="1"/>
  <c r="G689" i="96"/>
  <c r="H689" i="96" s="1"/>
  <c r="G406" i="96"/>
  <c r="H406" i="96" s="1"/>
  <c r="G678" i="96"/>
  <c r="H678" i="96" s="1"/>
  <c r="G358" i="96"/>
  <c r="H358" i="96" s="1"/>
  <c r="G599" i="96"/>
  <c r="H599" i="96" s="1"/>
  <c r="G908" i="96"/>
  <c r="H908" i="96" s="1"/>
  <c r="G511" i="96"/>
  <c r="H511" i="96" s="1"/>
  <c r="G868" i="96"/>
  <c r="H868" i="96" s="1"/>
  <c r="G466" i="96"/>
  <c r="H466" i="96" s="1"/>
  <c r="G792" i="96"/>
  <c r="H792" i="96" s="1"/>
  <c r="G397" i="96"/>
  <c r="H397" i="96" s="1"/>
  <c r="G661" i="96"/>
  <c r="H661" i="96" s="1"/>
  <c r="G662" i="96"/>
  <c r="H662" i="96" s="1"/>
  <c r="G521" i="96"/>
  <c r="H521" i="96" s="1"/>
  <c r="G877" i="96"/>
  <c r="H877" i="96" s="1"/>
  <c r="G541" i="96"/>
  <c r="H541" i="96" s="1"/>
  <c r="G919" i="96"/>
  <c r="H919" i="96" s="1"/>
  <c r="G457" i="96"/>
  <c r="H457" i="96" s="1"/>
  <c r="G778" i="96"/>
  <c r="H778" i="96" s="1"/>
  <c r="G354" i="96"/>
  <c r="H354" i="96" s="1"/>
  <c r="G592" i="96"/>
  <c r="H592" i="96" s="1"/>
  <c r="G349" i="96"/>
  <c r="H349" i="96" s="1"/>
  <c r="G585" i="96"/>
  <c r="H585" i="96" s="1"/>
  <c r="G921" i="96"/>
  <c r="H921" i="96" s="1"/>
  <c r="G478" i="96"/>
  <c r="H478" i="96" s="1"/>
  <c r="G818" i="96"/>
  <c r="H818" i="96" s="1"/>
  <c r="G503" i="96"/>
  <c r="H503" i="96" s="1"/>
  <c r="G362" i="96"/>
  <c r="H362" i="96" s="1"/>
  <c r="G353" i="96"/>
  <c r="H353" i="96" s="1"/>
  <c r="G363" i="96"/>
  <c r="H363" i="96" s="1"/>
  <c r="G608" i="96"/>
  <c r="H608" i="96" s="1"/>
  <c r="G538" i="96"/>
  <c r="H538" i="96" s="1"/>
  <c r="G912" i="96"/>
  <c r="H912" i="96" s="1"/>
  <c r="G702" i="96"/>
  <c r="H702" i="96" s="1"/>
  <c r="G426" i="96"/>
  <c r="H426" i="96" s="1"/>
  <c r="G720" i="96"/>
  <c r="H720" i="96" s="1"/>
  <c r="G338" i="96"/>
  <c r="H338" i="96" s="1"/>
  <c r="G735" i="96"/>
  <c r="H735" i="96" s="1"/>
  <c r="G741" i="96"/>
  <c r="H741" i="96" s="1"/>
  <c r="G340" i="96"/>
  <c r="H340" i="96" s="1"/>
  <c r="G405" i="96"/>
  <c r="H405" i="96" s="1"/>
  <c r="G677" i="96"/>
  <c r="H677" i="96" s="1"/>
  <c r="G705" i="96"/>
  <c r="H705" i="96" s="1"/>
  <c r="G788" i="96"/>
  <c r="H788" i="96" s="1"/>
  <c r="G399" i="96"/>
  <c r="H399" i="96" s="1"/>
  <c r="G682" i="96"/>
  <c r="H682" i="96" s="1"/>
  <c r="G402" i="96"/>
  <c r="H402" i="96" s="1"/>
  <c r="G487" i="96"/>
  <c r="H487" i="96" s="1"/>
  <c r="G488" i="96"/>
  <c r="H488" i="96" s="1"/>
  <c r="G832" i="96"/>
  <c r="H832" i="96" s="1"/>
  <c r="G604" i="96"/>
  <c r="H604" i="96" s="1"/>
  <c r="G607" i="96"/>
  <c r="H607" i="96" s="1"/>
  <c r="G378" i="96"/>
  <c r="H378" i="96" s="1"/>
  <c r="G628" i="96"/>
  <c r="H628" i="96" s="1"/>
  <c r="G361" i="96"/>
  <c r="H361" i="96" s="1"/>
  <c r="G601" i="96"/>
  <c r="H601" i="96" s="1"/>
  <c r="G490" i="96"/>
  <c r="H490" i="96" s="1"/>
  <c r="G430" i="96"/>
  <c r="H430" i="96" s="1"/>
  <c r="G477" i="96"/>
  <c r="H477" i="96" s="1"/>
  <c r="G535" i="96"/>
  <c r="H535" i="96" s="1"/>
  <c r="G523" i="96"/>
  <c r="H523" i="96" s="1"/>
  <c r="G390" i="96"/>
  <c r="H390" i="96" s="1"/>
  <c r="G445" i="96"/>
  <c r="H445" i="96" s="1"/>
  <c r="G485" i="96"/>
  <c r="H485" i="96" s="1"/>
  <c r="G463" i="96"/>
  <c r="H463" i="96" s="1"/>
  <c r="G518" i="96"/>
  <c r="H518" i="96" s="1"/>
  <c r="G440" i="96"/>
  <c r="H440" i="96" s="1"/>
  <c r="G537" i="96"/>
  <c r="H537" i="96" s="1"/>
  <c r="G472" i="96"/>
  <c r="H472" i="96" s="1"/>
  <c r="G461" i="96"/>
  <c r="H461" i="96" s="1"/>
  <c r="G438" i="96"/>
  <c r="H438" i="96" s="1"/>
  <c r="G450" i="96"/>
  <c r="H450" i="96" s="1"/>
  <c r="G530" i="96"/>
  <c r="H530" i="96" s="1"/>
  <c r="G497" i="96"/>
  <c r="H497" i="96" s="1"/>
  <c r="G473" i="96"/>
  <c r="H473" i="96" s="1"/>
  <c r="G383" i="96"/>
  <c r="H383" i="96" s="1"/>
  <c r="G382" i="96"/>
  <c r="H382" i="96" s="1"/>
  <c r="G385" i="96"/>
  <c r="H385" i="96" s="1"/>
  <c r="G398" i="96"/>
  <c r="H398" i="96" s="1"/>
  <c r="G522" i="96"/>
  <c r="H522" i="96" s="1"/>
  <c r="G448" i="96"/>
  <c r="H448" i="96" s="1"/>
  <c r="G442" i="96"/>
  <c r="H442" i="96" s="1"/>
  <c r="G454" i="96"/>
  <c r="H454" i="96" s="1"/>
  <c r="G480" i="96"/>
  <c r="H480" i="96" s="1"/>
  <c r="G504" i="96"/>
  <c r="H504" i="96" s="1"/>
  <c r="G526" i="96"/>
  <c r="H526" i="96" s="1"/>
  <c r="G532" i="96"/>
  <c r="H532" i="96" s="1"/>
  <c r="G467" i="96"/>
  <c r="H467" i="96" s="1"/>
  <c r="G491" i="96"/>
  <c r="H491" i="96" s="1"/>
  <c r="G30" i="96"/>
  <c r="G460" i="96"/>
  <c r="H460" i="96" s="1"/>
  <c r="G527" i="96"/>
  <c r="H527" i="96" s="1"/>
  <c r="G389" i="96"/>
  <c r="H389" i="96" s="1"/>
  <c r="G505" i="96"/>
  <c r="H505" i="96" s="1"/>
  <c r="G386" i="96"/>
  <c r="H386" i="96" s="1"/>
  <c r="G392" i="96"/>
  <c r="H392" i="96" s="1"/>
  <c r="G542" i="96"/>
  <c r="H542" i="96" s="1"/>
  <c r="G331" i="96"/>
  <c r="H331" i="96" s="1"/>
  <c r="G528" i="96"/>
  <c r="H528" i="96" s="1"/>
  <c r="G391" i="96"/>
  <c r="H391" i="96" s="1"/>
  <c r="G493" i="96"/>
  <c r="H493" i="96" s="1"/>
  <c r="G512" i="96"/>
  <c r="H512" i="96" s="1"/>
  <c r="G519" i="96"/>
  <c r="H519" i="96" s="1"/>
  <c r="G455" i="96"/>
  <c r="H455" i="96" s="1"/>
  <c r="G300" i="96"/>
  <c r="H300" i="96" s="1"/>
  <c r="G494" i="96"/>
  <c r="H494" i="96" s="1"/>
  <c r="G458" i="96"/>
  <c r="H458" i="96" s="1"/>
  <c r="G376" i="96"/>
  <c r="H376" i="96" s="1"/>
  <c r="G388" i="96"/>
  <c r="H388" i="96" s="1"/>
  <c r="G384" i="96"/>
  <c r="H384" i="96" s="1"/>
  <c r="G509" i="96"/>
  <c r="H509" i="96" s="1"/>
  <c r="G471" i="96"/>
  <c r="H471" i="96" s="1"/>
  <c r="G479" i="96"/>
  <c r="H479" i="96" s="1"/>
  <c r="G514" i="96"/>
  <c r="H514" i="96" s="1"/>
  <c r="G544" i="96"/>
  <c r="H544" i="96" s="1"/>
  <c r="G107" i="96"/>
  <c r="G495" i="96"/>
  <c r="H495" i="96" s="1"/>
  <c r="G380" i="96"/>
  <c r="H380" i="96" s="1"/>
  <c r="G431" i="96"/>
  <c r="H431" i="96" s="1"/>
  <c r="G449" i="96"/>
  <c r="H449" i="96" s="1"/>
  <c r="G516" i="96"/>
  <c r="H516" i="96" s="1"/>
  <c r="G451" i="96"/>
  <c r="H451" i="96" s="1"/>
  <c r="G459" i="96"/>
  <c r="H459" i="96" s="1"/>
  <c r="G502" i="96"/>
  <c r="H502" i="96" s="1"/>
  <c r="G447" i="96"/>
  <c r="H447" i="96" s="1"/>
  <c r="G379" i="96"/>
  <c r="H379" i="96" s="1"/>
  <c r="G515" i="96"/>
  <c r="H515" i="96" s="1"/>
  <c r="G465" i="96"/>
  <c r="H465" i="96" s="1"/>
  <c r="G536" i="96"/>
  <c r="H536" i="96" s="1"/>
  <c r="G165" i="96"/>
  <c r="G28" i="96"/>
  <c r="G37" i="96"/>
  <c r="G395" i="96"/>
  <c r="H395" i="96" s="1"/>
  <c r="G496" i="96"/>
  <c r="H496" i="96" s="1"/>
  <c r="G524" i="96"/>
  <c r="H524" i="96" s="1"/>
  <c r="G74" i="96"/>
  <c r="G489" i="96"/>
  <c r="H489" i="96" s="1"/>
  <c r="G401" i="96"/>
  <c r="H401" i="96" s="1"/>
  <c r="G114" i="96"/>
  <c r="G357" i="96"/>
  <c r="H357" i="96" s="1"/>
  <c r="G369" i="96"/>
  <c r="H369" i="96" s="1"/>
  <c r="G173" i="96"/>
  <c r="G147" i="96"/>
  <c r="G375" i="96"/>
  <c r="H375" i="96" s="1"/>
  <c r="G367" i="96"/>
  <c r="H367" i="96" s="1"/>
  <c r="G437" i="96"/>
  <c r="H437" i="96" s="1"/>
  <c r="G206" i="96"/>
  <c r="H206" i="96" s="1"/>
  <c r="G432" i="96"/>
  <c r="H432" i="96" s="1"/>
  <c r="G233" i="96"/>
  <c r="H233" i="96" s="1"/>
  <c r="G245" i="96"/>
  <c r="H245" i="96" s="1"/>
  <c r="G546" i="96"/>
  <c r="H546" i="96" s="1"/>
  <c r="G342" i="96"/>
  <c r="H342" i="96" s="1"/>
  <c r="G18" i="96"/>
  <c r="G226" i="96"/>
  <c r="H226" i="96" s="1"/>
  <c r="G483" i="96"/>
  <c r="H483" i="96" s="1"/>
  <c r="G520" i="96"/>
  <c r="H520" i="96" s="1"/>
  <c r="G394" i="96"/>
  <c r="H394" i="96" s="1"/>
  <c r="G94" i="96"/>
  <c r="G100" i="96"/>
  <c r="G415" i="96"/>
  <c r="H415" i="96" s="1"/>
  <c r="G122" i="96"/>
  <c r="G441" i="96"/>
  <c r="H441" i="96" s="1"/>
  <c r="G540" i="96"/>
  <c r="H540" i="96" s="1"/>
  <c r="G253" i="96"/>
  <c r="H253" i="96" s="1"/>
  <c r="G266" i="96"/>
  <c r="H266" i="96" s="1"/>
  <c r="G67" i="96"/>
  <c r="G46" i="96"/>
  <c r="G417" i="96"/>
  <c r="H417" i="96" s="1"/>
  <c r="G424" i="96"/>
  <c r="H424" i="96" s="1"/>
  <c r="G144" i="96"/>
  <c r="G421" i="96"/>
  <c r="H421" i="96" s="1"/>
  <c r="G193" i="96"/>
  <c r="G374" i="96"/>
  <c r="H374" i="96" s="1"/>
  <c r="G321" i="96"/>
  <c r="H321" i="96" s="1"/>
  <c r="G333" i="96"/>
  <c r="H333" i="96" s="1"/>
  <c r="G5" i="96"/>
  <c r="G513" i="96"/>
  <c r="H513" i="96" s="1"/>
  <c r="G85" i="96"/>
  <c r="G347" i="96"/>
  <c r="H347" i="96" s="1"/>
  <c r="G543" i="96"/>
  <c r="H543" i="96" s="1"/>
  <c r="G112" i="96"/>
  <c r="G84" i="96"/>
  <c r="G413" i="96"/>
  <c r="H413" i="96" s="1"/>
  <c r="G158" i="96"/>
  <c r="G153" i="96"/>
  <c r="G49" i="96"/>
  <c r="G222" i="96"/>
  <c r="H222" i="96" s="1"/>
  <c r="G529" i="96"/>
  <c r="H529" i="96" s="1"/>
  <c r="G370" i="96"/>
  <c r="H370" i="96" s="1"/>
  <c r="G252" i="96"/>
  <c r="H252" i="96" s="1"/>
  <c r="G396" i="96"/>
  <c r="H396" i="96" s="1"/>
  <c r="G260" i="96"/>
  <c r="H260" i="96" s="1"/>
  <c r="G404" i="96"/>
  <c r="H404" i="96" s="1"/>
  <c r="G265" i="96"/>
  <c r="H265" i="96" s="1"/>
  <c r="G435" i="96"/>
  <c r="H435" i="96" s="1"/>
  <c r="G275" i="96"/>
  <c r="H275" i="96" s="1"/>
  <c r="G89" i="96"/>
  <c r="G236" i="96"/>
  <c r="H236" i="96" s="1"/>
  <c r="G284" i="96"/>
  <c r="H284" i="96" s="1"/>
  <c r="G476" i="96"/>
  <c r="H476" i="96" s="1"/>
  <c r="G105" i="96"/>
  <c r="G31" i="96"/>
  <c r="G139" i="96"/>
  <c r="G161" i="96"/>
  <c r="G152" i="96"/>
  <c r="G196" i="96"/>
  <c r="H196" i="96" s="1"/>
  <c r="G230" i="96"/>
  <c r="H230" i="96" s="1"/>
  <c r="G274" i="96"/>
  <c r="H274" i="96" s="1"/>
  <c r="G33" i="96"/>
  <c r="G26" i="96"/>
  <c r="G7" i="96"/>
  <c r="G20" i="96"/>
  <c r="G141" i="96"/>
  <c r="G179" i="96"/>
  <c r="G29" i="96"/>
  <c r="G87" i="96"/>
  <c r="G136" i="96"/>
  <c r="G303" i="96"/>
  <c r="H303" i="96" s="1"/>
  <c r="G36" i="96"/>
  <c r="G55" i="96"/>
  <c r="G131" i="96"/>
  <c r="G256" i="96"/>
  <c r="H256" i="96" s="1"/>
  <c r="G17" i="96"/>
  <c r="G9" i="96"/>
  <c r="G35" i="96"/>
  <c r="G59" i="96"/>
  <c r="G47" i="96"/>
  <c r="G125" i="96"/>
  <c r="G270" i="96"/>
  <c r="H270" i="96" s="1"/>
  <c r="G184" i="96"/>
  <c r="G83" i="96"/>
  <c r="G86" i="96"/>
  <c r="G172" i="96"/>
  <c r="G171" i="96"/>
  <c r="G129" i="96"/>
  <c r="G16" i="96"/>
  <c r="G213" i="96"/>
  <c r="H213" i="96" s="1"/>
  <c r="G281" i="96"/>
  <c r="H281" i="96" s="1"/>
  <c r="G296" i="96"/>
  <c r="H296" i="96" s="1"/>
  <c r="G289" i="96"/>
  <c r="H289" i="96" s="1"/>
  <c r="G309" i="96"/>
  <c r="H309" i="96" s="1"/>
  <c r="G207" i="96"/>
  <c r="H207" i="96" s="1"/>
  <c r="G40" i="96"/>
  <c r="G133" i="96"/>
  <c r="G286" i="96"/>
  <c r="H286" i="96" s="1"/>
  <c r="G24" i="96"/>
  <c r="G135" i="96"/>
  <c r="G23" i="96"/>
  <c r="G188" i="96"/>
  <c r="G262" i="96"/>
  <c r="H262" i="96" s="1"/>
  <c r="G88" i="96"/>
  <c r="G96" i="96"/>
  <c r="G182" i="96"/>
  <c r="G3" i="96"/>
  <c r="G308" i="96"/>
  <c r="H308" i="96" s="1"/>
  <c r="G220" i="96"/>
  <c r="H220" i="96" s="1"/>
  <c r="G82" i="96"/>
  <c r="G39" i="96"/>
  <c r="G170" i="96"/>
  <c r="G12" i="96"/>
  <c r="G116" i="96"/>
  <c r="G8" i="96"/>
  <c r="G178" i="96"/>
  <c r="G32" i="96"/>
  <c r="G126" i="96"/>
  <c r="G208" i="96"/>
  <c r="H208" i="96" s="1"/>
  <c r="G254" i="96"/>
  <c r="H254" i="96" s="1"/>
  <c r="G34" i="96"/>
  <c r="G68" i="96"/>
  <c r="G128" i="96"/>
  <c r="G201" i="96"/>
  <c r="H201" i="96" s="1"/>
  <c r="G273" i="96"/>
  <c r="H273" i="96" s="1"/>
  <c r="G316" i="96"/>
  <c r="H316" i="96" s="1"/>
  <c r="G45" i="96"/>
  <c r="G121" i="96"/>
  <c r="G123" i="96"/>
  <c r="G81" i="96"/>
  <c r="G251" i="96"/>
  <c r="H251" i="96" s="1"/>
  <c r="G259" i="96"/>
  <c r="H259" i="96" s="1"/>
  <c r="G14" i="96"/>
  <c r="G41" i="96"/>
  <c r="G48" i="96"/>
  <c r="G108" i="96"/>
  <c r="G71" i="96"/>
  <c r="G90" i="96"/>
  <c r="G119" i="96"/>
  <c r="G118" i="96"/>
  <c r="G168" i="96"/>
  <c r="G154" i="96"/>
  <c r="G51" i="96"/>
  <c r="G149" i="96"/>
  <c r="G159" i="96"/>
  <c r="G162" i="96"/>
  <c r="G21" i="96"/>
  <c r="G212" i="96"/>
  <c r="H212" i="96" s="1"/>
  <c r="G225" i="96"/>
  <c r="H225" i="96" s="1"/>
  <c r="G268" i="96"/>
  <c r="H268" i="96" s="1"/>
  <c r="G279" i="96"/>
  <c r="H279" i="96" s="1"/>
  <c r="G191" i="96"/>
  <c r="G228" i="96"/>
  <c r="H228" i="96" s="1"/>
  <c r="G72" i="96"/>
  <c r="G65" i="96"/>
  <c r="G169" i="96"/>
  <c r="G313" i="96"/>
  <c r="H313" i="96" s="1"/>
  <c r="G61" i="96"/>
  <c r="G4" i="96"/>
  <c r="G156" i="96"/>
  <c r="G64" i="96"/>
  <c r="G113" i="96"/>
  <c r="G120" i="96"/>
  <c r="G102" i="96"/>
  <c r="G183" i="96"/>
  <c r="G54" i="96"/>
  <c r="G91" i="96"/>
  <c r="G98" i="96"/>
  <c r="G99" i="96"/>
  <c r="G137" i="96"/>
  <c r="G145" i="96"/>
  <c r="G151" i="96"/>
  <c r="G73" i="96"/>
  <c r="G104" i="96"/>
  <c r="G69" i="96"/>
  <c r="G167" i="96"/>
  <c r="G132" i="96"/>
  <c r="G250" i="96"/>
  <c r="H250" i="96" s="1"/>
  <c r="G269" i="96"/>
  <c r="H269" i="96" s="1"/>
  <c r="G278" i="96"/>
  <c r="H278" i="96" s="1"/>
  <c r="G56" i="96"/>
  <c r="G198" i="96"/>
  <c r="H198" i="96" s="1"/>
  <c r="G205" i="96"/>
  <c r="H205" i="96" s="1"/>
  <c r="G232" i="96"/>
  <c r="H232" i="96" s="1"/>
  <c r="G291" i="96"/>
  <c r="H291" i="96" s="1"/>
  <c r="G304" i="96"/>
  <c r="H304" i="96" s="1"/>
  <c r="G310" i="96"/>
  <c r="H310" i="96" s="1"/>
  <c r="G155" i="96"/>
  <c r="G175" i="96"/>
  <c r="G160" i="96"/>
  <c r="G66" i="96"/>
  <c r="G150" i="96"/>
  <c r="G164" i="96"/>
  <c r="G174" i="96"/>
  <c r="G246" i="96"/>
  <c r="H246" i="96" s="1"/>
  <c r="G224" i="96"/>
  <c r="H224" i="96" s="1"/>
  <c r="G277" i="96"/>
  <c r="H277" i="96" s="1"/>
  <c r="G302" i="96"/>
  <c r="H302" i="96" s="1"/>
  <c r="G315" i="96"/>
  <c r="H315" i="96" s="1"/>
  <c r="G263" i="96"/>
  <c r="H263" i="96" s="1"/>
  <c r="G272" i="96"/>
  <c r="H272" i="96" s="1"/>
  <c r="G293" i="96"/>
  <c r="H293" i="96" s="1"/>
  <c r="G298" i="96"/>
  <c r="H298" i="96" s="1"/>
  <c r="G306" i="96"/>
  <c r="H306" i="96" s="1"/>
  <c r="G22" i="96"/>
  <c r="G57" i="96"/>
  <c r="G77" i="96"/>
  <c r="G195" i="96"/>
  <c r="H195" i="96" s="1"/>
  <c r="G199" i="96"/>
  <c r="H199" i="96" s="1"/>
  <c r="G214" i="96"/>
  <c r="H214" i="96" s="1"/>
  <c r="G148" i="96"/>
  <c r="G210" i="96"/>
  <c r="H210" i="96" s="1"/>
  <c r="G219" i="96"/>
  <c r="H219" i="96" s="1"/>
  <c r="G248" i="96"/>
  <c r="H248" i="96" s="1"/>
  <c r="G257" i="96"/>
  <c r="H257" i="96" s="1"/>
  <c r="G271" i="96"/>
  <c r="H271" i="96" s="1"/>
  <c r="G283" i="96"/>
  <c r="H283" i="96" s="1"/>
  <c r="G292" i="96"/>
  <c r="H292" i="96" s="1"/>
  <c r="G305" i="96"/>
  <c r="H305" i="96" s="1"/>
  <c r="G324" i="96"/>
  <c r="H324" i="96" s="1"/>
  <c r="G294" i="96"/>
  <c r="H294" i="96" s="1"/>
  <c r="G319" i="96"/>
  <c r="H319" i="96" s="1"/>
  <c r="G329" i="96"/>
  <c r="H329" i="96" s="1"/>
  <c r="G79" i="96"/>
  <c r="G189" i="96"/>
  <c r="G176" i="96"/>
  <c r="G63" i="96"/>
  <c r="G194" i="96"/>
  <c r="H194" i="96" s="1"/>
  <c r="G249" i="96"/>
  <c r="H249" i="96" s="1"/>
  <c r="G209" i="96"/>
  <c r="H209" i="96" s="1"/>
  <c r="G217" i="96"/>
  <c r="H217" i="96" s="1"/>
  <c r="G237" i="96"/>
  <c r="H237" i="96" s="1"/>
  <c r="G267" i="96"/>
  <c r="H267" i="96" s="1"/>
  <c r="G280" i="96"/>
  <c r="H280" i="96" s="1"/>
  <c r="G285" i="96"/>
  <c r="H285" i="96" s="1"/>
  <c r="G299" i="96"/>
  <c r="H299" i="96" s="1"/>
  <c r="G312" i="96"/>
  <c r="H312" i="96" s="1"/>
  <c r="G317" i="96"/>
  <c r="H317" i="96" s="1"/>
  <c r="G322" i="96"/>
  <c r="H322" i="96" s="1"/>
  <c r="G287" i="96"/>
  <c r="H287" i="96" s="1"/>
  <c r="G58" i="96"/>
  <c r="G92" i="96"/>
  <c r="G130" i="96"/>
  <c r="G197" i="96"/>
  <c r="H197" i="96" s="1"/>
  <c r="G203" i="96"/>
  <c r="H203" i="96" s="1"/>
  <c r="G6" i="96"/>
  <c r="G19" i="96"/>
  <c r="G101" i="96"/>
  <c r="G187" i="96"/>
  <c r="G190" i="96"/>
  <c r="G192" i="96"/>
  <c r="G204" i="96"/>
  <c r="H204" i="96" s="1"/>
  <c r="G229" i="96"/>
  <c r="H229" i="96" s="1"/>
  <c r="G239" i="96"/>
  <c r="H239" i="96" s="1"/>
  <c r="G282" i="96"/>
  <c r="H282" i="96" s="1"/>
  <c r="G328" i="96"/>
  <c r="H328" i="96" s="1"/>
  <c r="G311" i="96"/>
  <c r="H311" i="96" s="1"/>
  <c r="G11" i="96"/>
  <c r="G52" i="96"/>
  <c r="G75" i="96"/>
  <c r="G93" i="96"/>
  <c r="G97" i="96"/>
  <c r="G103" i="96"/>
  <c r="G109" i="96"/>
  <c r="G115" i="96"/>
  <c r="G127" i="96"/>
  <c r="G138" i="96"/>
  <c r="G143" i="96"/>
  <c r="G200" i="96"/>
  <c r="H200" i="96" s="1"/>
  <c r="G215" i="96"/>
  <c r="H215" i="96" s="1"/>
  <c r="G221" i="96"/>
  <c r="H221" i="96" s="1"/>
  <c r="G235" i="96"/>
  <c r="H235" i="96" s="1"/>
  <c r="G255" i="96"/>
  <c r="H255" i="96" s="1"/>
  <c r="G258" i="96"/>
  <c r="H258" i="96" s="1"/>
  <c r="G264" i="96"/>
  <c r="H264" i="96" s="1"/>
  <c r="G288" i="96"/>
  <c r="H288" i="96" s="1"/>
  <c r="G325" i="96"/>
  <c r="H325" i="96" s="1"/>
  <c r="G216" i="96"/>
  <c r="H216" i="96" s="1"/>
  <c r="G240" i="96"/>
  <c r="H240" i="96" s="1"/>
  <c r="G243" i="96"/>
  <c r="H243" i="96" s="1"/>
  <c r="G295" i="96"/>
  <c r="H295" i="96" s="1"/>
  <c r="G320" i="96"/>
  <c r="H320" i="96" s="1"/>
  <c r="G76" i="96"/>
  <c r="G111" i="96"/>
  <c r="G166" i="96"/>
  <c r="G185" i="96"/>
  <c r="G202" i="96"/>
  <c r="H202" i="96" s="1"/>
  <c r="G218" i="96"/>
  <c r="H218" i="96" s="1"/>
  <c r="G223" i="96"/>
  <c r="H223" i="96" s="1"/>
  <c r="G238" i="96"/>
  <c r="H238" i="96" s="1"/>
  <c r="G247" i="96"/>
  <c r="H247" i="96" s="1"/>
  <c r="G261" i="96"/>
  <c r="H261" i="96" s="1"/>
  <c r="G301" i="96"/>
  <c r="H301" i="96" s="1"/>
  <c r="G307" i="96"/>
  <c r="H307" i="96" s="1"/>
  <c r="G318" i="96"/>
  <c r="H318" i="96" s="1"/>
  <c r="G231" i="96"/>
  <c r="H231" i="96" s="1"/>
  <c r="G323" i="96"/>
  <c r="H323" i="96" s="1"/>
  <c r="G327" i="96"/>
  <c r="H327" i="96" s="1"/>
  <c r="G15" i="96"/>
  <c r="G27" i="96"/>
  <c r="G53" i="96"/>
  <c r="G78" i="96"/>
  <c r="G95" i="96"/>
  <c r="G106" i="96"/>
  <c r="G117" i="96"/>
  <c r="G163" i="96"/>
  <c r="G177" i="96"/>
  <c r="G186" i="96"/>
  <c r="G227" i="96"/>
  <c r="H227" i="96" s="1"/>
  <c r="G276" i="96"/>
  <c r="H276" i="96" s="1"/>
  <c r="G290" i="96"/>
  <c r="H290" i="96" s="1"/>
  <c r="G297" i="96"/>
  <c r="H297" i="96" s="1"/>
  <c r="G314" i="96"/>
  <c r="H314" i="96" s="1"/>
  <c r="H191" i="96" l="1"/>
  <c r="H434" i="15"/>
  <c r="H1451" i="15" s="1"/>
  <c r="H1475" i="15" s="1"/>
  <c r="C21" i="85"/>
  <c r="C22" i="85"/>
  <c r="C23" i="85"/>
  <c r="C24" i="85"/>
  <c r="C25" i="85"/>
  <c r="C26" i="85"/>
  <c r="C27" i="85"/>
  <c r="C20" i="85"/>
  <c r="C8" i="85"/>
  <c r="C9" i="85"/>
  <c r="C10" i="85"/>
  <c r="C11" i="85"/>
  <c r="C12" i="85"/>
  <c r="C13" i="85"/>
  <c r="C14" i="85"/>
  <c r="C7" i="85"/>
  <c r="D22" i="97" l="1"/>
  <c r="D21" i="97"/>
  <c r="D20" i="97"/>
  <c r="D19" i="97"/>
  <c r="D18" i="97"/>
  <c r="D17" i="97"/>
  <c r="D16" i="97"/>
  <c r="I434" i="15" l="1"/>
  <c r="I1451" i="15" s="1"/>
  <c r="I1475" i="15" s="1"/>
  <c r="H192" i="96" l="1"/>
  <c r="H190" i="96"/>
  <c r="H193" i="96"/>
  <c r="L12" i="84" l="1"/>
  <c r="M12" i="84"/>
  <c r="H188" i="96" l="1"/>
  <c r="H189" i="96" l="1"/>
  <c r="H180" i="96"/>
  <c r="H187" i="96" l="1"/>
  <c r="H181" i="96" l="1"/>
  <c r="H185" i="96"/>
  <c r="H182" i="96"/>
  <c r="H183" i="96" l="1"/>
  <c r="H184" i="96"/>
  <c r="H186" i="96"/>
  <c r="H173" i="96" l="1"/>
  <c r="H174" i="96"/>
  <c r="H172" i="96"/>
  <c r="H177" i="96" l="1"/>
  <c r="H176" i="96"/>
  <c r="H178" i="96"/>
  <c r="H179" i="96"/>
  <c r="H168" i="96"/>
  <c r="H169" i="96" l="1"/>
  <c r="H170" i="96" l="1"/>
  <c r="H175" i="96"/>
  <c r="H167" i="96"/>
  <c r="H171" i="96"/>
  <c r="H164" i="96"/>
  <c r="H163" i="96"/>
  <c r="H165" i="96" l="1"/>
  <c r="H166" i="96"/>
  <c r="H162" i="96" l="1"/>
  <c r="H161" i="96"/>
  <c r="H159" i="96" l="1"/>
  <c r="H158" i="96"/>
  <c r="H155" i="96" l="1"/>
  <c r="H160" i="96"/>
  <c r="K434" i="15"/>
  <c r="K1451" i="15" s="1"/>
  <c r="H107" i="96" l="1"/>
  <c r="H126" i="96"/>
  <c r="H127" i="96"/>
  <c r="H133" i="96"/>
  <c r="H143" i="96"/>
  <c r="H151" i="96"/>
  <c r="H156" i="96"/>
  <c r="H145" i="96" l="1"/>
  <c r="H152" i="96"/>
  <c r="H153" i="96"/>
  <c r="H115" i="96"/>
  <c r="H119" i="96"/>
  <c r="H154" i="96"/>
  <c r="H129" i="96"/>
  <c r="H148" i="96"/>
  <c r="H141" i="96"/>
  <c r="H138" i="96"/>
  <c r="H135" i="96"/>
  <c r="H116" i="96"/>
  <c r="H113" i="96"/>
  <c r="H109" i="96"/>
  <c r="H108" i="96"/>
  <c r="H137" i="96"/>
  <c r="H140" i="96"/>
  <c r="H132" i="96"/>
  <c r="H130" i="96"/>
  <c r="H125" i="96"/>
  <c r="H149" i="96"/>
  <c r="H146" i="96"/>
  <c r="H147" i="96"/>
  <c r="H139" i="96"/>
  <c r="H136" i="96"/>
  <c r="H150" i="96"/>
  <c r="H128" i="96"/>
  <c r="H124" i="96"/>
  <c r="H122" i="96"/>
  <c r="H117" i="96"/>
  <c r="H114" i="96"/>
  <c r="H111" i="96"/>
  <c r="H120" i="96"/>
  <c r="H112" i="96"/>
  <c r="H144" i="96"/>
  <c r="H142" i="96"/>
  <c r="H134" i="96"/>
  <c r="H123" i="96"/>
  <c r="H121" i="96"/>
  <c r="H118" i="96"/>
  <c r="H131" i="96"/>
  <c r="H110" i="96"/>
  <c r="B16" i="85"/>
  <c r="B29" i="85"/>
  <c r="C29" i="85"/>
  <c r="B32" i="85" l="1"/>
  <c r="C16" i="85"/>
  <c r="C32" i="85" s="1"/>
  <c r="H3" i="96" l="1"/>
  <c r="H85" i="96"/>
  <c r="H69" i="96"/>
  <c r="H12" i="96"/>
  <c r="H4" i="96"/>
  <c r="H106" i="96" l="1"/>
  <c r="H82" i="96"/>
  <c r="H83" i="96"/>
  <c r="H93" i="96"/>
  <c r="H29" i="96"/>
  <c r="H88" i="96"/>
  <c r="H86" i="96"/>
  <c r="H26" i="96"/>
  <c r="H71" i="96"/>
  <c r="H105" i="96"/>
  <c r="H102" i="96"/>
  <c r="H91" i="96"/>
  <c r="H70" i="96"/>
  <c r="H95" i="96"/>
  <c r="H100" i="96"/>
  <c r="H76" i="96"/>
  <c r="H90" i="96"/>
  <c r="H103" i="96"/>
  <c r="H87" i="96"/>
  <c r="H92" i="96"/>
  <c r="H98" i="96"/>
  <c r="H81" i="96"/>
  <c r="H78" i="96"/>
  <c r="H89" i="96"/>
  <c r="H75" i="96"/>
  <c r="H74" i="96"/>
  <c r="H96" i="96"/>
  <c r="H101" i="96"/>
  <c r="H84" i="96"/>
  <c r="H99" i="96"/>
  <c r="H79" i="96"/>
  <c r="H97" i="96"/>
  <c r="H80" i="96"/>
  <c r="H73" i="96"/>
  <c r="H72" i="96"/>
  <c r="H94" i="96"/>
  <c r="H77" i="96"/>
  <c r="H48" i="96"/>
  <c r="H104" i="96"/>
  <c r="H65" i="96"/>
  <c r="H9" i="96"/>
  <c r="H64" i="96"/>
  <c r="H60" i="96"/>
  <c r="H52" i="96"/>
  <c r="H51" i="96"/>
  <c r="H62" i="96"/>
  <c r="H49" i="96"/>
  <c r="H66" i="96"/>
  <c r="H50" i="96"/>
  <c r="H68" i="96"/>
  <c r="H45" i="96"/>
  <c r="H44" i="96"/>
  <c r="H47" i="96"/>
  <c r="H55" i="96"/>
  <c r="H61" i="96"/>
  <c r="H56" i="96"/>
  <c r="H5" i="96"/>
  <c r="H10" i="96"/>
  <c r="H46" i="96"/>
  <c r="H63" i="96"/>
  <c r="H53" i="96"/>
  <c r="H57" i="96"/>
  <c r="H39" i="96"/>
  <c r="H14" i="96"/>
  <c r="H20" i="96"/>
  <c r="H6" i="96"/>
  <c r="H59" i="96"/>
  <c r="H67" i="96"/>
  <c r="H37" i="96"/>
  <c r="H58" i="96"/>
  <c r="H54" i="96"/>
  <c r="H34" i="96"/>
  <c r="H41" i="96"/>
  <c r="H15" i="96"/>
  <c r="H42" i="96"/>
  <c r="H16" i="96"/>
  <c r="H25" i="96"/>
  <c r="H22" i="96"/>
  <c r="H17" i="96"/>
  <c r="H30" i="96"/>
  <c r="H35" i="96"/>
  <c r="H11" i="96"/>
  <c r="H21" i="96"/>
  <c r="H43" i="96"/>
  <c r="H8" i="96"/>
  <c r="H28" i="96"/>
  <c r="H19" i="96"/>
  <c r="H18" i="96"/>
  <c r="H7" i="96"/>
  <c r="H40" i="96"/>
  <c r="H31" i="96"/>
  <c r="H33" i="96"/>
  <c r="H38" i="96"/>
  <c r="H36" i="96"/>
  <c r="H13" i="96"/>
  <c r="H23" i="96"/>
  <c r="H24" i="96"/>
  <c r="H27" i="96"/>
  <c r="H32" i="96"/>
  <c r="J434" i="15"/>
  <c r="G434" i="96" s="1"/>
  <c r="H434" i="96" s="1"/>
  <c r="G157" i="96" l="1"/>
  <c r="H157" i="96" s="1"/>
  <c r="J1451" i="15"/>
  <c r="G2" i="96"/>
  <c r="J1475" i="15" l="1"/>
  <c r="G1454" i="96"/>
  <c r="H2" i="96"/>
  <c r="H1454" i="96" s="1"/>
</calcChain>
</file>

<file path=xl/sharedStrings.xml><?xml version="1.0" encoding="utf-8"?>
<sst xmlns="http://schemas.openxmlformats.org/spreadsheetml/2006/main" count="23362" uniqueCount="1746">
  <si>
    <t>ECOSAMPA Santo Amaro</t>
  </si>
  <si>
    <t>CARLIONEI HOLANDA DE SOUSA</t>
  </si>
  <si>
    <t>VARREDOR</t>
  </si>
  <si>
    <t>CARLITO PASTOR DA SILVA</t>
  </si>
  <si>
    <t>ADILSON FLORES DE LIMA</t>
  </si>
  <si>
    <t>AJUDANTE EQ SERVICOS DIVERSOS</t>
  </si>
  <si>
    <t>ROGERIO OLIVEIRA LARA</t>
  </si>
  <si>
    <t>FISCAL DE TRAFEGO PLENO</t>
  </si>
  <si>
    <t>ECOSAMPA Capela do Socorro</t>
  </si>
  <si>
    <t>ADRIANA MARIA REGIS DA SILVA</t>
  </si>
  <si>
    <t>ECOSAMPA Campo Limpo</t>
  </si>
  <si>
    <t>AGNALDO DA SILVA ARAUJO</t>
  </si>
  <si>
    <t>ALESSANDRO DOS SANTOS MARTINS</t>
  </si>
  <si>
    <t>ECOSAMPA Matriz</t>
  </si>
  <si>
    <t>CARLOS ALBERTO QUEIROZ DE OLIVEIRA</t>
  </si>
  <si>
    <t>MOTORISTA CAMINHAO</t>
  </si>
  <si>
    <t>IVANILDO JOSE DE FREITAS</t>
  </si>
  <si>
    <t>CARLOS ALBERTO TEIXEIRA RAMOS</t>
  </si>
  <si>
    <t>CARLOS DE OLIVEIRA BORGES</t>
  </si>
  <si>
    <t>ECOSAMPA M'Boi Mirim</t>
  </si>
  <si>
    <t>CARLOS DOS SANTOS</t>
  </si>
  <si>
    <t>CARLOS HENRIQUE TEIXEIRA DE JESUS</t>
  </si>
  <si>
    <t>COLETOR</t>
  </si>
  <si>
    <t>JOSE RICARDO DA SILVA</t>
  </si>
  <si>
    <t>JOSE ROBERTO AVANZI</t>
  </si>
  <si>
    <t>MARIA APARECIDA RIBEIRO DIAS</t>
  </si>
  <si>
    <t>ABELITO FERREIRA DOS SANTOS</t>
  </si>
  <si>
    <t>ROGERIO PIRES</t>
  </si>
  <si>
    <t>ADAELSON ADAUTO SENA DE SIQUEIRA</t>
  </si>
  <si>
    <t>ROGERIO RODRIGUES SANTANA</t>
  </si>
  <si>
    <t>MARIA DA CONCEICAO DE SOUZA FELIX</t>
  </si>
  <si>
    <t>ROMILDO BESERRA DE ALENCAR</t>
  </si>
  <si>
    <t>ECOSAMPA Parelheiros</t>
  </si>
  <si>
    <t>JOANA MORAIS OLIVEIRA</t>
  </si>
  <si>
    <t>JOSE ROBERTO SOARES DA SILVA</t>
  </si>
  <si>
    <t>JOAO EVANGELISTA VIERA DO NASCIMENTO</t>
  </si>
  <si>
    <t>JOSE ROBERTO SOARES DE ANDRADE</t>
  </si>
  <si>
    <t>JOELMA MARIA DE SOUSA</t>
  </si>
  <si>
    <t>JOSE ROMILDO ARAUJO DOS SANTOS</t>
  </si>
  <si>
    <t>BUEIRISTA</t>
  </si>
  <si>
    <t>SAMARA CORSI VIEIRA</t>
  </si>
  <si>
    <t>SAMUEL DOS SANTOS SOUZA ARAUJO</t>
  </si>
  <si>
    <t>JOSE DAS GRACAS DOS SANTOS</t>
  </si>
  <si>
    <t>JOSE ROMIRAN DA SILVA</t>
  </si>
  <si>
    <t>JOAO JOSE DA SILVA</t>
  </si>
  <si>
    <t>JOSE MARIA FERREIRA DE SOUSA</t>
  </si>
  <si>
    <t>SEVERINO CANDIDO DA SILVA</t>
  </si>
  <si>
    <t>ADAILTON RODRIGUES SANTOS</t>
  </si>
  <si>
    <t>JAILTON DE AZEVEDO SILVA</t>
  </si>
  <si>
    <t>JOSE RONILTON DOS SANTOS</t>
  </si>
  <si>
    <t>SEVERINO PEDRO DA SILVA</t>
  </si>
  <si>
    <t>SEVERINO PEREIRA DE MELO</t>
  </si>
  <si>
    <t>MARIA DE FATIMA FARIAS DA SILVA</t>
  </si>
  <si>
    <t>JOAO BATISTA DA SILVA</t>
  </si>
  <si>
    <t>TOME DE JESUS SANTOS</t>
  </si>
  <si>
    <t>JOAO CARLOS ARAUJO DA SILVA</t>
  </si>
  <si>
    <t>UELTON SANTOS DE ARAUJO</t>
  </si>
  <si>
    <t>JOSE SATURNINO DE OLIVEIRA</t>
  </si>
  <si>
    <t>MARIA JOSE MARTINS BRAGA</t>
  </si>
  <si>
    <t>VALMIR DOS SANTOS MACHADO</t>
  </si>
  <si>
    <t>JOAO MARTINS DE SOBRAL</t>
  </si>
  <si>
    <t>JOAO SEBASTIAO DA SILVA</t>
  </si>
  <si>
    <t>WILLIAM ALVES DO NASCIMENTO</t>
  </si>
  <si>
    <t>JOSE ALVES DA SILVA</t>
  </si>
  <si>
    <t>JOSE SERGIO OLIVEIRA DA SILVA</t>
  </si>
  <si>
    <t>ADELCIO PIMENTEL DOS SANTOS</t>
  </si>
  <si>
    <t>JOSE ARNALDO DOS SANTOS</t>
  </si>
  <si>
    <t>JOSE SOARES</t>
  </si>
  <si>
    <t>ROMILDO GOMES DE MELO</t>
  </si>
  <si>
    <t>ADELSON BEZERRA DA SILVA</t>
  </si>
  <si>
    <t>JOSE AUGUSTO SANTOS DO CARMO</t>
  </si>
  <si>
    <t>ROMILDO SANTOS</t>
  </si>
  <si>
    <t>MARIA MADALENA LIMA CARDOSO</t>
  </si>
  <si>
    <t>RONALDO DE SOUZA JESUS</t>
  </si>
  <si>
    <t>JOSE DOMINGOS ALVES DE OLIVEIRA</t>
  </si>
  <si>
    <t>ADELSON DOS SANTOS TEIXEIRA</t>
  </si>
  <si>
    <t>JOSE VANDERLEI MARTINS</t>
  </si>
  <si>
    <t>JOSE MANOEL PEREIRA</t>
  </si>
  <si>
    <t>ADELSON FRANCISCO FREITAS</t>
  </si>
  <si>
    <t>JOSE VANDICO ARAUJO DOS SANTOS</t>
  </si>
  <si>
    <t>ROSELIO BRAZ FERREIRA</t>
  </si>
  <si>
    <t>ROSENIL FIM JUNIOR</t>
  </si>
  <si>
    <t>MARINALDO FERREIRA DOS SANTOS</t>
  </si>
  <si>
    <t>ROSIVALDO FERREIRA DA SILVA</t>
  </si>
  <si>
    <t>ADEMIR MANOEL DA SILVA</t>
  </si>
  <si>
    <t>MANOEL BELARMINO DA SILVA</t>
  </si>
  <si>
    <t>JOSE NERIS DA SILVA</t>
  </si>
  <si>
    <t>JOSE WELLITON MATEUS GOMES</t>
  </si>
  <si>
    <t>RUDIMAR DIONISIO MARINHO</t>
  </si>
  <si>
    <t>JOSE MARIA DE SOUSA</t>
  </si>
  <si>
    <t>ELISEU DE CARVALHO NETO</t>
  </si>
  <si>
    <t>SERGIO JOSE DA SILVA</t>
  </si>
  <si>
    <t>JOSEMAR CELESTINO DOS SANTOS</t>
  </si>
  <si>
    <t>SEVERINO DO RAMO FERREIRA DE LIMA</t>
  </si>
  <si>
    <t>JOSENILSON FELICIO DOS SANTOS</t>
  </si>
  <si>
    <t>ELIVANIO BARBOSA SANTOS</t>
  </si>
  <si>
    <t>SILVANI COELHO DE OLIVEIRA</t>
  </si>
  <si>
    <t>ADEMIR SILVA LIMA</t>
  </si>
  <si>
    <t>ROGERIO LUIZ RODRIGUES DA SILVA</t>
  </si>
  <si>
    <t>JESUS FERREIRA DE CARVALHO</t>
  </si>
  <si>
    <t>MARIO FERREIRA PACHECO</t>
  </si>
  <si>
    <t>JOAQUIM INACIO DE BRITO FILHO</t>
  </si>
  <si>
    <t>JOSEVAL FERREIRA MIRANDA</t>
  </si>
  <si>
    <t>JOSE ADAO RODRIGUES</t>
  </si>
  <si>
    <t>CARLOS ROBERTO BARBOSA SALES</t>
  </si>
  <si>
    <t>JOSE CAMILO SILVEIRA</t>
  </si>
  <si>
    <t>UELISON SILVA DOS SANTOS</t>
  </si>
  <si>
    <t>CARLOS ROBERTO DA SILVA</t>
  </si>
  <si>
    <t>JOSE CARLOS DA SILVA</t>
  </si>
  <si>
    <t>CARLOS ROBERTO DA SILVA JESUS</t>
  </si>
  <si>
    <t>JOSE CARLOS ZACARIAS</t>
  </si>
  <si>
    <t>VAGNER SOARES</t>
  </si>
  <si>
    <t>JOSE RAIMUNDO DA SILVA MATOS</t>
  </si>
  <si>
    <t>VALDEMAR DOS SANTOS</t>
  </si>
  <si>
    <t>VALDINEI MARTINS CRUZ</t>
  </si>
  <si>
    <t>VALTER JOSE DA SILVA</t>
  </si>
  <si>
    <t>CARLOS ROBERTO ROCHA DA SILVA</t>
  </si>
  <si>
    <t>JOSE MARCOS DA SILVA QUINTINO</t>
  </si>
  <si>
    <t>JHONY ROCHA DE LIMA</t>
  </si>
  <si>
    <t>CARLOS ROGER DE SOUZA JESUS</t>
  </si>
  <si>
    <t>AGENTE AMBIENTAL</t>
  </si>
  <si>
    <t>JOAO BATISTA DOS SANTOS</t>
  </si>
  <si>
    <t>WALLACE TAVARES DA SILVA</t>
  </si>
  <si>
    <t>JOAO DOMINGOS DA SILVA FILHO</t>
  </si>
  <si>
    <t>CARLOS SIMON SELIS DE OLIVEIRA</t>
  </si>
  <si>
    <t>JOAO PAULO VIEIRA</t>
  </si>
  <si>
    <t>JOSE CARLOS ROQUE DA SILVA</t>
  </si>
  <si>
    <t>JOSE GASPARINO DE BRITO</t>
  </si>
  <si>
    <t>WESLEY BALBINO DA SILVA</t>
  </si>
  <si>
    <t>ADILSON GONCALVES DA SILVA</t>
  </si>
  <si>
    <t>ELIZEU DA SILVA PEREIRA</t>
  </si>
  <si>
    <t>WILIAM MOREIRA NASCIMENTO</t>
  </si>
  <si>
    <t>JOSIVALDO SILVA DE MELO</t>
  </si>
  <si>
    <t>ELOI ALENCAR MATIAS</t>
  </si>
  <si>
    <t>WILLIAM LIMA DE JESUS</t>
  </si>
  <si>
    <t>JOVELINA MARIA DA SILVA</t>
  </si>
  <si>
    <t>ELOISA LOPES LARANJEIRA</t>
  </si>
  <si>
    <t>MARLI MARIA FAGUNDES DE JESUS</t>
  </si>
  <si>
    <t>WILTON SOUSA SILVA</t>
  </si>
  <si>
    <t>LAVADOR</t>
  </si>
  <si>
    <t>ADRIANO DA SILVA PEREIRA</t>
  </si>
  <si>
    <t>ELSON AMORIM DE SOUSA</t>
  </si>
  <si>
    <t>JUAN CARLOS DIAZ BASCUR</t>
  </si>
  <si>
    <t>MARTINHO DAMASCENA BRANDAO</t>
  </si>
  <si>
    <t>RONALDO GONCALVES DA PENHA</t>
  </si>
  <si>
    <t>ELSON DOS SANTOS SILVA</t>
  </si>
  <si>
    <t>FISCAL DE TURMA PLENO</t>
  </si>
  <si>
    <t>RONALDO JOSE DOS SANTOS</t>
  </si>
  <si>
    <t>JUARES ANTONIO DA SILVA</t>
  </si>
  <si>
    <t>ADRIANO MONTEIRO DOS SANTOS</t>
  </si>
  <si>
    <t>MARTINS TOMAZ DE MIRANDA</t>
  </si>
  <si>
    <t>ADRIANO NEVES DE MATOS</t>
  </si>
  <si>
    <t>JULIANA ALVES DE OLIVEIRA</t>
  </si>
  <si>
    <t>MATHEUS CASTRO SENA ROSA</t>
  </si>
  <si>
    <t>ROGERIO DOS SANTOS ARAUJO</t>
  </si>
  <si>
    <t>ADRIANO RAMOS DOS SANTOS</t>
  </si>
  <si>
    <t>EMERSON ARAUJO PEDROSO</t>
  </si>
  <si>
    <t>JULIANO LAURINDO CAMILO VICENTE</t>
  </si>
  <si>
    <t>MATHEUS DANTAS</t>
  </si>
  <si>
    <t>ROGERIO DO ESPIRITO SANTOS</t>
  </si>
  <si>
    <t>MATHEUS FERREIRA MACIEL</t>
  </si>
  <si>
    <t>JOSE GERALDO DE OLIVEIRA</t>
  </si>
  <si>
    <t>JOSE INALDO DOS SANTOS SANTANA</t>
  </si>
  <si>
    <t>EMERSON GOMES DA SILVA</t>
  </si>
  <si>
    <t>EMERSON NEVES COSTA</t>
  </si>
  <si>
    <t>ROGERIO DE AQUINO SILVA</t>
  </si>
  <si>
    <t>JUNIOR CESAR APARECIDO FERREIRA</t>
  </si>
  <si>
    <t>EMERSON PAULO DA SILVA LIMA</t>
  </si>
  <si>
    <t>JURACI BARBOSA SANTOS</t>
  </si>
  <si>
    <t>AFONSO CIMINIO</t>
  </si>
  <si>
    <t>JURACI CUSTODIO DE LIMA</t>
  </si>
  <si>
    <t>AGNALDO BISPO DOS SANTOS</t>
  </si>
  <si>
    <t>RUBENS DE ALMEIDA</t>
  </si>
  <si>
    <t>AGNELO MARTINS DE SOUZA</t>
  </si>
  <si>
    <t>JUREMIR ALVES BARROSO</t>
  </si>
  <si>
    <t>RUBENS SANTOS DE OLIVEIRA JUNIOR</t>
  </si>
  <si>
    <t>AGRIPINO BRANDAO DE SOUZA SOBRINHO</t>
  </si>
  <si>
    <t>SAMUEL ALVES DOS ANJOS</t>
  </si>
  <si>
    <t>AGUINALDO NASCIMENTO</t>
  </si>
  <si>
    <t>JUSCELINO FERREIRA FILHO</t>
  </si>
  <si>
    <t>ERALDO COSME DA SILVA</t>
  </si>
  <si>
    <t>RODRIGO OLIVEIRA DA CRUZ</t>
  </si>
  <si>
    <t>ENCARREGADO DE TURMA</t>
  </si>
  <si>
    <t>JOSE MANOEL DA CRUZ</t>
  </si>
  <si>
    <t>CASSIA GOMES DA SILVA</t>
  </si>
  <si>
    <t>SAMUEL DE ALCANTARA</t>
  </si>
  <si>
    <t>MAURA GOMES DOS SANTOS CRUZ</t>
  </si>
  <si>
    <t>RODRIGO LOPES DA SILVA</t>
  </si>
  <si>
    <t>ERALDO SILVA DE OLIVEIRA</t>
  </si>
  <si>
    <t>JEFFERSON SANTOS FERRAZ</t>
  </si>
  <si>
    <t>AILTON ALVES DA SILVA</t>
  </si>
  <si>
    <t>MAURICIO MANOEL FEBRONIO</t>
  </si>
  <si>
    <t>SANDRO PEREIRA DOS SANTOS</t>
  </si>
  <si>
    <t>SEBASTIAO DOS REIS OLIVEIRA</t>
  </si>
  <si>
    <t>RODRIGO DOS SANTOS OLIVEIRA</t>
  </si>
  <si>
    <t>JOAQUIM BARBOSA FILHO</t>
  </si>
  <si>
    <t>SERGIO LOPES FERREIRA</t>
  </si>
  <si>
    <t>JOHNATAN FELIPE MARQUES MOTA</t>
  </si>
  <si>
    <t>MAURICIO SANTANA</t>
  </si>
  <si>
    <t>JUSCIMAR FERREIRA DA LOMBA</t>
  </si>
  <si>
    <t>ERASMO MIRANDA DOS SANTOS</t>
  </si>
  <si>
    <t>SEVERINO MANOEL DE FREITAS</t>
  </si>
  <si>
    <t>ERICK WILLIAM BORGES ARAUJO</t>
  </si>
  <si>
    <t>SIDNEI LOPES DA SILVA</t>
  </si>
  <si>
    <t>MAURO CESAR DA SILVA</t>
  </si>
  <si>
    <t>AUXILIAR DE ALMOXARIFADO PLENO</t>
  </si>
  <si>
    <t>KELBER JESUS DOS SANTOS</t>
  </si>
  <si>
    <t>SILVIO LUIZ DOS SANTOS</t>
  </si>
  <si>
    <t>TIAGO DO NASCIMENTO FARIAS</t>
  </si>
  <si>
    <t>TIAGO DOS SANTOS COSTA</t>
  </si>
  <si>
    <t>ROMILDO FREITAS DOS SANTOS</t>
  </si>
  <si>
    <t>TIBURTINO BESERRA DA SILVA NETO</t>
  </si>
  <si>
    <t>CELSO APARECIDO AVELINO</t>
  </si>
  <si>
    <t>MICHAEL DOMINGOS MACHADO SANTO</t>
  </si>
  <si>
    <t>ERIVALDO PEREIRA DE GOUVEIA</t>
  </si>
  <si>
    <t>JOSE HILDO DE MELO</t>
  </si>
  <si>
    <t>MICHAEL DOUGLAS DOS SANTOS ALVES</t>
  </si>
  <si>
    <t>VALDECIR APARECIDO GONCALVES</t>
  </si>
  <si>
    <t>JOSE CANDIDO</t>
  </si>
  <si>
    <t>ERIVAN SILVA ALVES</t>
  </si>
  <si>
    <t>CELSO RICARDO DE JESUS</t>
  </si>
  <si>
    <t>KELVIN LOPES DE ALMEIDA</t>
  </si>
  <si>
    <t>VALDEIR OLIVEIRA SANTOS</t>
  </si>
  <si>
    <t>JOSE CARLOS SILVA DOS SANTOS</t>
  </si>
  <si>
    <t>ERIVANILDO BATISTA LOPES</t>
  </si>
  <si>
    <t>VALDEIR PEREIRA DOS SANTOS</t>
  </si>
  <si>
    <t>JOSE ANTONIO TAVARES DA SILVA</t>
  </si>
  <si>
    <t>ERNALDO SOUSA DE JESUS</t>
  </si>
  <si>
    <t>TECNICO EM SEGURANCA DO TRABALHO JUNIOR</t>
  </si>
  <si>
    <t>VALDEMIR CARNEIRO DE MOURA</t>
  </si>
  <si>
    <t>JEFERSON JOSE ANDRADE DE SOUZA</t>
  </si>
  <si>
    <t>ERNANDES FLORENTINO SOARES</t>
  </si>
  <si>
    <t>JORGE LUIZ LEITE OLIVEIRA</t>
  </si>
  <si>
    <t>JOSE DE CASTRO OLIVEIRA</t>
  </si>
  <si>
    <t>ERONILDO BATISTA DO NASCIMENTO</t>
  </si>
  <si>
    <t>ESPEDITO RODRIGUES DOS SANTOS</t>
  </si>
  <si>
    <t>CELSON DUARTE</t>
  </si>
  <si>
    <t>ESPERIDIAO CORREIA DA SILVA</t>
  </si>
  <si>
    <t>CHARLES MOREIRA DOS SANTOS</t>
  </si>
  <si>
    <t>JOSE RAIMUNDO SILVA</t>
  </si>
  <si>
    <t>CHRISTIAN ALVES SIQUEIRA DE OLIVEIRA</t>
  </si>
  <si>
    <t>ISRAEL DANTAS DOS SANTOS</t>
  </si>
  <si>
    <t>CICERO ALVES DE MARIO</t>
  </si>
  <si>
    <t>ITAMAR INACIO DA SILVA</t>
  </si>
  <si>
    <t>CICERO ANTONIO FAUSTINO</t>
  </si>
  <si>
    <t>CICERO APARECIDO DOS SANTOS</t>
  </si>
  <si>
    <t>DAMIAO BEZERRA DE OLIVEIRA</t>
  </si>
  <si>
    <t>CICERO BENEDITO DA SILVA</t>
  </si>
  <si>
    <t>DAMIAO JOSE DA SILVA</t>
  </si>
  <si>
    <t>CICERO DA SILVA COSTA</t>
  </si>
  <si>
    <t>DAMIAO LIMA BISPO</t>
  </si>
  <si>
    <t>DAMIAO RODRIGUES PITA</t>
  </si>
  <si>
    <t>KLEBER JOSE OLIVEIRA DA SILVA</t>
  </si>
  <si>
    <t>KLEBERSON JOSE DA SILVA</t>
  </si>
  <si>
    <t>KLEBERT MARCOS DA SILVA FERREIRA</t>
  </si>
  <si>
    <t>ENCARREGADO DE MANUTENCAO OFICINA</t>
  </si>
  <si>
    <t>JOSE FERREIRA DA SILVA</t>
  </si>
  <si>
    <t>AILTON CONCEICAO DA SILVA</t>
  </si>
  <si>
    <t>CICERO LUIZ DA SILVA</t>
  </si>
  <si>
    <t>AILTON JOSE DO NASCIMENTO</t>
  </si>
  <si>
    <t>CICERO VIEIRA</t>
  </si>
  <si>
    <t>CLAUDEMIR DE ANDRADE FELICIANO</t>
  </si>
  <si>
    <t>CLAUDEMIRO PRATA DE ALMEIDA</t>
  </si>
  <si>
    <t>CLAUDINEI MENDES DA SILVA</t>
  </si>
  <si>
    <t>LEANDRO BARROSO DA SILVA</t>
  </si>
  <si>
    <t>CLAUDINEI OLIVEIRA E SILVA</t>
  </si>
  <si>
    <t>CLAUDIO DA SILVA ALVINO</t>
  </si>
  <si>
    <t>CLAUDIO DE SOUZA</t>
  </si>
  <si>
    <t>VALDIR BARBOSA FERREIRA</t>
  </si>
  <si>
    <t>ALCIDES NEI JAIR INEZ</t>
  </si>
  <si>
    <t>CLAUDIO MOREIRA DA SILVA</t>
  </si>
  <si>
    <t>VALDIR BEZERRA DOS SANTOS</t>
  </si>
  <si>
    <t>VALDIVIO RODRIGUES CRUZ</t>
  </si>
  <si>
    <t>CLAYTON FERREIRA DE MELO</t>
  </si>
  <si>
    <t>LEANDRO DA SILVA DONIZETE</t>
  </si>
  <si>
    <t>MICHAEL JACKSON DE OLIVEIRA ALMEIDA</t>
  </si>
  <si>
    <t>VANDERLEI ALEXANDRE DA SILVA</t>
  </si>
  <si>
    <t>CLAYVES CRISTIANO DE JESUS</t>
  </si>
  <si>
    <t>LEANDRO DE OLIVEIRA</t>
  </si>
  <si>
    <t>EUZEMAR FRANCO DE LIMA</t>
  </si>
  <si>
    <t>CLEBER GONCALVES DOS SANTOS</t>
  </si>
  <si>
    <t>LEANDRO DE SOUSA CLAUDINO</t>
  </si>
  <si>
    <t>EVACI FERREIRA DOS SANTOS</t>
  </si>
  <si>
    <t>CLELIO ANDRADE ARAUJO</t>
  </si>
  <si>
    <t>LEANDRO GARCIA CAMARGO</t>
  </si>
  <si>
    <t>WALDIR PEREIRA SANTOS</t>
  </si>
  <si>
    <t>EVALDO MOREIRA SANTOS</t>
  </si>
  <si>
    <t>WALMIR ALVES DE SOUZA</t>
  </si>
  <si>
    <t>EVALDO SILVA</t>
  </si>
  <si>
    <t>LEANDRO JOSE BATISTA</t>
  </si>
  <si>
    <t>EVANDRO ANTONIO DA CUNHA</t>
  </si>
  <si>
    <t>WELLINGTON TIAGO DE JESUS SANTOS</t>
  </si>
  <si>
    <t>MICHEL ALBERTO LIMA DE SOUZA</t>
  </si>
  <si>
    <t>EVANDRO RAMOS DA SILVA</t>
  </si>
  <si>
    <t>CLERISTON BELAU DOS SANTOS CRUZ</t>
  </si>
  <si>
    <t>LEANDRO JOSE CORREIA DA SILVA</t>
  </si>
  <si>
    <t>WELTON DOUGLAS RIBEIRO</t>
  </si>
  <si>
    <t>CLEYTON DIAS MACHADO</t>
  </si>
  <si>
    <t>WENSYLL SANTOS DE ARAUJO</t>
  </si>
  <si>
    <t>MIGUEL JOSE DOS SANTOS</t>
  </si>
  <si>
    <t>LEANDRO MENDES SILQUEIRA</t>
  </si>
  <si>
    <t>WILLIAN ANDRADE LEAL</t>
  </si>
  <si>
    <t>EVERSSON HENRIQUE CIPRIANO</t>
  </si>
  <si>
    <t>CLOVES TAVARES DIAS</t>
  </si>
  <si>
    <t>MIGUEL PEREIRA BARBOZA</t>
  </si>
  <si>
    <t>LEANDRO SANTANA SANTOS</t>
  </si>
  <si>
    <t>WILLIAM LIMA SILVA</t>
  </si>
  <si>
    <t>WILLIAN CARDOSO DA SILVA</t>
  </si>
  <si>
    <t>EXPEDITO FERREIRA DA SILVA</t>
  </si>
  <si>
    <t>LEANDRO SARAGOCA PEREIRA</t>
  </si>
  <si>
    <t>AILTON DE JESUS</t>
  </si>
  <si>
    <t>COSMA LIBERATO DE OLIVEIRA</t>
  </si>
  <si>
    <t>MILTON DA SILVA REIS</t>
  </si>
  <si>
    <t>FABIANO CHAGAS MACIEL</t>
  </si>
  <si>
    <t>LEANDRO YASSUNORI DE OLIVEIRA</t>
  </si>
  <si>
    <t>AIRTON COSTA</t>
  </si>
  <si>
    <t>FABIANO LANDIM DA ROCHA</t>
  </si>
  <si>
    <t>ALBERICO DA SILVA BRANDAO</t>
  </si>
  <si>
    <t>LEMUEL DE OLIVEIRA BRANDAO</t>
  </si>
  <si>
    <t>FABIANO PEREIRA DE OLIVEIRA SANTOS</t>
  </si>
  <si>
    <t>ALCIDES JOSE DOS SANTOS</t>
  </si>
  <si>
    <t>FABIO CESAR DE OLIVEIRA SOUZA</t>
  </si>
  <si>
    <t>ALDO DOS SANTOS ORESTES</t>
  </si>
  <si>
    <t>LEONARDO BARBOSA LOPES</t>
  </si>
  <si>
    <t>MILTON HONORIO DA SILVA</t>
  </si>
  <si>
    <t>FABIO DA SILVA ALVES ROLIM</t>
  </si>
  <si>
    <t>ALESSANDRA SANTOSTASI TEIXEIRA</t>
  </si>
  <si>
    <t>RONALDO SILVA SANTOS</t>
  </si>
  <si>
    <t>LEONARDO NASCIMENTO ALVES</t>
  </si>
  <si>
    <t>FABIO DA SILVA DUARTE</t>
  </si>
  <si>
    <t>MISSIMEIRE FERREIRA LIMA DOS SANTOS</t>
  </si>
  <si>
    <t>ROSANGELA OLIVEIRA LIMA</t>
  </si>
  <si>
    <t>MOACY GONCALVES DE OLIVEIRA</t>
  </si>
  <si>
    <t>LEONARDO PEREIRA DA SILVA</t>
  </si>
  <si>
    <t>SUELI APARECIDA DOS SANTOS</t>
  </si>
  <si>
    <t>FABIO FERREIRA DO NASCIMENTO</t>
  </si>
  <si>
    <t>MOISES GOMES RODRIGUES</t>
  </si>
  <si>
    <t>LEONDINEI VAZ</t>
  </si>
  <si>
    <t>ZELITA GALDINO DA SILVA</t>
  </si>
  <si>
    <t>LEONIDAS CORTES DOS SANTOS</t>
  </si>
  <si>
    <t>ZILDA CANDIDO DA SILVA</t>
  </si>
  <si>
    <t>RUBENS ALVES DA ROCHA</t>
  </si>
  <si>
    <t>LESSIO RENOR DE FREITAS</t>
  </si>
  <si>
    <t>ALESSANDRE DE OLIVEIRA SILVA</t>
  </si>
  <si>
    <t>MOISES SANTOS NOGUEIRA</t>
  </si>
  <si>
    <t>LOURIVAL CALADO DA SILVA</t>
  </si>
  <si>
    <t>LOURIVAL IDELFONSO</t>
  </si>
  <si>
    <t>ALESSANDRO ARRUDA DE OLIVEIRA</t>
  </si>
  <si>
    <t>SAMUEL BATISTA DE SOUZA</t>
  </si>
  <si>
    <t>JOAO BATISTA DE SOUZA</t>
  </si>
  <si>
    <t>LOURIVAL VALENTIM</t>
  </si>
  <si>
    <t>ALESSANDRO DE JESUS SILVA</t>
  </si>
  <si>
    <t>NAILTON VIEIRA DOS SANTOS</t>
  </si>
  <si>
    <t>SAMUEL NOGUEIRA SANTANA</t>
  </si>
  <si>
    <t>SEBASTIAO GOMES DA SILVA</t>
  </si>
  <si>
    <t>ANTONIO GOMES DA SILVA</t>
  </si>
  <si>
    <t>SERGIO DA SILVA</t>
  </si>
  <si>
    <t>FABIO JUNIOR DOS SANTOS COSTA</t>
  </si>
  <si>
    <t>SEVERINO ALEXANDRE DA SILVA</t>
  </si>
  <si>
    <t>FABIO MIRANDA SILVA</t>
  </si>
  <si>
    <t>SEVERINO ISIDIO DA SILVA</t>
  </si>
  <si>
    <t>NELSON BARBOSA</t>
  </si>
  <si>
    <t>ALEX APARECIDO DOS SANTOS</t>
  </si>
  <si>
    <t>FABIO OLIVEIRA DOS ANJOS</t>
  </si>
  <si>
    <t>SIDNEY CUNHA DE MIRANDA</t>
  </si>
  <si>
    <t>FABIO PEREIRA BARROS</t>
  </si>
  <si>
    <t>SILVIO BATISTA DE LIRA</t>
  </si>
  <si>
    <t>ALEX DE FIGUEIREDO COSTA</t>
  </si>
  <si>
    <t>SIVALDO DIAS MACHADO</t>
  </si>
  <si>
    <t>THOMAS LUIS BAPTISTA PEREIRA</t>
  </si>
  <si>
    <t>NELSON DE OLIVEIRA</t>
  </si>
  <si>
    <t>LUCAS DA SILVA LEITE</t>
  </si>
  <si>
    <t>TIAGO MACHADO CARDOZO</t>
  </si>
  <si>
    <t>PEDRO GOMES CARDOZO</t>
  </si>
  <si>
    <t>FABIO ROBERTO SILVA</t>
  </si>
  <si>
    <t>ROBSON RODRIGUES DO CARMO</t>
  </si>
  <si>
    <t>FABIO SANTOS SALES</t>
  </si>
  <si>
    <t>AUXILIAR DE TRAFEGO</t>
  </si>
  <si>
    <t>NELSON ROBERTO RIBEIRO DA SILVA</t>
  </si>
  <si>
    <t>FABRICIO DA COSTA GOMES</t>
  </si>
  <si>
    <t>ROBSON ROCHA GONCALVES</t>
  </si>
  <si>
    <t>LUCAS GONCALVES DOS SANTOS</t>
  </si>
  <si>
    <t>FAUSTINIANO MONTEIRO MAGALHAES</t>
  </si>
  <si>
    <t>FAUSTINO ARNALDO DE LANA</t>
  </si>
  <si>
    <t>MECANICO II</t>
  </si>
  <si>
    <t>ROBERTO XAVIER FIALHO</t>
  </si>
  <si>
    <t>FAUSTO ALVES DE ALMEIDA</t>
  </si>
  <si>
    <t>UILTON SILVA DOS ANJOS SANTOS</t>
  </si>
  <si>
    <t>NILSON DE FARIA</t>
  </si>
  <si>
    <t>ALEX SANDRO PEREIRA DOS SANTOS</t>
  </si>
  <si>
    <t>FELIPE FIGUEIREDO DA SILVA</t>
  </si>
  <si>
    <t>NILSON MUNIZ SILVA</t>
  </si>
  <si>
    <t>FERNANDO ALVES DE SOUSA</t>
  </si>
  <si>
    <t>LUCIANO SILVA DE OLIVEIRA</t>
  </si>
  <si>
    <t>FERNANDO ANTONIO DA SILVA</t>
  </si>
  <si>
    <t>ROBERTO PEDRETE MAIA</t>
  </si>
  <si>
    <t>LUCAS SOUSA GAMA</t>
  </si>
  <si>
    <t>NILSON ROBERTO GALVAO</t>
  </si>
  <si>
    <t>IZAIAS MOREIRA DA COSTA</t>
  </si>
  <si>
    <t>LUCIANA DE SOUZA EVANGELISTA DOS SANTOS</t>
  </si>
  <si>
    <t>VALDECY ALVES</t>
  </si>
  <si>
    <t>ROBERTO MACHADO ARAUJO</t>
  </si>
  <si>
    <t>VALDEMIR GOMES LEMES</t>
  </si>
  <si>
    <t>NILSON RODRIGUES DE JESUS</t>
  </si>
  <si>
    <t>LUCIANO ALCIDES MOTA</t>
  </si>
  <si>
    <t>VALDEMIR LEITE FERREIRA</t>
  </si>
  <si>
    <t>OPERADOR DE PA CARREGADEIRA</t>
  </si>
  <si>
    <t>NILTON DA COSTA LEAL</t>
  </si>
  <si>
    <t>VALDICK SOUZA DE JESUS</t>
  </si>
  <si>
    <t>ROBERTO LUIZ DOS SANTOS SILVA</t>
  </si>
  <si>
    <t>BORRACHEIRO II</t>
  </si>
  <si>
    <t>JAIR LUIZ DOS SANTOS</t>
  </si>
  <si>
    <t>OPERADOR DE MAQUINA SENIOR</t>
  </si>
  <si>
    <t>ALEXANDRE FERREIRA DA SILVA</t>
  </si>
  <si>
    <t>VALMIR GOMES DE FREITAS</t>
  </si>
  <si>
    <t>ENCARREGADO DE TRAFEGO II</t>
  </si>
  <si>
    <t>COSME GALDINO DA SILVA</t>
  </si>
  <si>
    <t>ALEXANDRE PEREIRA DA SILVA</t>
  </si>
  <si>
    <t>FERNANDO JESUS DO CARMO</t>
  </si>
  <si>
    <t>VANDERSON BEZERRA ALVES DOS SANTOS</t>
  </si>
  <si>
    <t>NILTON PASSOS DOS SANTOS</t>
  </si>
  <si>
    <t>LUCIANO GOUVEIA BARBOZA</t>
  </si>
  <si>
    <t>ALEXANDRE SILVA RAMOS</t>
  </si>
  <si>
    <t>ZENIL SANTANA DE AGUIAR</t>
  </si>
  <si>
    <t>TECNICO EM SEGURANCA DO TRABALHO SENIOR</t>
  </si>
  <si>
    <t>LUCIANO HENRIQUE REIS DAMACENA</t>
  </si>
  <si>
    <t>NILTON PEREIRA GARCIA</t>
  </si>
  <si>
    <t>ROBERTO BERNARDO RODRIGUES</t>
  </si>
  <si>
    <t>ALEXSANDRO NOGUEIRA DE SANTANA</t>
  </si>
  <si>
    <t>VALDIR RODRIGUES DOS ANJOS</t>
  </si>
  <si>
    <t>ALEXSANDRO SOARES CORREA</t>
  </si>
  <si>
    <t>NILTON SANTOS DA SILVA</t>
  </si>
  <si>
    <t>FLAVIO FIGUEREDO DOS SANTOS</t>
  </si>
  <si>
    <t>VANDERLEY SALDANHA PEIXOTO</t>
  </si>
  <si>
    <t>DANIEL BONIFACIO</t>
  </si>
  <si>
    <t>ROBERTA CRISTINA DOS SANTOS AMORIM</t>
  </si>
  <si>
    <t>ARLETE CRISTINA DOS SANTOS AMORIM</t>
  </si>
  <si>
    <t>ALICIO SILVA DE ADORNO</t>
  </si>
  <si>
    <t>ECLYTON MYCAEL FERREIRA LOPES</t>
  </si>
  <si>
    <t>DANIEL DA CUNHA PUPO</t>
  </si>
  <si>
    <t>FLAVIO RODRIGUES JOAQUIM</t>
  </si>
  <si>
    <t>ED CARLOS BARBOSA ALVES</t>
  </si>
  <si>
    <t>FRANCIMARIO FERREIRA ANTUNES</t>
  </si>
  <si>
    <t>NIVALDO SEPERO DOS SANTOS</t>
  </si>
  <si>
    <t>DANIEL DE PAULA CUNHA</t>
  </si>
  <si>
    <t>LUCICLEIDE DA SILVA</t>
  </si>
  <si>
    <t>EDIEL ARAUJO SANTANA</t>
  </si>
  <si>
    <t>FRANCISCO ALVES MARTINS</t>
  </si>
  <si>
    <t>DANIEL DOS REIS CARVALHO</t>
  </si>
  <si>
    <t>NOBERTO NOGUEIRA DE AGUIAR</t>
  </si>
  <si>
    <t>EDILSON APARECIDO DE SOUZA</t>
  </si>
  <si>
    <t>FRANCISCO ASSIS DE OLIVEIRA</t>
  </si>
  <si>
    <t>EDILSON GALDINO DA SILVA</t>
  </si>
  <si>
    <t>COSMO DOMINGOS DE SOUSA</t>
  </si>
  <si>
    <t>RIVALDO ANTONIO TEIXEIRA</t>
  </si>
  <si>
    <t>COSMO FERNANDES PEREIRA</t>
  </si>
  <si>
    <t>EDILSON MOREIRA DA COSTA</t>
  </si>
  <si>
    <t>COSMO JOSE DE OLIVEIRA</t>
  </si>
  <si>
    <t>RICARDO SANTOS LIMA</t>
  </si>
  <si>
    <t>FRANCISCO CARLOS LIMEIRA DA SILVA</t>
  </si>
  <si>
    <t>CRISTIANE BARBOSA DA SILVA</t>
  </si>
  <si>
    <t>EDILSON SANTOS DE JESUS</t>
  </si>
  <si>
    <t>EDIMILSON COSTA LIMA ROMANOS</t>
  </si>
  <si>
    <t>FRANCISCO DAS CHAGAS GOMES PINTO</t>
  </si>
  <si>
    <t>ODAIR ALVES DOS SANTOS</t>
  </si>
  <si>
    <t>VICENTE SILVA DE ALMEIDA</t>
  </si>
  <si>
    <t>EDINALDO ALMEIDA DO NASCIMENTO</t>
  </si>
  <si>
    <t>CRISTIANO DA SILVA GOMES</t>
  </si>
  <si>
    <t>VITOR JESUS DOS SANTOS</t>
  </si>
  <si>
    <t>AUXILIAR ADMINISTRATIVO</t>
  </si>
  <si>
    <t>ODAIR DOS SANTOS FREITAS</t>
  </si>
  <si>
    <t>EDINALDO FRANCISCO DA FONSECA</t>
  </si>
  <si>
    <t>EDINALDO DA SILVA</t>
  </si>
  <si>
    <t>WALICE ARAUJO SOUZA</t>
  </si>
  <si>
    <t>CRISTIANO SENA SILVA</t>
  </si>
  <si>
    <t>FRANCISCO DE ASSIS ALEXANDRE NUNES</t>
  </si>
  <si>
    <t>ODAIR JOSE FERREIRA DOS SANTOS</t>
  </si>
  <si>
    <t>WELLINGTON LUIZ DE ALMEIDA</t>
  </si>
  <si>
    <t>CRISTIANO SILVA BEZERRA</t>
  </si>
  <si>
    <t>LUIS CARLOS MATOS DE ALMEIDA</t>
  </si>
  <si>
    <t>AUXILIAR DE CHECK LIST</t>
  </si>
  <si>
    <t>WILLIAM ARAUJO DA SILVA</t>
  </si>
  <si>
    <t>ODEVANDO MANOEL XAVIER</t>
  </si>
  <si>
    <t>WILLIAM DIAS DA SILVA</t>
  </si>
  <si>
    <t>LUIS CARLOS RIBEIRO DA SILVA</t>
  </si>
  <si>
    <t>WILLIAM PROFIRO DE SOUZA</t>
  </si>
  <si>
    <t>CRISTIANO TEIXEIRA DA SILVA</t>
  </si>
  <si>
    <t>LUIS DOS SANTOS BURITI</t>
  </si>
  <si>
    <t>FRANCISCO DUTRA DA PAIXAO</t>
  </si>
  <si>
    <t>WILLY CASTRO VIEIRA</t>
  </si>
  <si>
    <t>WILSON AUGUSTO</t>
  </si>
  <si>
    <t>OLIMPIO PEREIRA DE MELO FILHO</t>
  </si>
  <si>
    <t>JOAN NUNES GOMES</t>
  </si>
  <si>
    <t>ZELINO DOS SANTOS MACHADO</t>
  </si>
  <si>
    <t>FRANCISCO EDIVALDO GALDINO FREITAS</t>
  </si>
  <si>
    <t>CRISTOVAO DE SOUSA</t>
  </si>
  <si>
    <t>ZOZELITO MARQUES BEZERRA</t>
  </si>
  <si>
    <t>LUIZ ADALBERTO DA SILVA</t>
  </si>
  <si>
    <t>DANIEL GOMES DA SILVA</t>
  </si>
  <si>
    <t>JOAO JUASSELE CUNHA ANDRADE</t>
  </si>
  <si>
    <t>JOAO PEREIRA DE OLIVEIRA</t>
  </si>
  <si>
    <t>JOAQUIM SATIRO DE PAULO</t>
  </si>
  <si>
    <t>JOEL PEREIRA DO NASCIMENTO</t>
  </si>
  <si>
    <t>DANIEL JACINTO DA SILVA</t>
  </si>
  <si>
    <t>JOSE APARECIDO CHICUTA</t>
  </si>
  <si>
    <t>DANIEL MARQUES ALVES</t>
  </si>
  <si>
    <t>JOSE BARBOSA DE FARIAS</t>
  </si>
  <si>
    <t>JOSE DARIO DE MEDEIROS</t>
  </si>
  <si>
    <t>JOSE DE FATIMA CAMPOS</t>
  </si>
  <si>
    <t>DANIEL PAULO DOS SANTOS</t>
  </si>
  <si>
    <t>JOSE DE JESUS CAETANO</t>
  </si>
  <si>
    <t>JOSE DOS REIS OLIVEIRA SANTOS</t>
  </si>
  <si>
    <t>JOSE GOMES DA SILVA</t>
  </si>
  <si>
    <t>JOSE GOMES DE ANDRADE</t>
  </si>
  <si>
    <t>DANILO CARDOSO DA SILVA</t>
  </si>
  <si>
    <t>JOSE MANOEL DE ANDRADE</t>
  </si>
  <si>
    <t>JOSE MESSIAS SANTOS ANUNCIACAO</t>
  </si>
  <si>
    <t>DANILO SOARES OLIVEIRA</t>
  </si>
  <si>
    <t>DANLEY SILVA SANTOS</t>
  </si>
  <si>
    <t>JAILTON DA SILVA AMARAL NASCIMENTO</t>
  </si>
  <si>
    <t>JOEL PEREIRA CRUZ FILHO</t>
  </si>
  <si>
    <t>DAVI FERREIRA DOS SANTOS RODRIGUES</t>
  </si>
  <si>
    <t>JOSE LEITE DA SILVA</t>
  </si>
  <si>
    <t>JOSE MAURO DOS SANTOS SILVA</t>
  </si>
  <si>
    <t>IZAIAS VIEIRA COSTA</t>
  </si>
  <si>
    <t>JOAO VICTOR DOS SANTOS SILVA</t>
  </si>
  <si>
    <t>FRANCISCO ELSON COSTA PEREIRA</t>
  </si>
  <si>
    <t>LUIZ ANTONIO DO AMARANTE SOUSA</t>
  </si>
  <si>
    <t>FRANCISCO ERIVAN DA SILVA FELIX</t>
  </si>
  <si>
    <t>JOSE APARECIDO DE GOUVEIA</t>
  </si>
  <si>
    <t>JOSE CALIXTO DA SILVA FILHO</t>
  </si>
  <si>
    <t>JOSE MARIA DE GOUVEIA</t>
  </si>
  <si>
    <t>JOSE AVELINO DE SOUSA FILHO</t>
  </si>
  <si>
    <t>RONIE DE OLIVEIRA MARTINS</t>
  </si>
  <si>
    <t>JOAO CARLOS MARCONDES DE BRITO</t>
  </si>
  <si>
    <t>ROVANDA BARBOSA</t>
  </si>
  <si>
    <t>ALTINO COSTA</t>
  </si>
  <si>
    <t>LUIZ CLAUDIO CORREIA DA SILVA</t>
  </si>
  <si>
    <t>ALEXANDRE DAS NEVES NETO</t>
  </si>
  <si>
    <t>LUIZ DONIZETI DA SILVA</t>
  </si>
  <si>
    <t>SERGIO CUNHA MATIAS</t>
  </si>
  <si>
    <t>OLINDINO PEREIRA SILVA</t>
  </si>
  <si>
    <t>SILVIO APARECIDO DOS SANTOS</t>
  </si>
  <si>
    <t>SILVIO SILVA DE SOUZA</t>
  </si>
  <si>
    <t>THIAGO DA COSTA MENDES</t>
  </si>
  <si>
    <t>DAVID EDUARDO DA SILVA</t>
  </si>
  <si>
    <t>LUIZ FERNANDO DA SILVA</t>
  </si>
  <si>
    <t>ORLANDO JESUS DOS SANTOS</t>
  </si>
  <si>
    <t>ALEXANDRE REINALDO DE SOUZA</t>
  </si>
  <si>
    <t>FRANCISCO NACELIO DE SOUSA</t>
  </si>
  <si>
    <t>THIAGO EDUARDO DA SILVA</t>
  </si>
  <si>
    <t>LUIZ FRANCISCO DE MATOS</t>
  </si>
  <si>
    <t>VALDECI APARECIDO REIS DE ANDRADE</t>
  </si>
  <si>
    <t>FRANCISCO NILBERTO BEZERRA DO NASCIMENTO</t>
  </si>
  <si>
    <t>JOSE ALVES DINIZ</t>
  </si>
  <si>
    <t>VANDERLEY SOUSA GAMA FILHO</t>
  </si>
  <si>
    <t>LUIZ HENRIQUE SILVA BRAGA</t>
  </si>
  <si>
    <t>ALEXANDRE XAVIER DA SILVA</t>
  </si>
  <si>
    <t>OSAIR ALVES FAGUNDES</t>
  </si>
  <si>
    <t>WAGNER DA SILVA DE JESUS VALE</t>
  </si>
  <si>
    <t>IVAN SANTOS BALBINO DA SILVA</t>
  </si>
  <si>
    <t>LUIZ RODRIGUES DE SOUZA</t>
  </si>
  <si>
    <t>JOAO VICENTE NETO</t>
  </si>
  <si>
    <t>ALFREDO SEIFERT</t>
  </si>
  <si>
    <t>WAGNER DIOGO SANTOS</t>
  </si>
  <si>
    <t>WAGNER RIBEIRO DOS SANTOS</t>
  </si>
  <si>
    <t>FRANCISNALDO DA SILVA NEPOMUCENO</t>
  </si>
  <si>
    <t>DAVID PEREIRA LIMA</t>
  </si>
  <si>
    <t>FRANQUILANIO DA SILVA</t>
  </si>
  <si>
    <t>IVO FERREIRA DE AZEVEDO</t>
  </si>
  <si>
    <t>MAGNOBALDO PEREIRA SANTOS</t>
  </si>
  <si>
    <t>WEVERSON DA SILVA FELIPE</t>
  </si>
  <si>
    <t>FREDSON VIEIRA BRAGA</t>
  </si>
  <si>
    <t>JEAN DE LIMA GOMES</t>
  </si>
  <si>
    <t>GABRIEL AUGUSTO DE ANDRADE</t>
  </si>
  <si>
    <t>JEFISON COSTA DE OLIVEIRA</t>
  </si>
  <si>
    <t>JHONATAN DE LIMA GOMES</t>
  </si>
  <si>
    <t>JOHNATA MONTEIRO DOS SANTOS SOUZA</t>
  </si>
  <si>
    <t>OSMAR NOGUEIRA DA SILVA</t>
  </si>
  <si>
    <t>ALTAMIR REIS LUIZ</t>
  </si>
  <si>
    <t>ELETRICISTA</t>
  </si>
  <si>
    <t>IVANILDO ALEXANDRE DOS SANTOS</t>
  </si>
  <si>
    <t>IVANILDO DA SILVA LEITE</t>
  </si>
  <si>
    <t>MANACES ALVES CORREIA</t>
  </si>
  <si>
    <t>IVANILDO PASSOS DOS SANTOS</t>
  </si>
  <si>
    <t>MANOEL ARAUJO DE BARROS</t>
  </si>
  <si>
    <t>AMARILDO MAMEDE DA SILVA</t>
  </si>
  <si>
    <t>DENES GABRIEL COSTA SILVA</t>
  </si>
  <si>
    <t>AMARO NIVALDO PLINIO</t>
  </si>
  <si>
    <t>MANOEL CARLOS DA SILVA FIGUEIREDO</t>
  </si>
  <si>
    <t>GABRIEL SANTOS QUARESMA</t>
  </si>
  <si>
    <t>JOSE DE JESUS SANTOS</t>
  </si>
  <si>
    <t>MANOEL CARLOS DE SOUZA COSTA</t>
  </si>
  <si>
    <t>AMAURI FERREIRA DA SILVA</t>
  </si>
  <si>
    <t>JOSE ILARIO DOS SANTOS</t>
  </si>
  <si>
    <t>DENILSON SOARES BATISTA</t>
  </si>
  <si>
    <t>JOALDO ALVES DOS ANJOS</t>
  </si>
  <si>
    <t>JEDSON DA SILVA SANTOS</t>
  </si>
  <si>
    <t>AMILTON PEREIRA SANTOS</t>
  </si>
  <si>
    <t>JORCIRLEI ROCHA DOS SANTOS</t>
  </si>
  <si>
    <t>GENEVAL JOSE DA SILVA</t>
  </si>
  <si>
    <t>JAILSON CONCEICAO DOS SANTOS</t>
  </si>
  <si>
    <t>JOSE ANTONIO DOS SANTOS</t>
  </si>
  <si>
    <t>ANA CLAUDIA RODRIGUES BRITO</t>
  </si>
  <si>
    <t>GENILSON BATISTA CALADO</t>
  </si>
  <si>
    <t>MANOEL FRANCISCO DA SILVA HEMEL</t>
  </si>
  <si>
    <t>ANA LUCIA GONZAGA DE SOUZA</t>
  </si>
  <si>
    <t>MANOEL HENRIQUE CONCEICAO</t>
  </si>
  <si>
    <t>OZEIAS PEREIRA DE SOUSA</t>
  </si>
  <si>
    <t>MANOEL JOSE DO NASCIMENTO JUNIOR</t>
  </si>
  <si>
    <t>MANOEL MESSIAS DA CONCEICAO</t>
  </si>
  <si>
    <t>MANOEL MESSIAS DE BRITO</t>
  </si>
  <si>
    <t>GENIVALDO DA SILVA</t>
  </si>
  <si>
    <t>ANDERSON ALBERTO LAPIETRA</t>
  </si>
  <si>
    <t>GENIVALDO DOS SANTOS ARAUJO</t>
  </si>
  <si>
    <t>MANOEL OLIVEIRA NETO</t>
  </si>
  <si>
    <t>DENIS RODRIGUES DE ALMEIDA</t>
  </si>
  <si>
    <t>JOSE GERALDO DA SILVA</t>
  </si>
  <si>
    <t>JOSE IRANDIR SANTOS DE JESUS</t>
  </si>
  <si>
    <t>JOSE LUIZ GOMES DA SILVA</t>
  </si>
  <si>
    <t>JOSE DAMIAO DOS SANTOS</t>
  </si>
  <si>
    <t>JOSE PROVINO OSORIO</t>
  </si>
  <si>
    <t>IZAIAS RODRIGUES MIRANDA</t>
  </si>
  <si>
    <t>JAIME MENDES DOS SANTOS</t>
  </si>
  <si>
    <t>MANOEL PEREIRA DA SILVA</t>
  </si>
  <si>
    <t>MANOEL PEREIRA DOS SANTOS</t>
  </si>
  <si>
    <t>ANDERSON BUENO TAVARES</t>
  </si>
  <si>
    <t>MANOEL SILVA MENDES</t>
  </si>
  <si>
    <t>ANDERSON DOS SANTOS ALVES</t>
  </si>
  <si>
    <t>MANUELITO PEREIRA DA SILVA</t>
  </si>
  <si>
    <t>GENIVALDO SANTOS DE JESUS</t>
  </si>
  <si>
    <t>GEORGE DOS SANTOS BARBOSA</t>
  </si>
  <si>
    <t>OZIEL PAULO DE LIMA</t>
  </si>
  <si>
    <t>MARCELO APARECIDO FONSECA</t>
  </si>
  <si>
    <t>ANDERSON SOARES CARDOSO</t>
  </si>
  <si>
    <t>OZILINA AUGUSTINHA DE SOUZA</t>
  </si>
  <si>
    <t>MARCELO CALIXTO DE GOUVEIA</t>
  </si>
  <si>
    <t>PAOLA SABRINA RIO BRANCO</t>
  </si>
  <si>
    <t>GERALDO EVANGELISTA DE CARVALHO</t>
  </si>
  <si>
    <t>MARCELO COSTA RODRIGUES</t>
  </si>
  <si>
    <t>GERALDO GUEDES DA SILVA</t>
  </si>
  <si>
    <t>PAULO AQUINO TAVARES DE ARRUDA</t>
  </si>
  <si>
    <t>GERALDO LEONILDO DA SILVA</t>
  </si>
  <si>
    <t>MARCELO DA CONCEICAO OLIVEIRA</t>
  </si>
  <si>
    <t>DENIS SANTOS DA SILVA</t>
  </si>
  <si>
    <t>MARCELO DE PAULA VIEIRA DA SILVA</t>
  </si>
  <si>
    <t>PAULO ROBERTO DA SILVA</t>
  </si>
  <si>
    <t>GERALDO MANGELA DAMASIO</t>
  </si>
  <si>
    <t>MARCELO DOS SANTOS SANTANA</t>
  </si>
  <si>
    <t>GERALDO MANOEL DO NASCIMENTO</t>
  </si>
  <si>
    <t>ANDRE BARBOSA DE PAULA</t>
  </si>
  <si>
    <t>MARCELO JOSE DE ANDRADE</t>
  </si>
  <si>
    <t>PAULO CAMPOS MEIRELES</t>
  </si>
  <si>
    <t>ANDRE BARBOSA MATIAS</t>
  </si>
  <si>
    <t>ANDRE BORGES SOUZA</t>
  </si>
  <si>
    <t>PAULO CARDOSO DOS SANTOS</t>
  </si>
  <si>
    <t>GERSON CAETANO DO NASCIMENTO</t>
  </si>
  <si>
    <t>ANDRE FERREIRA DA SILVA</t>
  </si>
  <si>
    <t>MARCELO MARLOS EVANGELISTA</t>
  </si>
  <si>
    <t>GERSON DE JESUS SOARES</t>
  </si>
  <si>
    <t>ANDRE GUSTAVO DOS SANTOS</t>
  </si>
  <si>
    <t>GERSON FERNANDO LIMA SOUSA</t>
  </si>
  <si>
    <t>PAULO CARVALHO SOUZA</t>
  </si>
  <si>
    <t>MARCIMINO CAMPOS DA SILVA</t>
  </si>
  <si>
    <t>MARCIO DE JESUS TAMEIRAO</t>
  </si>
  <si>
    <t>MARCIO JOSE COELHO</t>
  </si>
  <si>
    <t>GERSON RODRIGUES CAVALCANTE</t>
  </si>
  <si>
    <t>GIDALTO SOUSA DE CASTRO</t>
  </si>
  <si>
    <t>MARCIO MIGUEL DE GODOY</t>
  </si>
  <si>
    <t>ANDRE LUIZ ALMEIDA PEREIRA</t>
  </si>
  <si>
    <t>ANDRE LUIZ LEITE DE JESUS</t>
  </si>
  <si>
    <t>PAULO HENRIQUE DE MELO</t>
  </si>
  <si>
    <t>ANDRE MISSIAS AMOROSO</t>
  </si>
  <si>
    <t>GILBERTO DA COSTA</t>
  </si>
  <si>
    <t>PAULO HENRIQUE MAPA</t>
  </si>
  <si>
    <t>MARCIO ROGERIO DA SILVA MARTINS</t>
  </si>
  <si>
    <t>GILBERTO DE JESUS OLIVEIRA</t>
  </si>
  <si>
    <t>GILBERTO GOMES TEIXEIRA</t>
  </si>
  <si>
    <t>PAULO HENRIQUE SILVA LEAL</t>
  </si>
  <si>
    <t>GILBERTO SILVA SANTOS</t>
  </si>
  <si>
    <t>MARCO ANTONIO MARTINS</t>
  </si>
  <si>
    <t>GILCELIO SOARES</t>
  </si>
  <si>
    <t>MARCO AURELIO FREITAS PACHECO</t>
  </si>
  <si>
    <t>GILDENE DA SILVA</t>
  </si>
  <si>
    <t>MARCOS ALEXANDRE FERREIRA CARVALHO</t>
  </si>
  <si>
    <t>GILMAR RIBEIRO</t>
  </si>
  <si>
    <t>MARCOS ALVES DA SILVA</t>
  </si>
  <si>
    <t>MARCOS AURELIO DA COSTA MONTEIRO</t>
  </si>
  <si>
    <t>GILSON ALVES DA SILVA</t>
  </si>
  <si>
    <t>PAULO JOSE RIBEIRO</t>
  </si>
  <si>
    <t>GILSON DE OLIVEIRA</t>
  </si>
  <si>
    <t>MARCOS DAMIAO MARCONDES</t>
  </si>
  <si>
    <t>MARCOS DE PAULA PRADO</t>
  </si>
  <si>
    <t>GILVAN DE JESUS ROSA</t>
  </si>
  <si>
    <t>ANDRE SOARES PADILHA LIMA</t>
  </si>
  <si>
    <t>JEFFERSON SILVA ROSA</t>
  </si>
  <si>
    <t>CHARLES DEIVIDSON DE CARVALHO</t>
  </si>
  <si>
    <t>GILVANIA VIEIRA DOS SANTOS</t>
  </si>
  <si>
    <t>FAXINEIRO(A)</t>
  </si>
  <si>
    <t>DIEGO AUGUSTO DA PAIXAO</t>
  </si>
  <si>
    <t>ANILTON RIBEIRO SOUZA</t>
  </si>
  <si>
    <t>MARCOS FRANCISCO DA SILVA</t>
  </si>
  <si>
    <t>GIRLANIO CAVALCANTE DE ALMEIDA</t>
  </si>
  <si>
    <t>DIEGO DOS SANTOS SOUZA</t>
  </si>
  <si>
    <t>JOSE FERNANDO DA SILVA</t>
  </si>
  <si>
    <t>GISLAINE ALMEIDA DE JESUS</t>
  </si>
  <si>
    <t>MARCOS PEREIRA MARINHO</t>
  </si>
  <si>
    <t>JOSE LUCINALDO DA SILVA</t>
  </si>
  <si>
    <t>JOSE MARIA DE MOURA</t>
  </si>
  <si>
    <t>GIULIANO HENRIQUE DA SILVA</t>
  </si>
  <si>
    <t>MARCOS ROBERTO DE CARVALHO</t>
  </si>
  <si>
    <t>DIJALMA OLIVEIRA SOUZA</t>
  </si>
  <si>
    <t>ANTENOR VIEIRA LIMA</t>
  </si>
  <si>
    <t>JOSE APARECIDO ALVES DA SILVA</t>
  </si>
  <si>
    <t>MARCOS SANTOS DA SILVA</t>
  </si>
  <si>
    <t>JORGE ANTONIO PEREIRA DOS REIS</t>
  </si>
  <si>
    <t>DIMAS XAVIER DE JESUS</t>
  </si>
  <si>
    <t>MARCOS TADEU NERI</t>
  </si>
  <si>
    <t>JOSE DILSON SILVA</t>
  </si>
  <si>
    <t>PAULO ROBERO MUNIZ MOREIRA</t>
  </si>
  <si>
    <t>TECNICO EM SEGURANCA DO TRABALHO PLENO</t>
  </si>
  <si>
    <t>GIVANILDO FREIRE DE NOVAES</t>
  </si>
  <si>
    <t>DIOGO DA CRUZ SILVEIRA</t>
  </si>
  <si>
    <t>ANTONIO AIRTON BARBOSA ALEXANDRE</t>
  </si>
  <si>
    <t>GLEIDSTON BANDEIRA DA SILVA</t>
  </si>
  <si>
    <t>JOSE ANTONIO COSTA</t>
  </si>
  <si>
    <t>RAIMUNDO NONATO FILHO</t>
  </si>
  <si>
    <t>DOMINGOS DA CRUZ DOS SANTOS</t>
  </si>
  <si>
    <t>JOSE FONSECA DE SOUZA</t>
  </si>
  <si>
    <t>JOAO MANOEL DA SILVA</t>
  </si>
  <si>
    <t>DOMINGOS MENEZES DANTAS</t>
  </si>
  <si>
    <t>JOSE GILBERTO DA SILVA</t>
  </si>
  <si>
    <t>GLEISON ALAN DOS SANTOS</t>
  </si>
  <si>
    <t>DOMINGOS NORBERTO RODRIGUES</t>
  </si>
  <si>
    <t>ANTONIO CARLOS ALVES RAMOS</t>
  </si>
  <si>
    <t>JO ROSA RODRIGUES</t>
  </si>
  <si>
    <t>DOMINGOS SOUZA DE OLIVEIRA</t>
  </si>
  <si>
    <t>JOAO DA COSTA NUNES</t>
  </si>
  <si>
    <t>GRACIMAR MARIA PASSOS</t>
  </si>
  <si>
    <t>JOAQUIM BATISTA DE OLIVEIRA</t>
  </si>
  <si>
    <t>ANTONIO CARLOS GOMES DE PAULA</t>
  </si>
  <si>
    <t>JOSE ALUISIO DA SILVA</t>
  </si>
  <si>
    <t>JOSE BATISTA DOS SANTOS</t>
  </si>
  <si>
    <t>JOSE FRANCISCO VARELA</t>
  </si>
  <si>
    <t>JOSE GEAN FERNANDES DA SILVA ARAUJO</t>
  </si>
  <si>
    <t>ANTONIO CARLOS RIBEIRO</t>
  </si>
  <si>
    <t>PAULO SERGIO DA SILVA</t>
  </si>
  <si>
    <t>DOUGLAS SABINO SILVA DOS SANTOS</t>
  </si>
  <si>
    <t>DURVAL SABINO DOS SANTOS</t>
  </si>
  <si>
    <t>GUSTAVO DIAS TOMAZ</t>
  </si>
  <si>
    <t>DURCINO SILVA DE BRITO</t>
  </si>
  <si>
    <t>GUSTAVO OLIVEIRA SOUZA</t>
  </si>
  <si>
    <t>JOSE JORGE DOS SANTOS</t>
  </si>
  <si>
    <t>ANTONIO CARLOS SOUSA DOS SANTOS</t>
  </si>
  <si>
    <t>PAULO VIEIRA DOS SANTOS</t>
  </si>
  <si>
    <t>ANTONIO COSME FILHO</t>
  </si>
  <si>
    <t>JOSE LUIS ALVES DA SILVA</t>
  </si>
  <si>
    <t>HELCIO SOARES SARAIVA</t>
  </si>
  <si>
    <t>JACKSON PIRES NASCIMENTO</t>
  </si>
  <si>
    <t>PEDRO AMARO DA SILVA</t>
  </si>
  <si>
    <t>JAIR SOARES DE OLIVEIRA</t>
  </si>
  <si>
    <t>JOSE CLAUDIO BARBOSA</t>
  </si>
  <si>
    <t>HELIO ALVES DE OLIVEIRA</t>
  </si>
  <si>
    <t>JOSE DE SANTANA DIAS</t>
  </si>
  <si>
    <t>ANGELO JOSE DOS SANTOS</t>
  </si>
  <si>
    <t>EDINELIA PEREIRA DOS SANTOS</t>
  </si>
  <si>
    <t>JOSE GERALDO SILVA</t>
  </si>
  <si>
    <t>HELIO DE OLIVEIRA</t>
  </si>
  <si>
    <t>ANNA KAROLINIE GALDINO DOS SANTOS</t>
  </si>
  <si>
    <t>AUXILIAR DE SEGURANCA DO TRABALHO</t>
  </si>
  <si>
    <t>HELIO FRANCISCO DE OLIVEIRA</t>
  </si>
  <si>
    <t>JOAO DA COSTA MOREIRA</t>
  </si>
  <si>
    <t>ITAMAR NOVAIS SANTOS</t>
  </si>
  <si>
    <t>PEDRO BATISTA SANTIAGO</t>
  </si>
  <si>
    <t>ANTONIO AMORIM DA SILVA</t>
  </si>
  <si>
    <t>JERONIMO LEITE DOS SANTOS</t>
  </si>
  <si>
    <t>HENRIQUE BARBOSA DE SOUSA CORDEIRO</t>
  </si>
  <si>
    <t>JORGE RUBENS MORENO SOARES</t>
  </si>
  <si>
    <t>PEDRO FLAVIO FERREIRA DA SILVA</t>
  </si>
  <si>
    <t>JOSE ANTONIO DA SILVA</t>
  </si>
  <si>
    <t>ANTONIO CARLOS DE OLIVEIRA</t>
  </si>
  <si>
    <t>HENRIQUE DOS SANTOS LANA</t>
  </si>
  <si>
    <t>EDIVALDO VALERIANO DA SILVA</t>
  </si>
  <si>
    <t>ANTONIO CARLOS PEREIRA</t>
  </si>
  <si>
    <t>EDIVAN MOURA DOS SANTOS</t>
  </si>
  <si>
    <t>JOSE ERMESSON LOPES DA SILVA</t>
  </si>
  <si>
    <t>PEDRO HELI DE CASTRO</t>
  </si>
  <si>
    <t>HERCULANO CONCEICAO DE ARAUJO</t>
  </si>
  <si>
    <t>EDJOVANE PALMA PALMITO</t>
  </si>
  <si>
    <t>JOSE LINALDO PIMENTEL SANTANA</t>
  </si>
  <si>
    <t>HIGOR SABINO</t>
  </si>
  <si>
    <t>EDMAR DE FREITAS</t>
  </si>
  <si>
    <t>JOSE LINS DA SILVA FILHO</t>
  </si>
  <si>
    <t>PEDRO LUIZ DA SILVA</t>
  </si>
  <si>
    <t>HUGO CESAR CANUTO</t>
  </si>
  <si>
    <t>JOSE MARIA PEREIRA DOS SANTOS</t>
  </si>
  <si>
    <t>EDMILSO ALVES DA SILVA</t>
  </si>
  <si>
    <t>PEDRO PAULO DE ASSIS</t>
  </si>
  <si>
    <t>HUMBERTO JOSE DA SILVA</t>
  </si>
  <si>
    <t>IDENILSON PAURA RIBEIRO</t>
  </si>
  <si>
    <t>RAFAEL DE MELO</t>
  </si>
  <si>
    <t>IGOR SANTOS PALMEIRA</t>
  </si>
  <si>
    <t>ILDETE ARAUJO COELHO</t>
  </si>
  <si>
    <t>ANTONIO DA CONCEICAO SANTOS</t>
  </si>
  <si>
    <t>IRAM MOREIRA DOS SANTOS</t>
  </si>
  <si>
    <t>IRENO DE JESUS SOUZA</t>
  </si>
  <si>
    <t>IRINEU DE LIMA ASSUMPCAO</t>
  </si>
  <si>
    <t>ANTONIO DE LIMA RIBEIRO</t>
  </si>
  <si>
    <t>EDMILSON BATISTA DO NASCIMENTO</t>
  </si>
  <si>
    <t>RAFAEL LIMA CARDOSO</t>
  </si>
  <si>
    <t>EDMILSON LOPES SALES</t>
  </si>
  <si>
    <t>IRISMAR BARBOSA SILVA</t>
  </si>
  <si>
    <t>RAFAEL OLIVEIRA MATOS</t>
  </si>
  <si>
    <t>RAFAEL RODRIGUES DA SILVA</t>
  </si>
  <si>
    <t>ISAIA DE ANDRADE CRUZ DUARTE</t>
  </si>
  <si>
    <t>ANTONIO FERREIRA FILHO</t>
  </si>
  <si>
    <t>EDMILSON TAVARES RAMOS</t>
  </si>
  <si>
    <t>EDMUNDO DE OLIVEIRA SOUZA</t>
  </si>
  <si>
    <t>ANTONIO GOMES DA MOTA</t>
  </si>
  <si>
    <t>EDNA MONTEIRO DE TOLEDO</t>
  </si>
  <si>
    <t>ISAQUIEL OLIMPIO BERNARDO</t>
  </si>
  <si>
    <t>RAFAEL THEODORO LEITE OLIVEIRA</t>
  </si>
  <si>
    <t>EDNALDO DE LIMA SILVA</t>
  </si>
  <si>
    <t>EDNILSON CARLOS ARCANJO DE JESUS</t>
  </si>
  <si>
    <t>RAILDO PEREIRA DE OLIVEIRA</t>
  </si>
  <si>
    <t>ANTONIO JOSE DE OLIVEIRA</t>
  </si>
  <si>
    <t>EDSON ALBERTINO DA COSTA SILVA</t>
  </si>
  <si>
    <t>RAIMUNDA MARIA DE FREITAS SOUZA</t>
  </si>
  <si>
    <t>EDSON ALMEIDA BONFIM</t>
  </si>
  <si>
    <t>ANTONIO JOSE DOS SANTOS</t>
  </si>
  <si>
    <t>EDSON ANTONIO DA SILVA</t>
  </si>
  <si>
    <t>RAIMUNDA TELES DE ALMEIDA</t>
  </si>
  <si>
    <t>EDSON BERNARDO DA SILVA</t>
  </si>
  <si>
    <t>CAIO PINHEIRO DE SOUSA</t>
  </si>
  <si>
    <t>EDSON BEZERRA DO NASCIMENTO</t>
  </si>
  <si>
    <t>ANTONIO LAERCIO DA SILVA</t>
  </si>
  <si>
    <t>BRUNO SANTOS PINA</t>
  </si>
  <si>
    <t>BRUNO SANTANA DE SA</t>
  </si>
  <si>
    <t>RAIMUNDO JOSE DA SILVA</t>
  </si>
  <si>
    <t>EDSON BRAZ DA SILVA FILHO</t>
  </si>
  <si>
    <t>ANTONIO LIMA DE LACERDA</t>
  </si>
  <si>
    <t>BRUNO PIZOLI DE MORAIS</t>
  </si>
  <si>
    <t>EDSON CARLOS DA SILVA</t>
  </si>
  <si>
    <t>RAIMUNDO JOSE DE SANTANA</t>
  </si>
  <si>
    <t>ANTONIO LUIS SEVERO</t>
  </si>
  <si>
    <t>RAIMUNDO RODRIGUES DOS SANTOS</t>
  </si>
  <si>
    <t>ANTONIO MARCOS MARQUES</t>
  </si>
  <si>
    <t>RAMON RICHARD DA SILVA</t>
  </si>
  <si>
    <t>BRUNO LOPES DA SILVA</t>
  </si>
  <si>
    <t>ANTONIO MARTINS DA SILVA</t>
  </si>
  <si>
    <t>RANIERE GOMES DA SILVA</t>
  </si>
  <si>
    <t>EDSON FERREIRA DA SILVA</t>
  </si>
  <si>
    <t>BRUNO FERNANDES DA SILVA</t>
  </si>
  <si>
    <t>RAUL APARECIDO LADISLAU</t>
  </si>
  <si>
    <t>REGINALDO ASSUMPCAO GARCIA</t>
  </si>
  <si>
    <t>EDSON NASCIMENTO DA SILVA</t>
  </si>
  <si>
    <t>NACISIO JANUARIO DOS SANTOS</t>
  </si>
  <si>
    <t>EDUARDO AMAURI ALVES DA SILVA</t>
  </si>
  <si>
    <t>BENEDITO SOARES DA SILVA</t>
  </si>
  <si>
    <t>EDUARDO ANDRADE DE SANTANA</t>
  </si>
  <si>
    <t>REGINALDO DA SILVA</t>
  </si>
  <si>
    <t>ANTONIO TEIXEIRA VASCONCELOS</t>
  </si>
  <si>
    <t>EDUARDO FELIPE LIRA PACHECO</t>
  </si>
  <si>
    <t>EDUARDO LOPES DA COSTA</t>
  </si>
  <si>
    <t>EDSON DE JESUS GUERRA</t>
  </si>
  <si>
    <t>EDSON LINO DE JESUS</t>
  </si>
  <si>
    <t>JACO LAURIANO DA SILVA</t>
  </si>
  <si>
    <t>JEOVA SULPINO COSTA</t>
  </si>
  <si>
    <t>EDVALDO ALVES</t>
  </si>
  <si>
    <t>EDVALDO ARAUJO DO NASCIMENTO</t>
  </si>
  <si>
    <t>REGINALDO FLORENCIO DA SILVA</t>
  </si>
  <si>
    <t>EDVALDO DA SILVA FERREIRA</t>
  </si>
  <si>
    <t>RICARDO RODRIGUES DAS NEVES</t>
  </si>
  <si>
    <t>EDVALDO NASCIMENTO SILVA</t>
  </si>
  <si>
    <t>JOSE ANTONIO DA SILVA FILHO</t>
  </si>
  <si>
    <t>JOSE APARECIDO BARBOSA DE SOUZA</t>
  </si>
  <si>
    <t>EDVALDO ROCHA DE LIMA</t>
  </si>
  <si>
    <t>EDVALDO RUFINO PEREIRA</t>
  </si>
  <si>
    <t>APARECIDA DE FATIMA RODRIGUES DE CASTRO</t>
  </si>
  <si>
    <t>EDVAN ALVES PINHEIRO</t>
  </si>
  <si>
    <t>RENATO LUIZ PEREIRA</t>
  </si>
  <si>
    <t>JOSE CARLOS HENRIQUE DA SILVA</t>
  </si>
  <si>
    <t>RENATO LUIZ DOS SANTOS</t>
  </si>
  <si>
    <t>APARECIDO DA SILVA</t>
  </si>
  <si>
    <t>JOSE NILTON BASTOS DE OLIVEIRA</t>
  </si>
  <si>
    <t>RENATO FELICIANO</t>
  </si>
  <si>
    <t>JOSE RAIMUNDO DAS CHAGAS</t>
  </si>
  <si>
    <t>EDVAN RIBEIRO DOS SANTOS</t>
  </si>
  <si>
    <t>JOSE EDELSON REIS</t>
  </si>
  <si>
    <t>RENATO DA SILVA PIRES</t>
  </si>
  <si>
    <t>RENATO DA CONCEICAO LUIZ</t>
  </si>
  <si>
    <t>JONAS FERREIRA DA SILVA</t>
  </si>
  <si>
    <t>ELIANE CICERA DUARTE CARDOZO</t>
  </si>
  <si>
    <t>RENATO CALIXTO DE GOUVEIA</t>
  </si>
  <si>
    <t>JONATAS BARBOSA DE OLIVEIRA</t>
  </si>
  <si>
    <t>MARCO ANTONIO DA SILVA</t>
  </si>
  <si>
    <t>REMI GONCALVES DOS SANTOS</t>
  </si>
  <si>
    <t>JOSE JEDSON NICACIO DOS SANTOS</t>
  </si>
  <si>
    <t>ELIAS FERREIRA DOS SANTOS</t>
  </si>
  <si>
    <t>REINALDO MARINHO DO NASCIMENTO</t>
  </si>
  <si>
    <t>EDVALDO FORTUNATO DA SILVA</t>
  </si>
  <si>
    <t>ASSISTENTE ADMINISTRATIVO</t>
  </si>
  <si>
    <t>REGIVAN FERNANDES DOS SANTOS</t>
  </si>
  <si>
    <t>APARECIDO PEDRO DA SILVA</t>
  </si>
  <si>
    <t>REGINALDO GOMES DE LIMA</t>
  </si>
  <si>
    <t>REGINALDO QUERINO DE SOUZA</t>
  </si>
  <si>
    <t>OZEIAS ROSA BARBOSA</t>
  </si>
  <si>
    <t>OZEILDO CONCEICAO NASCIMENTO</t>
  </si>
  <si>
    <t>EGUINALDO ULISSES DO NASCIMENTO</t>
  </si>
  <si>
    <t>MARIVALDO DOS SANTOS DA PAIXAO</t>
  </si>
  <si>
    <t>ARIACILDO BARROS VIEIRA</t>
  </si>
  <si>
    <t>AURELINO DE ALMEIDA SANTOS</t>
  </si>
  <si>
    <t>ARMANDO IZIDIO DOS SANTOS</t>
  </si>
  <si>
    <t>AURELIANO MATIAS MARTINS</t>
  </si>
  <si>
    <t>BENEDITO AMORIM DA SILVA</t>
  </si>
  <si>
    <t>REGINALDO CANDIDO DOS SANTOS</t>
  </si>
  <si>
    <t>RICARDO APARECIDO FERNANDO DE OLIVEIRA</t>
  </si>
  <si>
    <t>ARNALDO FREITAS DO NASCIMENTO</t>
  </si>
  <si>
    <t>BARTOLOMEU SEBASTIAO FELICIANO</t>
  </si>
  <si>
    <t>ARIVALDO DIAS DE ANDRADE</t>
  </si>
  <si>
    <t>ARISVALDO DE OLIVEIRA</t>
  </si>
  <si>
    <t>ARISVALDO LARANJEIRA DA SILVA NASCIMENTO</t>
  </si>
  <si>
    <t>ARNALDO ALVES DE JESUS</t>
  </si>
  <si>
    <t>ANTONIO FRANCISCO GUIMARAES FEITOSA</t>
  </si>
  <si>
    <t>ARNALDO DA SILVA</t>
  </si>
  <si>
    <t>PETRONILIO MACARIO DOS SANTOS</t>
  </si>
  <si>
    <t>ANTONIO DE SOUSA NETO</t>
  </si>
  <si>
    <t>ASSISTENTE DE DEPARTAMENTO PESSOAL</t>
  </si>
  <si>
    <t>DEVAIR MOREIRA ARAUJO</t>
  </si>
  <si>
    <t>ELETRICISTA ADM</t>
  </si>
  <si>
    <t>FILIPE NASCIMENTO DE PAULA</t>
  </si>
  <si>
    <t>JOAO ANDRE GALVAO</t>
  </si>
  <si>
    <t>PEDREIRO PLENO</t>
  </si>
  <si>
    <t>SOLDADOR</t>
  </si>
  <si>
    <t>MARCELO CANDIDO DOS SANTOS</t>
  </si>
  <si>
    <t>MARCUS VINICIUS PIRES</t>
  </si>
  <si>
    <t>PATRICK DOS SANTOS DANTAS</t>
  </si>
  <si>
    <t>ROBSON AMORIM DOS SANTOS</t>
  </si>
  <si>
    <t>SERVENTE</t>
  </si>
  <si>
    <t>SERRALHEIRO</t>
  </si>
  <si>
    <t>VANDECIR GOMES DA SILVA</t>
  </si>
  <si>
    <t>SUPERVISOR OPERACIONAL</t>
  </si>
  <si>
    <t>EDILEUMA DE SOUZA CAETANO</t>
  </si>
  <si>
    <t>ELIANA GONCALVES DA SILVA</t>
  </si>
  <si>
    <t>JOICE MARIA DO NASCIMENTO</t>
  </si>
  <si>
    <t>SANDRO HARUO AGUENA</t>
  </si>
  <si>
    <t>ROBERTO CARLOS DA SILVA</t>
  </si>
  <si>
    <t>SUPERVISOR DE TRAFEGO</t>
  </si>
  <si>
    <t>RENATO PAULINO DOS ANJOS</t>
  </si>
  <si>
    <t>ENCARREGADO DE CONTROLE DE MANUTENCAO</t>
  </si>
  <si>
    <t>FABIO DA COSTA FERNANDES</t>
  </si>
  <si>
    <t>ENCARREGADO DE PLANEJAMENTO</t>
  </si>
  <si>
    <t>GUSTAVO VALZACHI BENATTI</t>
  </si>
  <si>
    <t>GERENTE OPERACIONAL</t>
  </si>
  <si>
    <t>VICTOR ROLOFF MARQUES</t>
  </si>
  <si>
    <t>GERENTE DE FROTA</t>
  </si>
  <si>
    <t>JOAO PAULO SALES DE PAULA</t>
  </si>
  <si>
    <t>GERENTE DE PLANEJAMENTO</t>
  </si>
  <si>
    <t>DJAIR PATRICIO DA SILVA</t>
  </si>
  <si>
    <t>MONICA PAULA DA SILVA</t>
  </si>
  <si>
    <t>COORDENADOR(A) DE COMUNICACAO</t>
  </si>
  <si>
    <t>PRISCILA ALVES DE LIMA SILVA</t>
  </si>
  <si>
    <t>PAMELA SUELEN FIORENTINI</t>
  </si>
  <si>
    <t>AUXILIAR DE CONTROLE OPERACIONAL</t>
  </si>
  <si>
    <t>JULIANA CORREA DE BARROS</t>
  </si>
  <si>
    <t>BILLY JOE ZAKARIAN</t>
  </si>
  <si>
    <t>RAFAEL COSTA BORGES PEREIRA</t>
  </si>
  <si>
    <t>CRISTIANO DA SILVA OLIVEIRA</t>
  </si>
  <si>
    <t>LEONARDO FRANCISCO DOS SANTOS</t>
  </si>
  <si>
    <t>CRISTIANO APARECIDO VIEIRA LUZ</t>
  </si>
  <si>
    <t>ASSISTENTE DE ALMOXARIFADO</t>
  </si>
  <si>
    <t>DANIEL SOUZA SANTOS ALEXANDRE</t>
  </si>
  <si>
    <t>DANIEL ALEXANDRE DA COSTA MARQUES</t>
  </si>
  <si>
    <t>MECANICO III</t>
  </si>
  <si>
    <t>ERIVALDO TIBURCIO DE MELO</t>
  </si>
  <si>
    <t>MARIA DE FATIMA CORREIA DA SILVA</t>
  </si>
  <si>
    <t>KARINA CRISTINA BORGES DOS SANTOS</t>
  </si>
  <si>
    <t>ENGENHEIRO COORDENADOR QSMS</t>
  </si>
  <si>
    <t>MARIA APARECIDA NOBRE CAVALCANTE</t>
  </si>
  <si>
    <t>ELEN CRISTINA GOMES</t>
  </si>
  <si>
    <t>ANDERSON SOUZA DE OLIVEIRA</t>
  </si>
  <si>
    <t>ALEX DE SOUZA SILVA</t>
  </si>
  <si>
    <t>ASSISTENTE DE RECURSOS HUMANOS</t>
  </si>
  <si>
    <t>PAULO BATISTA FERNANDES</t>
  </si>
  <si>
    <t>WILLIAM LUIZ DA SILVA</t>
  </si>
  <si>
    <t>TECNICA DE ENFERMAGEM DO TRABALHO</t>
  </si>
  <si>
    <t>ANDRE LUIZ MOTTA</t>
  </si>
  <si>
    <t>JOSE ROBERTO MARQUES DE LIMA</t>
  </si>
  <si>
    <t>ANTONIO DOMINGOS MILANO</t>
  </si>
  <si>
    <t>MEDICO DO TRABALHO</t>
  </si>
  <si>
    <t>RENALDO VIEIRA SANTOS</t>
  </si>
  <si>
    <t>BARBARA BAUSCHERT</t>
  </si>
  <si>
    <t>ANALISTA JURIDICO</t>
  </si>
  <si>
    <t>WILLIAN DOS SANTOS LOPES</t>
  </si>
  <si>
    <t>VANILTON DOS SANTOS</t>
  </si>
  <si>
    <t>LILIANE ROSA FURTADO DA SILVA</t>
  </si>
  <si>
    <t>RICARDO APARECIDO DA CONCEICAO</t>
  </si>
  <si>
    <t>MARCELO SILVA DE OLIVEIRA</t>
  </si>
  <si>
    <t>VITOR BARRETO DOS SANTOS</t>
  </si>
  <si>
    <t>PAULO CESAR SILVA SANTOS</t>
  </si>
  <si>
    <t>WILLI CORREIA DOS SANTOS</t>
  </si>
  <si>
    <t>ROBERSON DOS SANTOS ALVES</t>
  </si>
  <si>
    <t>PAULO CARLOS PRADO LOURENCO</t>
  </si>
  <si>
    <t>REGIS RODRIGUES DE OLIVEIRA</t>
  </si>
  <si>
    <t>ALEX JUNIOR FERREIRA DE MELO</t>
  </si>
  <si>
    <t>NATANAEL ALBINO DE OLIVEIRA</t>
  </si>
  <si>
    <t>MARIA ISABEL DA SILVA NUNES</t>
  </si>
  <si>
    <t>GUILHERME DA SILVA FIM</t>
  </si>
  <si>
    <t>EDNALDO BARBOSA SILVA</t>
  </si>
  <si>
    <t>JOSE RIBEIRO DE MOURA</t>
  </si>
  <si>
    <t>FABIO ROBERTO DOS SANTOS</t>
  </si>
  <si>
    <t>VALDIR ROCHSTROCH BATISTA</t>
  </si>
  <si>
    <t>RONALDO ROCHA DA SILVA</t>
  </si>
  <si>
    <t>VAGNER VIANA</t>
  </si>
  <si>
    <t>JOVELINO MANOEL DA SILVA</t>
  </si>
  <si>
    <t>MOISES MENDES DE QUEIROZ</t>
  </si>
  <si>
    <t>ADINALDO MORAIS</t>
  </si>
  <si>
    <t>CARLOS EDUARDO DOS REIS</t>
  </si>
  <si>
    <t>MARCOS PAIVA DA SILVA</t>
  </si>
  <si>
    <t>ERDILENE RODRIGUES DE SOUSA</t>
  </si>
  <si>
    <t>ROGERIO SILVA PEREIRA</t>
  </si>
  <si>
    <t>RICARDO PINTO DA CONCEICAO</t>
  </si>
  <si>
    <t>REGINALDO DE OLIVEIRA COUTO</t>
  </si>
  <si>
    <t>FABIO ALVES DE LIMA</t>
  </si>
  <si>
    <t>THIAGO RANGEL DA SILVA</t>
  </si>
  <si>
    <t>JANAUCI LUIZ DOS SANTOS</t>
  </si>
  <si>
    <t>WILLINS RODRIGO TEODORO</t>
  </si>
  <si>
    <t>BRUNO DOS SANTOS SILVA</t>
  </si>
  <si>
    <t>MARCOS CAIQUE DE SOUZA SANTOS</t>
  </si>
  <si>
    <t>MAURICIO CAMPOS DOS SANTOS</t>
  </si>
  <si>
    <t>ALEX SANDRO DA SILVA XAVIER</t>
  </si>
  <si>
    <t>EMANOEL GOMES DA SILVA</t>
  </si>
  <si>
    <t>FELIPE GOMES DA SILVA</t>
  </si>
  <si>
    <t>WESLEY SILVA COSTA</t>
  </si>
  <si>
    <t>ELISANGELA VIEIRA DE SOUZA CORREIA</t>
  </si>
  <si>
    <t>VITOR DA CRUZ SANTOS</t>
  </si>
  <si>
    <t>DANIEL MARCOS DA SILVA</t>
  </si>
  <si>
    <t>RODRIGO SOARES</t>
  </si>
  <si>
    <t>JOSE JOELTON DOS SANTOS</t>
  </si>
  <si>
    <t>JOSE ALBERTO DE CASTRO BESERRA</t>
  </si>
  <si>
    <t>DAVID BARBOSA EVANGELISTA</t>
  </si>
  <si>
    <t>CARLOS RICARDO RAMOS DOS SANTOS</t>
  </si>
  <si>
    <t>FABIO JOSE DOS SANTOS</t>
  </si>
  <si>
    <t>PEDREIRO</t>
  </si>
  <si>
    <t>WAGNER BARBOSA DA SILVA</t>
  </si>
  <si>
    <t>ARNALDO BATISTA DE SOUSA</t>
  </si>
  <si>
    <t>EDUARDO EVANGELISTA DE CARVALHO</t>
  </si>
  <si>
    <t>CLEBSMAR ROCHA DE ALMEIDA</t>
  </si>
  <si>
    <t>LUCIANO FRANCISCO DOS SANTOS</t>
  </si>
  <si>
    <t>ANDERSON SILVA PEREIRA</t>
  </si>
  <si>
    <t>CICERO DIAS FERREIRA</t>
  </si>
  <si>
    <t>REINALDO ARAUJO DOS SANTOS</t>
  </si>
  <si>
    <t>JOAO JOAQUIM DOS SANTOS FILHO</t>
  </si>
  <si>
    <t>ANDRE GONCALVES CRUZ</t>
  </si>
  <si>
    <t>GLEYSSON NASCIMENTO DOS SANTOS</t>
  </si>
  <si>
    <t>EMERSON JESUS DO CARMO</t>
  </si>
  <si>
    <t>CARLOS ALBERTO ALVES</t>
  </si>
  <si>
    <t>RAFAEL LIMA SOUZA</t>
  </si>
  <si>
    <t>FABRICIO REGIS DO REGO</t>
  </si>
  <si>
    <t>ADRIANO OLIVEIRA DOS SANTOS</t>
  </si>
  <si>
    <t>ANDERSON FERNANDES DA SILVA</t>
  </si>
  <si>
    <t>MARCOS ANTONIO BERNARDINO DE SENA</t>
  </si>
  <si>
    <t>ADINALDO DE OLIVEIRA BASTOS</t>
  </si>
  <si>
    <t>ANALCASSIS LAMBIAZZI</t>
  </si>
  <si>
    <t>ANDERSON DE ALMEIDA SILVA</t>
  </si>
  <si>
    <t>ANDRE DA SILVA LIVERO</t>
  </si>
  <si>
    <t>ANDRE LOPES DE SOUZA</t>
  </si>
  <si>
    <t>ANDRE LUIZ MIGUEL</t>
  </si>
  <si>
    <t>CARLOS EDUARDO MACHADO SANTOS</t>
  </si>
  <si>
    <t>CLENILSON REIS SANTOS</t>
  </si>
  <si>
    <t>DANILO DE ALMEIDA</t>
  </si>
  <si>
    <t>EDSON CARLOS DOS SANTOS</t>
  </si>
  <si>
    <t>ELISANGELA BARRETO OLIVEIRA</t>
  </si>
  <si>
    <t>ERIK RIBEIRO DA SILVA</t>
  </si>
  <si>
    <t>FABIO DOS SANTOS SOUZA</t>
  </si>
  <si>
    <t>FABIANO SILVA LEITAO</t>
  </si>
  <si>
    <t>GUSTAVO DO NASCIMENTO BATISTA</t>
  </si>
  <si>
    <t>NILVAN CHARLES NUNES LOPES</t>
  </si>
  <si>
    <t>JOSE REGINALDO DA SILVA</t>
  </si>
  <si>
    <t>MARCELO DE OLIVEIRA FELIPE</t>
  </si>
  <si>
    <t>FELIPE DOS SANTOS</t>
  </si>
  <si>
    <t>ROBERTO DA CRUZ RIBEIRO DA SILVA</t>
  </si>
  <si>
    <t>MAURO MIGUEL SATO DE LIMA</t>
  </si>
  <si>
    <t>RENATO MARQUES DE SOUSA</t>
  </si>
  <si>
    <t>LEANDRO SILVA DE SOUZA</t>
  </si>
  <si>
    <t>PAULO RICARDO SOARES SILVA DOS SANTOS</t>
  </si>
  <si>
    <t>JOSE ADALBERTO CORREIA</t>
  </si>
  <si>
    <t>RONILDO MENDES SOUZA</t>
  </si>
  <si>
    <t>WILSON CAMARGO DE AMANCIO</t>
  </si>
  <si>
    <t>LEONARDO JOSE DA SILVA</t>
  </si>
  <si>
    <t>MILTON MILET DE JESUS CASSEMIRO</t>
  </si>
  <si>
    <t>VALDEIR SILVA LEITAO</t>
  </si>
  <si>
    <t>MARCOS BRITO DA SILVA</t>
  </si>
  <si>
    <t>ANDERSON TAVARES OLIVEIRA</t>
  </si>
  <si>
    <t>NIVALDO MARQUES DOS SANTOS</t>
  </si>
  <si>
    <t>ADEILTON GOMES DA SILVA</t>
  </si>
  <si>
    <t>FLAVIO DOS SANTOS MALAQUIAS</t>
  </si>
  <si>
    <t>HELIO CORDEIRO LUCIO</t>
  </si>
  <si>
    <t>WILSON CARDOSO BARBOSA</t>
  </si>
  <si>
    <t>FRANCISCO GEAN PEREIRA DE ARAUJO</t>
  </si>
  <si>
    <t>ODAIR DA SILVA HESSEL</t>
  </si>
  <si>
    <t>JAIR VIEIRA DA COSTA</t>
  </si>
  <si>
    <t>CLEBIO SOUZA SANTOS</t>
  </si>
  <si>
    <t>DANIEL CARDOSO DA SILVA</t>
  </si>
  <si>
    <t>ADEMIR HENRIQUE DO NASCIMENTO</t>
  </si>
  <si>
    <t>DAMIAO COSTA PEREIRA DOS SANTOS</t>
  </si>
  <si>
    <t>ELVIS DOS SANTOS BATISTA</t>
  </si>
  <si>
    <t>FELIPE CESAR SATO AZEVEDO</t>
  </si>
  <si>
    <t>JOELIO DE OLIVEIRA NASCIMENTO</t>
  </si>
  <si>
    <t>JOSE CARLOS PEREIRA DOS SANTOS</t>
  </si>
  <si>
    <t>JHONATAN SILVIO RODRIGUES</t>
  </si>
  <si>
    <t>JOSE RAIMUNDO DA SILVA</t>
  </si>
  <si>
    <t>KELVIN CARLOS DE SOUSA AMORIM</t>
  </si>
  <si>
    <t>MATHEUS SILVA DA CUNHA</t>
  </si>
  <si>
    <t>NATHALIA APARECIDA OLIVEIRA MENDES</t>
  </si>
  <si>
    <t>RENAN BARBOSA SILVA</t>
  </si>
  <si>
    <t>MARCOS SANTANA DE JESUS</t>
  </si>
  <si>
    <t>ROGERIO ALEXANDRE DE SOUZA</t>
  </si>
  <si>
    <t>RUBENS DA ROCHA</t>
  </si>
  <si>
    <t>VALCI OLIVEIRA DOS SANTOS</t>
  </si>
  <si>
    <t>JOSE SILVA DE CARVALHO</t>
  </si>
  <si>
    <t>IGOR SANTOS SILVA</t>
  </si>
  <si>
    <t>WAGNER VARGENS DE ALMEIDA</t>
  </si>
  <si>
    <t>ILSON ROBERTO FONSECA</t>
  </si>
  <si>
    <t>JOSE ROSA DE LIMA</t>
  </si>
  <si>
    <t>FRANCISCO DE ASSIS SOUZA</t>
  </si>
  <si>
    <t>RONIE FERREIRA DOS SANTOS</t>
  </si>
  <si>
    <t>ROMILDO DOS SANTOS SILVA</t>
  </si>
  <si>
    <t>ISRAEL DO NASCIMENTO SILVA</t>
  </si>
  <si>
    <t>AIRTON DE JESUS SANTOS</t>
  </si>
  <si>
    <t>ANDERSON BARROS DA SILVA</t>
  </si>
  <si>
    <t>ANTONIO RODRIGUES DA SILVA</t>
  </si>
  <si>
    <t>ALECIO CARVALHO DA SILVA</t>
  </si>
  <si>
    <t>EDIVALDO SILVA DA COSTA</t>
  </si>
  <si>
    <t>PAULO FRANCISCO DO PRADO SILVA</t>
  </si>
  <si>
    <t>WAGNER SANTANA XAVIER</t>
  </si>
  <si>
    <t>CRISTIANO BASTOS DE OLIVEIRA</t>
  </si>
  <si>
    <t>JOSE LOURENCO DE SOUSA</t>
  </si>
  <si>
    <t>JAMES RODRIGUES DA SILVA</t>
  </si>
  <si>
    <t>MAURO JOSE DE JESUS SILVA</t>
  </si>
  <si>
    <t>FELIPE CUSTODIO DA SILVA</t>
  </si>
  <si>
    <t>EDIVAN FERREIRA DA SILVA</t>
  </si>
  <si>
    <t>CICERO FERREIRA DA SILVA</t>
  </si>
  <si>
    <t>MARCELO ROBERTO DE OLIVEIRA</t>
  </si>
  <si>
    <t>ADEMILSON DE JESUS</t>
  </si>
  <si>
    <t>ANTONIO DEODATO DE ALBUQUERQUE</t>
  </si>
  <si>
    <t>ORLANDO DE SOUZA BATISTA</t>
  </si>
  <si>
    <t>EDINEI RAMOS DE LIMA</t>
  </si>
  <si>
    <t>KATIA CONCEICAO ROCHA</t>
  </si>
  <si>
    <t>FELIPE DE SOUZA TELES</t>
  </si>
  <si>
    <t>FELIPE DE JESUS</t>
  </si>
  <si>
    <t>MARCELO DE SOUZA JACO DOS SANTOS</t>
  </si>
  <si>
    <t>SILVIO SOARES VIEIRA</t>
  </si>
  <si>
    <t>KELLINGTON ALVES PEREIRA</t>
  </si>
  <si>
    <t>LEANDRO GOMES DA SILVA</t>
  </si>
  <si>
    <t>CLAUDIONOR PROCOPIO DE OLIVEIRA</t>
  </si>
  <si>
    <t>JORNANDES JOSE BATISTA</t>
  </si>
  <si>
    <t>FLAVIO MANOEL DUARTE</t>
  </si>
  <si>
    <t>CARLOS ALBERTO VIEIRA</t>
  </si>
  <si>
    <t>CLAUDEMIR APARECIDO DE FREITAS</t>
  </si>
  <si>
    <t>NELSON NASCIMENTO DE OLIVEIRA JUNIOR</t>
  </si>
  <si>
    <t>MARIANA OLIVEIRA</t>
  </si>
  <si>
    <t>JULIA KATHLEEN OLIVEIRA DOS SANTOS</t>
  </si>
  <si>
    <t>LIGIA GOMES DA CRUZ</t>
  </si>
  <si>
    <t>FELIPE MENDES DO AMARANTE SOUSA</t>
  </si>
  <si>
    <t>DENSON RIBEIRO DA SILVA</t>
  </si>
  <si>
    <t>JAQUELINE DE ANDRADE GARCIA</t>
  </si>
  <si>
    <t>GABRIEL DA SILVA PRADO</t>
  </si>
  <si>
    <t>JOSE ROBSON DA SILVA</t>
  </si>
  <si>
    <t>LUIZ HENRIQUE SANTOS DE OLIVEIRA</t>
  </si>
  <si>
    <t>CARLOS APARIZ BARBOSA</t>
  </si>
  <si>
    <t>JACIRA DA SILVA ALBANO</t>
  </si>
  <si>
    <t>ALEX JULIO SILVA PEREIRA</t>
  </si>
  <si>
    <t>SIMONE MORAIS DOS SANTOS</t>
  </si>
  <si>
    <t>LEANDRO SOARES DA CRUZ</t>
  </si>
  <si>
    <t>CARLOS ALBERTO BISPO DA CRUZ</t>
  </si>
  <si>
    <t>EVERTON FREITAS DA SILVA</t>
  </si>
  <si>
    <t>MAURO SERGIO DOS SANTOS MENDES</t>
  </si>
  <si>
    <t>CICERO SILVA FRANCO</t>
  </si>
  <si>
    <t>ALAN ROCHA DA SILVA</t>
  </si>
  <si>
    <t>DIEGO SANTOS MUNIZ ALMEIDA</t>
  </si>
  <si>
    <t>ADRIANO MARCELO DOS SANTOS</t>
  </si>
  <si>
    <t>THIAGO PEREIRA DA COSTA</t>
  </si>
  <si>
    <t>RODRIGO PEREIRA BARROS</t>
  </si>
  <si>
    <t>VALTER PEREIRA</t>
  </si>
  <si>
    <t>SIDNEY APARECIDO FERREIRA</t>
  </si>
  <si>
    <t>ROBERTO SOARES CARDOSO</t>
  </si>
  <si>
    <t>VALDINEI GONCALVES DOS SANTOS</t>
  </si>
  <si>
    <t>ADRIANO DE PAIVA BOTELHO</t>
  </si>
  <si>
    <t>DIEGO SANTOS NASCIMENTO</t>
  </si>
  <si>
    <t>DOUGLAS BARRETO DE SOUSA</t>
  </si>
  <si>
    <t>MARCIO JOSE DE LIMA BARBOSA</t>
  </si>
  <si>
    <t>ISAQUE DE LIMA</t>
  </si>
  <si>
    <t>RENAN RODRIGUES DE FREITAS</t>
  </si>
  <si>
    <t>JULIANA DA SILVA ANDREOLI</t>
  </si>
  <si>
    <t>GERALDO CORREA</t>
  </si>
  <si>
    <t>IVANILDO SANTOS NOVAIS</t>
  </si>
  <si>
    <t>RUDINEI SILVA FERREIRA DA CRUZ</t>
  </si>
  <si>
    <t>HENRIQUE LISBOA DA SILVA</t>
  </si>
  <si>
    <t>CLAUDIO HENRIQUE RUFINO RODRIGUES</t>
  </si>
  <si>
    <t>GUILHERME MARINHO DOS SANTOS</t>
  </si>
  <si>
    <t>RICARDO GOMES</t>
  </si>
  <si>
    <t>LUIZ PAULO WANDERLEY DE CARVALHO</t>
  </si>
  <si>
    <t>VICTOR GUILHERME DE PAULA</t>
  </si>
  <si>
    <t>GABRIEL BARBOSA SOUZA</t>
  </si>
  <si>
    <t>DAVID DA SILVA QUIRINO</t>
  </si>
  <si>
    <t>RHUAN MATHEUS PEREIRA BARRETO</t>
  </si>
  <si>
    <t>AMARILDO LOPES SANTANA</t>
  </si>
  <si>
    <t>TIAGO ALVES CORREIA</t>
  </si>
  <si>
    <t>KEVIN DANNIEL CARDOSO DA SILVA</t>
  </si>
  <si>
    <t>LORIVAL LOPES</t>
  </si>
  <si>
    <t>JOSE IVANALDO DA SILVA</t>
  </si>
  <si>
    <t>GILSON MUNIZ SILVA</t>
  </si>
  <si>
    <t>COSME COSTA FERREIRA DA SILVA</t>
  </si>
  <si>
    <t>MAURICIO DA LUZ SARDINHA</t>
  </si>
  <si>
    <t>DANIELE CRISTINA PEDRO</t>
  </si>
  <si>
    <t>NADIO BORBA DOS SANTOS</t>
  </si>
  <si>
    <t>MATHEUS BATISTA CELSO</t>
  </si>
  <si>
    <t>ERIC DOS SANTOS PINTO</t>
  </si>
  <si>
    <t>GUILHERME PIOVESAN CUSTODIO</t>
  </si>
  <si>
    <t>ADILSON FERREIRA DO NASCIMENTO</t>
  </si>
  <si>
    <t>PAULO CESAR RODRIGUES</t>
  </si>
  <si>
    <t>CLAUDIO DA SILVA GOMES</t>
  </si>
  <si>
    <t>FERNANDO SARDINHA MIGUEL DE LIMA</t>
  </si>
  <si>
    <t>GERRI ALVES DOS SANTOS</t>
  </si>
  <si>
    <t>ID</t>
  </si>
  <si>
    <t>REGIONAL</t>
  </si>
  <si>
    <t>NOME</t>
  </si>
  <si>
    <t>CARGO</t>
  </si>
  <si>
    <t>Em Atividade Normal</t>
  </si>
  <si>
    <t>Gozando Férias</t>
  </si>
  <si>
    <t>ADMISSÃO</t>
  </si>
  <si>
    <t>AILTON CLAUDINO DA SILVA</t>
  </si>
  <si>
    <t>ANTONIO ALVES CONCEICAO FILHO</t>
  </si>
  <si>
    <t>ANTONIO DA SILVA MENDES</t>
  </si>
  <si>
    <t>BIANCA ALMEIDA BIAGIONI</t>
  </si>
  <si>
    <t>COSME COSTA PEREIRA DOS SANTOS</t>
  </si>
  <si>
    <t>DIVA BRANDINO DE MORAES GONCALVES</t>
  </si>
  <si>
    <t>JOSE ROBERTO DE LIMA FERREIRA</t>
  </si>
  <si>
    <t>MAYCON KEVEN BRITO SILVA</t>
  </si>
  <si>
    <t>KARINA MARIA LIMA</t>
  </si>
  <si>
    <t>LUCIANO ROBERTO DE OLIVEIRA</t>
  </si>
  <si>
    <t>MICHELE APARECIDA GOMES</t>
  </si>
  <si>
    <t>PAULO HENRIQUE DOS ANJOS</t>
  </si>
  <si>
    <t>RAFAEL RODRIGUES DE FREITAS</t>
  </si>
  <si>
    <t>THIAGO FERREIRA DA SILVA</t>
  </si>
  <si>
    <t>ECOSAMPA PJ</t>
  </si>
  <si>
    <t>WILSON ROBERTO DE OLIVEIRA</t>
  </si>
  <si>
    <t>GERENTE ADMINISTRATIVO</t>
  </si>
  <si>
    <t>RENAN SOUZA OLIVEIRA ANDRADE</t>
  </si>
  <si>
    <t>SUPERINTENDENTE OPERACIONAL</t>
  </si>
  <si>
    <t>IOLANDA MARIA DA SILVA</t>
  </si>
  <si>
    <t>GLEICE FERNANDES DA SILVA</t>
  </si>
  <si>
    <t>JULIE DA SILVA PEREIRA</t>
  </si>
  <si>
    <t>BRUNO ANDRADE DA COSTA</t>
  </si>
  <si>
    <t>JOAO VITOR GOMES RIBEIRO</t>
  </si>
  <si>
    <t>RICARDO APARECIDO LEANDRO</t>
  </si>
  <si>
    <t>ROBSON NUNES MACARIO</t>
  </si>
  <si>
    <t>JOSE DE ASSIS DA SILVA</t>
  </si>
  <si>
    <t>LUIZ MORGADO</t>
  </si>
  <si>
    <t>ALBINO ISIDORO</t>
  </si>
  <si>
    <t>MANOEL DOS SANTOS DE LIRA TEIXEIRA</t>
  </si>
  <si>
    <t>DONIAS DO NASCIMENTO</t>
  </si>
  <si>
    <t>EDIVALDO NEVES DA MATA</t>
  </si>
  <si>
    <t>MARCELO FEITOZA SANTOS</t>
  </si>
  <si>
    <t>ANALISTA DE PLANEJAMENTO OPERACIONAL</t>
  </si>
  <si>
    <t>RODRIGO LISO DOS SANTOS</t>
  </si>
  <si>
    <t>FABIANA ARIANE TEIXEIRA DOS REIS</t>
  </si>
  <si>
    <t>THIAGO CELESTINO DE SOUZA</t>
  </si>
  <si>
    <t>GABRIEL ANTONIO COSTA DA SILVA</t>
  </si>
  <si>
    <t>RONALDO PEREIRA LOPES</t>
  </si>
  <si>
    <t>JACSON VALENTIM</t>
  </si>
  <si>
    <t>ALEXANDRE GEAN DA SILVA SANTOS</t>
  </si>
  <si>
    <t>GABRIEL SILVA MARQUES TRAJANO</t>
  </si>
  <si>
    <t>MARIA CELIA DE JESUS PEREIRA</t>
  </si>
  <si>
    <t>LOG VA</t>
  </si>
  <si>
    <t>LOG VR</t>
  </si>
  <si>
    <t>TOTAL</t>
  </si>
  <si>
    <t>FALTAS</t>
  </si>
  <si>
    <t>Auxílio-Doença</t>
  </si>
  <si>
    <t>ADILSON DE MATOS FERREIRA JUNIOR</t>
  </si>
  <si>
    <t>DIOGENES CARDOSO BARBOSA</t>
  </si>
  <si>
    <t>ORLANDO SEBASTIAO DA SILVA</t>
  </si>
  <si>
    <t>ADILSON GOMES EMIDIO</t>
  </si>
  <si>
    <t>FABIANO ANSALDI DOMINGOS</t>
  </si>
  <si>
    <t>GENEILSON RODRIGUES DA SILVA</t>
  </si>
  <si>
    <t>Total Geral</t>
  </si>
  <si>
    <t>Demitido no Mês</t>
  </si>
  <si>
    <t>Rótulos de Linha</t>
  </si>
  <si>
    <t>QUANT.</t>
  </si>
  <si>
    <t>Total Geral - PEDIDO</t>
  </si>
  <si>
    <t>PEDIDO COMPLEMENTAR</t>
  </si>
  <si>
    <t>TOTAL DE PEDIDOS NO MÊS</t>
  </si>
  <si>
    <t>COMPRA DE VALE REFEIÇÃO</t>
  </si>
  <si>
    <t>VALOR DO PEDIDO</t>
  </si>
  <si>
    <t>VALOR NOTA ALELO</t>
  </si>
  <si>
    <t>TOTAL VR</t>
  </si>
  <si>
    <t>COMPRA DE VALE ALIMENTAÇÃO</t>
  </si>
  <si>
    <t>TOTAL VA</t>
  </si>
  <si>
    <t>TOTAL VA / VR</t>
  </si>
  <si>
    <t>VENCIMENTO</t>
  </si>
  <si>
    <t>QUANT</t>
  </si>
  <si>
    <t>DIFERENÇA</t>
  </si>
  <si>
    <t>DESCRIÇÃO</t>
  </si>
  <si>
    <t>LUIZ PAULO WANDERLEY DE CARVAL</t>
  </si>
  <si>
    <t>Vale Refeição</t>
  </si>
  <si>
    <t>VR (pg no  VA) - EcoSampa</t>
  </si>
  <si>
    <t>ADAELSON ADAUTO S DE SIQUEIRA</t>
  </si>
  <si>
    <t>AGRIPINO BRANDAO DE SOUZA SOBR</t>
  </si>
  <si>
    <t>VR - EcoSampa - Operacional</t>
  </si>
  <si>
    <t>ANNA KAROLINIE G DOS SANTOS</t>
  </si>
  <si>
    <t>ANTONIO AIRTON BARBOSA ALEXAND</t>
  </si>
  <si>
    <t>ANTONIO CARLOS S DOS SANTOS</t>
  </si>
  <si>
    <t>ANTONIO FRANCISCO G FEITOSA</t>
  </si>
  <si>
    <t>APARECIDA DE F R DE CASTRO</t>
  </si>
  <si>
    <t>ARISVALDO L DA S NASCIMENTO</t>
  </si>
  <si>
    <t>ARLETE CRISTINA DOS SANTOS AMO</t>
  </si>
  <si>
    <t>CARLOS ALBERTO Q OLIVEIRA</t>
  </si>
  <si>
    <t>CARLOS HENRIQUE TEIXEIRA</t>
  </si>
  <si>
    <t>CARLOS RICARDO RAMOS</t>
  </si>
  <si>
    <t>CHRISTIAN ALVES SIQUEIRA DE OL</t>
  </si>
  <si>
    <t>CLAUDIO HENRIQUE RUFINO</t>
  </si>
  <si>
    <t>CLAUDIONOR PROCOPIO DE OLIVEIR</t>
  </si>
  <si>
    <t>CLERISTON BELAU DOS SANTOS</t>
  </si>
  <si>
    <t>DAMIAO COSTA PEREIRA</t>
  </si>
  <si>
    <t>DANIEL ALEXANDRE DA COSTA</t>
  </si>
  <si>
    <t>DAVI FERREIRA DOS SANTOS RODRI</t>
  </si>
  <si>
    <t>DIVA BRANDINO DE MORAES GONCAL</t>
  </si>
  <si>
    <t>DOUGLAS SABINO SILVA DOS SANTO</t>
  </si>
  <si>
    <t>EDNILSON CARLOS ARCANJO</t>
  </si>
  <si>
    <t>EDUARDO EVANGELISTA</t>
  </si>
  <si>
    <t>EGUINALDO ULISSES NO NASCIMENT</t>
  </si>
  <si>
    <t>ELISANGELA VIEIRA DE SOUZA</t>
  </si>
  <si>
    <t>FABIANA ARIANE TEIXEIRA</t>
  </si>
  <si>
    <t>FABIANO PEREIRA DE OLIVEIRA SA</t>
  </si>
  <si>
    <t>FELIPE MENDES DO AMARANTE SOUS</t>
  </si>
  <si>
    <t>FERNANDO SARDINHA MIGUEL DE LI</t>
  </si>
  <si>
    <t>FRANCISCO CARLOS LIMEIRA DA SI</t>
  </si>
  <si>
    <t>FRANCISCO DAS CHAGAS GOMES PIN</t>
  </si>
  <si>
    <t>FRANCISCO DE ASSIS ALEXANDRE</t>
  </si>
  <si>
    <t>FRANCISCO EDIVALDO GALDINO FRE</t>
  </si>
  <si>
    <t>FRANCISCO ERIVAN DA SILVA FELI</t>
  </si>
  <si>
    <t>FRANCISCO GEAN PEREIRA DE ARAU</t>
  </si>
  <si>
    <t>FRANCISCO NILBERTO BEZERRA</t>
  </si>
  <si>
    <t>FRANCISNALDO DA SILVA NEPOMUCE</t>
  </si>
  <si>
    <t>GERALDO EVANGELISTA DE CARVALH</t>
  </si>
  <si>
    <t>HENRIQUE BARBOSA DE SOUSA CORD</t>
  </si>
  <si>
    <t>JAILTON DA SILVA A NASCIMENTO</t>
  </si>
  <si>
    <t>JOAO EVANGELISTA V NASCIMENTO</t>
  </si>
  <si>
    <t>JOSE APARECIDO B DE SOUZA</t>
  </si>
  <si>
    <t>JOSE DOMINGOS A DE OLIVEIRA</t>
  </si>
  <si>
    <t>JOSE GEAN F DA SILVA ARAUJO</t>
  </si>
  <si>
    <t>JULIA KATHLEEN OLIVEIRA</t>
  </si>
  <si>
    <t>JULIANO LAURINDO CAMILO VICENT</t>
  </si>
  <si>
    <t>JUNIOR CESAR APARECIDO FERREIR</t>
  </si>
  <si>
    <t>KARINA CRISTINA BORGES</t>
  </si>
  <si>
    <t>KELVIN CARLOS DE SOUSA</t>
  </si>
  <si>
    <t>KLEBERT MARCOS DA SILVA FERREI</t>
  </si>
  <si>
    <t>LUIZ HENRIQUE SANTOS DE OLIVEI</t>
  </si>
  <si>
    <t>MANOEL CARLOS DA SILVA FIGUEIR</t>
  </si>
  <si>
    <t>MANOEL DOS SANTOS DE LIRA TEIX</t>
  </si>
  <si>
    <t>MANOEL FRANCISCO DA SILVA HEME</t>
  </si>
  <si>
    <t>MANOEL JOSE DO NASCIMENTO JUNI</t>
  </si>
  <si>
    <t>MARCELO DE PAULA VIEIRA DA SIL</t>
  </si>
  <si>
    <t>MARCELO DE SOUZA JACO</t>
  </si>
  <si>
    <t>MARCIO ROGERIO DA SILVA MARTIN</t>
  </si>
  <si>
    <t>MARCOS ALEXANDRE FERREIRA CARV</t>
  </si>
  <si>
    <t>MARCOS AURELIO DA COSTA MONTEI</t>
  </si>
  <si>
    <t>MARIA APARECIDA N CAVALCANTE</t>
  </si>
  <si>
    <t>MARIA DA CONCEICAO DE S FELIX</t>
  </si>
  <si>
    <t>MARIA DE FATIMA CORREIA</t>
  </si>
  <si>
    <t>MARIA DE FATIMA FARIAS SILVA</t>
  </si>
  <si>
    <t>MICHAEL DOUGLAS DOS SANTOS ALV</t>
  </si>
  <si>
    <t>MICHAEL JACKSON DE OLIVEIRA AL</t>
  </si>
  <si>
    <t>MISSIMEIRE FERREIRA LIMA DOS S</t>
  </si>
  <si>
    <t>NATHALIA APARECIDA OLIVEIRA</t>
  </si>
  <si>
    <t>NELSON ROBERTO RIBEIRO DA SILV</t>
  </si>
  <si>
    <t>RAIMUNDA MARIA DE FREITAS SOUZ</t>
  </si>
  <si>
    <t>RICARDO APARECIDO FERNANDO</t>
  </si>
  <si>
    <t>ROBERTO DA CRUZ RIBEIRO</t>
  </si>
  <si>
    <t>ROGERIO LUIZ RODRIGUES DA SILV</t>
  </si>
  <si>
    <t>RUBENS SANTOS OLIVEIRA JUNIOR</t>
  </si>
  <si>
    <t>SEVERINO DO RAMO FERREIRA LIMA</t>
  </si>
  <si>
    <t>VALDECI APARECIDO REIS ANDRADE</t>
  </si>
  <si>
    <t>VANDERSON BEZERRA ALVES SANTOS</t>
  </si>
  <si>
    <t>WELLINGTON TIAGO JESUS SANTOS</t>
  </si>
  <si>
    <t>VR - EcoSampa - PJ</t>
  </si>
  <si>
    <t>Vale Alimentação</t>
  </si>
  <si>
    <t>VA - EcoSampa - Operacional</t>
  </si>
  <si>
    <t>VA (pg no VR) - EcoSampa</t>
  </si>
  <si>
    <t>Colaboradores demitidos no mês</t>
  </si>
  <si>
    <t>Colaboradores afastados por Auxilio Doença</t>
  </si>
  <si>
    <t>ALEXSSANDRO MORAES DO NASCIMENTO</t>
  </si>
  <si>
    <t>ANDRE LUIZ DELMIRO</t>
  </si>
  <si>
    <t>ANTONIO DOS SANTOS</t>
  </si>
  <si>
    <t>ATAIDE BERNARDO RODRIGUES</t>
  </si>
  <si>
    <t>CARLOS EDUARDO DE SOUZA</t>
  </si>
  <si>
    <t>EDUARDO APARECIDO DE MORAES</t>
  </si>
  <si>
    <t>ELISSANDRA FERREIRA LIMA DOS SANTOS</t>
  </si>
  <si>
    <t>GILBERTO BENTO RODRIGUES</t>
  </si>
  <si>
    <t>JACKSON WENDELL FIRMINO DE ARAUJO</t>
  </si>
  <si>
    <t>JOELSON CAROLINO DOS SANTOS</t>
  </si>
  <si>
    <t>LACIEL CARLOS DE SENA</t>
  </si>
  <si>
    <t>LUCAS AMORIM DA SILVA DONIZETE</t>
  </si>
  <si>
    <t>MARCELO SILVA</t>
  </si>
  <si>
    <t>MARCELO VINICIUS SILVA SANTOS</t>
  </si>
  <si>
    <t>PATRICIO AUGUSTO ARAUJO DA SILVA</t>
  </si>
  <si>
    <t>RENALTY LEITE DE JESUS</t>
  </si>
  <si>
    <t>RICARDO ALEXANDRE DE OLIVEIRA</t>
  </si>
  <si>
    <t>WAGNER FERREIRA DE OLIVEIRA</t>
  </si>
  <si>
    <t>WELLINGTON PONTES FONSECA</t>
  </si>
  <si>
    <t>Folha</t>
  </si>
  <si>
    <t>Id Contratado</t>
  </si>
  <si>
    <t>Centro de Custo</t>
  </si>
  <si>
    <t>Nome</t>
  </si>
  <si>
    <t>Log Transação</t>
  </si>
  <si>
    <t>Benefício Contratado</t>
  </si>
  <si>
    <t>Quantidade Total de Dias do Benefício</t>
  </si>
  <si>
    <t>Valor Unitário do Tíquete</t>
  </si>
  <si>
    <t>Processo de Benefício</t>
  </si>
  <si>
    <t>Plano de Benefícios</t>
  </si>
  <si>
    <t>Data Início da Utilização</t>
  </si>
  <si>
    <t>Data Fim da Utilização</t>
  </si>
  <si>
    <t>PATRICIO AUGUSTO ARAUJO DA SIL</t>
  </si>
  <si>
    <t>JACKSON WENDELL FIRMINO DE ARA</t>
  </si>
  <si>
    <t>ELISSANDRA FERREIRA LIMA</t>
  </si>
  <si>
    <t>MARCOS MARCIO ROCHA SANTOS</t>
  </si>
  <si>
    <t>MARCUS HENRIQUE PLACIDO LISBOA</t>
  </si>
  <si>
    <t>SIDNEY ALVES DE JESUS</t>
  </si>
  <si>
    <t>COORDENADOR DE DEPARTAMENTO PESSOAL</t>
  </si>
  <si>
    <t>Cargo</t>
  </si>
  <si>
    <t>ADILSON DE M FERREIRA JUNIOR</t>
  </si>
  <si>
    <t>CLAUDIO DIAS FERREIRA</t>
  </si>
  <si>
    <t>IDAEL LOPES RODRIGUES</t>
  </si>
  <si>
    <t>JOSE AUGUSTO DOS SANTOS</t>
  </si>
  <si>
    <t>JOSE BARBOSA FILHO</t>
  </si>
  <si>
    <t>JOSE ITAMAR DE LIMA</t>
  </si>
  <si>
    <t>JOSE JOSIAS DA SILVA</t>
  </si>
  <si>
    <t>MARCOS JOSE DA SILVA</t>
  </si>
  <si>
    <t>OCELIO LIMA BARBOSA</t>
  </si>
  <si>
    <t>PAULO CESAR PEREIRA DA SILVA</t>
  </si>
  <si>
    <t>AJUDANTE DE MECANICO</t>
  </si>
  <si>
    <t>RODRIGO MUNIZ FERNANDES</t>
  </si>
  <si>
    <t>VICTOR HUGO ALVES DE OLIVEIRA</t>
  </si>
  <si>
    <t>COMPRADOR</t>
  </si>
  <si>
    <t>WILLIANS MAXIMINO DOS SANTOS</t>
  </si>
  <si>
    <t>DATA</t>
  </si>
  <si>
    <t>TOTAL VA/VR</t>
  </si>
  <si>
    <t>LUCIANA RODRIGUES DE ANDRADE</t>
  </si>
  <si>
    <t>AUXILIAR DE DEPARTAMENTO PESSOAL</t>
  </si>
  <si>
    <t>SABRINA APARECIDA LIMA DA SILVA</t>
  </si>
  <si>
    <t>VANESSA OLIVEIRA MACEDO VIDAL</t>
  </si>
  <si>
    <t>SABRINA APARECIDA LIMA DA SILV</t>
  </si>
  <si>
    <t>LUCIANA DE SOUZA EVANGELISTA D</t>
  </si>
  <si>
    <t>ANTONIO LUZIA DOS SANTOS</t>
  </si>
  <si>
    <t>ARYANNE OLIVEIRA REIS</t>
  </si>
  <si>
    <t>MENOR/JOVEM APRENDIZ</t>
  </si>
  <si>
    <t>DORVALINO BRUIANI</t>
  </si>
  <si>
    <t>EDINALDO PEREIRA DE SOUZA</t>
  </si>
  <si>
    <t>ELVIS MATHEUS BORBA DA CRUZ</t>
  </si>
  <si>
    <t>ERIKA DOS SANTOS OLIVEIRA</t>
  </si>
  <si>
    <t>FABIANO FRANCISCO LOPES</t>
  </si>
  <si>
    <t>FELIPE FERREIRA PINTO</t>
  </si>
  <si>
    <t>FRANCISCO FIRMINO ALVES JUNIOR</t>
  </si>
  <si>
    <t>GABRIEL JOSE DA SILVA</t>
  </si>
  <si>
    <t>JOSE GILBERTO PEREIRA</t>
  </si>
  <si>
    <t>JULIO VICTOR OHARA SANCHEZ</t>
  </si>
  <si>
    <t>LEONARDO CESAR SOUZA DE OLIVEIRA</t>
  </si>
  <si>
    <t>LINDOMAR MOISES DA SILVA</t>
  </si>
  <si>
    <t>MARIA JOSE DA SILVA NASCIMENTO</t>
  </si>
  <si>
    <t>PAULO SERGIO DA SILVA MACHADO</t>
  </si>
  <si>
    <t>REINALDO DA SILVA MOTA</t>
  </si>
  <si>
    <t>RICARDO PEDRO DA SILVA</t>
  </si>
  <si>
    <t>TATTIANE ANDRADE RUFINO DOS SANTOS</t>
  </si>
  <si>
    <t>WESLEY LUCAS AGUIAR DOS ANJOS</t>
  </si>
  <si>
    <t>LEONARDO CESAR SOUZA DE OLI</t>
  </si>
  <si>
    <t>TATTIANE ANDRADE RUFINO DOS SA</t>
  </si>
  <si>
    <t>JONATAS MOREIRA LOPES DO AMARAL</t>
  </si>
  <si>
    <t>JOSELINE ALVES DOS SANTOS</t>
  </si>
  <si>
    <t>LUAN DE OLIVEIRA</t>
  </si>
  <si>
    <t>LUIZ FELIPE DA SILVA</t>
  </si>
  <si>
    <t>MARCIO ROBERTO CORREA</t>
  </si>
  <si>
    <t>MICHAEL LUIS PEIXOTO DOS SANTOS</t>
  </si>
  <si>
    <t>NELZELITO EDEN DE SOUZA</t>
  </si>
  <si>
    <t>RODRIGO ALENCAR LINO DOS ANJOS</t>
  </si>
  <si>
    <t>RONALDO RAIMUNDO DA SILVA</t>
  </si>
  <si>
    <t>WELLINGTON FERREIRA DA COSTA</t>
  </si>
  <si>
    <t>JONATAS MOREIRA LOPES DO AMARA</t>
  </si>
  <si>
    <t>MICHAEL LUIS PEIXOTO DOS SANTO</t>
  </si>
  <si>
    <t>ADILSON DA CUNHA ALENCAR</t>
  </si>
  <si>
    <t>ANDERSON SOUZA DA SILVA</t>
  </si>
  <si>
    <t>ANDRE LUIS ALMEIDA MARQUES</t>
  </si>
  <si>
    <t>FRANCISCO SANTOS FERNANDES DE LIMA</t>
  </si>
  <si>
    <t>HUMBERTO RAIMUNDO DE JESUS</t>
  </si>
  <si>
    <t>JOSE LUCAS ALVES DE OLIVEIRA</t>
  </si>
  <si>
    <t>JOSE MILTON DOS SANTOS</t>
  </si>
  <si>
    <t>RAFAEL BARBOSA DOS SANTOS</t>
  </si>
  <si>
    <t>RICARDO DE ALMEIDA LAURENTINO</t>
  </si>
  <si>
    <t>ROGERIO LUIS RODRIGUES</t>
  </si>
  <si>
    <t>MARCOS ANTONIO BERNARDINO</t>
  </si>
  <si>
    <t>FRANCISCO SANTOS FERNANDES DE</t>
  </si>
  <si>
    <t>ROBERTA CRISTINA DOS SANTOS AM</t>
  </si>
  <si>
    <t>VARIAÇÕES ENTRE OS ÚLTIMOS DOIS MESES</t>
  </si>
  <si>
    <t>CAIO WENDELL ASSIS ROCHA SANTOS</t>
  </si>
  <si>
    <t>GUILHERME PEREIRA MENDES</t>
  </si>
  <si>
    <t>ROBSON TADEU DA COSTA</t>
  </si>
  <si>
    <t>CAIO WENDELL ASSIS ROCHA SANTO</t>
  </si>
  <si>
    <t>Acidente do Trabalho</t>
  </si>
  <si>
    <t>PAULO OTAVIO ALEXANDRE VIANA</t>
  </si>
  <si>
    <t>ANA PAULA STIGLIANI</t>
  </si>
  <si>
    <t>GABRIELA FERREIRA DE JESUS</t>
  </si>
  <si>
    <t>Variação de faltas entre os dois meses</t>
  </si>
  <si>
    <t>DAYANE APARECIDA ABREU DA SILVA</t>
  </si>
  <si>
    <t>EDNILSON ALVES FERREIRA</t>
  </si>
  <si>
    <t>GUSTAVO RODRIGUES DOS SANTOS</t>
  </si>
  <si>
    <t>MANOEL DE ASSIS DA SILVA</t>
  </si>
  <si>
    <t>NILSON CUSTODIO DE ALCANTARA</t>
  </si>
  <si>
    <t>COORDENADOR(A) ADM / FINANCEIRO</t>
  </si>
  <si>
    <t>PAULO THIAGO SOBRAL RIBEIRO DE SOUZA</t>
  </si>
  <si>
    <t>(Vários itens)</t>
  </si>
  <si>
    <t>DAYANE APARECIDA ABREU DA SILV</t>
  </si>
  <si>
    <t>PAULO THIAGO SOBRAL RIBEIRO DE</t>
  </si>
  <si>
    <t>ALESSANDRO RAMALHO DIAS</t>
  </si>
  <si>
    <t>BRUNO BEZERRA DOS SANTOS</t>
  </si>
  <si>
    <t>CLEITON APARECIDO MIGUEL</t>
  </si>
  <si>
    <t>FABIO JULIO FRANCISCO LUZ DA SILVA</t>
  </si>
  <si>
    <t>IAGO HENRIQUE PEREIRA OLIVEIRA</t>
  </si>
  <si>
    <t>IGOR RENATO SOARES MARTINS</t>
  </si>
  <si>
    <t>ITAMAR DOS SANTOS COSTA</t>
  </si>
  <si>
    <t>JEFERSON DE JESUS DA SILVA</t>
  </si>
  <si>
    <t>JEFFERSON DA SILVA</t>
  </si>
  <si>
    <t>JEFFERSON DE LIMA SILVA</t>
  </si>
  <si>
    <t>JOSE DILMA JUSTINO DE OLIVEIRA</t>
  </si>
  <si>
    <t>LUCIANO RODRIGUES DE SOUZA</t>
  </si>
  <si>
    <t>MARCOS AURELIO LUIZ</t>
  </si>
  <si>
    <t>NICOLAS RIBEIRO CIDRAL</t>
  </si>
  <si>
    <t>RAILTON GOMES DOS SANTOS</t>
  </si>
  <si>
    <t>ROSELI FERREIRA DA SILVA</t>
  </si>
  <si>
    <t>STEVSON SANTOS GOMES</t>
  </si>
  <si>
    <t>WALTER CARINHANHA SOARES</t>
  </si>
  <si>
    <t>FABIO JULIO FRANCISCO LUZ DA S</t>
  </si>
  <si>
    <t>NELSON NASCIMENTO DE OLIVEIRA</t>
  </si>
  <si>
    <t>TIBURTINO BESERRA DA SILVA NET</t>
  </si>
  <si>
    <t>LETICIA FERREIRA DOS SANTOS</t>
  </si>
  <si>
    <t>ADAIL AUGUSTO VIEIRA</t>
  </si>
  <si>
    <t>ADAILTON SOUZA SANTOS</t>
  </si>
  <si>
    <t>ALAN SILVA DE OLIVEIRA</t>
  </si>
  <si>
    <t>ALEXSANDRO AUGUSTO RIBEIRO RUFINO</t>
  </si>
  <si>
    <t>ANDRE DE SOUZA RAMOS</t>
  </si>
  <si>
    <t>CARLOS ALENCAR OLIVEIRA SOUZA</t>
  </si>
  <si>
    <t>CARLOS EDUARDO DA SILVA</t>
  </si>
  <si>
    <t>CARLOS HENRIQUE BASTOS DE OLIVEIRA</t>
  </si>
  <si>
    <t>CICERO JOSE DA SILVA</t>
  </si>
  <si>
    <t>DANIEL LIMA CARVALHO</t>
  </si>
  <si>
    <t>DIEGO AQUINO DOS SANTOS</t>
  </si>
  <si>
    <t>EDMILSON DA SILVA</t>
  </si>
  <si>
    <t>EDUARDO PINHEIRO DA SILVA</t>
  </si>
  <si>
    <t>ELI PINHEIRO DE ALCANTARA</t>
  </si>
  <si>
    <t>EVERTON SOUZA DA SILVA</t>
  </si>
  <si>
    <t>HUMBERTO CARLOS DA SILVA</t>
  </si>
  <si>
    <t>JACKSON GAMA DIAS</t>
  </si>
  <si>
    <t>JHONATAN CALDEIRA DE OLIVEIRA</t>
  </si>
  <si>
    <t>JURANDIR RODRIGUES DA SILVA</t>
  </si>
  <si>
    <t>LEANDRO APARECIDO VIEIRA DE SOUZA</t>
  </si>
  <si>
    <t>LUIS LOPES DE SOUSA</t>
  </si>
  <si>
    <t>MARCIO ANTONIO DA SILVA</t>
  </si>
  <si>
    <t>NILTON DE JESUS SANTANA</t>
  </si>
  <si>
    <t>PAULO SERGIO ALVES JOAQUIM</t>
  </si>
  <si>
    <t>RAIMUNDO BARROS DO NASCIMENTO</t>
  </si>
  <si>
    <t>SOLANGE SILVA LEITAO</t>
  </si>
  <si>
    <t>TIAGO SANTOS DA CONCEICAO</t>
  </si>
  <si>
    <t>WENDELL OLIVEIRA DA SILVA</t>
  </si>
  <si>
    <t>Cumprimento de Pena de Reclusão</t>
  </si>
  <si>
    <t>ALEXSANDRO AUGUSTO RIBEIRO RUF</t>
  </si>
  <si>
    <t>LEANDRO APARECIDO VIEIRA DE SO</t>
  </si>
  <si>
    <t>SABRINA FIGUEIREDO DE SOUSA</t>
  </si>
  <si>
    <t>ALEXSSANDRO MORAES DO NASCIMEN</t>
  </si>
  <si>
    <t>Situação</t>
  </si>
  <si>
    <t>ECOSAMPA Operação Geral</t>
  </si>
  <si>
    <t>ADIJANILDO MONTEIRO BATISTA</t>
  </si>
  <si>
    <t>ECOSAMPA Administração</t>
  </si>
  <si>
    <t>ASSISTENTE DE COMPRAS</t>
  </si>
  <si>
    <t>ANA CRISTINA DA SILVA</t>
  </si>
  <si>
    <t>ANTONIO CARLOS COSTA DA SILVA</t>
  </si>
  <si>
    <t>CARLOS LUIS LIMA MATOS</t>
  </si>
  <si>
    <t>DONIZETE VENANCIO</t>
  </si>
  <si>
    <t>IRANILDO DOS SANTOS</t>
  </si>
  <si>
    <t>ITALO FERNANDO SILVA COSTA</t>
  </si>
  <si>
    <t>JARSON BENTES LUCENA DOS SANTOS</t>
  </si>
  <si>
    <t>LUCILENE MONTEIRO RODRIGUES</t>
  </si>
  <si>
    <t>MAURICIO ALVES SOUZA</t>
  </si>
  <si>
    <t>MICHEL ALVES PESSOA</t>
  </si>
  <si>
    <t>WALKER MINANCIAM DA SILVA</t>
  </si>
  <si>
    <t>Data Início na Situação</t>
  </si>
  <si>
    <t>JARSON BENTES LUCENA DOS SANTO</t>
  </si>
  <si>
    <t>ANA CAROLINA MARINHO DA SILVA</t>
  </si>
  <si>
    <t>RAQUEL LARISSA DA SILVA DIAS</t>
  </si>
  <si>
    <t>SABRINA VITORIA SILVA DA COSTA</t>
  </si>
  <si>
    <t>Colaboradores ADMITIDOS NO MÊS</t>
  </si>
  <si>
    <t>ADAO BARBOZA DOS SANTOS</t>
  </si>
  <si>
    <t>ADRIAN CAUE DE SOUZA ANJOS</t>
  </si>
  <si>
    <t>ALBERTO ALENCAR DE JESUS</t>
  </si>
  <si>
    <t>ARTHUR ROGERIO DA SILVA</t>
  </si>
  <si>
    <t>BRUNO HENRIQUE DE SOUZA E SILVA</t>
  </si>
  <si>
    <t>CAIO GONCALVES DOS SANTOS</t>
  </si>
  <si>
    <t>CARLINDO DA SILVA BARROS</t>
  </si>
  <si>
    <t>DANIELY LEANDRO DOS SANTOS</t>
  </si>
  <si>
    <t>FABRIANO SOUSA LIMA</t>
  </si>
  <si>
    <t>IAGO ALVES DA SILVA</t>
  </si>
  <si>
    <t>IZAQUE JUSTINO CANDIDO</t>
  </si>
  <si>
    <t>JOSEMAR DE PAULA MACEDO</t>
  </si>
  <si>
    <t>KARINA PEREIRA DA SILVA</t>
  </si>
  <si>
    <t>LOHANA ARAUJO FIDELES</t>
  </si>
  <si>
    <t>LUIS HENRIQUE JERONIMO VIEIRA</t>
  </si>
  <si>
    <t>MAIKE SANTOS NASCIMENTO</t>
  </si>
  <si>
    <t>RYAN FERREIRA CABRAL</t>
  </si>
  <si>
    <t>THAISSA RAQUEL MARCELINO DE OLIVEIRA</t>
  </si>
  <si>
    <t>THIAGO ORILHANA DE JESUS</t>
  </si>
  <si>
    <t>TIAGO NOVAES</t>
  </si>
  <si>
    <t>VINICIUS DE JESUS MARQUES</t>
  </si>
  <si>
    <t>VITOR SILVA DE SOUZA</t>
  </si>
  <si>
    <t>MAIO / 2023</t>
  </si>
  <si>
    <t>BRUNO HENRIQUE DE SOUZA E SILV</t>
  </si>
  <si>
    <t>THAISSA RAQUEL MARCELINO DE OL</t>
  </si>
  <si>
    <t>Admissão</t>
  </si>
  <si>
    <t>BRUNNA FARIAS SANT ANA</t>
  </si>
  <si>
    <t>ELAINE SOUZA DAMACENO DE JESUS</t>
  </si>
  <si>
    <t>FLAVIO RABELO DE MORAIS</t>
  </si>
  <si>
    <t>GILSON SILVA DIAS</t>
  </si>
  <si>
    <t>JOSE ALBINO DE JESUS</t>
  </si>
  <si>
    <t>LEONARDO APARECIDO DA SILVA</t>
  </si>
  <si>
    <t>LUCIELMA DOS SANTOS SILVA</t>
  </si>
  <si>
    <t>MARCIA DORNELES</t>
  </si>
  <si>
    <t>PEDRO FLOR DE LIMA</t>
  </si>
  <si>
    <t>TAYNARA MIGUEL SILVA</t>
  </si>
  <si>
    <t>THIAGO SENA DA SILVA</t>
  </si>
  <si>
    <t>WESLEY PEREIRA DE SOUZA</t>
  </si>
  <si>
    <t>SOLANGE APARECIDA DE ALENCAR CARVALHO</t>
  </si>
  <si>
    <t>CARLOS HENRIQUE BASTOS DE OLIV</t>
  </si>
  <si>
    <t>ELAINE SOUZA DAMACENO DE JESU</t>
  </si>
  <si>
    <t>MILTON MILET DE JESUS CASSEMIR</t>
  </si>
  <si>
    <t>SOLANGE APARECIDA DE ALENCAR C</t>
  </si>
  <si>
    <t>Contagem de NOME</t>
  </si>
  <si>
    <t>JUNHO / 2023</t>
  </si>
  <si>
    <t>BENEFICIO VA</t>
  </si>
  <si>
    <t>BENEFICIO VR</t>
  </si>
  <si>
    <t>BENEFICIO VR NO VA</t>
  </si>
  <si>
    <t>BENEFICO VA NO VR</t>
  </si>
  <si>
    <t>2ª VIAS DE CARTÕES</t>
  </si>
  <si>
    <t>COMPRA DE VA/VR - JUNHO/2023</t>
  </si>
  <si>
    <t>AUXILIAR DE PLANEJAMENTO OPERACIONAL</t>
  </si>
  <si>
    <t>CARLOS WENDELL DE SOUSA AMORIM</t>
  </si>
  <si>
    <t>DIEGO JOSE RIBEIRO ARAUJO</t>
  </si>
  <si>
    <t>JOAO LUIS STACHUK</t>
  </si>
  <si>
    <t>JOAO QUEIROZ DOS SANTOS</t>
  </si>
  <si>
    <t>ASSISTENTE DE PLANEJAMENTO OPERACIONAL</t>
  </si>
  <si>
    <t>LUIZ CARLOS DE OLIVEIRA</t>
  </si>
  <si>
    <t>MARIA APARECIDA VIEIRA ALEXANDRE</t>
  </si>
  <si>
    <t>MICHEL ROGERIO SANTOS</t>
  </si>
  <si>
    <t>PAULO DE OLIVEIRA SOUZA</t>
  </si>
  <si>
    <t>RAFAEL CAMPOS BEZERRA</t>
  </si>
  <si>
    <t>VIVIAN BRITO MOTA COTIAS</t>
  </si>
  <si>
    <t>WAGNER AUGUSTO DAGLIO PEIKOW</t>
  </si>
  <si>
    <t>WALDIR ANTONIO MARTINS</t>
  </si>
  <si>
    <t>WASHINGTON SILVA LOPES</t>
  </si>
  <si>
    <t>Manual</t>
  </si>
  <si>
    <t>MARIA APARECIDA VIEIRA ALEXAND</t>
  </si>
  <si>
    <t>DEMONSTRATIVO DE TARIFAS DE REEMISSÃO DE CARTÃO DE ALELO</t>
  </si>
  <si>
    <t xml:space="preserve">VALOR </t>
  </si>
  <si>
    <t>VALOR PAGAMENTO</t>
  </si>
  <si>
    <t>Beneficios</t>
  </si>
  <si>
    <t>2ª Vias de Cartões</t>
  </si>
  <si>
    <t>BENEFICIO AFASTADOS / RETORNOS / Dif. ADMISÕES</t>
  </si>
  <si>
    <t>JULHO / 2023</t>
  </si>
  <si>
    <t>ADEILTON PEREIRA DE MELO</t>
  </si>
  <si>
    <t>ADRIANO PASTOR DA SILVA</t>
  </si>
  <si>
    <t>ALEX MESSIAS ALMEIDA OLIVIO</t>
  </si>
  <si>
    <t>ANDERSON APARECIDO DE ALMEIDA</t>
  </si>
  <si>
    <t>ANDERSON SILVA DE SOUZA</t>
  </si>
  <si>
    <t>CAIQUE RIBEIRO SILVA VALADARES</t>
  </si>
  <si>
    <t>DANIEL ALVES DANTAS PEIXINHO</t>
  </si>
  <si>
    <t>EDMAR CESAR DA SILVA</t>
  </si>
  <si>
    <t>EMERSON CLAYTON DA SILVA FILHO</t>
  </si>
  <si>
    <t>GILSON ARAUJO DE LIMA</t>
  </si>
  <si>
    <t>HUGO VINICIUS DOS SANTOS</t>
  </si>
  <si>
    <t>ISRAEL MARTINS DA SILVA</t>
  </si>
  <si>
    <t>JEFERSON XAVIER</t>
  </si>
  <si>
    <t>JEMIMA JOSEPH LOUIS</t>
  </si>
  <si>
    <t>JORGE LUIZ LIMA DA COSTA</t>
  </si>
  <si>
    <t>JOSE DE OLIVEIRA COELHO</t>
  </si>
  <si>
    <t>JOSE GERALDO XAVIER DE ARAUJO</t>
  </si>
  <si>
    <t>KAIQUE DOS SANTOS ALMEIDA</t>
  </si>
  <si>
    <t>LAERCIO MARIANO DE ABREU</t>
  </si>
  <si>
    <t>MARCOS ROBERTO DA SILVA</t>
  </si>
  <si>
    <t>PATRICIA ALMEIDA DE LIMA</t>
  </si>
  <si>
    <t>PAULO ROGERIO MATIAS DOMINGUES</t>
  </si>
  <si>
    <t>RENELSON VALLIERE</t>
  </si>
  <si>
    <t>TIAGO FERNANDES DO NASCIMENTO</t>
  </si>
  <si>
    <t>VANDERSON WILIAN CASTRO BATISTA</t>
  </si>
  <si>
    <t>WESLEY SOARES DA SILVA OLIVEIRA</t>
  </si>
  <si>
    <t>WESLEY VIRGINIO DA SILVA</t>
  </si>
  <si>
    <t>ANALISTA ADM/FINANCEIRO</t>
  </si>
  <si>
    <t>VANDERSON WILIAN CASTRO BATIS</t>
  </si>
  <si>
    <t>WESLEY SOARES DA SILVA OLIVEIR</t>
  </si>
  <si>
    <t>AGOSTO / 2023</t>
  </si>
  <si>
    <t>LUCIANO DE SOUSA AMORIM</t>
  </si>
  <si>
    <t>total</t>
  </si>
  <si>
    <t>PAULO RICARDO SOARES SILVA</t>
  </si>
  <si>
    <t>SETEMBRO</t>
  </si>
  <si>
    <t>Soma de SETEMBRO</t>
  </si>
  <si>
    <t>SETEMBRO.2023</t>
  </si>
  <si>
    <t>Afastado</t>
  </si>
  <si>
    <t>Demitido No Mês</t>
  </si>
  <si>
    <t>SETEMBRO / 2023</t>
  </si>
  <si>
    <t>ANDRE LUIZ MUNIZ DE ARRUDA</t>
  </si>
  <si>
    <t>AUGUSTO DOS SANTOS FRANCISCO</t>
  </si>
  <si>
    <t>BRUNO DE JESUS SANTOS QUEIROZ</t>
  </si>
  <si>
    <t>CESAR FRANCISCO ALVES LIMA</t>
  </si>
  <si>
    <t>ELZA DE JESUS ALVES DE SOUZA OLIVEIRA</t>
  </si>
  <si>
    <t>FABIO JUNIO MUNIZ DE ARRUDA</t>
  </si>
  <si>
    <t>FLAVIO FELIX DOS SANTOS</t>
  </si>
  <si>
    <t>JAILSON AMANCIO DA SILVA</t>
  </si>
  <si>
    <t>JONAS PEREIRA RIBEIRO</t>
  </si>
  <si>
    <t>JOSE CARLOS ALVES DOS SANTOS</t>
  </si>
  <si>
    <t>JUVENAL MOREIRA DOS REIS JUNIOR</t>
  </si>
  <si>
    <t>MARCELO PEREIRA DOS SANTOS</t>
  </si>
  <si>
    <t>MARCOS JEFFERSON ALAOR JESUS DE SOUZA</t>
  </si>
  <si>
    <t>RIVALDO OLIVEIRA SILVA</t>
  </si>
  <si>
    <t>SILVIO JOSE RODRIGUES DA SILVA</t>
  </si>
  <si>
    <t>VALBERTO BRITO DE SOUZA</t>
  </si>
  <si>
    <t>VALDINEI DE JESUS DOS SANTOS</t>
  </si>
  <si>
    <t>OUTUBRO / 2023</t>
  </si>
  <si>
    <t>OUTUBRO</t>
  </si>
  <si>
    <t>Quantidade da Verba</t>
  </si>
  <si>
    <t>Código de Estrutura</t>
  </si>
  <si>
    <t>Soma de Quantidade da Verba</t>
  </si>
  <si>
    <t>ELZA DE JESUS ALVES DE SOUZA O</t>
  </si>
  <si>
    <t>JUVENAL MOREIRA DOS REIS JUNIO</t>
  </si>
  <si>
    <t>MARCOS JEFFERSON ALAOR JESUS</t>
  </si>
  <si>
    <t>AJUDA 2/3</t>
  </si>
  <si>
    <t>Reembolso</t>
  </si>
  <si>
    <t>RETORNO</t>
  </si>
  <si>
    <t>COMPRA DE BENEFICIO (  VA E VR   ) PARA COMPETENCIA - OUTUBRO / 2023</t>
  </si>
  <si>
    <t>Soma de OUTUBRO</t>
  </si>
  <si>
    <t>OUTUBRO.2023</t>
  </si>
  <si>
    <t>Acréscimo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</si>
</sst>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0;\-0"/>
    <numFmt numFmtId="167" formatCode="0.00;\-0.00"/>
    <numFmt numFmtId="168" formatCode="_-* #,##0_-;\-* #,##0_-;_-* &quot;-&quot;??_-;_-@_-"/>
    <numFmt numFmtId="169" formatCode="_-* #,##0.00_-;\-* #,##0.00_-;_-* \-??_-;_-@_-"/>
    <numFmt numFmtId="170" formatCode="#,##0.00_ ;[Red]\-#,##0.00\ "/>
  </numFmts>
  <fonts count="60" x14ac:knownFonts="1">
    <font>
      <sz val="10"/>
      <color rgb="FF00000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Calibri Light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8"/>
      <color rgb="FF000000"/>
      <name val="Lucida Console"/>
      <family val="3"/>
    </font>
    <font>
      <sz val="10"/>
      <color rgb="FF000000"/>
      <name val="Arial"/>
      <family val="2"/>
    </font>
    <font>
      <sz val="8"/>
      <color rgb="FF000000"/>
      <name val="Courier New"/>
      <family val="3"/>
    </font>
    <font>
      <b/>
      <sz val="14"/>
      <color theme="0"/>
      <name val="Arial"/>
      <family val="2"/>
    </font>
    <font>
      <b/>
      <sz val="10"/>
      <color theme="0"/>
      <name val="Arial"/>
      <family val="2"/>
    </font>
    <font>
      <b/>
      <sz val="10"/>
      <color rgb="FF000000"/>
      <name val="Arial"/>
      <family val="2"/>
    </font>
    <font>
      <b/>
      <sz val="12"/>
      <color theme="0"/>
      <name val="Arial"/>
      <family val="2"/>
    </font>
    <font>
      <b/>
      <sz val="12"/>
      <color rgb="FF000000"/>
      <name val="Arial"/>
      <family val="2"/>
    </font>
    <font>
      <b/>
      <sz val="14"/>
      <color theme="1"/>
      <name val="Arial"/>
      <family val="2"/>
    </font>
    <font>
      <sz val="14"/>
      <color rgb="FF000000"/>
      <name val="Arial"/>
      <family val="2"/>
    </font>
    <font>
      <b/>
      <sz val="16"/>
      <color theme="1"/>
      <name val="Arial"/>
      <family val="2"/>
    </font>
    <font>
      <sz val="16"/>
      <color rgb="FF000000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Arial"/>
      <family val="2"/>
    </font>
    <font>
      <b/>
      <sz val="14"/>
      <color rgb="FF000000"/>
      <name val="Arial"/>
      <family val="2"/>
    </font>
    <font>
      <b/>
      <sz val="20"/>
      <color rgb="FF000000"/>
      <name val="Arial"/>
      <family val="2"/>
    </font>
    <font>
      <b/>
      <sz val="8"/>
      <color theme="0"/>
      <name val="Arial Black"/>
      <family val="2"/>
    </font>
    <font>
      <b/>
      <sz val="9"/>
      <color rgb="FFFFFF00"/>
      <name val="Arial Black"/>
      <family val="2"/>
    </font>
    <font>
      <b/>
      <sz val="9"/>
      <color theme="0"/>
      <name val="Arial Black"/>
      <family val="2"/>
    </font>
    <font>
      <sz val="8"/>
      <color rgb="FF000000"/>
      <name val="Arial Black"/>
      <family val="2"/>
    </font>
    <font>
      <sz val="10"/>
      <color rgb="FF000000"/>
      <name val="Calibri"/>
      <family val="2"/>
      <scheme val="minor"/>
    </font>
    <font>
      <b/>
      <sz val="12"/>
      <color theme="0"/>
      <name val="Arial Black"/>
      <family val="2"/>
    </font>
    <font>
      <b/>
      <sz val="18"/>
      <color theme="0"/>
      <name val="Arial"/>
      <family val="2"/>
    </font>
    <font>
      <b/>
      <sz val="18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12"/>
      <color theme="1"/>
      <name val="Arial"/>
      <family val="2"/>
    </font>
    <font>
      <b/>
      <sz val="8"/>
      <color rgb="FF000000"/>
      <name val="Courier New"/>
      <family val="3"/>
    </font>
    <font>
      <b/>
      <sz val="8"/>
      <color rgb="FF00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sz val="20"/>
      <color theme="0"/>
      <name val="Arial"/>
      <family val="2"/>
    </font>
    <font>
      <sz val="8"/>
      <color rgb="FF000000"/>
      <name val="Calibri"/>
      <family val="2"/>
    </font>
    <font>
      <b/>
      <sz val="8"/>
      <color rgb="FF000000"/>
      <name val="Calibri Light"/>
      <family val="2"/>
    </font>
    <font>
      <b/>
      <sz val="9"/>
      <color theme="1"/>
      <name val="Calibri"/>
      <family val="2"/>
    </font>
    <font>
      <sz val="8"/>
      <color theme="0"/>
      <name val="Arial Black"/>
      <family val="2"/>
    </font>
    <font>
      <sz val="8"/>
      <color rgb="FFFF0000"/>
      <name val="Calibri Light"/>
      <family val="2"/>
    </font>
    <font>
      <b/>
      <sz val="18"/>
      <color rgb="FF000000"/>
      <name val="Arial"/>
      <family val="2"/>
    </font>
    <font>
      <b/>
      <sz val="18"/>
      <color rgb="FF0070C0"/>
      <name val="Arial"/>
      <family val="2"/>
    </font>
    <font>
      <sz val="9"/>
      <color rgb="FFFFFF00"/>
      <name val="Calibri"/>
      <family val="2"/>
    </font>
    <font>
      <sz val="11"/>
      <color rgb="FF000000"/>
      <name val="Calibri"/>
      <family val="2"/>
    </font>
    <font>
      <b/>
      <sz val="14"/>
      <color rgb="FF000000"/>
      <name val="Calibri"/>
      <family val="2"/>
    </font>
    <font>
      <b/>
      <sz val="8"/>
      <color theme="0"/>
      <name val="Calibri"/>
      <family val="2"/>
    </font>
    <font>
      <b/>
      <sz val="16"/>
      <color rgb="FF000000"/>
      <name val="Arial"/>
      <family val="2"/>
    </font>
    <font>
      <b/>
      <sz val="16"/>
      <color rgb="FF0070C0"/>
      <name val="Arial"/>
      <family val="2"/>
    </font>
    <font>
      <sz val="8"/>
      <color rgb="FF000000"/>
      <name val="Courier New"/>
      <family val="3"/>
    </font>
    <font>
      <sz val="10"/>
      <color rgb="FF0070C0"/>
      <name val="Times New Roman"/>
      <family val="1"/>
    </font>
    <font>
      <b/>
      <sz val="14"/>
      <color rgb="FFFFFF00"/>
      <name val="Calibri"/>
      <family val="2"/>
    </font>
    <font>
      <b/>
      <sz val="14"/>
      <color theme="0"/>
      <name val="Calibri"/>
      <family val="2"/>
    </font>
    <font>
      <sz val="21"/>
      <color rgb="FF202124"/>
      <name val="Arial"/>
      <family val="2"/>
    </font>
    <font>
      <b/>
      <sz val="14"/>
      <color rgb="FFFF0000"/>
      <name val="Calibri"/>
      <family val="2"/>
    </font>
    <font>
      <b/>
      <sz val="14"/>
      <color rgb="FF0070C0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theme="4" tint="0.79998168889431442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theme="4" tint="0.79998168889431442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79998168889431442"/>
        <bgColor theme="4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0000"/>
        <bgColor theme="4" tint="0.79998168889431442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theme="0"/>
      </left>
      <right style="medium">
        <color theme="0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indexed="64"/>
      </bottom>
      <diagonal/>
    </border>
    <border>
      <left style="medium">
        <color theme="0"/>
      </left>
      <right style="medium">
        <color theme="0"/>
      </right>
      <top style="medium">
        <color indexed="64"/>
      </top>
      <bottom/>
      <diagonal/>
    </border>
    <border>
      <left style="medium">
        <color theme="0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theme="0" tint="-4.9989318521683403E-2"/>
      </left>
      <right style="thick">
        <color theme="0" tint="-4.9989318521683403E-2"/>
      </right>
      <top style="thick">
        <color theme="0" tint="-4.9989318521683403E-2"/>
      </top>
      <bottom style="thick">
        <color theme="0" tint="-4.9989318521683403E-2"/>
      </bottom>
      <diagonal/>
    </border>
    <border>
      <left style="medium">
        <color theme="0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theme="0"/>
      </left>
      <right style="medium">
        <color indexed="64"/>
      </right>
      <top/>
      <bottom/>
      <diagonal/>
    </border>
    <border>
      <left style="medium">
        <color theme="0"/>
      </left>
      <right style="medium">
        <color indexed="64"/>
      </right>
      <top style="medium">
        <color indexed="64"/>
      </top>
      <bottom/>
      <diagonal/>
    </border>
    <border>
      <left style="medium">
        <color theme="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ck">
        <color theme="0" tint="-4.9989318521683403E-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ck">
        <color theme="0" tint="-4.9989318521683403E-2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4" fillId="0" borderId="0"/>
    <xf numFmtId="165" fontId="5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4" fillId="0" borderId="0"/>
    <xf numFmtId="164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5" fontId="4" fillId="0" borderId="0" applyFont="0" applyFill="0" applyBorder="0" applyAlignment="0" applyProtection="0"/>
    <xf numFmtId="169" fontId="4" fillId="0" borderId="0" applyBorder="0" applyProtection="0"/>
    <xf numFmtId="0" fontId="4" fillId="0" borderId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1" fillId="0" borderId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4" fillId="0" borderId="0"/>
    <xf numFmtId="165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</cellStyleXfs>
  <cellXfs count="310">
    <xf numFmtId="0" fontId="0" fillId="0" borderId="0" xfId="0"/>
    <xf numFmtId="0" fontId="3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165" fontId="3" fillId="0" borderId="0" xfId="2" applyFont="1" applyAlignment="1">
      <alignment horizontal="center" vertical="center"/>
    </xf>
    <xf numFmtId="165" fontId="6" fillId="5" borderId="1" xfId="2" applyFont="1" applyFill="1" applyBorder="1" applyAlignment="1">
      <alignment horizontal="center" vertical="center"/>
    </xf>
    <xf numFmtId="165" fontId="6" fillId="0" borderId="0" xfId="2" applyFon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vertical="top"/>
    </xf>
    <xf numFmtId="0" fontId="8" fillId="0" borderId="0" xfId="0" applyFont="1" applyAlignment="1">
      <alignment vertical="top"/>
    </xf>
    <xf numFmtId="165" fontId="0" fillId="0" borderId="0" xfId="3" applyFont="1" applyFill="1" applyAlignment="1">
      <alignment vertical="top"/>
    </xf>
    <xf numFmtId="0" fontId="4" fillId="0" borderId="0" xfId="10"/>
    <xf numFmtId="165" fontId="0" fillId="0" borderId="0" xfId="11" applyFont="1"/>
    <xf numFmtId="0" fontId="10" fillId="5" borderId="0" xfId="10" applyFont="1" applyFill="1" applyAlignment="1">
      <alignment horizontal="center"/>
    </xf>
    <xf numFmtId="0" fontId="4" fillId="0" borderId="11" xfId="10" applyBorder="1"/>
    <xf numFmtId="165" fontId="4" fillId="0" borderId="0" xfId="10" applyNumberFormat="1"/>
    <xf numFmtId="165" fontId="4" fillId="0" borderId="0" xfId="11" applyFont="1" applyAlignment="1">
      <alignment horizontal="center"/>
    </xf>
    <xf numFmtId="0" fontId="0" fillId="0" borderId="0" xfId="0" applyAlignment="1">
      <alignment vertical="center"/>
    </xf>
    <xf numFmtId="165" fontId="0" fillId="0" borderId="0" xfId="6" applyFont="1" applyAlignment="1">
      <alignment vertical="center"/>
    </xf>
    <xf numFmtId="0" fontId="18" fillId="0" borderId="0" xfId="4" applyFont="1" applyAlignment="1">
      <alignment vertical="center"/>
    </xf>
    <xf numFmtId="0" fontId="18" fillId="0" borderId="0" xfId="4" applyFont="1"/>
    <xf numFmtId="0" fontId="18" fillId="0" borderId="0" xfId="4" applyFont="1" applyAlignment="1">
      <alignment horizontal="center"/>
    </xf>
    <xf numFmtId="165" fontId="18" fillId="0" borderId="0" xfId="6" applyFont="1"/>
    <xf numFmtId="165" fontId="18" fillId="0" borderId="0" xfId="6" applyFont="1" applyAlignment="1">
      <alignment horizontal="center"/>
    </xf>
    <xf numFmtId="0" fontId="19" fillId="0" borderId="0" xfId="4" applyFont="1" applyAlignment="1">
      <alignment vertical="center"/>
    </xf>
    <xf numFmtId="165" fontId="20" fillId="8" borderId="0" xfId="6" applyFont="1" applyFill="1" applyBorder="1" applyAlignment="1">
      <alignment vertical="center"/>
    </xf>
    <xf numFmtId="165" fontId="20" fillId="8" borderId="0" xfId="6" applyFont="1" applyFill="1" applyBorder="1" applyAlignment="1">
      <alignment horizontal="center" vertical="center"/>
    </xf>
    <xf numFmtId="165" fontId="21" fillId="0" borderId="0" xfId="5" applyFont="1"/>
    <xf numFmtId="14" fontId="3" fillId="0" borderId="0" xfId="0" applyNumberFormat="1" applyFont="1" applyAlignment="1">
      <alignment horizontal="center" vertical="center"/>
    </xf>
    <xf numFmtId="165" fontId="0" fillId="0" borderId="0" xfId="2" applyFont="1"/>
    <xf numFmtId="165" fontId="0" fillId="0" borderId="0" xfId="0" applyNumberFormat="1"/>
    <xf numFmtId="165" fontId="0" fillId="0" borderId="0" xfId="2" applyFont="1" applyAlignment="1">
      <alignment vertical="top"/>
    </xf>
    <xf numFmtId="165" fontId="3" fillId="5" borderId="1" xfId="2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24" fillId="3" borderId="1" xfId="0" applyFont="1" applyFill="1" applyBorder="1" applyAlignment="1">
      <alignment horizontal="center" vertical="top"/>
    </xf>
    <xf numFmtId="0" fontId="24" fillId="3" borderId="1" xfId="0" applyFont="1" applyFill="1" applyBorder="1" applyAlignment="1">
      <alignment vertical="top"/>
    </xf>
    <xf numFmtId="0" fontId="24" fillId="15" borderId="1" xfId="0" applyFont="1" applyFill="1" applyBorder="1" applyAlignment="1">
      <alignment vertical="top"/>
    </xf>
    <xf numFmtId="0" fontId="27" fillId="0" borderId="0" xfId="0" applyFont="1" applyAlignment="1">
      <alignment horizontal="center" vertical="center"/>
    </xf>
    <xf numFmtId="0" fontId="0" fillId="16" borderId="0" xfId="0" applyFill="1" applyAlignment="1">
      <alignment vertical="top"/>
    </xf>
    <xf numFmtId="168" fontId="3" fillId="17" borderId="0" xfId="2" applyNumberFormat="1" applyFont="1" applyFill="1" applyAlignment="1">
      <alignment horizontal="center" vertical="center"/>
    </xf>
    <xf numFmtId="165" fontId="3" fillId="17" borderId="0" xfId="2" applyFont="1" applyFill="1" applyAlignment="1">
      <alignment horizontal="center" vertical="center"/>
    </xf>
    <xf numFmtId="165" fontId="6" fillId="17" borderId="0" xfId="2" applyFont="1" applyFill="1" applyAlignment="1">
      <alignment horizontal="center" vertical="center"/>
    </xf>
    <xf numFmtId="165" fontId="14" fillId="7" borderId="15" xfId="6" quotePrefix="1" applyFont="1" applyFill="1" applyBorder="1" applyAlignment="1">
      <alignment horizontal="center" vertical="center" wrapText="1"/>
    </xf>
    <xf numFmtId="165" fontId="14" fillId="7" borderId="16" xfId="6" applyFont="1" applyFill="1" applyBorder="1" applyAlignment="1">
      <alignment horizontal="center" vertical="center"/>
    </xf>
    <xf numFmtId="165" fontId="14" fillId="7" borderId="17" xfId="6" applyFont="1" applyFill="1" applyBorder="1" applyAlignment="1">
      <alignment horizontal="center" vertical="center"/>
    </xf>
    <xf numFmtId="0" fontId="18" fillId="22" borderId="0" xfId="4" applyFont="1" applyFill="1"/>
    <xf numFmtId="0" fontId="20" fillId="20" borderId="6" xfId="4" applyFont="1" applyFill="1" applyBorder="1" applyAlignment="1">
      <alignment vertical="center"/>
    </xf>
    <xf numFmtId="0" fontId="14" fillId="20" borderId="3" xfId="4" applyFont="1" applyFill="1" applyBorder="1" applyAlignment="1">
      <alignment vertical="center"/>
    </xf>
    <xf numFmtId="165" fontId="17" fillId="14" borderId="20" xfId="6" applyFont="1" applyFill="1" applyBorder="1" applyAlignment="1">
      <alignment vertical="center"/>
    </xf>
    <xf numFmtId="165" fontId="17" fillId="22" borderId="20" xfId="6" applyFont="1" applyFill="1" applyBorder="1" applyAlignment="1">
      <alignment vertical="center"/>
    </xf>
    <xf numFmtId="165" fontId="16" fillId="13" borderId="22" xfId="6" applyFont="1" applyFill="1" applyBorder="1" applyAlignment="1">
      <alignment horizontal="center" vertical="center"/>
    </xf>
    <xf numFmtId="165" fontId="15" fillId="14" borderId="1" xfId="2" applyFont="1" applyFill="1" applyBorder="1" applyAlignment="1">
      <alignment horizontal="center" vertical="center"/>
    </xf>
    <xf numFmtId="0" fontId="0" fillId="0" borderId="0" xfId="2" applyNumberFormat="1" applyFont="1"/>
    <xf numFmtId="165" fontId="0" fillId="0" borderId="1" xfId="2" applyFont="1" applyBorder="1"/>
    <xf numFmtId="165" fontId="25" fillId="2" borderId="1" xfId="2" applyFont="1" applyFill="1" applyBorder="1" applyAlignment="1">
      <alignment horizontal="center" vertical="center"/>
    </xf>
    <xf numFmtId="165" fontId="26" fillId="6" borderId="1" xfId="2" applyFont="1" applyFill="1" applyBorder="1" applyAlignment="1">
      <alignment horizontal="center" vertical="center"/>
    </xf>
    <xf numFmtId="0" fontId="17" fillId="14" borderId="26" xfId="7" applyFont="1" applyFill="1" applyBorder="1" applyAlignment="1">
      <alignment horizontal="center" vertical="center"/>
    </xf>
    <xf numFmtId="0" fontId="17" fillId="22" borderId="26" xfId="7" applyFont="1" applyFill="1" applyBorder="1" applyAlignment="1">
      <alignment horizontal="center" vertical="center"/>
    </xf>
    <xf numFmtId="168" fontId="16" fillId="13" borderId="23" xfId="6" applyNumberFormat="1" applyFont="1" applyFill="1" applyBorder="1" applyAlignment="1">
      <alignment horizontal="center" vertical="center"/>
    </xf>
    <xf numFmtId="165" fontId="16" fillId="21" borderId="27" xfId="6" applyFont="1" applyFill="1" applyBorder="1" applyAlignment="1">
      <alignment horizontal="center" vertical="center"/>
    </xf>
    <xf numFmtId="165" fontId="29" fillId="2" borderId="30" xfId="2" applyFont="1" applyFill="1" applyBorder="1" applyAlignment="1">
      <alignment horizontal="center" vertical="center"/>
    </xf>
    <xf numFmtId="165" fontId="29" fillId="3" borderId="30" xfId="2" applyFont="1" applyFill="1" applyBorder="1" applyAlignment="1">
      <alignment horizontal="center" vertical="center"/>
    </xf>
    <xf numFmtId="0" fontId="14" fillId="20" borderId="4" xfId="4" applyFont="1" applyFill="1" applyBorder="1" applyAlignment="1">
      <alignment vertical="center"/>
    </xf>
    <xf numFmtId="0" fontId="34" fillId="20" borderId="6" xfId="4" applyFont="1" applyFill="1" applyBorder="1" applyAlignment="1">
      <alignment vertical="center"/>
    </xf>
    <xf numFmtId="165" fontId="16" fillId="21" borderId="21" xfId="6" applyFont="1" applyFill="1" applyBorder="1" applyAlignment="1">
      <alignment vertical="center"/>
    </xf>
    <xf numFmtId="166" fontId="8" fillId="0" borderId="0" xfId="0" applyNumberFormat="1" applyFont="1" applyAlignment="1">
      <alignment horizontal="center" vertical="top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vertical="center"/>
    </xf>
    <xf numFmtId="165" fontId="16" fillId="13" borderId="31" xfId="6" applyFont="1" applyFill="1" applyBorder="1" applyAlignment="1">
      <alignment horizontal="center" vertical="center"/>
    </xf>
    <xf numFmtId="168" fontId="16" fillId="13" borderId="2" xfId="6" applyNumberFormat="1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left" vertical="center"/>
    </xf>
    <xf numFmtId="165" fontId="14" fillId="7" borderId="25" xfId="6" applyFont="1" applyFill="1" applyBorder="1" applyAlignment="1">
      <alignment vertical="center"/>
    </xf>
    <xf numFmtId="170" fontId="22" fillId="14" borderId="9" xfId="2" applyNumberFormat="1" applyFont="1" applyFill="1" applyBorder="1" applyAlignment="1">
      <alignment horizontal="right" vertical="center"/>
    </xf>
    <xf numFmtId="165" fontId="9" fillId="18" borderId="18" xfId="6" quotePrefix="1" applyFont="1" applyFill="1" applyBorder="1" applyAlignment="1">
      <alignment horizontal="center" vertical="center" wrapText="1"/>
    </xf>
    <xf numFmtId="0" fontId="16" fillId="20" borderId="32" xfId="4" applyFont="1" applyFill="1" applyBorder="1" applyAlignment="1">
      <alignment vertical="center"/>
    </xf>
    <xf numFmtId="0" fontId="16" fillId="20" borderId="33" xfId="4" applyFont="1" applyFill="1" applyBorder="1" applyAlignment="1">
      <alignment vertical="center"/>
    </xf>
    <xf numFmtId="0" fontId="13" fillId="0" borderId="7" xfId="10" applyFont="1" applyBorder="1"/>
    <xf numFmtId="14" fontId="13" fillId="0" borderId="8" xfId="11" applyNumberFormat="1" applyFont="1" applyBorder="1"/>
    <xf numFmtId="0" fontId="35" fillId="0" borderId="0" xfId="0" applyFont="1" applyAlignment="1">
      <alignment vertical="top"/>
    </xf>
    <xf numFmtId="0" fontId="28" fillId="5" borderId="0" xfId="0" applyFont="1" applyFill="1" applyAlignment="1">
      <alignment horizontal="center" vertical="center"/>
    </xf>
    <xf numFmtId="165" fontId="33" fillId="13" borderId="31" xfId="6" applyFont="1" applyFill="1" applyBorder="1" applyAlignment="1">
      <alignment horizontal="center" vertical="center"/>
    </xf>
    <xf numFmtId="166" fontId="8" fillId="0" borderId="0" xfId="0" applyNumberFormat="1" applyFont="1" applyAlignment="1">
      <alignment horizontal="right" vertical="top"/>
    </xf>
    <xf numFmtId="167" fontId="8" fillId="0" borderId="0" xfId="0" applyNumberFormat="1" applyFont="1" applyAlignment="1">
      <alignment horizontal="right" vertical="top"/>
    </xf>
    <xf numFmtId="14" fontId="8" fillId="0" borderId="0" xfId="0" applyNumberFormat="1" applyFont="1" applyAlignment="1">
      <alignment horizontal="center" vertical="top"/>
    </xf>
    <xf numFmtId="166" fontId="36" fillId="23" borderId="1" xfId="0" applyNumberFormat="1" applyFont="1" applyFill="1" applyBorder="1" applyAlignment="1">
      <alignment horizontal="center" vertical="center"/>
    </xf>
    <xf numFmtId="14" fontId="37" fillId="24" borderId="1" xfId="0" applyNumberFormat="1" applyFont="1" applyFill="1" applyBorder="1" applyAlignment="1">
      <alignment horizontal="left" vertical="center"/>
    </xf>
    <xf numFmtId="14" fontId="38" fillId="23" borderId="1" xfId="0" applyNumberFormat="1" applyFont="1" applyFill="1" applyBorder="1" applyAlignment="1">
      <alignment horizontal="center" vertical="center"/>
    </xf>
    <xf numFmtId="165" fontId="37" fillId="24" borderId="1" xfId="2" applyFont="1" applyFill="1" applyBorder="1" applyAlignment="1">
      <alignment horizontal="center" vertical="center"/>
    </xf>
    <xf numFmtId="0" fontId="10" fillId="9" borderId="36" xfId="10" applyFont="1" applyFill="1" applyBorder="1"/>
    <xf numFmtId="165" fontId="10" fillId="9" borderId="37" xfId="10" applyNumberFormat="1" applyFont="1" applyFill="1" applyBorder="1"/>
    <xf numFmtId="165" fontId="10" fillId="9" borderId="1" xfId="11" applyFont="1" applyFill="1" applyBorder="1"/>
    <xf numFmtId="4" fontId="0" fillId="0" borderId="1" xfId="0" applyNumberFormat="1" applyBorder="1"/>
    <xf numFmtId="2" fontId="4" fillId="10" borderId="1" xfId="12" applyNumberFormat="1" applyFill="1" applyBorder="1"/>
    <xf numFmtId="165" fontId="4" fillId="10" borderId="1" xfId="11" applyFont="1" applyFill="1" applyBorder="1"/>
    <xf numFmtId="0" fontId="12" fillId="12" borderId="7" xfId="10" applyFont="1" applyFill="1" applyBorder="1" applyAlignment="1">
      <alignment vertical="center"/>
    </xf>
    <xf numFmtId="165" fontId="12" fillId="12" borderId="25" xfId="11" applyFont="1" applyFill="1" applyBorder="1" applyAlignment="1">
      <alignment vertical="center"/>
    </xf>
    <xf numFmtId="165" fontId="12" fillId="12" borderId="8" xfId="10" applyNumberFormat="1" applyFont="1" applyFill="1" applyBorder="1" applyAlignment="1">
      <alignment vertical="center"/>
    </xf>
    <xf numFmtId="0" fontId="10" fillId="9" borderId="33" xfId="10" applyFont="1" applyFill="1" applyBorder="1"/>
    <xf numFmtId="0" fontId="10" fillId="9" borderId="24" xfId="10" applyFont="1" applyFill="1" applyBorder="1" applyAlignment="1">
      <alignment horizontal="right"/>
    </xf>
    <xf numFmtId="0" fontId="0" fillId="0" borderId="33" xfId="0" applyBorder="1" applyAlignment="1">
      <alignment horizontal="left" indent="1"/>
    </xf>
    <xf numFmtId="165" fontId="4" fillId="0" borderId="24" xfId="11" applyFont="1" applyBorder="1"/>
    <xf numFmtId="0" fontId="11" fillId="10" borderId="33" xfId="10" applyFont="1" applyFill="1" applyBorder="1"/>
    <xf numFmtId="169" fontId="4" fillId="10" borderId="24" xfId="13" applyNumberFormat="1" applyFill="1" applyBorder="1"/>
    <xf numFmtId="0" fontId="10" fillId="9" borderId="34" xfId="10" applyFont="1" applyFill="1" applyBorder="1"/>
    <xf numFmtId="165" fontId="10" fillId="11" borderId="10" xfId="11" applyFont="1" applyFill="1" applyBorder="1"/>
    <xf numFmtId="165" fontId="10" fillId="11" borderId="35" xfId="11" applyFont="1" applyFill="1" applyBorder="1"/>
    <xf numFmtId="165" fontId="0" fillId="0" borderId="11" xfId="11" applyFont="1" applyBorder="1"/>
    <xf numFmtId="165" fontId="4" fillId="10" borderId="24" xfId="11" applyFont="1" applyFill="1" applyBorder="1"/>
    <xf numFmtId="165" fontId="10" fillId="9" borderId="38" xfId="10" applyNumberFormat="1" applyFont="1" applyFill="1" applyBorder="1"/>
    <xf numFmtId="0" fontId="40" fillId="0" borderId="0" xfId="0" applyFont="1" applyAlignment="1">
      <alignment vertical="center"/>
    </xf>
    <xf numFmtId="0" fontId="40" fillId="0" borderId="0" xfId="0" applyFont="1" applyAlignment="1">
      <alignment horizontal="center" vertical="center"/>
    </xf>
    <xf numFmtId="165" fontId="16" fillId="13" borderId="0" xfId="6" applyFont="1" applyFill="1" applyBorder="1" applyAlignment="1">
      <alignment horizontal="center" vertical="center"/>
    </xf>
    <xf numFmtId="168" fontId="16" fillId="13" borderId="0" xfId="6" applyNumberFormat="1" applyFont="1" applyFill="1" applyBorder="1" applyAlignment="1">
      <alignment horizontal="center" vertical="center"/>
    </xf>
    <xf numFmtId="165" fontId="33" fillId="13" borderId="0" xfId="6" applyFont="1" applyFill="1" applyBorder="1" applyAlignment="1">
      <alignment horizontal="center" vertical="center"/>
    </xf>
    <xf numFmtId="170" fontId="0" fillId="0" borderId="24" xfId="2" applyNumberFormat="1" applyFont="1" applyBorder="1"/>
    <xf numFmtId="0" fontId="14" fillId="20" borderId="0" xfId="4" applyFont="1" applyFill="1" applyAlignment="1">
      <alignment vertical="center"/>
    </xf>
    <xf numFmtId="0" fontId="20" fillId="5" borderId="0" xfId="4" applyFont="1" applyFill="1" applyAlignment="1">
      <alignment vertical="center"/>
    </xf>
    <xf numFmtId="165" fontId="40" fillId="14" borderId="1" xfId="2" applyFont="1" applyFill="1" applyBorder="1" applyAlignment="1">
      <alignment horizontal="right" vertical="center"/>
    </xf>
    <xf numFmtId="170" fontId="40" fillId="14" borderId="1" xfId="2" applyNumberFormat="1" applyFont="1" applyFill="1" applyBorder="1" applyAlignment="1">
      <alignment horizontal="right" vertical="center"/>
    </xf>
    <xf numFmtId="170" fontId="40" fillId="5" borderId="1" xfId="2" applyNumberFormat="1" applyFont="1" applyFill="1" applyBorder="1" applyAlignment="1">
      <alignment horizontal="right" vertical="center"/>
    </xf>
    <xf numFmtId="0" fontId="40" fillId="0" borderId="0" xfId="0" applyFont="1"/>
    <xf numFmtId="14" fontId="40" fillId="0" borderId="0" xfId="0" applyNumberFormat="1" applyFont="1"/>
    <xf numFmtId="165" fontId="40" fillId="0" borderId="0" xfId="2" applyFont="1" applyAlignment="1">
      <alignment horizontal="right"/>
    </xf>
    <xf numFmtId="170" fontId="40" fillId="0" borderId="0" xfId="2" applyNumberFormat="1" applyFont="1" applyAlignment="1">
      <alignment horizontal="right"/>
    </xf>
    <xf numFmtId="0" fontId="40" fillId="5" borderId="0" xfId="0" applyFont="1" applyFill="1" applyAlignment="1">
      <alignment vertical="center"/>
    </xf>
    <xf numFmtId="0" fontId="40" fillId="0" borderId="1" xfId="0" applyFont="1" applyBorder="1" applyAlignment="1">
      <alignment horizontal="center"/>
    </xf>
    <xf numFmtId="0" fontId="42" fillId="7" borderId="1" xfId="0" applyFont="1" applyFill="1" applyBorder="1" applyAlignment="1">
      <alignment horizontal="center" vertical="center"/>
    </xf>
    <xf numFmtId="0" fontId="42" fillId="7" borderId="1" xfId="0" applyFont="1" applyFill="1" applyBorder="1" applyAlignment="1">
      <alignment vertical="center"/>
    </xf>
    <xf numFmtId="166" fontId="42" fillId="7" borderId="1" xfId="0" applyNumberFormat="1" applyFont="1" applyFill="1" applyBorder="1" applyAlignment="1">
      <alignment vertical="center"/>
    </xf>
    <xf numFmtId="0" fontId="40" fillId="0" borderId="0" xfId="0" applyFont="1" applyAlignment="1">
      <alignment horizontal="center"/>
    </xf>
    <xf numFmtId="166" fontId="36" fillId="4" borderId="1" xfId="0" applyNumberFormat="1" applyFont="1" applyFill="1" applyBorder="1" applyAlignment="1">
      <alignment horizontal="center" vertical="center"/>
    </xf>
    <xf numFmtId="14" fontId="37" fillId="13" borderId="1" xfId="0" applyNumberFormat="1" applyFont="1" applyFill="1" applyBorder="1" applyAlignment="1">
      <alignment horizontal="left" vertical="center"/>
    </xf>
    <xf numFmtId="14" fontId="38" fillId="4" borderId="1" xfId="0" applyNumberFormat="1" applyFont="1" applyFill="1" applyBorder="1" applyAlignment="1">
      <alignment horizontal="center" vertical="center"/>
    </xf>
    <xf numFmtId="165" fontId="37" fillId="13" borderId="1" xfId="2" applyFont="1" applyFill="1" applyBorder="1" applyAlignment="1">
      <alignment horizontal="center" vertical="center"/>
    </xf>
    <xf numFmtId="165" fontId="6" fillId="4" borderId="1" xfId="2" applyFont="1" applyFill="1" applyBorder="1" applyAlignment="1">
      <alignment horizontal="center" vertical="center"/>
    </xf>
    <xf numFmtId="168" fontId="3" fillId="0" borderId="0" xfId="2" applyNumberFormat="1" applyFont="1" applyAlignment="1">
      <alignment horizontal="center" vertical="center"/>
    </xf>
    <xf numFmtId="0" fontId="0" fillId="0" borderId="0" xfId="2" applyNumberFormat="1" applyFont="1" applyAlignment="1">
      <alignment horizontal="center"/>
    </xf>
    <xf numFmtId="0" fontId="0" fillId="0" borderId="0" xfId="0" applyAlignment="1">
      <alignment horizontal="center"/>
    </xf>
    <xf numFmtId="0" fontId="15" fillId="14" borderId="1" xfId="2" applyNumberFormat="1" applyFont="1" applyFill="1" applyBorder="1" applyAlignment="1">
      <alignment horizontal="center" vertical="center"/>
    </xf>
    <xf numFmtId="43" fontId="18" fillId="0" borderId="0" xfId="4" applyNumberFormat="1" applyFont="1" applyAlignment="1">
      <alignment vertical="center"/>
    </xf>
    <xf numFmtId="0" fontId="3" fillId="26" borderId="0" xfId="0" applyFont="1" applyFill="1" applyAlignment="1">
      <alignment horizontal="center" vertical="center"/>
    </xf>
    <xf numFmtId="14" fontId="3" fillId="0" borderId="0" xfId="0" applyNumberFormat="1" applyFont="1" applyAlignment="1">
      <alignment horizontal="left" vertical="center"/>
    </xf>
    <xf numFmtId="0" fontId="24" fillId="15" borderId="1" xfId="0" applyFont="1" applyFill="1" applyBorder="1" applyAlignment="1">
      <alignment horizontal="left" vertical="top"/>
    </xf>
    <xf numFmtId="0" fontId="38" fillId="4" borderId="1" xfId="0" applyFont="1" applyFill="1" applyBorder="1" applyAlignment="1">
      <alignment horizontal="left" vertical="center"/>
    </xf>
    <xf numFmtId="0" fontId="38" fillId="23" borderId="1" xfId="0" applyFont="1" applyFill="1" applyBorder="1" applyAlignment="1">
      <alignment horizontal="left" vertical="center"/>
    </xf>
    <xf numFmtId="0" fontId="44" fillId="5" borderId="0" xfId="0" applyFont="1" applyFill="1" applyAlignment="1">
      <alignment horizontal="center" vertical="center"/>
    </xf>
    <xf numFmtId="165" fontId="43" fillId="3" borderId="12" xfId="2" quotePrefix="1" applyFont="1" applyFill="1" applyBorder="1" applyAlignment="1">
      <alignment horizontal="center" vertical="center"/>
    </xf>
    <xf numFmtId="170" fontId="43" fillId="3" borderId="12" xfId="2" quotePrefix="1" applyNumberFormat="1" applyFont="1" applyFill="1" applyBorder="1" applyAlignment="1">
      <alignment horizontal="center" vertical="center"/>
    </xf>
    <xf numFmtId="0" fontId="9" fillId="2" borderId="3" xfId="4" applyFont="1" applyFill="1" applyBorder="1" applyAlignment="1">
      <alignment horizontal="center" vertical="center"/>
    </xf>
    <xf numFmtId="0" fontId="16" fillId="20" borderId="40" xfId="4" applyFont="1" applyFill="1" applyBorder="1" applyAlignment="1">
      <alignment vertical="center"/>
    </xf>
    <xf numFmtId="165" fontId="30" fillId="18" borderId="18" xfId="6" quotePrefix="1" applyFont="1" applyFill="1" applyBorder="1" applyAlignment="1">
      <alignment horizontal="center" vertical="center" wrapText="1"/>
    </xf>
    <xf numFmtId="165" fontId="45" fillId="22" borderId="20" xfId="6" applyFont="1" applyFill="1" applyBorder="1" applyAlignment="1">
      <alignment vertical="center"/>
    </xf>
    <xf numFmtId="0" fontId="45" fillId="22" borderId="41" xfId="7" applyFont="1" applyFill="1" applyBorder="1" applyAlignment="1">
      <alignment horizontal="center" vertical="center"/>
    </xf>
    <xf numFmtId="165" fontId="45" fillId="14" borderId="20" xfId="6" applyFont="1" applyFill="1" applyBorder="1" applyAlignment="1">
      <alignment vertical="center"/>
    </xf>
    <xf numFmtId="0" fontId="45" fillId="14" borderId="41" xfId="7" applyFont="1" applyFill="1" applyBorder="1" applyAlignment="1">
      <alignment horizontal="center" vertical="center"/>
    </xf>
    <xf numFmtId="168" fontId="31" fillId="13" borderId="42" xfId="6" applyNumberFormat="1" applyFont="1" applyFill="1" applyBorder="1" applyAlignment="1">
      <alignment horizontal="center" vertical="center"/>
    </xf>
    <xf numFmtId="165" fontId="31" fillId="21" borderId="21" xfId="6" applyFont="1" applyFill="1" applyBorder="1" applyAlignment="1">
      <alignment vertical="center"/>
    </xf>
    <xf numFmtId="165" fontId="31" fillId="21" borderId="43" xfId="6" applyFont="1" applyFill="1" applyBorder="1" applyAlignment="1">
      <alignment vertical="center"/>
    </xf>
    <xf numFmtId="0" fontId="16" fillId="20" borderId="28" xfId="4" applyFont="1" applyFill="1" applyBorder="1" applyAlignment="1">
      <alignment vertical="center"/>
    </xf>
    <xf numFmtId="0" fontId="46" fillId="20" borderId="7" xfId="4" applyFont="1" applyFill="1" applyBorder="1" applyAlignment="1">
      <alignment vertical="center"/>
    </xf>
    <xf numFmtId="0" fontId="0" fillId="0" borderId="5" xfId="0" applyBorder="1" applyAlignment="1">
      <alignment horizontal="left" indent="1"/>
    </xf>
    <xf numFmtId="4" fontId="0" fillId="0" borderId="0" xfId="0" applyNumberFormat="1"/>
    <xf numFmtId="0" fontId="40" fillId="0" borderId="1" xfId="0" applyFont="1" applyBorder="1" applyAlignment="1">
      <alignment vertical="top"/>
    </xf>
    <xf numFmtId="0" fontId="14" fillId="7" borderId="4" xfId="0" applyFont="1" applyFill="1" applyBorder="1" applyAlignment="1">
      <alignment vertical="center"/>
    </xf>
    <xf numFmtId="165" fontId="14" fillId="7" borderId="4" xfId="6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left" vertical="center"/>
    </xf>
    <xf numFmtId="165" fontId="14" fillId="7" borderId="36" xfId="6" applyFont="1" applyFill="1" applyBorder="1" applyAlignment="1">
      <alignment vertical="center"/>
    </xf>
    <xf numFmtId="0" fontId="14" fillId="7" borderId="36" xfId="6" applyNumberFormat="1" applyFont="1" applyFill="1" applyBorder="1" applyAlignment="1">
      <alignment horizontal="center" vertical="center"/>
    </xf>
    <xf numFmtId="0" fontId="23" fillId="0" borderId="44" xfId="0" applyFont="1" applyBorder="1" applyAlignment="1">
      <alignment horizontal="left" vertical="center"/>
    </xf>
    <xf numFmtId="165" fontId="15" fillId="14" borderId="12" xfId="2" applyFont="1" applyFill="1" applyBorder="1" applyAlignment="1">
      <alignment horizontal="center" vertical="center"/>
    </xf>
    <xf numFmtId="0" fontId="15" fillId="14" borderId="12" xfId="2" applyNumberFormat="1" applyFont="1" applyFill="1" applyBorder="1" applyAlignment="1">
      <alignment horizontal="center" vertical="center"/>
    </xf>
    <xf numFmtId="0" fontId="30" fillId="22" borderId="0" xfId="4" applyFont="1" applyFill="1" applyAlignment="1">
      <alignment horizontal="center" vertical="center"/>
    </xf>
    <xf numFmtId="165" fontId="9" fillId="18" borderId="19" xfId="6" quotePrefix="1" applyFont="1" applyFill="1" applyBorder="1" applyAlignment="1">
      <alignment horizontal="center" vertical="center" wrapText="1"/>
    </xf>
    <xf numFmtId="0" fontId="39" fillId="19" borderId="3" xfId="4" applyFont="1" applyFill="1" applyBorder="1" applyAlignment="1">
      <alignment horizontal="centerContinuous" vertical="center"/>
    </xf>
    <xf numFmtId="0" fontId="39" fillId="19" borderId="14" xfId="4" applyFont="1" applyFill="1" applyBorder="1" applyAlignment="1">
      <alignment horizontal="centerContinuous" vertical="center"/>
    </xf>
    <xf numFmtId="0" fontId="39" fillId="19" borderId="13" xfId="4" applyFont="1" applyFill="1" applyBorder="1" applyAlignment="1">
      <alignment horizontal="centerContinuous" vertical="center"/>
    </xf>
    <xf numFmtId="0" fontId="4" fillId="0" borderId="0" xfId="0" applyFont="1"/>
    <xf numFmtId="165" fontId="3" fillId="5" borderId="9" xfId="2" applyFont="1" applyFill="1" applyBorder="1" applyAlignment="1">
      <alignment horizontal="center" vertical="center"/>
    </xf>
    <xf numFmtId="165" fontId="6" fillId="5" borderId="9" xfId="2" applyFont="1" applyFill="1" applyBorder="1" applyAlignment="1">
      <alignment horizontal="center" vertical="center"/>
    </xf>
    <xf numFmtId="168" fontId="3" fillId="5" borderId="45" xfId="2" applyNumberFormat="1" applyFont="1" applyFill="1" applyBorder="1" applyAlignment="1">
      <alignment horizontal="center" vertical="center"/>
    </xf>
    <xf numFmtId="165" fontId="25" fillId="2" borderId="7" xfId="2" applyFont="1" applyFill="1" applyBorder="1" applyAlignment="1">
      <alignment horizontal="center" vertical="center"/>
    </xf>
    <xf numFmtId="165" fontId="25" fillId="2" borderId="25" xfId="2" applyFont="1" applyFill="1" applyBorder="1" applyAlignment="1">
      <alignment horizontal="center" vertical="center"/>
    </xf>
    <xf numFmtId="165" fontId="26" fillId="6" borderId="25" xfId="2" applyFont="1" applyFill="1" applyBorder="1" applyAlignment="1">
      <alignment horizontal="center" vertical="center"/>
    </xf>
    <xf numFmtId="168" fontId="25" fillId="2" borderId="8" xfId="2" applyNumberFormat="1" applyFont="1" applyFill="1" applyBorder="1" applyAlignment="1">
      <alignment horizontal="center" vertical="center"/>
    </xf>
    <xf numFmtId="0" fontId="47" fillId="0" borderId="2" xfId="0" applyFont="1" applyBorder="1" applyAlignment="1">
      <alignment horizontal="center" vertical="center"/>
    </xf>
    <xf numFmtId="0" fontId="47" fillId="0" borderId="2" xfId="0" applyFont="1" applyBorder="1" applyAlignment="1">
      <alignment horizontal="left" vertical="center"/>
    </xf>
    <xf numFmtId="0" fontId="50" fillId="2" borderId="28" xfId="0" applyFont="1" applyFill="1" applyBorder="1" applyAlignment="1">
      <alignment horizontal="center" vertical="top"/>
    </xf>
    <xf numFmtId="0" fontId="50" fillId="2" borderId="12" xfId="0" applyFont="1" applyFill="1" applyBorder="1" applyAlignment="1">
      <alignment vertical="top"/>
    </xf>
    <xf numFmtId="165" fontId="29" fillId="3" borderId="47" xfId="2" applyFont="1" applyFill="1" applyBorder="1" applyAlignment="1">
      <alignment horizontal="center" vertical="center"/>
    </xf>
    <xf numFmtId="168" fontId="41" fillId="25" borderId="8" xfId="2" applyNumberFormat="1" applyFont="1" applyFill="1" applyBorder="1" applyAlignment="1">
      <alignment horizontal="center" vertical="center"/>
    </xf>
    <xf numFmtId="0" fontId="14" fillId="7" borderId="25" xfId="6" applyNumberFormat="1" applyFont="1" applyFill="1" applyBorder="1" applyAlignment="1">
      <alignment horizontal="center" vertical="center"/>
    </xf>
    <xf numFmtId="0" fontId="16" fillId="20" borderId="48" xfId="4" applyFont="1" applyFill="1" applyBorder="1" applyAlignment="1">
      <alignment vertical="center"/>
    </xf>
    <xf numFmtId="0" fontId="16" fillId="20" borderId="49" xfId="4" applyFont="1" applyFill="1" applyBorder="1" applyAlignment="1">
      <alignment vertical="center"/>
    </xf>
    <xf numFmtId="0" fontId="16" fillId="20" borderId="50" xfId="4" applyFont="1" applyFill="1" applyBorder="1" applyAlignment="1">
      <alignment vertical="center"/>
    </xf>
    <xf numFmtId="0" fontId="16" fillId="20" borderId="49" xfId="4" applyFont="1" applyFill="1" applyBorder="1" applyAlignment="1">
      <alignment horizontal="center" vertical="center" wrapText="1"/>
    </xf>
    <xf numFmtId="165" fontId="51" fillId="14" borderId="29" xfId="2" applyFont="1" applyFill="1" applyBorder="1" applyAlignment="1">
      <alignment horizontal="center" vertical="center"/>
    </xf>
    <xf numFmtId="165" fontId="51" fillId="14" borderId="35" xfId="2" applyFont="1" applyFill="1" applyBorder="1" applyAlignment="1">
      <alignment horizontal="center" vertical="center"/>
    </xf>
    <xf numFmtId="165" fontId="3" fillId="5" borderId="51" xfId="2" applyFont="1" applyFill="1" applyBorder="1" applyAlignment="1">
      <alignment horizontal="center" vertical="center"/>
    </xf>
    <xf numFmtId="165" fontId="3" fillId="5" borderId="52" xfId="2" applyFont="1" applyFill="1" applyBorder="1" applyAlignment="1">
      <alignment horizontal="center" vertical="center"/>
    </xf>
    <xf numFmtId="0" fontId="53" fillId="0" borderId="1" xfId="0" applyFont="1" applyBorder="1" applyAlignment="1">
      <alignment vertical="top"/>
    </xf>
    <xf numFmtId="0" fontId="32" fillId="7" borderId="36" xfId="0" applyFont="1" applyFill="1" applyBorder="1" applyAlignment="1">
      <alignment horizontal="left"/>
    </xf>
    <xf numFmtId="165" fontId="32" fillId="7" borderId="37" xfId="2" applyFont="1" applyFill="1" applyBorder="1"/>
    <xf numFmtId="0" fontId="32" fillId="7" borderId="37" xfId="0" applyFont="1" applyFill="1" applyBorder="1" applyAlignment="1">
      <alignment horizontal="center"/>
    </xf>
    <xf numFmtId="170" fontId="10" fillId="27" borderId="38" xfId="2" applyNumberFormat="1" applyFont="1" applyFill="1" applyBorder="1"/>
    <xf numFmtId="0" fontId="0" fillId="0" borderId="33" xfId="0" applyBorder="1"/>
    <xf numFmtId="0" fontId="0" fillId="0" borderId="33" xfId="0" applyBorder="1" applyAlignment="1">
      <alignment horizontal="left"/>
    </xf>
    <xf numFmtId="170" fontId="45" fillId="14" borderId="6" xfId="2" applyNumberFormat="1" applyFont="1" applyFill="1" applyBorder="1" applyAlignment="1">
      <alignment horizontal="right" vertical="center"/>
    </xf>
    <xf numFmtId="0" fontId="14" fillId="7" borderId="7" xfId="0" applyFont="1" applyFill="1" applyBorder="1" applyAlignment="1">
      <alignment vertical="center"/>
    </xf>
    <xf numFmtId="165" fontId="14" fillId="7" borderId="25" xfId="6" quotePrefix="1" applyFont="1" applyFill="1" applyBorder="1" applyAlignment="1">
      <alignment horizontal="center" vertical="center" wrapText="1"/>
    </xf>
    <xf numFmtId="165" fontId="14" fillId="7" borderId="25" xfId="6" applyFont="1" applyFill="1" applyBorder="1" applyAlignment="1">
      <alignment horizontal="center" vertical="center"/>
    </xf>
    <xf numFmtId="0" fontId="16" fillId="20" borderId="54" xfId="4" applyFont="1" applyFill="1" applyBorder="1" applyAlignment="1">
      <alignment vertical="center"/>
    </xf>
    <xf numFmtId="170" fontId="45" fillId="14" borderId="25" xfId="2" applyNumberFormat="1" applyFont="1" applyFill="1" applyBorder="1" applyAlignment="1">
      <alignment horizontal="right" vertical="center"/>
    </xf>
    <xf numFmtId="165" fontId="15" fillId="4" borderId="9" xfId="2" applyFont="1" applyFill="1" applyBorder="1" applyAlignment="1">
      <alignment horizontal="center" vertical="center"/>
    </xf>
    <xf numFmtId="0" fontId="15" fillId="4" borderId="9" xfId="2" applyNumberFormat="1" applyFont="1" applyFill="1" applyBorder="1" applyAlignment="1">
      <alignment horizontal="center" vertical="center"/>
    </xf>
    <xf numFmtId="165" fontId="15" fillId="4" borderId="1" xfId="2" applyFont="1" applyFill="1" applyBorder="1" applyAlignment="1">
      <alignment horizontal="center" vertical="center"/>
    </xf>
    <xf numFmtId="0" fontId="15" fillId="4" borderId="1" xfId="2" applyNumberFormat="1" applyFont="1" applyFill="1" applyBorder="1" applyAlignment="1">
      <alignment horizontal="center" vertical="center"/>
    </xf>
    <xf numFmtId="165" fontId="15" fillId="4" borderId="39" xfId="2" applyFont="1" applyFill="1" applyBorder="1" applyAlignment="1">
      <alignment horizontal="center" vertical="center"/>
    </xf>
    <xf numFmtId="0" fontId="15" fillId="4" borderId="39" xfId="2" applyNumberFormat="1" applyFont="1" applyFill="1" applyBorder="1" applyAlignment="1">
      <alignment horizontal="center" vertical="center"/>
    </xf>
    <xf numFmtId="43" fontId="18" fillId="0" borderId="0" xfId="4" applyNumberFormat="1" applyFont="1" applyAlignment="1">
      <alignment horizontal="center"/>
    </xf>
    <xf numFmtId="0" fontId="48" fillId="0" borderId="17" xfId="0" applyFont="1" applyBorder="1" applyAlignment="1">
      <alignment horizontal="center" vertical="center"/>
    </xf>
    <xf numFmtId="0" fontId="48" fillId="0" borderId="55" xfId="0" applyFont="1" applyBorder="1" applyAlignment="1">
      <alignment horizontal="center" vertical="center"/>
    </xf>
    <xf numFmtId="0" fontId="48" fillId="0" borderId="56" xfId="0" applyFont="1" applyBorder="1" applyAlignment="1">
      <alignment horizontal="center" vertical="center"/>
    </xf>
    <xf numFmtId="0" fontId="48" fillId="0" borderId="33" xfId="0" applyFont="1" applyBorder="1" applyAlignment="1">
      <alignment horizontal="center" vertical="center"/>
    </xf>
    <xf numFmtId="165" fontId="48" fillId="0" borderId="24" xfId="2" applyFont="1" applyBorder="1" applyAlignment="1">
      <alignment vertical="center"/>
    </xf>
    <xf numFmtId="165" fontId="3" fillId="16" borderId="52" xfId="2" applyFont="1" applyFill="1" applyBorder="1" applyAlignment="1">
      <alignment horizontal="center" vertical="center"/>
    </xf>
    <xf numFmtId="165" fontId="3" fillId="16" borderId="1" xfId="2" applyFont="1" applyFill="1" applyBorder="1" applyAlignment="1">
      <alignment horizontal="center" vertical="center"/>
    </xf>
    <xf numFmtId="165" fontId="6" fillId="16" borderId="1" xfId="2" applyFont="1" applyFill="1" applyBorder="1" applyAlignment="1">
      <alignment horizontal="center" vertical="center"/>
    </xf>
    <xf numFmtId="168" fontId="3" fillId="16" borderId="45" xfId="2" applyNumberFormat="1" applyFont="1" applyFill="1" applyBorder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50" fillId="2" borderId="28" xfId="0" applyFont="1" applyFill="1" applyBorder="1" applyAlignment="1">
      <alignment vertical="top"/>
    </xf>
    <xf numFmtId="166" fontId="40" fillId="0" borderId="33" xfId="0" applyNumberFormat="1" applyFont="1" applyBorder="1" applyAlignment="1">
      <alignment horizontal="right" vertical="top"/>
    </xf>
    <xf numFmtId="14" fontId="40" fillId="0" borderId="1" xfId="0" applyNumberFormat="1" applyFont="1" applyBorder="1" applyAlignment="1">
      <alignment horizontal="center" vertical="top"/>
    </xf>
    <xf numFmtId="166" fontId="40" fillId="0" borderId="34" xfId="0" applyNumberFormat="1" applyFont="1" applyBorder="1" applyAlignment="1">
      <alignment horizontal="right" vertical="top"/>
    </xf>
    <xf numFmtId="0" fontId="40" fillId="0" borderId="10" xfId="0" applyFont="1" applyBorder="1" applyAlignment="1">
      <alignment vertical="top"/>
    </xf>
    <xf numFmtId="14" fontId="40" fillId="0" borderId="10" xfId="0" applyNumberFormat="1" applyFont="1" applyBorder="1" applyAlignment="1">
      <alignment horizontal="center" vertical="top"/>
    </xf>
    <xf numFmtId="166" fontId="40" fillId="0" borderId="33" xfId="0" applyNumberFormat="1" applyFont="1" applyBorder="1" applyAlignment="1">
      <alignment horizontal="center" vertical="top"/>
    </xf>
    <xf numFmtId="166" fontId="40" fillId="0" borderId="34" xfId="0" applyNumberFormat="1" applyFont="1" applyBorder="1" applyAlignment="1">
      <alignment horizontal="center" vertical="top"/>
    </xf>
    <xf numFmtId="165" fontId="40" fillId="14" borderId="10" xfId="2" applyFont="1" applyFill="1" applyBorder="1" applyAlignment="1">
      <alignment horizontal="right" vertical="center"/>
    </xf>
    <xf numFmtId="170" fontId="40" fillId="5" borderId="10" xfId="2" applyNumberFormat="1" applyFont="1" applyFill="1" applyBorder="1" applyAlignment="1">
      <alignment horizontal="right" vertical="center"/>
    </xf>
    <xf numFmtId="0" fontId="50" fillId="2" borderId="29" xfId="0" applyFont="1" applyFill="1" applyBorder="1" applyAlignment="1">
      <alignment vertical="top"/>
    </xf>
    <xf numFmtId="0" fontId="40" fillId="0" borderId="24" xfId="0" applyFont="1" applyBorder="1" applyAlignment="1">
      <alignment vertical="top"/>
    </xf>
    <xf numFmtId="0" fontId="47" fillId="0" borderId="4" xfId="0" pivotButton="1" applyFont="1" applyBorder="1" applyAlignment="1">
      <alignment vertical="center"/>
    </xf>
    <xf numFmtId="0" fontId="47" fillId="0" borderId="5" xfId="0" applyFont="1" applyBorder="1" applyAlignment="1">
      <alignment horizontal="left" vertical="center"/>
    </xf>
    <xf numFmtId="166" fontId="53" fillId="0" borderId="1" xfId="0" applyNumberFormat="1" applyFont="1" applyBorder="1" applyAlignment="1">
      <alignment horizontal="center" vertical="top"/>
    </xf>
    <xf numFmtId="11" fontId="42" fillId="7" borderId="1" xfId="0" applyNumberFormat="1" applyFont="1" applyFill="1" applyBorder="1" applyAlignment="1">
      <alignment vertical="center"/>
    </xf>
    <xf numFmtId="0" fontId="40" fillId="0" borderId="0" xfId="2" applyNumberFormat="1" applyFont="1" applyAlignment="1">
      <alignment horizontal="center" vertical="center"/>
    </xf>
    <xf numFmtId="0" fontId="47" fillId="0" borderId="17" xfId="0" applyFont="1" applyBorder="1" applyAlignment="1">
      <alignment horizontal="center" vertical="center"/>
    </xf>
    <xf numFmtId="0" fontId="47" fillId="0" borderId="46" xfId="0" applyFont="1" applyBorder="1" applyAlignment="1">
      <alignment horizontal="center" vertical="center"/>
    </xf>
    <xf numFmtId="165" fontId="29" fillId="3" borderId="57" xfId="2" applyFont="1" applyFill="1" applyBorder="1" applyAlignment="1">
      <alignment horizontal="center" vertical="center"/>
    </xf>
    <xf numFmtId="165" fontId="3" fillId="5" borderId="58" xfId="2" applyFont="1" applyFill="1" applyBorder="1" applyAlignment="1">
      <alignment horizontal="center" vertical="center"/>
    </xf>
    <xf numFmtId="165" fontId="35" fillId="0" borderId="0" xfId="2" applyFont="1" applyAlignment="1">
      <alignment vertical="top"/>
    </xf>
    <xf numFmtId="165" fontId="8" fillId="0" borderId="0" xfId="2" applyFont="1" applyAlignment="1">
      <alignment horizontal="right" vertical="top"/>
    </xf>
    <xf numFmtId="165" fontId="55" fillId="15" borderId="0" xfId="2" applyFont="1" applyFill="1" applyAlignment="1">
      <alignment horizontal="right" vertical="center"/>
    </xf>
    <xf numFmtId="165" fontId="56" fillId="15" borderId="0" xfId="2" applyFont="1" applyFill="1" applyAlignment="1">
      <alignment horizontal="right" vertical="center"/>
    </xf>
    <xf numFmtId="0" fontId="32" fillId="7" borderId="59" xfId="0" applyFont="1" applyFill="1" applyBorder="1" applyAlignment="1">
      <alignment horizontal="left"/>
    </xf>
    <xf numFmtId="165" fontId="32" fillId="7" borderId="59" xfId="0" applyNumberFormat="1" applyFont="1" applyFill="1" applyBorder="1"/>
    <xf numFmtId="0" fontId="32" fillId="7" borderId="15" xfId="0" applyFont="1" applyFill="1" applyBorder="1"/>
    <xf numFmtId="165" fontId="32" fillId="7" borderId="60" xfId="2" applyFont="1" applyFill="1" applyBorder="1"/>
    <xf numFmtId="0" fontId="32" fillId="7" borderId="60" xfId="0" applyFont="1" applyFill="1" applyBorder="1" applyAlignment="1">
      <alignment horizontal="center"/>
    </xf>
    <xf numFmtId="0" fontId="32" fillId="7" borderId="16" xfId="0" applyFont="1" applyFill="1" applyBorder="1"/>
    <xf numFmtId="165" fontId="0" fillId="0" borderId="1" xfId="0" applyNumberFormat="1" applyBorder="1"/>
    <xf numFmtId="165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1" xfId="2" applyFont="1" applyBorder="1" applyAlignment="1">
      <alignment horizontal="center"/>
    </xf>
    <xf numFmtId="43" fontId="57" fillId="0" borderId="0" xfId="0" applyNumberFormat="1" applyFont="1"/>
    <xf numFmtId="43" fontId="3" fillId="0" borderId="0" xfId="0" applyNumberFormat="1" applyFont="1" applyAlignment="1">
      <alignment horizontal="center" vertical="center"/>
    </xf>
    <xf numFmtId="165" fontId="58" fillId="15" borderId="0" xfId="2" applyFont="1" applyFill="1" applyAlignment="1">
      <alignment horizontal="right" vertical="center"/>
    </xf>
    <xf numFmtId="0" fontId="22" fillId="0" borderId="64" xfId="0" applyFont="1" applyBorder="1" applyAlignment="1">
      <alignment vertical="center"/>
    </xf>
    <xf numFmtId="0" fontId="22" fillId="0" borderId="65" xfId="0" applyFont="1" applyBorder="1" applyAlignment="1">
      <alignment vertical="center"/>
    </xf>
    <xf numFmtId="170" fontId="22" fillId="14" borderId="29" xfId="2" applyNumberFormat="1" applyFont="1" applyFill="1" applyBorder="1" applyAlignment="1">
      <alignment horizontal="right" vertical="center"/>
    </xf>
    <xf numFmtId="170" fontId="22" fillId="14" borderId="24" xfId="2" applyNumberFormat="1" applyFont="1" applyFill="1" applyBorder="1" applyAlignment="1">
      <alignment horizontal="right" vertical="center"/>
    </xf>
    <xf numFmtId="0" fontId="16" fillId="20" borderId="34" xfId="4" applyFont="1" applyFill="1" applyBorder="1" applyAlignment="1">
      <alignment vertical="center"/>
    </xf>
    <xf numFmtId="165" fontId="15" fillId="14" borderId="10" xfId="2" applyFont="1" applyFill="1" applyBorder="1" applyAlignment="1">
      <alignment horizontal="center" vertical="center"/>
    </xf>
    <xf numFmtId="0" fontId="15" fillId="14" borderId="10" xfId="2" applyNumberFormat="1" applyFont="1" applyFill="1" applyBorder="1" applyAlignment="1">
      <alignment horizontal="center" vertical="center"/>
    </xf>
    <xf numFmtId="170" fontId="22" fillId="14" borderId="35" xfId="2" applyNumberFormat="1" applyFont="1" applyFill="1" applyBorder="1" applyAlignment="1">
      <alignment horizontal="right" vertical="center"/>
    </xf>
    <xf numFmtId="0" fontId="32" fillId="7" borderId="59" xfId="0" applyFont="1" applyFill="1" applyBorder="1"/>
    <xf numFmtId="165" fontId="33" fillId="13" borderId="22" xfId="6" applyFont="1" applyFill="1" applyBorder="1" applyAlignment="1">
      <alignment horizontal="center" vertical="center"/>
    </xf>
    <xf numFmtId="165" fontId="33" fillId="7" borderId="25" xfId="6" applyFont="1" applyFill="1" applyBorder="1" applyAlignment="1">
      <alignment vertical="center"/>
    </xf>
    <xf numFmtId="0" fontId="16" fillId="20" borderId="15" xfId="4" applyFont="1" applyFill="1" applyBorder="1" applyAlignment="1">
      <alignment horizontal="center" vertical="center"/>
    </xf>
    <xf numFmtId="0" fontId="16" fillId="20" borderId="15" xfId="4" applyFont="1" applyFill="1" applyBorder="1" applyAlignment="1">
      <alignment horizontal="center" vertical="center" wrapText="1"/>
    </xf>
    <xf numFmtId="165" fontId="46" fillId="22" borderId="38" xfId="2" applyFont="1" applyFill="1" applyBorder="1" applyAlignment="1">
      <alignment horizontal="center" vertical="center"/>
    </xf>
    <xf numFmtId="165" fontId="52" fillId="22" borderId="38" xfId="2" applyFont="1" applyFill="1" applyBorder="1" applyAlignment="1">
      <alignment horizontal="center" vertical="center"/>
    </xf>
    <xf numFmtId="165" fontId="15" fillId="14" borderId="28" xfId="2" applyFont="1" applyFill="1" applyBorder="1" applyAlignment="1">
      <alignment horizontal="center" vertical="center"/>
    </xf>
    <xf numFmtId="165" fontId="15" fillId="14" borderId="33" xfId="2" applyFont="1" applyFill="1" applyBorder="1" applyAlignment="1">
      <alignment horizontal="center" vertical="center"/>
    </xf>
    <xf numFmtId="165" fontId="15" fillId="14" borderId="34" xfId="2" applyFont="1" applyFill="1" applyBorder="1" applyAlignment="1">
      <alignment horizontal="center" vertical="center"/>
    </xf>
    <xf numFmtId="165" fontId="51" fillId="14" borderId="24" xfId="2" applyFont="1" applyFill="1" applyBorder="1" applyAlignment="1">
      <alignment horizontal="center" vertical="center"/>
    </xf>
    <xf numFmtId="43" fontId="18" fillId="0" borderId="0" xfId="4" applyNumberFormat="1" applyFont="1"/>
    <xf numFmtId="0" fontId="48" fillId="0" borderId="1" xfId="0" applyFont="1" applyBorder="1" applyAlignment="1">
      <alignment vertical="center"/>
    </xf>
    <xf numFmtId="0" fontId="48" fillId="0" borderId="34" xfId="0" applyFont="1" applyBorder="1" applyAlignment="1">
      <alignment horizontal="center" vertical="center"/>
    </xf>
    <xf numFmtId="0" fontId="48" fillId="0" borderId="10" xfId="0" applyFont="1" applyBorder="1" applyAlignment="1">
      <alignment vertical="center"/>
    </xf>
    <xf numFmtId="165" fontId="48" fillId="0" borderId="35" xfId="2" applyFont="1" applyBorder="1" applyAlignment="1">
      <alignment vertical="center"/>
    </xf>
    <xf numFmtId="0" fontId="54" fillId="0" borderId="0" xfId="0" applyFont="1" applyAlignment="1">
      <alignment vertical="center"/>
    </xf>
    <xf numFmtId="165" fontId="59" fillId="0" borderId="2" xfId="2" applyFont="1" applyBorder="1" applyAlignment="1">
      <alignment vertical="center"/>
    </xf>
    <xf numFmtId="0" fontId="49" fillId="0" borderId="3" xfId="0" applyFont="1" applyBorder="1" applyAlignment="1">
      <alignment horizontal="center" vertical="center"/>
    </xf>
    <xf numFmtId="0" fontId="49" fillId="0" borderId="14" xfId="0" applyFont="1" applyBorder="1" applyAlignment="1">
      <alignment horizontal="center" vertical="center"/>
    </xf>
    <xf numFmtId="0" fontId="49" fillId="0" borderId="13" xfId="0" applyFont="1" applyBorder="1" applyAlignment="1">
      <alignment horizontal="center" vertical="center"/>
    </xf>
    <xf numFmtId="0" fontId="9" fillId="2" borderId="3" xfId="10" applyFont="1" applyFill="1" applyBorder="1" applyAlignment="1">
      <alignment horizontal="center"/>
    </xf>
    <xf numFmtId="0" fontId="9" fillId="2" borderId="14" xfId="10" applyFont="1" applyFill="1" applyBorder="1" applyAlignment="1">
      <alignment horizontal="center"/>
    </xf>
    <xf numFmtId="0" fontId="9" fillId="2" borderId="13" xfId="10" applyFont="1" applyFill="1" applyBorder="1" applyAlignment="1">
      <alignment horizontal="center"/>
    </xf>
    <xf numFmtId="0" fontId="12" fillId="3" borderId="28" xfId="10" applyFont="1" applyFill="1" applyBorder="1" applyAlignment="1">
      <alignment horizontal="center"/>
    </xf>
    <xf numFmtId="0" fontId="12" fillId="3" borderId="12" xfId="10" applyFont="1" applyFill="1" applyBorder="1" applyAlignment="1">
      <alignment horizontal="center"/>
    </xf>
    <xf numFmtId="0" fontId="12" fillId="3" borderId="29" xfId="10" applyFont="1" applyFill="1" applyBorder="1" applyAlignment="1">
      <alignment horizontal="center"/>
    </xf>
    <xf numFmtId="165" fontId="14" fillId="7" borderId="1" xfId="6" applyFont="1" applyFill="1" applyBorder="1" applyAlignment="1">
      <alignment horizontal="left" vertical="center"/>
    </xf>
    <xf numFmtId="0" fontId="57" fillId="0" borderId="61" xfId="0" applyFont="1" applyBorder="1" applyAlignment="1">
      <alignment horizontal="left" vertical="center"/>
    </xf>
    <xf numFmtId="0" fontId="57" fillId="0" borderId="62" xfId="0" applyFont="1" applyBorder="1" applyAlignment="1">
      <alignment horizontal="left" vertical="center"/>
    </xf>
    <xf numFmtId="0" fontId="57" fillId="0" borderId="63" xfId="0" applyFont="1" applyBorder="1" applyAlignment="1">
      <alignment horizontal="left" vertical="center"/>
    </xf>
    <xf numFmtId="0" fontId="30" fillId="19" borderId="5" xfId="4" applyFont="1" applyFill="1" applyBorder="1" applyAlignment="1">
      <alignment horizontal="center" vertical="center"/>
    </xf>
    <xf numFmtId="0" fontId="30" fillId="19" borderId="0" xfId="4" applyFont="1" applyFill="1" applyAlignment="1">
      <alignment horizontal="center" vertical="center"/>
    </xf>
    <xf numFmtId="0" fontId="30" fillId="19" borderId="53" xfId="4" applyFont="1" applyFill="1" applyBorder="1" applyAlignment="1">
      <alignment horizontal="center" vertical="center"/>
    </xf>
  </cellXfs>
  <cellStyles count="42">
    <cellStyle name="Moeda 2" xfId="9" xr:uid="{7A4A5715-D390-4CBC-BFD5-B1BFF18624FE}"/>
    <cellStyle name="Moeda 2 2" xfId="20" xr:uid="{E40568A9-1F36-4547-9663-D6F04318FE20}"/>
    <cellStyle name="Moeda 3" xfId="8" xr:uid="{77D481CF-46C5-47AC-8DAC-B7E14D5406E3}"/>
    <cellStyle name="Moeda 3 2" xfId="19" xr:uid="{00F4C556-0987-4FBD-94F7-EE6EA0115A2E}"/>
    <cellStyle name="Normal" xfId="0" builtinId="0"/>
    <cellStyle name="Normal 2" xfId="1" xr:uid="{DF681D53-6745-4846-A251-1F1548453B82}"/>
    <cellStyle name="Normal 2 2" xfId="4" xr:uid="{6E069CA5-3A1D-4975-82E5-33AEC42D6D3D}"/>
    <cellStyle name="Normal 2 2 2" xfId="16" xr:uid="{D5FF9E84-2A98-49E0-A8F5-CF2A13AAC96E}"/>
    <cellStyle name="Normal 2 3" xfId="7" xr:uid="{48AE6885-A387-40A7-AD8E-DABA057CB03A}"/>
    <cellStyle name="Normal 2 3 2" xfId="10" xr:uid="{5C08577C-EC9B-48B3-903E-9310A219C09C}"/>
    <cellStyle name="Normal 3 2" xfId="13" xr:uid="{D98CC513-47F3-40B3-887F-1354254DCD7E}"/>
    <cellStyle name="Normal 4" xfId="23" xr:uid="{D0FC7616-CA77-43FC-8FB6-D6E8294D0EB6}"/>
    <cellStyle name="Normal 5" xfId="25" xr:uid="{F7ADEB50-B583-4532-ACC4-6F3A415C91E2}"/>
    <cellStyle name="Normal 5 2" xfId="41" xr:uid="{716C6638-1487-4808-92D3-F9834DDE0F75}"/>
    <cellStyle name="Normal 7" xfId="26" xr:uid="{4AB8C918-182A-422C-8B64-1E8B20D0AD0B}"/>
    <cellStyle name="Normal 8" xfId="27" xr:uid="{4D2CE9C4-4587-4448-A57E-C04456CC5DA9}"/>
    <cellStyle name="Normal 8 2" xfId="30" xr:uid="{FAF5473B-3EDD-49A5-BA14-9B039073EB41}"/>
    <cellStyle name="Normal 8 3" xfId="38" xr:uid="{302E3F5D-9729-43C6-9902-A893F6D2AAE5}"/>
    <cellStyle name="Vírgula" xfId="2" builtinId="3"/>
    <cellStyle name="Vírgula 2" xfId="3" xr:uid="{05E56B5B-F675-4535-A1FD-A91826F53815}"/>
    <cellStyle name="Vírgula 2 2" xfId="6" xr:uid="{FF031116-2E0A-498C-BA94-4BB1E0E65C5C}"/>
    <cellStyle name="Vírgula 2 2 2" xfId="11" xr:uid="{97059691-44FE-40CC-BB2C-6CBE8BA3F647}"/>
    <cellStyle name="Vírgula 2 2 2 2" xfId="21" xr:uid="{4A1F7A8D-17A9-467E-8888-DA921BE85BBB}"/>
    <cellStyle name="Vírgula 2 2 2 2 2" xfId="40" xr:uid="{CC0FCC07-F2B9-4F72-BDA6-26EACDB7CE54}"/>
    <cellStyle name="Vírgula 2 2 2 3" xfId="29" xr:uid="{6FBA8F14-8CF9-4D78-B9A2-251727111028}"/>
    <cellStyle name="Vírgula 2 2 2 4" xfId="35" xr:uid="{9CF44124-D767-4E59-9280-ED5D7E3F5E1F}"/>
    <cellStyle name="Vírgula 2 2 3" xfId="18" xr:uid="{355AC9AF-87C7-4481-AA3C-49892989BBF6}"/>
    <cellStyle name="Vírgula 2 2 3 2" xfId="37" xr:uid="{474EA571-4400-44A1-A812-A2C479AFA15F}"/>
    <cellStyle name="Vírgula 2 2 4" xfId="24" xr:uid="{CD242D31-28F3-4D66-9C91-F15D17928832}"/>
    <cellStyle name="Vírgula 2 2 5" xfId="32" xr:uid="{D67D84E0-CBE2-401C-B7BA-785A1EDC7BF3}"/>
    <cellStyle name="Vírgula 2 3" xfId="5" xr:uid="{BAC74CEC-E0A5-4734-8743-F6276256E4AB}"/>
    <cellStyle name="Vírgula 2 3 2" xfId="17" xr:uid="{CE41145F-E871-4FC8-A103-AA2A905AE920}"/>
    <cellStyle name="Vírgula 2 3 3" xfId="39" xr:uid="{77B3CFEA-147D-4C9E-ADA0-17478AA8B810}"/>
    <cellStyle name="Vírgula 2 4" xfId="15" xr:uid="{0C56F42A-5DFE-4444-A3F6-CAA97D34565C}"/>
    <cellStyle name="Vírgula 2 5" xfId="28" xr:uid="{3835CA59-1088-4E65-AC44-5412A4AD6DB4}"/>
    <cellStyle name="Vírgula 2 6" xfId="34" xr:uid="{B7E41E83-3604-4389-A16E-0DDC87E65258}"/>
    <cellStyle name="Vírgula 3" xfId="14" xr:uid="{73DF3E08-CED2-4384-9DFF-283A9A002DCF}"/>
    <cellStyle name="Vírgula 3 2" xfId="33" xr:uid="{88AB63C4-A60F-4CD7-BEDB-0EDF0A443663}"/>
    <cellStyle name="Vírgula 4" xfId="12" xr:uid="{AE5A9C11-E1CC-424C-A458-5ACEBC21A182}"/>
    <cellStyle name="Vírgula 5" xfId="22" xr:uid="{BB532C85-6C6F-40D4-A9ED-E00053FA5479}"/>
    <cellStyle name="Vírgula 5 2" xfId="36" xr:uid="{3D3DE9D9-DF25-4F46-83EC-261CF942E992}"/>
    <cellStyle name="Vírgula 6" xfId="31" xr:uid="{9FC491FA-6231-4701-8492-5CF8494E6BC1}"/>
  </cellStyles>
  <dxfs count="45">
    <dxf>
      <numFmt numFmtId="0" formatCode="General"/>
    </dxf>
    <dxf>
      <numFmt numFmtId="0" formatCode="General"/>
    </dxf>
    <dxf>
      <numFmt numFmtId="165" formatCode="_(* #,##0.00_);_(* \(#,##0.00\);_(* &quot;-&quot;??_);_(@_)"/>
    </dxf>
    <dxf>
      <numFmt numFmtId="0" formatCode="General"/>
    </dxf>
    <dxf>
      <numFmt numFmtId="0" formatCode="General"/>
    </dxf>
    <dxf>
      <numFmt numFmtId="165" formatCode="_(* #,##0.00_);_(* \(#,##0.00\);_(* &quot;-&quot;??_);_(@_)"/>
    </dxf>
    <dxf>
      <numFmt numFmtId="0" formatCode="General"/>
    </dxf>
    <dxf>
      <numFmt numFmtId="0" formatCode="General"/>
    </dxf>
    <dxf>
      <numFmt numFmtId="165" formatCode="_(* #,##0.00_);_(* \(#,##0.00\);_(* &quot;-&quot;??_);_(@_)"/>
    </dxf>
    <dxf>
      <font>
        <color rgb="FF9C0006"/>
      </font>
      <fill>
        <patternFill>
          <bgColor rgb="FFFFC7CE"/>
        </patternFill>
      </fill>
    </dxf>
    <dxf>
      <font>
        <color rgb="FFFFFF00"/>
      </font>
    </dxf>
    <dxf>
      <font>
        <color rgb="FFFFFF00"/>
      </font>
    </dxf>
    <dxf>
      <font>
        <color rgb="FFFFFF00"/>
      </font>
    </dxf>
    <dxf>
      <font>
        <color rgb="FFFFFF00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/>
    </dxf>
    <dxf>
      <alignment horizontal="center"/>
    </dxf>
    <dxf>
      <font>
        <name val="Calibri"/>
        <family val="2"/>
        <scheme val="none"/>
      </font>
    </dxf>
    <dxf>
      <font>
        <name val="Calibri"/>
        <family val="2"/>
        <scheme val="none"/>
      </font>
    </dxf>
    <dxf>
      <font>
        <name val="Calibri"/>
        <family val="2"/>
        <scheme val="none"/>
      </font>
    </dxf>
    <dxf>
      <font>
        <name val="Calibri"/>
        <family val="2"/>
        <scheme val="none"/>
      </font>
    </dxf>
    <dxf>
      <alignment vertical="center"/>
    </dxf>
    <dxf>
      <alignment vertical="center"/>
    </dxf>
    <dxf>
      <border>
        <bottom style="medium">
          <color indexed="64"/>
        </bottom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tonio.neto\Documents\QUADRO%20GERAL%20-%20ECOSAMPA.xlsm" TargetMode="External"/><Relationship Id="rId1" Type="http://schemas.openxmlformats.org/officeDocument/2006/relationships/externalLinkPath" Target="/Users/antonio.neto/Documents/QUADRO%20GERAL%20-%20ECOSAMP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QUADRO"/>
      <sheetName val="FÉRIAS ADM"/>
      <sheetName val="DEMISSÕES"/>
      <sheetName val="ADMISSÕES"/>
      <sheetName val="VT - PEC"/>
      <sheetName val="CENTRO DE CUSTO"/>
      <sheetName val="INTERJORNADAS - 1 MINUTO"/>
      <sheetName val="DESISTENTES"/>
    </sheetNames>
    <sheetDataSet>
      <sheetData sheetId="0">
        <row r="1">
          <cell r="B1" t="str">
            <v>NOME</v>
          </cell>
          <cell r="D1" t="str">
            <v>REGIONAL</v>
          </cell>
          <cell r="E1" t="str">
            <v>ADMISSÃO</v>
          </cell>
          <cell r="F1" t="str">
            <v>SALÁRIO</v>
          </cell>
          <cell r="G1" t="str">
            <v>Situação</v>
          </cell>
          <cell r="H1" t="str">
            <v>Data Início na Situação</v>
          </cell>
          <cell r="I1" t="str">
            <v>DT. NASCIMENTO</v>
          </cell>
          <cell r="J1" t="str">
            <v>CPF</v>
          </cell>
          <cell r="K1" t="str">
            <v>PIS/PASEP Número</v>
          </cell>
          <cell r="L1" t="str">
            <v>Categoria</v>
          </cell>
          <cell r="M1" t="str">
            <v>Vínculo</v>
          </cell>
        </row>
        <row r="2">
          <cell r="D2" t="str">
            <v>ECOSAMPA M'Boi Mirim</v>
          </cell>
          <cell r="E2">
            <v>43617</v>
          </cell>
          <cell r="F2">
            <v>1603.99</v>
          </cell>
          <cell r="G2" t="str">
            <v>Em Atividade Normal</v>
          </cell>
          <cell r="H2">
            <v>45149</v>
          </cell>
          <cell r="I2">
            <v>22126</v>
          </cell>
          <cell r="J2" t="str">
            <v>044.630.778-50</v>
          </cell>
          <cell r="K2" t="str">
            <v>108.59971.83.7</v>
          </cell>
          <cell r="L2" t="str">
            <v>Salário Mensal</v>
          </cell>
          <cell r="M2" t="str">
            <v>Empregado (CLT)</v>
          </cell>
        </row>
        <row r="3">
          <cell r="D3" t="str">
            <v>ECOSAMPA Santo Amaro</v>
          </cell>
          <cell r="E3">
            <v>43617</v>
          </cell>
          <cell r="F3">
            <v>1603.99</v>
          </cell>
          <cell r="G3" t="str">
            <v>Em Atividade Normal</v>
          </cell>
          <cell r="H3">
            <v>45149</v>
          </cell>
          <cell r="I3">
            <v>25490</v>
          </cell>
          <cell r="J3" t="str">
            <v>200.993.898-43</v>
          </cell>
          <cell r="K3" t="str">
            <v>124.42932.50.6</v>
          </cell>
          <cell r="L3" t="str">
            <v>Salário Mensal</v>
          </cell>
          <cell r="M3" t="str">
            <v>Empregado (CLT)</v>
          </cell>
        </row>
        <row r="4">
          <cell r="D4" t="str">
            <v>ECOSAMPA Operação Geral</v>
          </cell>
          <cell r="E4">
            <v>44967</v>
          </cell>
          <cell r="F4">
            <v>1603.99</v>
          </cell>
          <cell r="G4" t="str">
            <v>Em Atividade Normal</v>
          </cell>
          <cell r="H4">
            <v>44967</v>
          </cell>
          <cell r="I4">
            <v>24231</v>
          </cell>
          <cell r="J4" t="str">
            <v>399.304.163-15</v>
          </cell>
          <cell r="K4" t="str">
            <v>124.22945.12.2</v>
          </cell>
          <cell r="L4" t="str">
            <v>Salário Mensal</v>
          </cell>
          <cell r="M4" t="str">
            <v>Empregado (CLT)</v>
          </cell>
        </row>
        <row r="5">
          <cell r="D5" t="str">
            <v>ECOSAMPA Capela do Socorro</v>
          </cell>
          <cell r="E5">
            <v>43617</v>
          </cell>
          <cell r="F5">
            <v>1907.79</v>
          </cell>
          <cell r="G5" t="str">
            <v>Demitido em Meses Anteriores</v>
          </cell>
          <cell r="H5">
            <v>44938</v>
          </cell>
          <cell r="I5">
            <v>26158</v>
          </cell>
          <cell r="J5" t="str">
            <v>140.745.438-26</v>
          </cell>
          <cell r="K5" t="str">
            <v>123.25606.89.0</v>
          </cell>
          <cell r="L5" t="str">
            <v>Salário Mensal</v>
          </cell>
          <cell r="M5" t="str">
            <v>Empregado (CLT)</v>
          </cell>
        </row>
        <row r="6">
          <cell r="D6" t="str">
            <v>ECOSAMPA Operação Geral</v>
          </cell>
          <cell r="E6">
            <v>43617</v>
          </cell>
          <cell r="F6">
            <v>1603.99</v>
          </cell>
          <cell r="G6" t="str">
            <v>Auxílio-Doença</v>
          </cell>
          <cell r="H6">
            <v>45164</v>
          </cell>
          <cell r="I6">
            <v>23048</v>
          </cell>
          <cell r="J6" t="str">
            <v>046.011.138-81</v>
          </cell>
          <cell r="K6" t="str">
            <v>108.74784.10.4</v>
          </cell>
          <cell r="L6" t="str">
            <v>Salário Mensal</v>
          </cell>
          <cell r="M6" t="str">
            <v>Empregado (CLT)</v>
          </cell>
        </row>
        <row r="7">
          <cell r="D7" t="str">
            <v>ECOSAMPA Operação Geral</v>
          </cell>
          <cell r="E7">
            <v>44972</v>
          </cell>
          <cell r="F7">
            <v>3050.22</v>
          </cell>
          <cell r="G7" t="str">
            <v>Em Atividade Normal</v>
          </cell>
          <cell r="H7">
            <v>44972</v>
          </cell>
          <cell r="I7">
            <v>30513</v>
          </cell>
          <cell r="J7" t="str">
            <v>305.955.668-71</v>
          </cell>
          <cell r="K7" t="str">
            <v>132.60139.93.0</v>
          </cell>
          <cell r="L7" t="str">
            <v>Salário Mensal</v>
          </cell>
          <cell r="M7" t="str">
            <v>Empregado (CLT)</v>
          </cell>
        </row>
        <row r="8">
          <cell r="D8" t="str">
            <v>ECOSAMPA Operação Geral</v>
          </cell>
          <cell r="E8">
            <v>44967</v>
          </cell>
          <cell r="F8">
            <v>1603.99</v>
          </cell>
          <cell r="G8" t="str">
            <v>Demitido em Meses Anteriores</v>
          </cell>
          <cell r="H8">
            <v>44981</v>
          </cell>
          <cell r="I8">
            <v>28516</v>
          </cell>
          <cell r="J8" t="str">
            <v>180.532.538-81</v>
          </cell>
          <cell r="K8" t="str">
            <v>127.06798.81.7</v>
          </cell>
          <cell r="L8" t="str">
            <v>Salário Mensal</v>
          </cell>
          <cell r="M8" t="str">
            <v>Empregado (CLT)</v>
          </cell>
        </row>
        <row r="9">
          <cell r="D9" t="str">
            <v>ECOSAMPA Santo Amaro</v>
          </cell>
          <cell r="E9">
            <v>43617</v>
          </cell>
          <cell r="F9">
            <v>1281.23</v>
          </cell>
          <cell r="G9" t="str">
            <v>Demitido em Meses Anteriores</v>
          </cell>
          <cell r="H9">
            <v>43808</v>
          </cell>
          <cell r="I9">
            <v>20629</v>
          </cell>
          <cell r="J9" t="str">
            <v>905.965.108-10</v>
          </cell>
          <cell r="K9" t="str">
            <v>105.64388.75.8</v>
          </cell>
          <cell r="L9" t="str">
            <v>Salário Mensal</v>
          </cell>
          <cell r="M9" t="str">
            <v>Empregado (CLT)</v>
          </cell>
        </row>
        <row r="10">
          <cell r="D10" t="str">
            <v>ECOSAMPA Campo Limpo</v>
          </cell>
          <cell r="E10">
            <v>43617</v>
          </cell>
          <cell r="F10">
            <v>1281.23</v>
          </cell>
          <cell r="G10" t="str">
            <v>Demitido em Meses Anteriores</v>
          </cell>
          <cell r="H10">
            <v>43808</v>
          </cell>
          <cell r="I10">
            <v>23729</v>
          </cell>
          <cell r="J10" t="str">
            <v>072.988.788-08</v>
          </cell>
          <cell r="K10" t="str">
            <v>122.94064.91.9</v>
          </cell>
          <cell r="L10" t="str">
            <v>Salário Mensal</v>
          </cell>
          <cell r="M10" t="str">
            <v>Empregado (CLT)</v>
          </cell>
        </row>
        <row r="11">
          <cell r="D11" t="str">
            <v>ECOSAMPA Operação Geral</v>
          </cell>
          <cell r="E11">
            <v>43917</v>
          </cell>
          <cell r="F11">
            <v>1319.67</v>
          </cell>
          <cell r="G11" t="str">
            <v>Demitido em Meses Anteriores</v>
          </cell>
          <cell r="H11">
            <v>44361</v>
          </cell>
          <cell r="I11">
            <v>33407</v>
          </cell>
          <cell r="J11" t="str">
            <v>062.221.825-50</v>
          </cell>
          <cell r="K11" t="str">
            <v>160.11359.50.8</v>
          </cell>
          <cell r="L11" t="str">
            <v>Salário Mensal</v>
          </cell>
          <cell r="M11" t="str">
            <v>Empregado (CLT)</v>
          </cell>
        </row>
        <row r="12">
          <cell r="D12" t="str">
            <v>ECOSAMPA M'Boi Mirim</v>
          </cell>
          <cell r="E12">
            <v>43617</v>
          </cell>
          <cell r="F12">
            <v>1319.67</v>
          </cell>
          <cell r="G12" t="str">
            <v>Demitido em Meses Anteriores</v>
          </cell>
          <cell r="H12">
            <v>44140</v>
          </cell>
          <cell r="I12">
            <v>25338</v>
          </cell>
          <cell r="J12" t="str">
            <v>527.136.015-68</v>
          </cell>
          <cell r="K12" t="str">
            <v>123.51341.69.6</v>
          </cell>
          <cell r="L12" t="str">
            <v>Salário Mensal</v>
          </cell>
          <cell r="M12" t="str">
            <v>Empregado (CLT)</v>
          </cell>
        </row>
        <row r="13">
          <cell r="D13" t="str">
            <v>ECOSAMPA Santo Amaro</v>
          </cell>
          <cell r="E13">
            <v>45022</v>
          </cell>
          <cell r="F13">
            <v>1603.99</v>
          </cell>
          <cell r="G13" t="str">
            <v>Em Atividade Normal</v>
          </cell>
          <cell r="H13">
            <v>45022</v>
          </cell>
          <cell r="I13">
            <v>24122</v>
          </cell>
          <cell r="J13" t="str">
            <v>351.851.045-20</v>
          </cell>
          <cell r="K13" t="str">
            <v>120.74603.59.4</v>
          </cell>
          <cell r="L13" t="str">
            <v>Salário Mensal</v>
          </cell>
          <cell r="M13" t="str">
            <v>Empregado (CLT)</v>
          </cell>
        </row>
        <row r="14">
          <cell r="D14" t="str">
            <v>ECOSAMPA Operação Geral</v>
          </cell>
          <cell r="E14">
            <v>43874</v>
          </cell>
          <cell r="F14">
            <v>3050.22</v>
          </cell>
          <cell r="G14" t="str">
            <v>Em Atividade Normal</v>
          </cell>
          <cell r="H14">
            <v>45056</v>
          </cell>
          <cell r="I14">
            <v>31030</v>
          </cell>
          <cell r="J14" t="str">
            <v>327.359.918-90</v>
          </cell>
          <cell r="K14" t="str">
            <v>130.51765.77.4</v>
          </cell>
          <cell r="L14" t="str">
            <v>Salário Mensal</v>
          </cell>
          <cell r="M14" t="str">
            <v>Empregado (CLT)</v>
          </cell>
        </row>
        <row r="15">
          <cell r="D15" t="str">
            <v>ECOSAMPA Operação Geral</v>
          </cell>
          <cell r="E15">
            <v>44972</v>
          </cell>
          <cell r="F15">
            <v>1603.99</v>
          </cell>
          <cell r="G15" t="str">
            <v>Demitido em Meses Anteriores</v>
          </cell>
          <cell r="H15">
            <v>44986</v>
          </cell>
          <cell r="I15">
            <v>33230</v>
          </cell>
          <cell r="J15" t="str">
            <v>241.830.438-83</v>
          </cell>
          <cell r="K15" t="str">
            <v>212.49950.57.2</v>
          </cell>
          <cell r="L15" t="str">
            <v>Salário Mensal</v>
          </cell>
          <cell r="M15" t="str">
            <v>Empregado (CLT)</v>
          </cell>
        </row>
        <row r="16">
          <cell r="D16" t="str">
            <v>ECOSAMPA Operação Geral</v>
          </cell>
          <cell r="E16">
            <v>45117</v>
          </cell>
          <cell r="F16">
            <v>1603.99</v>
          </cell>
          <cell r="G16" t="str">
            <v>Em Atividade Normal</v>
          </cell>
          <cell r="H16">
            <v>45117</v>
          </cell>
          <cell r="I16">
            <v>33230</v>
          </cell>
          <cell r="J16" t="str">
            <v>241.830.438-83</v>
          </cell>
          <cell r="K16" t="str">
            <v>212.49950.57.2</v>
          </cell>
          <cell r="L16" t="str">
            <v>Salário Mensal</v>
          </cell>
          <cell r="M16" t="str">
            <v>Empregado (CLT)</v>
          </cell>
        </row>
        <row r="17">
          <cell r="D17" t="str">
            <v>ECOSAMPA Operação Geral</v>
          </cell>
          <cell r="E17">
            <v>43617</v>
          </cell>
          <cell r="F17">
            <v>1907.79</v>
          </cell>
          <cell r="G17" t="str">
            <v>Em Atividade Normal</v>
          </cell>
          <cell r="H17">
            <v>45119</v>
          </cell>
          <cell r="I17">
            <v>29303</v>
          </cell>
          <cell r="J17" t="str">
            <v>354.840.568-10</v>
          </cell>
          <cell r="K17" t="str">
            <v>133.82921.89.7</v>
          </cell>
          <cell r="L17" t="str">
            <v>Salário Mensal</v>
          </cell>
          <cell r="M17" t="str">
            <v>Empregado (CLT)</v>
          </cell>
        </row>
        <row r="18">
          <cell r="D18" t="str">
            <v>ECOSAMPA Capela do Socorro</v>
          </cell>
          <cell r="E18">
            <v>43623</v>
          </cell>
          <cell r="F18">
            <v>1603.99</v>
          </cell>
          <cell r="G18" t="str">
            <v>Em Atividade Normal</v>
          </cell>
          <cell r="H18">
            <v>45023</v>
          </cell>
          <cell r="I18">
            <v>29502</v>
          </cell>
          <cell r="J18" t="str">
            <v>300.305.038-92</v>
          </cell>
          <cell r="K18" t="str">
            <v>137.98496.81.0</v>
          </cell>
          <cell r="L18" t="str">
            <v>Salário Mensal</v>
          </cell>
          <cell r="M18" t="str">
            <v>Empregado (CLT)</v>
          </cell>
        </row>
        <row r="19">
          <cell r="D19" t="str">
            <v>ECOSAMPA M'Boi Mirim</v>
          </cell>
          <cell r="E19">
            <v>43617</v>
          </cell>
          <cell r="F19">
            <v>1603.99</v>
          </cell>
          <cell r="G19" t="str">
            <v>Em Atividade Normal</v>
          </cell>
          <cell r="H19">
            <v>45149</v>
          </cell>
          <cell r="I19">
            <v>33263</v>
          </cell>
          <cell r="J19" t="str">
            <v>064.251.185-39</v>
          </cell>
          <cell r="K19" t="str">
            <v>161.18786.14.4</v>
          </cell>
          <cell r="L19" t="str">
            <v>Salário Mensal</v>
          </cell>
          <cell r="M19" t="str">
            <v>Empregado (CLT)</v>
          </cell>
        </row>
        <row r="20">
          <cell r="D20" t="str">
            <v>ECOSAMPA Parelheiros</v>
          </cell>
          <cell r="E20">
            <v>43617</v>
          </cell>
          <cell r="F20">
            <v>1603.99</v>
          </cell>
          <cell r="G20" t="str">
            <v>Em Atividade Normal</v>
          </cell>
          <cell r="H20">
            <v>45023</v>
          </cell>
          <cell r="I20">
            <v>31003</v>
          </cell>
          <cell r="J20" t="str">
            <v>343.254.288-79</v>
          </cell>
          <cell r="K20" t="str">
            <v>209.79811.07.9</v>
          </cell>
          <cell r="L20" t="str">
            <v>Salário Mensal</v>
          </cell>
          <cell r="M20" t="str">
            <v>Empregado (CLT)</v>
          </cell>
        </row>
        <row r="21">
          <cell r="D21" t="str">
            <v>ECOSAMPA Campo Limpo</v>
          </cell>
          <cell r="E21">
            <v>44018</v>
          </cell>
          <cell r="F21">
            <v>1603.99</v>
          </cell>
          <cell r="G21" t="str">
            <v>Em Atividade Normal</v>
          </cell>
          <cell r="H21">
            <v>45086</v>
          </cell>
          <cell r="I21">
            <v>26105</v>
          </cell>
          <cell r="J21" t="str">
            <v>002.570.245-90</v>
          </cell>
          <cell r="K21" t="str">
            <v>124.80418.47.4</v>
          </cell>
          <cell r="L21" t="str">
            <v>Salário Mensal</v>
          </cell>
          <cell r="M21" t="str">
            <v>Empregado (CLT)</v>
          </cell>
        </row>
        <row r="22">
          <cell r="D22" t="str">
            <v>ECOSAMPA Operação Geral</v>
          </cell>
          <cell r="E22">
            <v>43916</v>
          </cell>
          <cell r="F22">
            <v>1603.99</v>
          </cell>
          <cell r="G22" t="str">
            <v>Em Atividade Normal</v>
          </cell>
          <cell r="H22">
            <v>45086</v>
          </cell>
          <cell r="I22">
            <v>27807</v>
          </cell>
          <cell r="J22" t="str">
            <v>035.093.824-55</v>
          </cell>
          <cell r="K22" t="str">
            <v>126.46527.45.6</v>
          </cell>
          <cell r="L22" t="str">
            <v>Salário Mensal</v>
          </cell>
          <cell r="M22" t="str">
            <v>Empregado (CLT)</v>
          </cell>
        </row>
        <row r="23">
          <cell r="D23" t="str">
            <v>ECOSAMPA Santo Amaro</v>
          </cell>
          <cell r="E23">
            <v>43617</v>
          </cell>
          <cell r="F23">
            <v>1603.99</v>
          </cell>
          <cell r="G23" t="str">
            <v>Gozando Férias</v>
          </cell>
          <cell r="H23">
            <v>45180</v>
          </cell>
          <cell r="I23">
            <v>26566</v>
          </cell>
          <cell r="J23" t="str">
            <v>260.834.148-90</v>
          </cell>
          <cell r="K23" t="str">
            <v>125.46545.17.7</v>
          </cell>
          <cell r="L23" t="str">
            <v>Salário Mensal</v>
          </cell>
          <cell r="M23" t="str">
            <v>Empregado (CLT)</v>
          </cell>
        </row>
        <row r="24">
          <cell r="D24" t="str">
            <v>ECOSAMPA Capela do Socorro</v>
          </cell>
          <cell r="E24">
            <v>43617</v>
          </cell>
          <cell r="F24">
            <v>1281.23</v>
          </cell>
          <cell r="G24" t="str">
            <v>Demitido em Meses Anteriores</v>
          </cell>
          <cell r="H24">
            <v>43808</v>
          </cell>
          <cell r="I24">
            <v>33586</v>
          </cell>
          <cell r="J24" t="str">
            <v>423.316.048-94</v>
          </cell>
          <cell r="K24" t="str">
            <v>160.06223.25.3</v>
          </cell>
          <cell r="L24" t="str">
            <v>Salário Mensal</v>
          </cell>
          <cell r="M24" t="str">
            <v>Empregado (CLT)</v>
          </cell>
        </row>
        <row r="25">
          <cell r="D25" t="str">
            <v>ECOSAMPA Parelheiros</v>
          </cell>
          <cell r="E25">
            <v>43617</v>
          </cell>
          <cell r="F25">
            <v>1464.83</v>
          </cell>
          <cell r="G25" t="str">
            <v>Demitido em Meses Anteriores</v>
          </cell>
          <cell r="H25">
            <v>44743</v>
          </cell>
          <cell r="I25">
            <v>25720</v>
          </cell>
          <cell r="J25" t="str">
            <v>185.520.988-81</v>
          </cell>
          <cell r="K25" t="str">
            <v>237.87272.91.3</v>
          </cell>
          <cell r="L25" t="str">
            <v>Salário Mensal</v>
          </cell>
          <cell r="M25" t="str">
            <v>Empregado (CLT)</v>
          </cell>
        </row>
        <row r="26">
          <cell r="D26" t="str">
            <v>ECOSAMPA Capela do Socorro</v>
          </cell>
          <cell r="E26">
            <v>43617</v>
          </cell>
          <cell r="F26">
            <v>1603.99</v>
          </cell>
          <cell r="G26" t="str">
            <v>Em Atividade Normal</v>
          </cell>
          <cell r="H26">
            <v>45149</v>
          </cell>
          <cell r="I26">
            <v>23818</v>
          </cell>
          <cell r="J26" t="str">
            <v>403.660.735-91</v>
          </cell>
          <cell r="K26" t="str">
            <v>124.02414.86.5</v>
          </cell>
          <cell r="L26" t="str">
            <v>Salário Mensal</v>
          </cell>
          <cell r="M26" t="str">
            <v>Empregado (CLT)</v>
          </cell>
        </row>
        <row r="27">
          <cell r="D27" t="str">
            <v>ECOSAMPA Administração</v>
          </cell>
          <cell r="E27">
            <v>45008</v>
          </cell>
          <cell r="F27">
            <v>3190.71</v>
          </cell>
          <cell r="G27" t="str">
            <v>Em Atividade Normal</v>
          </cell>
          <cell r="H27">
            <v>45008</v>
          </cell>
          <cell r="I27">
            <v>28606</v>
          </cell>
          <cell r="J27" t="str">
            <v>255.568.568-50</v>
          </cell>
          <cell r="K27" t="str">
            <v>125.56711.22.3</v>
          </cell>
          <cell r="L27" t="str">
            <v>Salário Mensal</v>
          </cell>
          <cell r="M27" t="str">
            <v>Empregado (CLT)</v>
          </cell>
        </row>
        <row r="28">
          <cell r="D28" t="str">
            <v>ECOSAMPA Operação Geral</v>
          </cell>
          <cell r="E28">
            <v>43617</v>
          </cell>
          <cell r="F28">
            <v>1281.23</v>
          </cell>
          <cell r="G28" t="str">
            <v>Demitido em Meses Anteriores</v>
          </cell>
          <cell r="H28">
            <v>43896</v>
          </cell>
          <cell r="I28">
            <v>32121</v>
          </cell>
          <cell r="J28" t="str">
            <v>047.418.175-80</v>
          </cell>
          <cell r="K28" t="str">
            <v>160.08165.22.6</v>
          </cell>
          <cell r="L28" t="str">
            <v>Salário Mensal</v>
          </cell>
          <cell r="M28" t="str">
            <v>Empregado (CLT)</v>
          </cell>
        </row>
        <row r="29">
          <cell r="D29" t="str">
            <v>ECOSAMPA Operação Geral</v>
          </cell>
          <cell r="E29">
            <v>44791</v>
          </cell>
          <cell r="F29">
            <v>3050.22</v>
          </cell>
          <cell r="G29" t="str">
            <v>Em Atividade Normal</v>
          </cell>
          <cell r="H29">
            <v>44791</v>
          </cell>
          <cell r="I29">
            <v>25131</v>
          </cell>
          <cell r="J29" t="str">
            <v>088.562.708-38</v>
          </cell>
          <cell r="K29" t="str">
            <v>121.55296.69.1</v>
          </cell>
          <cell r="L29" t="str">
            <v>Salário Mensal</v>
          </cell>
          <cell r="M29" t="str">
            <v>Empregado (CLT)</v>
          </cell>
        </row>
        <row r="30">
          <cell r="D30" t="str">
            <v>ECOSAMPA M'Boi Mirim</v>
          </cell>
          <cell r="E30">
            <v>43617</v>
          </cell>
          <cell r="F30">
            <v>1603.99</v>
          </cell>
          <cell r="G30" t="str">
            <v>Em Atividade Normal</v>
          </cell>
          <cell r="H30">
            <v>45149</v>
          </cell>
          <cell r="I30">
            <v>31140</v>
          </cell>
          <cell r="J30" t="str">
            <v>334.899.008-47</v>
          </cell>
          <cell r="K30" t="str">
            <v>206.86943.66.4</v>
          </cell>
          <cell r="L30" t="str">
            <v>Salário Mensal</v>
          </cell>
          <cell r="M30" t="str">
            <v>Empregado (CLT)</v>
          </cell>
        </row>
        <row r="31">
          <cell r="D31" t="str">
            <v>ECOSAMPA Operação Geral</v>
          </cell>
          <cell r="E31">
            <v>44368</v>
          </cell>
          <cell r="F31">
            <v>3050.22</v>
          </cell>
          <cell r="G31" t="str">
            <v>Em Atividade Normal</v>
          </cell>
          <cell r="H31">
            <v>45149</v>
          </cell>
          <cell r="I31">
            <v>23921</v>
          </cell>
          <cell r="J31" t="str">
            <v>091.843.428-97</v>
          </cell>
          <cell r="K31" t="str">
            <v>121.25774.25.0</v>
          </cell>
          <cell r="L31" t="str">
            <v>Salário Mensal</v>
          </cell>
          <cell r="M31" t="str">
            <v>Empregado (CLT)</v>
          </cell>
        </row>
        <row r="32">
          <cell r="D32" t="str">
            <v>ECOSAMPA Santo Amaro</v>
          </cell>
          <cell r="E32">
            <v>43617</v>
          </cell>
          <cell r="F32">
            <v>1603.99</v>
          </cell>
          <cell r="G32" t="str">
            <v>Em Atividade Normal</v>
          </cell>
          <cell r="H32">
            <v>44960</v>
          </cell>
          <cell r="I32">
            <v>30190</v>
          </cell>
          <cell r="J32" t="str">
            <v>295.290.638-65</v>
          </cell>
          <cell r="K32" t="str">
            <v>136.34679.93.9</v>
          </cell>
          <cell r="L32" t="str">
            <v>Salário Mensal</v>
          </cell>
          <cell r="M32" t="str">
            <v>Empregado (CLT)</v>
          </cell>
        </row>
        <row r="33">
          <cell r="D33" t="str">
            <v>ECOSAMPA Campo Limpo</v>
          </cell>
          <cell r="E33">
            <v>43617</v>
          </cell>
          <cell r="F33">
            <v>1603.99</v>
          </cell>
          <cell r="G33" t="str">
            <v>Em Atividade Normal</v>
          </cell>
          <cell r="H33">
            <v>45177</v>
          </cell>
          <cell r="I33">
            <v>25163</v>
          </cell>
          <cell r="J33" t="str">
            <v>112.528.348-37</v>
          </cell>
          <cell r="K33" t="str">
            <v>122.93968.23.7</v>
          </cell>
          <cell r="L33" t="str">
            <v>Salário Mensal</v>
          </cell>
          <cell r="M33" t="str">
            <v>Empregado (CLT)</v>
          </cell>
        </row>
        <row r="34">
          <cell r="D34" t="str">
            <v>ECOSAMPA M'Boi Mirim</v>
          </cell>
          <cell r="E34">
            <v>43617</v>
          </cell>
          <cell r="F34">
            <v>1603.99</v>
          </cell>
          <cell r="G34" t="str">
            <v>Em Atividade Normal</v>
          </cell>
          <cell r="H34">
            <v>45177</v>
          </cell>
          <cell r="I34">
            <v>30120</v>
          </cell>
          <cell r="J34" t="str">
            <v>017.083.115-99</v>
          </cell>
          <cell r="K34" t="str">
            <v>209.57560.38.3</v>
          </cell>
          <cell r="L34" t="str">
            <v>Salário Mensal</v>
          </cell>
          <cell r="M34" t="str">
            <v>Empregado (CLT)</v>
          </cell>
        </row>
        <row r="35">
          <cell r="D35" t="str">
            <v>ECOSAMPA Campo Limpo</v>
          </cell>
          <cell r="E35">
            <v>43617</v>
          </cell>
          <cell r="F35">
            <v>1231.95</v>
          </cell>
          <cell r="G35" t="str">
            <v>Demitido em Meses Anteriores</v>
          </cell>
          <cell r="H35">
            <v>43724</v>
          </cell>
          <cell r="I35">
            <v>18986</v>
          </cell>
          <cell r="J35" t="str">
            <v>106.794.478-81</v>
          </cell>
          <cell r="K35" t="str">
            <v>106.17255.09.9</v>
          </cell>
          <cell r="L35" t="str">
            <v>Salário Mensal</v>
          </cell>
          <cell r="M35" t="str">
            <v>Empregado (CLT)</v>
          </cell>
        </row>
        <row r="36">
          <cell r="D36" t="str">
            <v>ECOSAMPA Parelheiros</v>
          </cell>
          <cell r="E36">
            <v>43617</v>
          </cell>
          <cell r="F36">
            <v>1569.61</v>
          </cell>
          <cell r="G36" t="str">
            <v>Demitido em Meses Anteriores</v>
          </cell>
          <cell r="H36">
            <v>44109</v>
          </cell>
          <cell r="I36">
            <v>28790</v>
          </cell>
          <cell r="J36" t="str">
            <v>265.553.728-93</v>
          </cell>
          <cell r="K36" t="str">
            <v>129.05426.85.5</v>
          </cell>
          <cell r="L36" t="str">
            <v>Salário Mensal</v>
          </cell>
          <cell r="M36" t="str">
            <v>Empregado (CLT)</v>
          </cell>
        </row>
        <row r="37">
          <cell r="D37" t="str">
            <v>ECOSAMPA Campo Limpo</v>
          </cell>
          <cell r="E37">
            <v>43617</v>
          </cell>
          <cell r="F37">
            <v>1281.23</v>
          </cell>
          <cell r="G37" t="str">
            <v>Demitido em Meses Anteriores</v>
          </cell>
          <cell r="H37">
            <v>43850</v>
          </cell>
          <cell r="I37">
            <v>27089</v>
          </cell>
          <cell r="J37" t="str">
            <v>195.829.288-59</v>
          </cell>
          <cell r="K37" t="str">
            <v>124.85135.37.3</v>
          </cell>
          <cell r="L37" t="str">
            <v>Salário Mensal</v>
          </cell>
          <cell r="M37" t="str">
            <v>Empregado (CLT)</v>
          </cell>
        </row>
        <row r="38">
          <cell r="D38" t="str">
            <v>ECOSAMPA Campo Limpo</v>
          </cell>
          <cell r="E38">
            <v>43874</v>
          </cell>
          <cell r="F38">
            <v>1603.99</v>
          </cell>
          <cell r="G38" t="str">
            <v>Em Atividade Normal</v>
          </cell>
          <cell r="H38">
            <v>45086</v>
          </cell>
          <cell r="I38">
            <v>30541</v>
          </cell>
          <cell r="J38" t="str">
            <v>348.064.968-80</v>
          </cell>
          <cell r="K38" t="str">
            <v>201.53905.52.7</v>
          </cell>
          <cell r="L38" t="str">
            <v>Salário Mensal</v>
          </cell>
          <cell r="M38" t="str">
            <v>Empregado (CLT)</v>
          </cell>
        </row>
        <row r="39">
          <cell r="D39" t="str">
            <v>ECOSAMPA Parelheiros</v>
          </cell>
          <cell r="E39">
            <v>43790</v>
          </cell>
          <cell r="F39">
            <v>3222.08</v>
          </cell>
          <cell r="G39" t="str">
            <v>Em Atividade Normal</v>
          </cell>
          <cell r="H39">
            <v>45023</v>
          </cell>
          <cell r="I39">
            <v>22497</v>
          </cell>
          <cell r="J39" t="str">
            <v>331.384.194-53</v>
          </cell>
          <cell r="K39" t="str">
            <v>120.89862.26.4</v>
          </cell>
          <cell r="L39" t="str">
            <v>Salário Mensal</v>
          </cell>
          <cell r="M39" t="str">
            <v>Empregado (CLT)</v>
          </cell>
        </row>
        <row r="40">
          <cell r="D40" t="str">
            <v>ECOSAMPA Administração</v>
          </cell>
          <cell r="E40">
            <v>45040</v>
          </cell>
          <cell r="F40">
            <v>1320</v>
          </cell>
          <cell r="G40" t="str">
            <v>Em Atividade Normal</v>
          </cell>
          <cell r="H40">
            <v>45040</v>
          </cell>
          <cell r="I40">
            <v>38411</v>
          </cell>
          <cell r="J40" t="str">
            <v>556.981.328-44</v>
          </cell>
          <cell r="K40" t="str">
            <v>269.29450.26.8</v>
          </cell>
          <cell r="L40" t="str">
            <v>Salário Mensal</v>
          </cell>
          <cell r="M40" t="str">
            <v>Menor Aprendiz</v>
          </cell>
        </row>
        <row r="41">
          <cell r="D41" t="str">
            <v>ECOSAMPA M'Boi Mirim</v>
          </cell>
          <cell r="E41">
            <v>44582</v>
          </cell>
          <cell r="F41">
            <v>1603.99</v>
          </cell>
          <cell r="G41" t="str">
            <v>Demitido em Meses Anteriores</v>
          </cell>
          <cell r="H41">
            <v>44935</v>
          </cell>
          <cell r="I41">
            <v>27463</v>
          </cell>
          <cell r="J41" t="str">
            <v>001.352.864-50</v>
          </cell>
          <cell r="K41" t="str">
            <v>126.84635.77.5</v>
          </cell>
          <cell r="L41" t="str">
            <v>Salário Mensal</v>
          </cell>
          <cell r="M41" t="str">
            <v>Empregado (CLT)</v>
          </cell>
        </row>
        <row r="42">
          <cell r="D42" t="str">
            <v>ECOSAMPA Capela do Socorro</v>
          </cell>
          <cell r="E42">
            <v>43617</v>
          </cell>
          <cell r="F42">
            <v>1603.99</v>
          </cell>
          <cell r="G42" t="str">
            <v>Em Atividade Normal</v>
          </cell>
          <cell r="H42">
            <v>44898</v>
          </cell>
          <cell r="I42">
            <v>31596</v>
          </cell>
          <cell r="J42" t="str">
            <v>348.440.148-62</v>
          </cell>
          <cell r="K42" t="str">
            <v>133.26018.85.0</v>
          </cell>
          <cell r="L42" t="str">
            <v>Salário Mensal</v>
          </cell>
          <cell r="M42" t="str">
            <v>Empregado (CLT)</v>
          </cell>
        </row>
        <row r="43">
          <cell r="D43" t="str">
            <v>ECOSAMPA Capela do Socorro</v>
          </cell>
          <cell r="E43">
            <v>43617</v>
          </cell>
          <cell r="F43">
            <v>1603.99</v>
          </cell>
          <cell r="G43" t="str">
            <v>Demitido em Meses Anteriores</v>
          </cell>
          <cell r="H43">
            <v>44896</v>
          </cell>
          <cell r="I43">
            <v>36296</v>
          </cell>
          <cell r="J43" t="str">
            <v>478.116.218-51</v>
          </cell>
          <cell r="K43" t="str">
            <v>237.38136.06.8</v>
          </cell>
          <cell r="L43" t="str">
            <v>Salário Mensal</v>
          </cell>
          <cell r="M43" t="str">
            <v>Empregado (CLT)</v>
          </cell>
        </row>
        <row r="44">
          <cell r="D44" t="str">
            <v>ECOSAMPA Operação Geral</v>
          </cell>
          <cell r="E44">
            <v>44967</v>
          </cell>
          <cell r="F44">
            <v>1603.99</v>
          </cell>
          <cell r="G44" t="str">
            <v>Demitido em Meses Anteriores</v>
          </cell>
          <cell r="H44">
            <v>44981</v>
          </cell>
          <cell r="I44">
            <v>32121</v>
          </cell>
          <cell r="J44" t="str">
            <v>367.923.188-17</v>
          </cell>
          <cell r="K44" t="str">
            <v>137.43825.81.2</v>
          </cell>
          <cell r="L44" t="str">
            <v>Salário Mensal</v>
          </cell>
          <cell r="M44" t="str">
            <v>Empregado (CLT)</v>
          </cell>
        </row>
        <row r="45">
          <cell r="D45" t="str">
            <v>ECOSAMPA Campo Limpo</v>
          </cell>
          <cell r="E45">
            <v>43617</v>
          </cell>
          <cell r="F45">
            <v>1907.79</v>
          </cell>
          <cell r="G45" t="str">
            <v>Em Atividade Normal</v>
          </cell>
          <cell r="H45">
            <v>45023</v>
          </cell>
          <cell r="I45">
            <v>31625</v>
          </cell>
          <cell r="J45" t="str">
            <v>350.853.888-52</v>
          </cell>
          <cell r="K45" t="str">
            <v>207.11674.92.7</v>
          </cell>
          <cell r="L45" t="str">
            <v>Salário Mensal</v>
          </cell>
          <cell r="M45" t="str">
            <v>Empregado (CLT)</v>
          </cell>
        </row>
        <row r="46">
          <cell r="D46" t="str">
            <v>ECOSAMPA Santo Amaro</v>
          </cell>
          <cell r="E46">
            <v>44273</v>
          </cell>
          <cell r="F46">
            <v>1603.99</v>
          </cell>
          <cell r="G46" t="str">
            <v>Em Atividade Normal</v>
          </cell>
          <cell r="H46">
            <v>44930</v>
          </cell>
          <cell r="I46">
            <v>30647</v>
          </cell>
          <cell r="J46" t="str">
            <v>339.741.858-52</v>
          </cell>
          <cell r="K46" t="str">
            <v>133.80269.81.5</v>
          </cell>
          <cell r="L46" t="str">
            <v>Salário Mensal</v>
          </cell>
          <cell r="M46" t="str">
            <v>Empregado (CLT)</v>
          </cell>
        </row>
        <row r="47">
          <cell r="D47" t="str">
            <v>ECOSAMPA Operação Geral</v>
          </cell>
          <cell r="E47">
            <v>44235</v>
          </cell>
          <cell r="F47">
            <v>3050.22</v>
          </cell>
          <cell r="G47" t="str">
            <v>Em Atividade Normal</v>
          </cell>
          <cell r="H47">
            <v>45023</v>
          </cell>
          <cell r="I47">
            <v>28398</v>
          </cell>
          <cell r="J47" t="str">
            <v>262.378.898-76</v>
          </cell>
          <cell r="K47" t="str">
            <v>127.17094.85.9</v>
          </cell>
          <cell r="L47" t="str">
            <v>Salário Mensal</v>
          </cell>
          <cell r="M47" t="str">
            <v>Empregado (CLT)</v>
          </cell>
        </row>
        <row r="48">
          <cell r="D48" t="str">
            <v>ECOSAMPA Capela do Socorro</v>
          </cell>
          <cell r="E48">
            <v>43617</v>
          </cell>
          <cell r="F48">
            <v>1603.99</v>
          </cell>
          <cell r="G48" t="str">
            <v>Em Atividade Normal</v>
          </cell>
          <cell r="H48">
            <v>45149</v>
          </cell>
          <cell r="I48">
            <v>26234</v>
          </cell>
          <cell r="J48" t="str">
            <v>594.924.304-87</v>
          </cell>
          <cell r="K48" t="str">
            <v>124.15541.20.8</v>
          </cell>
          <cell r="L48" t="str">
            <v>Salário Mensal</v>
          </cell>
          <cell r="M48" t="str">
            <v>Empregado (CLT)</v>
          </cell>
        </row>
        <row r="49">
          <cell r="D49" t="str">
            <v>ECOSAMPA M'Boi Mirim</v>
          </cell>
          <cell r="E49">
            <v>43617</v>
          </cell>
          <cell r="F49">
            <v>1603.99</v>
          </cell>
          <cell r="G49" t="str">
            <v>Em Atividade Normal</v>
          </cell>
          <cell r="H49">
            <v>45177</v>
          </cell>
          <cell r="I49">
            <v>30416</v>
          </cell>
          <cell r="J49" t="str">
            <v>030.589.085-98</v>
          </cell>
          <cell r="K49" t="str">
            <v>130.32442.05.1</v>
          </cell>
          <cell r="L49" t="str">
            <v>Salário Mensal</v>
          </cell>
          <cell r="M49" t="str">
            <v>Empregado (CLT)</v>
          </cell>
        </row>
        <row r="50">
          <cell r="D50" t="str">
            <v>ECOSAMPA Santo Amaro</v>
          </cell>
          <cell r="E50">
            <v>43617</v>
          </cell>
          <cell r="F50">
            <v>1603.99</v>
          </cell>
          <cell r="G50" t="str">
            <v>Demitido no Mês</v>
          </cell>
          <cell r="H50">
            <v>45179</v>
          </cell>
          <cell r="I50">
            <v>28381</v>
          </cell>
          <cell r="J50" t="str">
            <v>284.334.278-30</v>
          </cell>
          <cell r="K50" t="str">
            <v>130.36329.85.3</v>
          </cell>
          <cell r="L50" t="str">
            <v>Salário Mensal</v>
          </cell>
          <cell r="M50" t="str">
            <v>Empregado (CLT)</v>
          </cell>
        </row>
        <row r="51">
          <cell r="D51" t="str">
            <v>ECOSAMPA Operação Geral</v>
          </cell>
          <cell r="E51">
            <v>43836</v>
          </cell>
          <cell r="F51">
            <v>2610.2399999999998</v>
          </cell>
          <cell r="G51" t="str">
            <v>Em Atividade Normal</v>
          </cell>
          <cell r="H51">
            <v>45119</v>
          </cell>
          <cell r="I51">
            <v>30655</v>
          </cell>
          <cell r="J51" t="str">
            <v>356.978.718-48</v>
          </cell>
          <cell r="K51" t="str">
            <v>203.90609.17.4</v>
          </cell>
          <cell r="L51" t="str">
            <v>Salário Mensal</v>
          </cell>
          <cell r="M51" t="str">
            <v>Empregado (CLT)</v>
          </cell>
        </row>
        <row r="52">
          <cell r="D52" t="str">
            <v>ECOSAMPA Operação Geral</v>
          </cell>
          <cell r="E52">
            <v>44967</v>
          </cell>
          <cell r="F52">
            <v>1603.99</v>
          </cell>
          <cell r="G52" t="str">
            <v>Demitido em Meses Anteriores</v>
          </cell>
          <cell r="H52">
            <v>44981</v>
          </cell>
          <cell r="I52">
            <v>30080</v>
          </cell>
          <cell r="J52" t="str">
            <v>294.566.998-62</v>
          </cell>
          <cell r="K52" t="str">
            <v>132.57895.77.0</v>
          </cell>
          <cell r="L52" t="str">
            <v>Salário Mensal</v>
          </cell>
          <cell r="M52" t="str">
            <v>Empregado (CLT)</v>
          </cell>
        </row>
        <row r="53">
          <cell r="D53" t="str">
            <v>ECOSAMPA Operação Geral</v>
          </cell>
          <cell r="E53">
            <v>45117</v>
          </cell>
          <cell r="F53">
            <v>1603.99</v>
          </cell>
          <cell r="G53" t="str">
            <v>Em Atividade Normal</v>
          </cell>
          <cell r="H53">
            <v>45117</v>
          </cell>
          <cell r="I53">
            <v>30080</v>
          </cell>
          <cell r="J53" t="str">
            <v>294.566.998-62</v>
          </cell>
          <cell r="K53" t="str">
            <v>132.57895.77.0</v>
          </cell>
          <cell r="L53" t="str">
            <v>Salário Mensal</v>
          </cell>
          <cell r="M53" t="str">
            <v>Empregado (CLT)</v>
          </cell>
        </row>
        <row r="54">
          <cell r="D54" t="str">
            <v>ECOSAMPA Campo Limpo</v>
          </cell>
          <cell r="E54">
            <v>43617</v>
          </cell>
          <cell r="F54">
            <v>1603.99</v>
          </cell>
          <cell r="G54" t="str">
            <v>Gozando Férias</v>
          </cell>
          <cell r="H54">
            <v>45180</v>
          </cell>
          <cell r="I54">
            <v>30260</v>
          </cell>
          <cell r="J54" t="str">
            <v>036.238.365-08</v>
          </cell>
          <cell r="K54" t="str">
            <v>129.67016.24.3</v>
          </cell>
          <cell r="L54" t="str">
            <v>Salário Mensal</v>
          </cell>
          <cell r="M54" t="str">
            <v>Empregado (CLT)</v>
          </cell>
        </row>
        <row r="55">
          <cell r="D55" t="str">
            <v>ECOSAMPA Operação Geral</v>
          </cell>
          <cell r="E55">
            <v>43617</v>
          </cell>
          <cell r="F55">
            <v>2509.54</v>
          </cell>
          <cell r="G55" t="str">
            <v>Demitido em Meses Anteriores</v>
          </cell>
          <cell r="H55">
            <v>44466</v>
          </cell>
          <cell r="I55">
            <v>29376</v>
          </cell>
          <cell r="J55" t="str">
            <v>295.721.368-01</v>
          </cell>
          <cell r="K55" t="str">
            <v>129.97420.85.9</v>
          </cell>
          <cell r="L55" t="str">
            <v>Salário Mensal</v>
          </cell>
          <cell r="M55" t="str">
            <v>Empregado (CLT)</v>
          </cell>
        </row>
        <row r="56">
          <cell r="D56" t="str">
            <v>ECOSAMPA Santo Amaro</v>
          </cell>
          <cell r="E56">
            <v>43617</v>
          </cell>
          <cell r="F56">
            <v>1319.67</v>
          </cell>
          <cell r="G56" t="str">
            <v>Demitido em Meses Anteriores</v>
          </cell>
          <cell r="H56">
            <v>44140</v>
          </cell>
          <cell r="I56">
            <v>32739</v>
          </cell>
          <cell r="J56" t="str">
            <v>384.247.458-09</v>
          </cell>
          <cell r="K56" t="str">
            <v>207.24856.01.8</v>
          </cell>
          <cell r="L56" t="str">
            <v>Salário Mensal</v>
          </cell>
          <cell r="M56" t="str">
            <v>Empregado (CLT)</v>
          </cell>
        </row>
        <row r="57">
          <cell r="D57" t="str">
            <v>ECOSAMPA M'Boi Mirim</v>
          </cell>
          <cell r="E57">
            <v>43617</v>
          </cell>
          <cell r="F57">
            <v>1603.99</v>
          </cell>
          <cell r="G57" t="str">
            <v>Em Atividade Normal</v>
          </cell>
          <cell r="H57">
            <v>45050</v>
          </cell>
          <cell r="I57">
            <v>22226</v>
          </cell>
          <cell r="J57" t="str">
            <v>022.897.588-33</v>
          </cell>
          <cell r="K57" t="str">
            <v>107.81472.50.1</v>
          </cell>
          <cell r="L57" t="str">
            <v>Salário Mensal</v>
          </cell>
          <cell r="M57" t="str">
            <v>Empregado (CLT)</v>
          </cell>
        </row>
        <row r="58">
          <cell r="D58" t="str">
            <v>ECOSAMPA Campo Limpo</v>
          </cell>
          <cell r="E58">
            <v>43617</v>
          </cell>
          <cell r="F58">
            <v>1603.99</v>
          </cell>
          <cell r="G58" t="str">
            <v>Em Atividade Normal</v>
          </cell>
          <cell r="H58">
            <v>45149</v>
          </cell>
          <cell r="I58">
            <v>27142</v>
          </cell>
          <cell r="J58" t="str">
            <v>175.877.838-57</v>
          </cell>
          <cell r="K58" t="str">
            <v>134.60549.93.8</v>
          </cell>
          <cell r="L58" t="str">
            <v>Salário Mensal</v>
          </cell>
          <cell r="M58" t="str">
            <v>Empregado (CLT)</v>
          </cell>
        </row>
        <row r="59">
          <cell r="D59" t="str">
            <v>ECOSAMPA Campo Limpo</v>
          </cell>
          <cell r="E59">
            <v>43617</v>
          </cell>
          <cell r="F59">
            <v>1603.99</v>
          </cell>
          <cell r="G59" t="str">
            <v>Em Atividade Normal</v>
          </cell>
          <cell r="H59">
            <v>44867</v>
          </cell>
          <cell r="I59">
            <v>29878</v>
          </cell>
          <cell r="J59" t="str">
            <v>343.564.868-62</v>
          </cell>
          <cell r="K59" t="str">
            <v>160.83720.37.1</v>
          </cell>
          <cell r="L59" t="str">
            <v>Salário Mensal</v>
          </cell>
          <cell r="M59" t="str">
            <v>Empregado (CLT)</v>
          </cell>
        </row>
        <row r="60">
          <cell r="D60" t="str">
            <v>ECOSAMPA Capela do Socorro</v>
          </cell>
          <cell r="E60">
            <v>43617</v>
          </cell>
          <cell r="F60">
            <v>1281.23</v>
          </cell>
          <cell r="G60" t="str">
            <v>Demitido em Meses Anteriores</v>
          </cell>
          <cell r="H60">
            <v>43840</v>
          </cell>
          <cell r="I60">
            <v>30388</v>
          </cell>
          <cell r="J60" t="str">
            <v>331.699.358-44</v>
          </cell>
          <cell r="K60" t="str">
            <v>204.30178.93.4</v>
          </cell>
          <cell r="L60" t="str">
            <v>Salário Mensal</v>
          </cell>
          <cell r="M60" t="str">
            <v>Empregado (CLT)</v>
          </cell>
        </row>
        <row r="61">
          <cell r="D61" t="str">
            <v>ECOSAMPA Operação Geral</v>
          </cell>
          <cell r="E61">
            <v>43617</v>
          </cell>
          <cell r="F61">
            <v>1603.99</v>
          </cell>
          <cell r="G61" t="str">
            <v>Em Atividade Normal</v>
          </cell>
          <cell r="H61">
            <v>44930</v>
          </cell>
          <cell r="I61">
            <v>27007</v>
          </cell>
          <cell r="J61" t="str">
            <v>177.496.338-80</v>
          </cell>
          <cell r="K61" t="str">
            <v>125.20638.40.2</v>
          </cell>
          <cell r="L61" t="str">
            <v>Salário Mensal</v>
          </cell>
          <cell r="M61" t="str">
            <v>Empregado (CLT)</v>
          </cell>
        </row>
        <row r="62">
          <cell r="D62" t="str">
            <v>ECOSAMPA Operação Geral</v>
          </cell>
          <cell r="E62">
            <v>43617</v>
          </cell>
          <cell r="F62">
            <v>1907.79</v>
          </cell>
          <cell r="G62" t="str">
            <v>Em Atividade Normal</v>
          </cell>
          <cell r="H62">
            <v>45149</v>
          </cell>
          <cell r="I62">
            <v>28071</v>
          </cell>
          <cell r="J62" t="str">
            <v>033.901.056-89</v>
          </cell>
          <cell r="K62" t="str">
            <v>125.85955.11.9</v>
          </cell>
          <cell r="L62" t="str">
            <v>Salário Mensal</v>
          </cell>
          <cell r="M62" t="str">
            <v>Empregado (CLT)</v>
          </cell>
        </row>
        <row r="63">
          <cell r="D63" t="str">
            <v>ECOSAMPA Campo Limpo</v>
          </cell>
          <cell r="E63">
            <v>43617</v>
          </cell>
          <cell r="F63">
            <v>1907.79</v>
          </cell>
          <cell r="G63" t="str">
            <v>Em Atividade Normal</v>
          </cell>
          <cell r="H63">
            <v>45119</v>
          </cell>
          <cell r="I63">
            <v>28188</v>
          </cell>
          <cell r="J63" t="str">
            <v>280.585.238-95</v>
          </cell>
          <cell r="K63" t="str">
            <v>137.61886.93.3</v>
          </cell>
          <cell r="L63" t="str">
            <v>Salário Mensal</v>
          </cell>
          <cell r="M63" t="str">
            <v>Empregado (CLT)</v>
          </cell>
        </row>
        <row r="64">
          <cell r="D64" t="str">
            <v>ECOSAMPA Operação Geral</v>
          </cell>
          <cell r="E64">
            <v>43917</v>
          </cell>
          <cell r="F64">
            <v>2509.54</v>
          </cell>
          <cell r="G64" t="str">
            <v>Demitido em Meses Anteriores</v>
          </cell>
          <cell r="H64">
            <v>44365</v>
          </cell>
          <cell r="I64">
            <v>32374</v>
          </cell>
          <cell r="J64" t="str">
            <v>360.801.418-76</v>
          </cell>
          <cell r="K64" t="str">
            <v>207.89248.33.0</v>
          </cell>
          <cell r="L64" t="str">
            <v>Salário Mensal</v>
          </cell>
          <cell r="M64" t="str">
            <v>Empregado (CLT)</v>
          </cell>
        </row>
        <row r="65">
          <cell r="D65" t="str">
            <v>ECOSAMPA Parelheiros</v>
          </cell>
          <cell r="E65">
            <v>43617</v>
          </cell>
          <cell r="F65">
            <v>1603.99</v>
          </cell>
          <cell r="G65" t="str">
            <v>Demitido em Meses Anteriores</v>
          </cell>
          <cell r="H65">
            <v>44958</v>
          </cell>
          <cell r="I65">
            <v>29393</v>
          </cell>
          <cell r="J65" t="str">
            <v>327.406.618-43</v>
          </cell>
          <cell r="K65" t="str">
            <v>134.12550.77.8</v>
          </cell>
          <cell r="L65" t="str">
            <v>Salário Mensal</v>
          </cell>
          <cell r="M65" t="str">
            <v>Empregado (CLT)</v>
          </cell>
        </row>
        <row r="66">
          <cell r="D66" t="str">
            <v>ECOSAMPA Operação Geral</v>
          </cell>
          <cell r="E66">
            <v>43617</v>
          </cell>
          <cell r="F66">
            <v>1281.23</v>
          </cell>
          <cell r="G66" t="str">
            <v>Demitido em Meses Anteriores</v>
          </cell>
          <cell r="H66">
            <v>43929</v>
          </cell>
          <cell r="I66">
            <v>31366</v>
          </cell>
          <cell r="J66" t="str">
            <v>334.181.178-80</v>
          </cell>
          <cell r="K66" t="str">
            <v>207.29669.69.0</v>
          </cell>
          <cell r="L66" t="str">
            <v>Salário Mensal</v>
          </cell>
          <cell r="M66" t="str">
            <v>Empregado (CLT)</v>
          </cell>
        </row>
        <row r="67">
          <cell r="D67" t="str">
            <v>ECOSAMPA Operação Geral</v>
          </cell>
          <cell r="E67">
            <v>43617</v>
          </cell>
          <cell r="F67">
            <v>3050.22</v>
          </cell>
          <cell r="G67" t="str">
            <v>Gozando Férias</v>
          </cell>
          <cell r="H67">
            <v>45180</v>
          </cell>
          <cell r="I67">
            <v>28105</v>
          </cell>
          <cell r="J67" t="str">
            <v>176.981.108-77</v>
          </cell>
          <cell r="K67" t="str">
            <v>124.68393.68.8</v>
          </cell>
          <cell r="L67" t="str">
            <v>Salário Mensal</v>
          </cell>
          <cell r="M67" t="str">
            <v>Empregado (CLT)</v>
          </cell>
        </row>
        <row r="68">
          <cell r="D68" t="str">
            <v>ECOSAMPA Capela do Socorro</v>
          </cell>
          <cell r="E68">
            <v>44419</v>
          </cell>
          <cell r="F68">
            <v>1603.99</v>
          </cell>
          <cell r="G68" t="str">
            <v>Em Atividade Normal</v>
          </cell>
          <cell r="H68">
            <v>45086</v>
          </cell>
          <cell r="I68">
            <v>23921</v>
          </cell>
          <cell r="J68" t="str">
            <v>064.885.138-93</v>
          </cell>
          <cell r="K68" t="str">
            <v>121.70357.91.4</v>
          </cell>
          <cell r="L68" t="str">
            <v>Salário Mensal</v>
          </cell>
          <cell r="M68" t="str">
            <v>Empregado (CLT)</v>
          </cell>
        </row>
        <row r="69">
          <cell r="D69" t="str">
            <v>ECOSAMPA Campo Limpo</v>
          </cell>
          <cell r="E69">
            <v>43617</v>
          </cell>
          <cell r="F69">
            <v>1603.99</v>
          </cell>
          <cell r="G69" t="str">
            <v>Em Atividade Normal</v>
          </cell>
          <cell r="H69">
            <v>45149</v>
          </cell>
          <cell r="I69">
            <v>32513</v>
          </cell>
          <cell r="J69" t="str">
            <v>045.842.085-90</v>
          </cell>
          <cell r="K69" t="str">
            <v>160.01674.11.7</v>
          </cell>
          <cell r="L69" t="str">
            <v>Salário Mensal</v>
          </cell>
          <cell r="M69" t="str">
            <v>Empregado (CLT)</v>
          </cell>
        </row>
        <row r="70">
          <cell r="D70" t="str">
            <v>ECOSAMPA Campo Limpo</v>
          </cell>
          <cell r="E70">
            <v>43617</v>
          </cell>
          <cell r="F70">
            <v>1603.99</v>
          </cell>
          <cell r="G70" t="str">
            <v>Em Atividade Normal</v>
          </cell>
          <cell r="H70">
            <v>45177</v>
          </cell>
          <cell r="I70">
            <v>22019</v>
          </cell>
          <cell r="J70" t="str">
            <v>197.583.675-87</v>
          </cell>
          <cell r="K70" t="str">
            <v>108.34456.15.7</v>
          </cell>
          <cell r="L70" t="str">
            <v>Salário Mensal</v>
          </cell>
          <cell r="M70" t="str">
            <v>Empregado (CLT)</v>
          </cell>
        </row>
        <row r="71">
          <cell r="D71" t="str">
            <v>ECOSAMPA Campo Limpo</v>
          </cell>
          <cell r="E71">
            <v>43617</v>
          </cell>
          <cell r="F71">
            <v>1603.99</v>
          </cell>
          <cell r="G71" t="str">
            <v>Em Atividade Normal</v>
          </cell>
          <cell r="H71">
            <v>45177</v>
          </cell>
          <cell r="I71">
            <v>24675</v>
          </cell>
          <cell r="J71" t="str">
            <v>520.244.074-04</v>
          </cell>
          <cell r="K71" t="str">
            <v>122.30379.76.5</v>
          </cell>
          <cell r="L71" t="str">
            <v>Salário Mensal</v>
          </cell>
          <cell r="M71" t="str">
            <v>Empregado (CLT)</v>
          </cell>
        </row>
        <row r="72">
          <cell r="D72" t="str">
            <v>ECOSAMPA Campo Limpo</v>
          </cell>
          <cell r="E72">
            <v>43617</v>
          </cell>
          <cell r="F72">
            <v>1603.99</v>
          </cell>
          <cell r="G72" t="str">
            <v>Em Atividade Normal</v>
          </cell>
          <cell r="H72">
            <v>45177</v>
          </cell>
          <cell r="I72">
            <v>26644</v>
          </cell>
          <cell r="J72" t="str">
            <v>191.816.518-13</v>
          </cell>
          <cell r="K72" t="str">
            <v>123.51049.23.5</v>
          </cell>
          <cell r="L72" t="str">
            <v>Salário Mensal</v>
          </cell>
          <cell r="M72" t="str">
            <v>Empregado (CLT)</v>
          </cell>
        </row>
        <row r="73">
          <cell r="D73" t="str">
            <v>ECOSAMPA Operação Geral</v>
          </cell>
          <cell r="E73">
            <v>43917</v>
          </cell>
          <cell r="F73">
            <v>1907.79</v>
          </cell>
          <cell r="G73" t="str">
            <v>Em Atividade Normal</v>
          </cell>
          <cell r="H73">
            <v>45086</v>
          </cell>
          <cell r="I73">
            <v>25849</v>
          </cell>
          <cell r="J73" t="str">
            <v>518.476.985-49</v>
          </cell>
          <cell r="K73" t="str">
            <v>123.94163.02.1</v>
          </cell>
          <cell r="L73" t="str">
            <v>Salário Mensal</v>
          </cell>
          <cell r="M73" t="str">
            <v>Empregado (CLT)</v>
          </cell>
        </row>
        <row r="74">
          <cell r="D74" t="str">
            <v>ECOSAMPA Operação Geral</v>
          </cell>
          <cell r="E74">
            <v>44967</v>
          </cell>
          <cell r="F74">
            <v>1603.99</v>
          </cell>
          <cell r="G74" t="str">
            <v>Demitido em Meses Anteriores</v>
          </cell>
          <cell r="H74">
            <v>44981</v>
          </cell>
          <cell r="I74">
            <v>32010</v>
          </cell>
          <cell r="J74" t="str">
            <v>361.285.198-57</v>
          </cell>
          <cell r="K74" t="str">
            <v>212.28854.45.0</v>
          </cell>
          <cell r="L74" t="str">
            <v>Salário Mensal</v>
          </cell>
          <cell r="M74" t="str">
            <v>Empregado (CLT)</v>
          </cell>
        </row>
        <row r="75">
          <cell r="D75" t="str">
            <v>ECOSAMPA Campo Limpo</v>
          </cell>
          <cell r="E75">
            <v>44308</v>
          </cell>
          <cell r="F75">
            <v>1319.67</v>
          </cell>
          <cell r="G75" t="str">
            <v>Demitido em Meses Anteriores</v>
          </cell>
          <cell r="H75">
            <v>44397</v>
          </cell>
          <cell r="I75">
            <v>32480</v>
          </cell>
          <cell r="J75" t="str">
            <v>368.156.008-07</v>
          </cell>
          <cell r="K75" t="str">
            <v>204.30185.86.8</v>
          </cell>
          <cell r="L75" t="str">
            <v>Salário Mensal</v>
          </cell>
          <cell r="M75" t="str">
            <v>Empregado (CLT)</v>
          </cell>
        </row>
        <row r="76">
          <cell r="D76" t="str">
            <v>ECOSAMPA Operação Geral</v>
          </cell>
          <cell r="E76">
            <v>44218</v>
          </cell>
          <cell r="F76">
            <v>1907.79</v>
          </cell>
          <cell r="G76" t="str">
            <v>Em Atividade Normal</v>
          </cell>
          <cell r="H76">
            <v>45049</v>
          </cell>
          <cell r="I76">
            <v>34738</v>
          </cell>
          <cell r="J76" t="str">
            <v>357.447.508-00</v>
          </cell>
          <cell r="K76" t="str">
            <v>209.60146.29.0</v>
          </cell>
          <cell r="L76" t="str">
            <v>Salário Mensal</v>
          </cell>
          <cell r="M76" t="str">
            <v>Empregado (CLT)</v>
          </cell>
        </row>
        <row r="77">
          <cell r="D77" t="str">
            <v>ECOSAMPA Parelheiros</v>
          </cell>
          <cell r="E77">
            <v>43617</v>
          </cell>
          <cell r="F77">
            <v>1231.95</v>
          </cell>
          <cell r="G77" t="str">
            <v>Demitido em Meses Anteriores</v>
          </cell>
          <cell r="H77">
            <v>43704</v>
          </cell>
          <cell r="I77">
            <v>34720</v>
          </cell>
          <cell r="J77" t="str">
            <v>449.238.068-00</v>
          </cell>
          <cell r="K77" t="str">
            <v>207.81538.26.7</v>
          </cell>
          <cell r="L77" t="str">
            <v>Salário Mensal</v>
          </cell>
          <cell r="M77" t="str">
            <v>Empregado (CLT)</v>
          </cell>
        </row>
        <row r="78">
          <cell r="D78" t="str">
            <v>ECOSAMPA Operação Geral</v>
          </cell>
          <cell r="E78">
            <v>43619</v>
          </cell>
          <cell r="F78">
            <v>5277.68</v>
          </cell>
          <cell r="G78" t="str">
            <v>Auxílio-Doença</v>
          </cell>
          <cell r="H78">
            <v>43968</v>
          </cell>
          <cell r="I78">
            <v>31240</v>
          </cell>
          <cell r="J78" t="str">
            <v>341.887.198-42</v>
          </cell>
          <cell r="K78" t="str">
            <v>210.14754.08.0</v>
          </cell>
          <cell r="L78" t="str">
            <v>Salário Mensal</v>
          </cell>
          <cell r="M78" t="str">
            <v>Empregado (CLT)</v>
          </cell>
        </row>
        <row r="79">
          <cell r="D79" t="str">
            <v>ECOSAMPA Campo Limpo</v>
          </cell>
          <cell r="E79">
            <v>43617</v>
          </cell>
          <cell r="F79">
            <v>1319.67</v>
          </cell>
          <cell r="G79" t="str">
            <v>Demitido em Meses Anteriores</v>
          </cell>
          <cell r="H79">
            <v>44109</v>
          </cell>
          <cell r="I79">
            <v>24203</v>
          </cell>
          <cell r="J79" t="str">
            <v>479.647.904-04</v>
          </cell>
          <cell r="K79" t="str">
            <v>122.10431.88.5</v>
          </cell>
          <cell r="L79" t="str">
            <v>Salário Mensal</v>
          </cell>
          <cell r="M79" t="str">
            <v>Empregado (CLT)</v>
          </cell>
        </row>
        <row r="80">
          <cell r="D80" t="str">
            <v>ECOSAMPA M'Boi Mirim</v>
          </cell>
          <cell r="E80">
            <v>43617</v>
          </cell>
          <cell r="F80">
            <v>1603.99</v>
          </cell>
          <cell r="G80" t="str">
            <v>Em Atividade Normal</v>
          </cell>
          <cell r="H80">
            <v>45177</v>
          </cell>
          <cell r="I80">
            <v>26530</v>
          </cell>
          <cell r="J80" t="str">
            <v>856.767.564-20</v>
          </cell>
          <cell r="K80" t="str">
            <v>124.66203.25.3</v>
          </cell>
          <cell r="L80" t="str">
            <v>Salário Mensal</v>
          </cell>
          <cell r="M80" t="str">
            <v>Empregado (CLT)</v>
          </cell>
        </row>
        <row r="81">
          <cell r="D81" t="str">
            <v>ECOSAMPA Operação Geral</v>
          </cell>
          <cell r="E81">
            <v>45040</v>
          </cell>
          <cell r="F81">
            <v>1603.99</v>
          </cell>
          <cell r="G81" t="str">
            <v>Em Atividade Normal</v>
          </cell>
          <cell r="H81">
            <v>45040</v>
          </cell>
          <cell r="I81">
            <v>34996</v>
          </cell>
          <cell r="J81" t="str">
            <v>459.589.368-08</v>
          </cell>
          <cell r="K81" t="str">
            <v>150.39773.64.5</v>
          </cell>
          <cell r="L81" t="str">
            <v>Salário Mensal</v>
          </cell>
          <cell r="M81" t="str">
            <v>Empregado (CLT)</v>
          </cell>
        </row>
        <row r="82">
          <cell r="D82" t="str">
            <v>ECOSAMPA Capela do Socorro</v>
          </cell>
          <cell r="E82">
            <v>43617</v>
          </cell>
          <cell r="F82">
            <v>1231.95</v>
          </cell>
          <cell r="G82" t="str">
            <v>Demitido em Meses Anteriores</v>
          </cell>
          <cell r="H82">
            <v>43703</v>
          </cell>
          <cell r="I82">
            <v>29926</v>
          </cell>
          <cell r="J82" t="str">
            <v>222.202.558-32</v>
          </cell>
          <cell r="K82" t="str">
            <v>129.84343.85.0</v>
          </cell>
          <cell r="L82" t="str">
            <v>Salário Mensal</v>
          </cell>
          <cell r="M82" t="str">
            <v>Empregado (CLT)</v>
          </cell>
        </row>
        <row r="83">
          <cell r="D83" t="str">
            <v>ECOSAMPA M'Boi Mirim</v>
          </cell>
          <cell r="E83">
            <v>44048</v>
          </cell>
          <cell r="F83">
            <v>1319.67</v>
          </cell>
          <cell r="G83" t="str">
            <v>Demitido em Meses Anteriores</v>
          </cell>
          <cell r="H83">
            <v>44258</v>
          </cell>
          <cell r="I83">
            <v>32156</v>
          </cell>
          <cell r="J83" t="str">
            <v>387.283.398-78</v>
          </cell>
          <cell r="K83" t="str">
            <v>207.24675.04.8</v>
          </cell>
          <cell r="L83" t="str">
            <v>Salário Mensal</v>
          </cell>
          <cell r="M83" t="str">
            <v>Empregado (CLT)</v>
          </cell>
        </row>
        <row r="84">
          <cell r="D84" t="str">
            <v>ECOSAMPA Operação Geral</v>
          </cell>
          <cell r="E84">
            <v>43739</v>
          </cell>
          <cell r="F84">
            <v>3050.22</v>
          </cell>
          <cell r="G84" t="str">
            <v>Demitido em Meses Anteriores</v>
          </cell>
          <cell r="H84">
            <v>44844</v>
          </cell>
          <cell r="I84">
            <v>30405</v>
          </cell>
          <cell r="J84" t="str">
            <v>309.655.798-59</v>
          </cell>
          <cell r="K84" t="str">
            <v>131.95699.52.3</v>
          </cell>
          <cell r="L84" t="str">
            <v>Salário Mensal</v>
          </cell>
          <cell r="M84" t="str">
            <v>Empregado (CLT)</v>
          </cell>
        </row>
        <row r="85">
          <cell r="D85" t="str">
            <v>ECOSAMPA Operação Geral</v>
          </cell>
          <cell r="E85">
            <v>44494</v>
          </cell>
          <cell r="F85">
            <v>3043.01</v>
          </cell>
          <cell r="G85" t="str">
            <v>Em Atividade Normal</v>
          </cell>
          <cell r="H85">
            <v>44985</v>
          </cell>
          <cell r="I85">
            <v>33664</v>
          </cell>
          <cell r="J85" t="str">
            <v>387.902.878-86</v>
          </cell>
          <cell r="K85" t="str">
            <v>206.86269.90.4</v>
          </cell>
          <cell r="L85" t="str">
            <v>Salário Mensal</v>
          </cell>
          <cell r="M85" t="str">
            <v>Empregado (CLT)</v>
          </cell>
        </row>
        <row r="86">
          <cell r="D86" t="str">
            <v>ECOSAMPA Parelheiros</v>
          </cell>
          <cell r="E86">
            <v>43617</v>
          </cell>
          <cell r="F86">
            <v>1603.99</v>
          </cell>
          <cell r="G86" t="str">
            <v>Gozando Férias</v>
          </cell>
          <cell r="H86">
            <v>45180</v>
          </cell>
          <cell r="I86">
            <v>25070</v>
          </cell>
          <cell r="J86" t="str">
            <v>725.565.014-72</v>
          </cell>
          <cell r="K86" t="str">
            <v>125.36966.25.0</v>
          </cell>
          <cell r="L86" t="str">
            <v>Salário Mensal</v>
          </cell>
          <cell r="M86" t="str">
            <v>Empregado (CLT)</v>
          </cell>
        </row>
        <row r="87">
          <cell r="D87" t="str">
            <v>ECOSAMPA Capela do Socorro</v>
          </cell>
          <cell r="E87">
            <v>43617</v>
          </cell>
          <cell r="F87">
            <v>1603.99</v>
          </cell>
          <cell r="G87" t="str">
            <v>Gozando Férias</v>
          </cell>
          <cell r="H87">
            <v>45180</v>
          </cell>
          <cell r="I87">
            <v>24930</v>
          </cell>
          <cell r="J87" t="str">
            <v>125.552.558-42</v>
          </cell>
          <cell r="K87" t="str">
            <v>123.53077.36.8</v>
          </cell>
          <cell r="L87" t="str">
            <v>Salário Mensal</v>
          </cell>
          <cell r="M87" t="str">
            <v>Empregado (CLT)</v>
          </cell>
        </row>
        <row r="88">
          <cell r="D88" t="str">
            <v>ECOSAMPA Operação Geral</v>
          </cell>
          <cell r="E88">
            <v>44487</v>
          </cell>
          <cell r="F88">
            <v>1603.99</v>
          </cell>
          <cell r="G88" t="str">
            <v>Demitido em Meses Anteriores</v>
          </cell>
          <cell r="H88">
            <v>45091</v>
          </cell>
          <cell r="I88">
            <v>31177</v>
          </cell>
          <cell r="J88" t="str">
            <v>021.399.205-11</v>
          </cell>
          <cell r="K88" t="str">
            <v>160.98388.06.8</v>
          </cell>
          <cell r="L88" t="str">
            <v>Salário Mensal</v>
          </cell>
          <cell r="M88" t="str">
            <v>Empregado (CLT)</v>
          </cell>
        </row>
        <row r="89">
          <cell r="D89" t="str">
            <v>ECOSAMPA Operação Geral</v>
          </cell>
          <cell r="E89">
            <v>43617</v>
          </cell>
          <cell r="F89">
            <v>1907.79</v>
          </cell>
          <cell r="G89" t="str">
            <v>Em Atividade Normal</v>
          </cell>
          <cell r="H89">
            <v>44898</v>
          </cell>
          <cell r="I89">
            <v>25406</v>
          </cell>
          <cell r="J89" t="str">
            <v>270.156.158-27</v>
          </cell>
          <cell r="K89" t="str">
            <v>124.22402.81.1</v>
          </cell>
          <cell r="L89" t="str">
            <v>Salário Mensal</v>
          </cell>
          <cell r="M89" t="str">
            <v>Empregado (CLT)</v>
          </cell>
        </row>
        <row r="90">
          <cell r="D90" t="str">
            <v>ECOSAMPA Capela do Socorro</v>
          </cell>
          <cell r="E90">
            <v>43617</v>
          </cell>
          <cell r="F90">
            <v>1464.83</v>
          </cell>
          <cell r="G90" t="str">
            <v>Demitido em Meses Anteriores</v>
          </cell>
          <cell r="H90">
            <v>44525</v>
          </cell>
          <cell r="I90">
            <v>30091</v>
          </cell>
          <cell r="J90" t="str">
            <v>296.406.298-63</v>
          </cell>
          <cell r="K90" t="str">
            <v>134.77607.77.4</v>
          </cell>
          <cell r="L90" t="str">
            <v>Salário Mensal</v>
          </cell>
          <cell r="M90" t="str">
            <v>Empregado (CLT)</v>
          </cell>
        </row>
        <row r="91">
          <cell r="D91" t="str">
            <v>ECOSAMPA Operação Geral</v>
          </cell>
          <cell r="E91">
            <v>43917</v>
          </cell>
          <cell r="F91">
            <v>3050.22</v>
          </cell>
          <cell r="G91" t="str">
            <v>Em Atividade Normal</v>
          </cell>
          <cell r="H91">
            <v>45086</v>
          </cell>
          <cell r="I91">
            <v>22357</v>
          </cell>
          <cell r="J91" t="str">
            <v>262.789.258-42</v>
          </cell>
          <cell r="K91" t="str">
            <v>121.91617.76.1</v>
          </cell>
          <cell r="L91" t="str">
            <v>Salário Mensal</v>
          </cell>
          <cell r="M91" t="str">
            <v>Empregado (CLT)</v>
          </cell>
        </row>
        <row r="92">
          <cell r="D92" t="str">
            <v>ECOSAMPA Santo Amaro</v>
          </cell>
          <cell r="E92">
            <v>43874</v>
          </cell>
          <cell r="F92">
            <v>1603.99</v>
          </cell>
          <cell r="G92" t="str">
            <v>Demitido em Meses Anteriores</v>
          </cell>
          <cell r="H92">
            <v>44937</v>
          </cell>
          <cell r="I92">
            <v>28761</v>
          </cell>
          <cell r="J92" t="str">
            <v>285.075.008-54</v>
          </cell>
          <cell r="K92" t="str">
            <v>127.57541.85.6</v>
          </cell>
          <cell r="L92" t="str">
            <v>Salário Mensal</v>
          </cell>
          <cell r="M92" t="str">
            <v>Empregado (CLT)</v>
          </cell>
        </row>
        <row r="93">
          <cell r="D93" t="str">
            <v>ECOSAMPA Capela do Socorro</v>
          </cell>
          <cell r="E93">
            <v>43617</v>
          </cell>
          <cell r="F93">
            <v>1281.23</v>
          </cell>
          <cell r="G93" t="str">
            <v>Demitido em Meses Anteriores</v>
          </cell>
          <cell r="H93">
            <v>43895</v>
          </cell>
          <cell r="I93">
            <v>33807</v>
          </cell>
          <cell r="J93" t="str">
            <v>235.764.558-09</v>
          </cell>
          <cell r="K93" t="str">
            <v>207.89508.63.4</v>
          </cell>
          <cell r="L93" t="str">
            <v>Salário Mensal</v>
          </cell>
          <cell r="M93" t="str">
            <v>Empregado (CLT)</v>
          </cell>
        </row>
        <row r="94">
          <cell r="D94" t="str">
            <v>ECOSAMPA Santo Amaro</v>
          </cell>
          <cell r="E94">
            <v>43617</v>
          </cell>
          <cell r="F94">
            <v>1603.99</v>
          </cell>
          <cell r="G94" t="str">
            <v>Em Atividade Normal</v>
          </cell>
          <cell r="H94">
            <v>44993</v>
          </cell>
          <cell r="I94">
            <v>27869</v>
          </cell>
          <cell r="J94" t="str">
            <v>191.076.518-05</v>
          </cell>
          <cell r="K94" t="str">
            <v>212.49352.30.6</v>
          </cell>
          <cell r="L94" t="str">
            <v>Salário Mensal</v>
          </cell>
          <cell r="M94" t="str">
            <v>Empregado (CLT)</v>
          </cell>
        </row>
        <row r="95">
          <cell r="D95" t="str">
            <v>ECOSAMPA Operação Geral</v>
          </cell>
          <cell r="E95">
            <v>43617</v>
          </cell>
          <cell r="F95">
            <v>1907.79</v>
          </cell>
          <cell r="G95" t="str">
            <v>Em Atividade Normal</v>
          </cell>
          <cell r="H95">
            <v>44960</v>
          </cell>
          <cell r="I95">
            <v>28549</v>
          </cell>
          <cell r="J95" t="str">
            <v>002.888.305-55</v>
          </cell>
          <cell r="K95" t="str">
            <v>125.95316.14.3</v>
          </cell>
          <cell r="L95" t="str">
            <v>Salário Mensal</v>
          </cell>
          <cell r="M95" t="str">
            <v>Empregado (CLT)</v>
          </cell>
        </row>
        <row r="96">
          <cell r="D96" t="str">
            <v>ECOSAMPA Capela do Socorro</v>
          </cell>
          <cell r="E96">
            <v>43617</v>
          </cell>
          <cell r="F96">
            <v>1603.99</v>
          </cell>
          <cell r="G96" t="str">
            <v>Em Atividade Normal</v>
          </cell>
          <cell r="H96">
            <v>45056</v>
          </cell>
          <cell r="I96">
            <v>32503</v>
          </cell>
          <cell r="J96" t="str">
            <v>366.418.598-60</v>
          </cell>
          <cell r="K96" t="str">
            <v>210.72600.30.9</v>
          </cell>
          <cell r="L96" t="str">
            <v>Salário Mensal</v>
          </cell>
          <cell r="M96" t="str">
            <v>Empregado (CLT)</v>
          </cell>
        </row>
        <row r="97">
          <cell r="D97" t="str">
            <v>ECOSAMPA Capela do Socorro</v>
          </cell>
          <cell r="E97">
            <v>43617</v>
          </cell>
          <cell r="F97">
            <v>1603.99</v>
          </cell>
          <cell r="G97" t="str">
            <v>Em Atividade Normal</v>
          </cell>
          <cell r="H97">
            <v>45056</v>
          </cell>
          <cell r="I97">
            <v>33479</v>
          </cell>
          <cell r="J97" t="str">
            <v>399.101.698-27</v>
          </cell>
          <cell r="K97" t="str">
            <v>212.09312.45.1</v>
          </cell>
          <cell r="L97" t="str">
            <v>Salário Mensal</v>
          </cell>
          <cell r="M97" t="str">
            <v>Empregado (CLT)</v>
          </cell>
        </row>
        <row r="98">
          <cell r="D98" t="str">
            <v>ECOSAMPA Campo Limpo</v>
          </cell>
          <cell r="E98">
            <v>43617</v>
          </cell>
          <cell r="F98">
            <v>1603.99</v>
          </cell>
          <cell r="G98" t="str">
            <v>Em Atividade Normal</v>
          </cell>
          <cell r="H98">
            <v>44776</v>
          </cell>
          <cell r="I98">
            <v>28512</v>
          </cell>
          <cell r="J98" t="str">
            <v>448.300.608-83</v>
          </cell>
          <cell r="K98" t="str">
            <v>209.74861.77.9</v>
          </cell>
          <cell r="L98" t="str">
            <v>Salário Mensal</v>
          </cell>
          <cell r="M98" t="str">
            <v>Empregado (CLT)</v>
          </cell>
        </row>
        <row r="99">
          <cell r="D99" t="str">
            <v>ECOSAMPA Santo Amaro</v>
          </cell>
          <cell r="E99">
            <v>43617</v>
          </cell>
          <cell r="F99">
            <v>1464.83</v>
          </cell>
          <cell r="G99" t="str">
            <v>Demitido em Meses Anteriores</v>
          </cell>
          <cell r="H99">
            <v>44545</v>
          </cell>
          <cell r="I99">
            <v>30575</v>
          </cell>
          <cell r="J99" t="str">
            <v>316.078.858-08</v>
          </cell>
          <cell r="K99" t="str">
            <v>131.58714.77.8</v>
          </cell>
          <cell r="L99" t="str">
            <v>Salário Mensal</v>
          </cell>
          <cell r="M99" t="str">
            <v>Empregado (CLT)</v>
          </cell>
        </row>
        <row r="100">
          <cell r="D100" t="str">
            <v>ECOSAMPA Campo Limpo</v>
          </cell>
          <cell r="E100">
            <v>44945</v>
          </cell>
          <cell r="F100">
            <v>1603.99</v>
          </cell>
          <cell r="G100" t="str">
            <v>Em Atividade Normal</v>
          </cell>
          <cell r="H100">
            <v>44945</v>
          </cell>
          <cell r="I100">
            <v>27185</v>
          </cell>
          <cell r="J100" t="str">
            <v>142.993.478-62</v>
          </cell>
          <cell r="K100" t="str">
            <v>123.49576.15.0</v>
          </cell>
          <cell r="L100" t="str">
            <v>Salário Mensal</v>
          </cell>
          <cell r="M100" t="str">
            <v>Empregado (CLT)</v>
          </cell>
        </row>
        <row r="101">
          <cell r="D101" t="str">
            <v>ECOSAMPA Operação Geral</v>
          </cell>
          <cell r="E101">
            <v>43617</v>
          </cell>
          <cell r="F101">
            <v>3050.22</v>
          </cell>
          <cell r="G101" t="str">
            <v>Em Atividade Normal</v>
          </cell>
          <cell r="H101">
            <v>44960</v>
          </cell>
          <cell r="I101">
            <v>33526</v>
          </cell>
          <cell r="J101" t="str">
            <v>384.028.278-02</v>
          </cell>
          <cell r="K101" t="str">
            <v>160.90367.27.4</v>
          </cell>
          <cell r="L101" t="str">
            <v>Salário Mensal</v>
          </cell>
          <cell r="M101" t="str">
            <v>Empregado (CLT)</v>
          </cell>
        </row>
        <row r="102">
          <cell r="D102" t="str">
            <v>ECOSAMPA Parelheiros</v>
          </cell>
          <cell r="E102">
            <v>44522</v>
          </cell>
          <cell r="F102">
            <v>1464.83</v>
          </cell>
          <cell r="G102" t="str">
            <v>Demitido em Meses Anteriores</v>
          </cell>
          <cell r="H102">
            <v>44588</v>
          </cell>
          <cell r="I102">
            <v>30249</v>
          </cell>
          <cell r="J102" t="str">
            <v>305.315.108-16</v>
          </cell>
          <cell r="K102" t="str">
            <v>203.90973.84.4</v>
          </cell>
          <cell r="L102" t="str">
            <v>Salário Mensal</v>
          </cell>
          <cell r="M102" t="str">
            <v>Empregado (CLT)</v>
          </cell>
        </row>
        <row r="103">
          <cell r="D103" t="str">
            <v>ECOSAMPA Operação Geral</v>
          </cell>
          <cell r="E103">
            <v>43617</v>
          </cell>
          <cell r="F103">
            <v>1907.79</v>
          </cell>
          <cell r="G103" t="str">
            <v>Em Atividade Normal</v>
          </cell>
          <cell r="H103">
            <v>45149</v>
          </cell>
          <cell r="I103">
            <v>34155</v>
          </cell>
          <cell r="J103" t="str">
            <v>060.303.623-64</v>
          </cell>
          <cell r="K103" t="str">
            <v>160.87935.70.4</v>
          </cell>
          <cell r="L103" t="str">
            <v>Salário Mensal</v>
          </cell>
          <cell r="M103" t="str">
            <v>Empregado (CLT)</v>
          </cell>
        </row>
        <row r="104">
          <cell r="D104" t="str">
            <v>ECOSAMPA Administração</v>
          </cell>
          <cell r="E104">
            <v>43628</v>
          </cell>
          <cell r="F104">
            <v>3286.43</v>
          </cell>
          <cell r="G104" t="str">
            <v>Em Atividade Normal</v>
          </cell>
          <cell r="H104">
            <v>44825</v>
          </cell>
          <cell r="I104">
            <v>35161</v>
          </cell>
          <cell r="J104" t="str">
            <v>389.770.808-60</v>
          </cell>
          <cell r="K104" t="str">
            <v>201.52796.37.6</v>
          </cell>
          <cell r="L104" t="str">
            <v>Salário Mensal</v>
          </cell>
          <cell r="M104" t="str">
            <v>Empregado (CLT)</v>
          </cell>
        </row>
        <row r="105">
          <cell r="D105" t="str">
            <v>ECOSAMPA Parelheiros</v>
          </cell>
          <cell r="E105">
            <v>43617</v>
          </cell>
          <cell r="F105">
            <v>1281.23</v>
          </cell>
          <cell r="G105" t="str">
            <v>Demitido em Meses Anteriores</v>
          </cell>
          <cell r="H105">
            <v>43895</v>
          </cell>
          <cell r="I105">
            <v>29194</v>
          </cell>
          <cell r="J105" t="str">
            <v>293.214.938-59</v>
          </cell>
          <cell r="K105" t="str">
            <v>129.38588.89.7</v>
          </cell>
          <cell r="L105" t="str">
            <v>Salário Mensal</v>
          </cell>
          <cell r="M105" t="str">
            <v>Empregado (CLT)</v>
          </cell>
        </row>
        <row r="106">
          <cell r="D106" t="str">
            <v>ECOSAMPA Operação Geral</v>
          </cell>
          <cell r="E106">
            <v>44967</v>
          </cell>
          <cell r="F106">
            <v>1603.99</v>
          </cell>
          <cell r="G106" t="str">
            <v>Demitido em Meses Anteriores</v>
          </cell>
          <cell r="H106">
            <v>44981</v>
          </cell>
          <cell r="I106">
            <v>28607</v>
          </cell>
          <cell r="J106" t="str">
            <v>276.424.758-37</v>
          </cell>
          <cell r="K106" t="str">
            <v>129.44393.85.7</v>
          </cell>
          <cell r="L106" t="str">
            <v>Salário Mensal</v>
          </cell>
          <cell r="M106" t="str">
            <v>Empregado (CLT)</v>
          </cell>
        </row>
        <row r="107">
          <cell r="D107" t="str">
            <v>ECOSAMPA Santo Amaro</v>
          </cell>
          <cell r="E107">
            <v>44207</v>
          </cell>
          <cell r="F107">
            <v>1603.99</v>
          </cell>
          <cell r="G107" t="str">
            <v>Em Atividade Normal</v>
          </cell>
          <cell r="H107">
            <v>45177</v>
          </cell>
          <cell r="I107">
            <v>33669</v>
          </cell>
          <cell r="J107" t="str">
            <v>406.830.768-76</v>
          </cell>
          <cell r="K107" t="str">
            <v>161.13992.25.0</v>
          </cell>
          <cell r="L107" t="str">
            <v>Salário Mensal</v>
          </cell>
          <cell r="M107" t="str">
            <v>Empregado (CLT)</v>
          </cell>
        </row>
        <row r="108">
          <cell r="D108" t="str">
            <v>ECOSAMPA M'Boi Mirim</v>
          </cell>
          <cell r="E108">
            <v>43728</v>
          </cell>
          <cell r="F108">
            <v>1603.99</v>
          </cell>
          <cell r="G108" t="str">
            <v>Em Atividade Normal</v>
          </cell>
          <cell r="H108">
            <v>45196</v>
          </cell>
          <cell r="I108">
            <v>36677</v>
          </cell>
          <cell r="J108" t="str">
            <v>491.829.218-65</v>
          </cell>
          <cell r="K108" t="str">
            <v>161.44617.04.4</v>
          </cell>
          <cell r="L108" t="str">
            <v>Salário Mensal</v>
          </cell>
          <cell r="M108" t="str">
            <v>Empregado (CLT)</v>
          </cell>
        </row>
        <row r="109">
          <cell r="D109" t="str">
            <v>ECOSAMPA Operação Geral</v>
          </cell>
          <cell r="E109">
            <v>44972</v>
          </cell>
          <cell r="F109">
            <v>1603.99</v>
          </cell>
          <cell r="G109" t="str">
            <v>Demitido em Meses Anteriores</v>
          </cell>
          <cell r="H109">
            <v>44986</v>
          </cell>
          <cell r="I109">
            <v>35825</v>
          </cell>
          <cell r="J109" t="str">
            <v>453.667.878-66</v>
          </cell>
          <cell r="K109" t="str">
            <v>267.94370.01.6</v>
          </cell>
          <cell r="L109" t="str">
            <v>Salário Mensal</v>
          </cell>
          <cell r="M109" t="str">
            <v>Empregado (CLT)</v>
          </cell>
        </row>
        <row r="110">
          <cell r="D110" t="str">
            <v>ECOSAMPA Operação Geral</v>
          </cell>
          <cell r="E110">
            <v>45117</v>
          </cell>
          <cell r="F110">
            <v>1603.99</v>
          </cell>
          <cell r="G110" t="str">
            <v>Em Atividade Normal</v>
          </cell>
          <cell r="H110">
            <v>45117</v>
          </cell>
          <cell r="I110">
            <v>35825</v>
          </cell>
          <cell r="J110" t="str">
            <v>453.667.878-66</v>
          </cell>
          <cell r="K110" t="str">
            <v>267.94370.01.6</v>
          </cell>
          <cell r="L110" t="str">
            <v>Salário Mensal</v>
          </cell>
          <cell r="M110" t="str">
            <v>Empregado (CLT)</v>
          </cell>
        </row>
        <row r="111">
          <cell r="D111" t="str">
            <v>ECOSAMPA Operação Geral</v>
          </cell>
          <cell r="E111">
            <v>44372</v>
          </cell>
          <cell r="F111">
            <v>3000</v>
          </cell>
          <cell r="G111" t="str">
            <v>Demitido em Meses Anteriores</v>
          </cell>
          <cell r="H111">
            <v>44470</v>
          </cell>
          <cell r="I111">
            <v>30339</v>
          </cell>
          <cell r="J111" t="str">
            <v>315.212.628-02</v>
          </cell>
          <cell r="K111" t="str">
            <v>130.60601.93.2</v>
          </cell>
          <cell r="L111" t="str">
            <v>Salário Mensal</v>
          </cell>
          <cell r="M111" t="str">
            <v>Empregado (CLT)</v>
          </cell>
        </row>
        <row r="112">
          <cell r="D112" t="str">
            <v>ECOSAMPA Operação Geral</v>
          </cell>
          <cell r="E112">
            <v>43917</v>
          </cell>
          <cell r="F112">
            <v>1281.23</v>
          </cell>
          <cell r="G112" t="str">
            <v>Demitido em Meses Anteriores</v>
          </cell>
          <cell r="H112">
            <v>43976</v>
          </cell>
          <cell r="I112">
            <v>31237</v>
          </cell>
          <cell r="J112" t="str">
            <v>332.271.678-32</v>
          </cell>
          <cell r="K112" t="str">
            <v>131.41563.77.1</v>
          </cell>
          <cell r="L112" t="str">
            <v>Salário Mensal</v>
          </cell>
          <cell r="M112" t="str">
            <v>Empregado (CLT)</v>
          </cell>
        </row>
        <row r="113">
          <cell r="D113" t="str">
            <v>ECOSAMPA Santo Amaro</v>
          </cell>
          <cell r="E113">
            <v>43804</v>
          </cell>
          <cell r="F113">
            <v>1603.99</v>
          </cell>
          <cell r="G113" t="str">
            <v>Em Atividade Normal</v>
          </cell>
          <cell r="H113">
            <v>45143</v>
          </cell>
          <cell r="I113">
            <v>29465</v>
          </cell>
          <cell r="J113" t="str">
            <v>224.586.798-03</v>
          </cell>
          <cell r="K113" t="str">
            <v>131.83613.93.9</v>
          </cell>
          <cell r="L113" t="str">
            <v>Salário Mensal</v>
          </cell>
          <cell r="M113" t="str">
            <v>Empregado (CLT)</v>
          </cell>
        </row>
        <row r="114">
          <cell r="D114" t="str">
            <v>ECOSAMPA Operação Geral</v>
          </cell>
          <cell r="E114">
            <v>43627</v>
          </cell>
          <cell r="F114">
            <v>3050.22</v>
          </cell>
          <cell r="G114" t="str">
            <v>Em Atividade Normal</v>
          </cell>
          <cell r="H114">
            <v>44930</v>
          </cell>
          <cell r="I114">
            <v>29305</v>
          </cell>
          <cell r="J114" t="str">
            <v>285.498.548-67</v>
          </cell>
          <cell r="K114" t="str">
            <v>129.45713.89.8</v>
          </cell>
          <cell r="L114" t="str">
            <v>Salário Mensal</v>
          </cell>
          <cell r="M114" t="str">
            <v>Empregado (CLT)</v>
          </cell>
        </row>
        <row r="115">
          <cell r="D115" t="str">
            <v>ECOSAMPA Operação Geral</v>
          </cell>
          <cell r="E115">
            <v>44967</v>
          </cell>
          <cell r="F115">
            <v>1603.99</v>
          </cell>
          <cell r="G115" t="str">
            <v>Demitido em Meses Anteriores</v>
          </cell>
          <cell r="H115">
            <v>44981</v>
          </cell>
          <cell r="I115">
            <v>29832</v>
          </cell>
          <cell r="J115" t="str">
            <v>224.155.658-06</v>
          </cell>
          <cell r="K115" t="str">
            <v>127.33918.26.7</v>
          </cell>
          <cell r="L115" t="str">
            <v>Salário Mensal</v>
          </cell>
          <cell r="M115" t="str">
            <v>Empregado (CLT)</v>
          </cell>
        </row>
        <row r="116">
          <cell r="D116" t="str">
            <v>ECOSAMPA Santo Amaro</v>
          </cell>
          <cell r="E116">
            <v>43874</v>
          </cell>
          <cell r="F116">
            <v>1603.99</v>
          </cell>
          <cell r="G116" t="str">
            <v>Demitido em Meses Anteriores</v>
          </cell>
          <cell r="H116">
            <v>45026</v>
          </cell>
          <cell r="I116">
            <v>29922</v>
          </cell>
          <cell r="J116" t="str">
            <v>357.683.948-85</v>
          </cell>
          <cell r="K116" t="str">
            <v>209.79527.44.3</v>
          </cell>
          <cell r="L116" t="str">
            <v>Salário Mensal</v>
          </cell>
          <cell r="M116" t="str">
            <v>Empregado (CLT)</v>
          </cell>
        </row>
        <row r="117">
          <cell r="D117" t="str">
            <v>ECOSAMPA Santo Amaro</v>
          </cell>
          <cell r="E117">
            <v>43617</v>
          </cell>
          <cell r="F117">
            <v>1281.23</v>
          </cell>
          <cell r="G117" t="str">
            <v>Demitido em Meses Anteriores</v>
          </cell>
          <cell r="H117">
            <v>43882</v>
          </cell>
          <cell r="I117">
            <v>36302</v>
          </cell>
          <cell r="J117" t="str">
            <v>471.099.098-08</v>
          </cell>
          <cell r="K117" t="str">
            <v>203.66074.23.1</v>
          </cell>
          <cell r="L117" t="str">
            <v>Salário Mensal</v>
          </cell>
          <cell r="M117" t="str">
            <v>Empregado (CLT)</v>
          </cell>
        </row>
        <row r="118">
          <cell r="D118" t="str">
            <v>ECOSAMPA Operação Geral</v>
          </cell>
          <cell r="E118">
            <v>43874</v>
          </cell>
          <cell r="F118">
            <v>3050.22</v>
          </cell>
          <cell r="G118" t="str">
            <v>Demitido em Meses Anteriores</v>
          </cell>
          <cell r="H118">
            <v>45062</v>
          </cell>
          <cell r="I118">
            <v>26839</v>
          </cell>
          <cell r="J118" t="str">
            <v>279.225.898-59</v>
          </cell>
          <cell r="K118" t="str">
            <v>123.13985.64.6</v>
          </cell>
          <cell r="L118" t="str">
            <v>Salário Mensal</v>
          </cell>
          <cell r="M118" t="str">
            <v>Empregado (CLT)</v>
          </cell>
        </row>
        <row r="119">
          <cell r="D119" t="str">
            <v>ECOSAMPA Operação Geral</v>
          </cell>
          <cell r="E119">
            <v>43617</v>
          </cell>
          <cell r="F119">
            <v>2509.54</v>
          </cell>
          <cell r="G119" t="str">
            <v>Demitido em Meses Anteriores</v>
          </cell>
          <cell r="H119">
            <v>44361</v>
          </cell>
          <cell r="I119">
            <v>26332</v>
          </cell>
          <cell r="J119" t="str">
            <v>048.712.468-50</v>
          </cell>
          <cell r="K119" t="str">
            <v>123.36248.54.0</v>
          </cell>
          <cell r="L119" t="str">
            <v>Salário Mensal</v>
          </cell>
          <cell r="M119" t="str">
            <v>Empregado (CLT)</v>
          </cell>
        </row>
        <row r="120">
          <cell r="D120" t="str">
            <v>ECOSAMPA Operação Geral</v>
          </cell>
          <cell r="E120">
            <v>43617</v>
          </cell>
          <cell r="F120">
            <v>3050.22</v>
          </cell>
          <cell r="G120" t="str">
            <v>Em Atividade Normal</v>
          </cell>
          <cell r="H120">
            <v>44898</v>
          </cell>
          <cell r="I120">
            <v>31215</v>
          </cell>
          <cell r="J120" t="str">
            <v>319.484.118-14</v>
          </cell>
          <cell r="K120" t="str">
            <v>133.37127.93.1</v>
          </cell>
          <cell r="L120" t="str">
            <v>Salário Mensal</v>
          </cell>
          <cell r="M120" t="str">
            <v>Empregado (CLT)</v>
          </cell>
        </row>
        <row r="121">
          <cell r="D121" t="str">
            <v>ECOSAMPA Campo Limpo</v>
          </cell>
          <cell r="E121">
            <v>43617</v>
          </cell>
          <cell r="F121">
            <v>1231.95</v>
          </cell>
          <cell r="G121" t="str">
            <v>Demitido em Meses Anteriores</v>
          </cell>
          <cell r="H121">
            <v>43703</v>
          </cell>
          <cell r="I121">
            <v>31865</v>
          </cell>
          <cell r="J121" t="str">
            <v>365.511.838-40</v>
          </cell>
          <cell r="K121" t="str">
            <v>135.34208.81.0</v>
          </cell>
          <cell r="L121" t="str">
            <v>Salário Mensal</v>
          </cell>
          <cell r="M121" t="str">
            <v>Empregado (CLT)</v>
          </cell>
        </row>
        <row r="122">
          <cell r="D122" t="str">
            <v>ECOSAMPA Campo Limpo</v>
          </cell>
          <cell r="E122">
            <v>43617</v>
          </cell>
          <cell r="F122">
            <v>1281.23</v>
          </cell>
          <cell r="G122" t="str">
            <v>Demitido em Meses Anteriores</v>
          </cell>
          <cell r="H122">
            <v>44029</v>
          </cell>
          <cell r="I122">
            <v>34357</v>
          </cell>
          <cell r="J122" t="str">
            <v>432.820.958-21</v>
          </cell>
          <cell r="K122" t="str">
            <v>207.27589.61.4</v>
          </cell>
          <cell r="L122" t="str">
            <v>Salário Mensal</v>
          </cell>
          <cell r="M122" t="str">
            <v>Empregado (CLT)</v>
          </cell>
        </row>
        <row r="123">
          <cell r="D123" t="str">
            <v>ECOSAMPA Campo Limpo</v>
          </cell>
          <cell r="E123">
            <v>43617</v>
          </cell>
          <cell r="F123">
            <v>1603.99</v>
          </cell>
          <cell r="G123" t="str">
            <v>Em Atividade Normal</v>
          </cell>
          <cell r="H123">
            <v>45023</v>
          </cell>
          <cell r="I123">
            <v>29996</v>
          </cell>
          <cell r="J123" t="str">
            <v>355.173.268-03</v>
          </cell>
          <cell r="K123" t="str">
            <v>132.91124.85.4</v>
          </cell>
          <cell r="L123" t="str">
            <v>Salário Mensal</v>
          </cell>
          <cell r="M123" t="str">
            <v>Empregado (CLT)</v>
          </cell>
        </row>
        <row r="124">
          <cell r="D124" t="str">
            <v>ECOSAMPA Operação Geral</v>
          </cell>
          <cell r="E124">
            <v>44522</v>
          </cell>
          <cell r="F124">
            <v>2610.2399999999998</v>
          </cell>
          <cell r="G124" t="str">
            <v>Em Atividade Normal</v>
          </cell>
          <cell r="H124">
            <v>45147</v>
          </cell>
          <cell r="I124">
            <v>32891</v>
          </cell>
          <cell r="J124" t="str">
            <v>230.065.928-08</v>
          </cell>
          <cell r="K124" t="str">
            <v>201.15465.30.2</v>
          </cell>
          <cell r="L124" t="str">
            <v>Salário Mensal</v>
          </cell>
          <cell r="M124" t="str">
            <v>Empregado (CLT)</v>
          </cell>
        </row>
        <row r="125">
          <cell r="D125" t="str">
            <v>ECOSAMPA Operação Geral</v>
          </cell>
          <cell r="E125">
            <v>43617</v>
          </cell>
          <cell r="F125">
            <v>3050.22</v>
          </cell>
          <cell r="G125" t="str">
            <v>Demitido em Meses Anteriores</v>
          </cell>
          <cell r="H125">
            <v>45091</v>
          </cell>
          <cell r="I125">
            <v>27587</v>
          </cell>
          <cell r="J125" t="str">
            <v>250.356.268-06</v>
          </cell>
          <cell r="K125" t="str">
            <v>127.59042.60.1</v>
          </cell>
          <cell r="L125" t="str">
            <v>Salário Mensal</v>
          </cell>
          <cell r="M125" t="str">
            <v>Empregado (CLT)</v>
          </cell>
        </row>
        <row r="126">
          <cell r="D126" t="str">
            <v>ECOSAMPA Capela do Socorro</v>
          </cell>
          <cell r="E126">
            <v>43617</v>
          </cell>
          <cell r="F126">
            <v>1603.99</v>
          </cell>
          <cell r="G126" t="str">
            <v>Em Atividade Normal</v>
          </cell>
          <cell r="H126">
            <v>45056</v>
          </cell>
          <cell r="I126">
            <v>28679</v>
          </cell>
          <cell r="J126" t="str">
            <v>223.553.828-24</v>
          </cell>
          <cell r="K126" t="str">
            <v>129.09082.85.9</v>
          </cell>
          <cell r="L126" t="str">
            <v>Salário Mensal</v>
          </cell>
          <cell r="M126" t="str">
            <v>Empregado (CLT)</v>
          </cell>
        </row>
        <row r="127">
          <cell r="D127" t="str">
            <v>ECOSAMPA M'Boi Mirim</v>
          </cell>
          <cell r="E127">
            <v>43617</v>
          </cell>
          <cell r="F127">
            <v>6154.04</v>
          </cell>
          <cell r="G127" t="str">
            <v>Em Atividade Normal</v>
          </cell>
          <cell r="H127">
            <v>45177</v>
          </cell>
          <cell r="I127">
            <v>26770</v>
          </cell>
          <cell r="J127" t="str">
            <v>163.027.178-09</v>
          </cell>
          <cell r="K127" t="str">
            <v>125.01073.52.7</v>
          </cell>
          <cell r="L127" t="str">
            <v>Salário Mensal</v>
          </cell>
          <cell r="M127" t="str">
            <v>Empregado (CLT)</v>
          </cell>
        </row>
        <row r="128">
          <cell r="D128" t="str">
            <v>ECOSAMPA Parelheiros</v>
          </cell>
          <cell r="E128">
            <v>43617</v>
          </cell>
          <cell r="F128">
            <v>1603.99</v>
          </cell>
          <cell r="G128" t="str">
            <v>Gozando Férias</v>
          </cell>
          <cell r="H128">
            <v>45180</v>
          </cell>
          <cell r="I128">
            <v>29864</v>
          </cell>
          <cell r="J128" t="str">
            <v>225.201.218-82</v>
          </cell>
          <cell r="K128" t="str">
            <v>130.35661.81.1</v>
          </cell>
          <cell r="L128" t="str">
            <v>Salário Mensal</v>
          </cell>
          <cell r="M128" t="str">
            <v>Empregado (CLT)</v>
          </cell>
        </row>
        <row r="129">
          <cell r="D129" t="str">
            <v>ECOSAMPA Operação Geral</v>
          </cell>
          <cell r="E129">
            <v>44967</v>
          </cell>
          <cell r="F129">
            <v>1603.99</v>
          </cell>
          <cell r="G129" t="str">
            <v>Demitido em Meses Anteriores</v>
          </cell>
          <cell r="H129">
            <v>44981</v>
          </cell>
          <cell r="I129">
            <v>30448</v>
          </cell>
          <cell r="J129" t="str">
            <v>224.584.858-63</v>
          </cell>
          <cell r="K129" t="str">
            <v>132.83810.93.0</v>
          </cell>
          <cell r="L129" t="str">
            <v>Salário Mensal</v>
          </cell>
          <cell r="M129" t="str">
            <v>Empregado (CLT)</v>
          </cell>
        </row>
        <row r="130">
          <cell r="D130" t="str">
            <v>ECOSAMPA Campo Limpo</v>
          </cell>
          <cell r="E130">
            <v>43617</v>
          </cell>
          <cell r="F130">
            <v>1603.99</v>
          </cell>
          <cell r="G130" t="str">
            <v>Em Atividade Normal</v>
          </cell>
          <cell r="H130">
            <v>45000</v>
          </cell>
          <cell r="I130">
            <v>32766</v>
          </cell>
          <cell r="J130" t="str">
            <v>445.872.118-69</v>
          </cell>
          <cell r="K130" t="str">
            <v>153.26624.64.1</v>
          </cell>
          <cell r="L130" t="str">
            <v>Salário Mensal</v>
          </cell>
          <cell r="M130" t="str">
            <v>Empregado (CLT)</v>
          </cell>
        </row>
        <row r="131">
          <cell r="D131" t="str">
            <v>ECOSAMPA Operação Geral</v>
          </cell>
          <cell r="E131">
            <v>44967</v>
          </cell>
          <cell r="F131">
            <v>3050.22</v>
          </cell>
          <cell r="G131" t="str">
            <v>Em Atividade Normal</v>
          </cell>
          <cell r="H131">
            <v>44967</v>
          </cell>
          <cell r="I131">
            <v>31364</v>
          </cell>
          <cell r="J131" t="str">
            <v>369.170.758-09</v>
          </cell>
          <cell r="K131" t="str">
            <v>206.86168.48.2</v>
          </cell>
          <cell r="L131" t="str">
            <v>Salário Mensal</v>
          </cell>
          <cell r="M131" t="str">
            <v>Empregado (CLT)</v>
          </cell>
        </row>
        <row r="132">
          <cell r="D132" t="str">
            <v>ECOSAMPA M'Boi Mirim</v>
          </cell>
          <cell r="E132">
            <v>43617</v>
          </cell>
          <cell r="F132">
            <v>3222.08</v>
          </cell>
          <cell r="G132" t="str">
            <v>Em Atividade Normal</v>
          </cell>
          <cell r="H132">
            <v>45119</v>
          </cell>
          <cell r="I132">
            <v>28713</v>
          </cell>
          <cell r="J132" t="str">
            <v>973.162.455-49</v>
          </cell>
          <cell r="K132" t="str">
            <v>131.86055.93.7</v>
          </cell>
          <cell r="L132" t="str">
            <v>Salário Mensal</v>
          </cell>
          <cell r="M132" t="str">
            <v>Empregado (CLT)</v>
          </cell>
        </row>
        <row r="133">
          <cell r="D133" t="str">
            <v>ECOSAMPA Operação Geral</v>
          </cell>
          <cell r="E133">
            <v>43617</v>
          </cell>
          <cell r="F133">
            <v>1523.89</v>
          </cell>
          <cell r="G133" t="str">
            <v>Demitido em Meses Anteriores</v>
          </cell>
          <cell r="H133">
            <v>43991</v>
          </cell>
          <cell r="I133">
            <v>31265</v>
          </cell>
          <cell r="J133" t="str">
            <v>345.157.028-90</v>
          </cell>
          <cell r="K133" t="str">
            <v>200.08732.31.5</v>
          </cell>
          <cell r="L133" t="str">
            <v>Salário Mensal</v>
          </cell>
          <cell r="M133" t="str">
            <v>Empregado (CLT)</v>
          </cell>
        </row>
        <row r="134">
          <cell r="D134" t="str">
            <v>ECOSAMPA Campo Limpo</v>
          </cell>
          <cell r="E134">
            <v>43617</v>
          </cell>
          <cell r="F134">
            <v>1603.99</v>
          </cell>
          <cell r="G134" t="str">
            <v>Em Atividade Normal</v>
          </cell>
          <cell r="H134">
            <v>44960</v>
          </cell>
          <cell r="I134">
            <v>29227</v>
          </cell>
          <cell r="J134" t="str">
            <v>225.216.418-20</v>
          </cell>
          <cell r="K134" t="str">
            <v>130.65753.93.5</v>
          </cell>
          <cell r="L134" t="str">
            <v>Salário Mensal</v>
          </cell>
          <cell r="M134" t="str">
            <v>Empregado (CLT)</v>
          </cell>
        </row>
        <row r="135">
          <cell r="D135" t="str">
            <v>ECOSAMPA Santo Amaro</v>
          </cell>
          <cell r="E135">
            <v>44567</v>
          </cell>
          <cell r="F135">
            <v>1603.99</v>
          </cell>
          <cell r="G135" t="str">
            <v>Em Atividade Normal</v>
          </cell>
          <cell r="H135">
            <v>45119</v>
          </cell>
          <cell r="I135">
            <v>37522</v>
          </cell>
          <cell r="J135" t="str">
            <v>528.626.098-54</v>
          </cell>
          <cell r="K135" t="str">
            <v>236.35888.12.1</v>
          </cell>
          <cell r="L135" t="str">
            <v>Salário Mensal</v>
          </cell>
          <cell r="M135" t="str">
            <v>Empregado (CLT)</v>
          </cell>
        </row>
        <row r="136">
          <cell r="D136" t="str">
            <v>ECOSAMPA Operação Geral</v>
          </cell>
          <cell r="E136">
            <v>43916</v>
          </cell>
          <cell r="F136">
            <v>1319.67</v>
          </cell>
          <cell r="G136" t="str">
            <v>Demitido em Meses Anteriores</v>
          </cell>
          <cell r="H136">
            <v>44361</v>
          </cell>
          <cell r="I136">
            <v>29521</v>
          </cell>
          <cell r="J136" t="str">
            <v>313.557.808-96</v>
          </cell>
          <cell r="K136" t="str">
            <v>134.85896.85.2</v>
          </cell>
          <cell r="L136" t="str">
            <v>Salário Mensal</v>
          </cell>
          <cell r="M136" t="str">
            <v>Empregado (CLT)</v>
          </cell>
        </row>
        <row r="137">
          <cell r="D137" t="str">
            <v>ECOSAMPA Capela do Socorro</v>
          </cell>
          <cell r="E137">
            <v>43617</v>
          </cell>
          <cell r="F137">
            <v>1603.99</v>
          </cell>
          <cell r="G137" t="str">
            <v>Em Atividade Normal</v>
          </cell>
          <cell r="H137">
            <v>45149</v>
          </cell>
          <cell r="I137">
            <v>26686</v>
          </cell>
          <cell r="J137" t="str">
            <v>225.389.168-10</v>
          </cell>
          <cell r="K137" t="str">
            <v>135.34475.85.1</v>
          </cell>
          <cell r="L137" t="str">
            <v>Salário Mensal</v>
          </cell>
          <cell r="M137" t="str">
            <v>Empregado (CLT)</v>
          </cell>
        </row>
        <row r="138">
          <cell r="D138" t="str">
            <v>ECOSAMPA Campo Limpo</v>
          </cell>
          <cell r="E138">
            <v>43617</v>
          </cell>
          <cell r="F138">
            <v>1603.99</v>
          </cell>
          <cell r="G138" t="str">
            <v>Em Atividade Normal</v>
          </cell>
          <cell r="H138">
            <v>45177</v>
          </cell>
          <cell r="I138">
            <v>24268</v>
          </cell>
          <cell r="J138" t="str">
            <v>085.549.128-02</v>
          </cell>
          <cell r="K138" t="str">
            <v>124.86113.65.9</v>
          </cell>
          <cell r="L138" t="str">
            <v>Salário Mensal</v>
          </cell>
          <cell r="M138" t="str">
            <v>Empregado (CLT)</v>
          </cell>
        </row>
        <row r="139">
          <cell r="D139" t="str">
            <v>ECOSAMPA Santo Amaro</v>
          </cell>
          <cell r="E139">
            <v>43617</v>
          </cell>
          <cell r="F139">
            <v>1231.95</v>
          </cell>
          <cell r="G139" t="str">
            <v>Demitido em Meses Anteriores</v>
          </cell>
          <cell r="H139">
            <v>43703</v>
          </cell>
          <cell r="I139">
            <v>32458</v>
          </cell>
          <cell r="J139" t="str">
            <v>230.454.608-01</v>
          </cell>
          <cell r="K139" t="str">
            <v>207.11783.02.5</v>
          </cell>
          <cell r="L139" t="str">
            <v>Salário Mensal</v>
          </cell>
          <cell r="M139" t="str">
            <v>Empregado (CLT)</v>
          </cell>
        </row>
        <row r="140">
          <cell r="D140" t="str">
            <v>ECOSAMPA Santo Amaro</v>
          </cell>
          <cell r="E140">
            <v>43617</v>
          </cell>
          <cell r="F140">
            <v>1281.23</v>
          </cell>
          <cell r="G140" t="str">
            <v>Demitido em Meses Anteriores</v>
          </cell>
          <cell r="H140">
            <v>44019</v>
          </cell>
          <cell r="I140">
            <v>20952</v>
          </cell>
          <cell r="J140" t="str">
            <v>012.627.848-24</v>
          </cell>
          <cell r="K140" t="str">
            <v>107.21012.42.3</v>
          </cell>
          <cell r="L140" t="str">
            <v>Salário Mensal</v>
          </cell>
          <cell r="M140" t="str">
            <v>Empregado (CLT)</v>
          </cell>
        </row>
        <row r="141">
          <cell r="D141" t="str">
            <v>ECOSAMPA Pensionistas</v>
          </cell>
          <cell r="E141">
            <v>45099</v>
          </cell>
          <cell r="F141">
            <v>0.01</v>
          </cell>
          <cell r="G141" t="str">
            <v>Em Atividade Normal</v>
          </cell>
          <cell r="H141">
            <v>45099</v>
          </cell>
          <cell r="J141" t="str">
            <v>075.107.716-09</v>
          </cell>
          <cell r="L141" t="str">
            <v>Nenhuma</v>
          </cell>
          <cell r="M141" t="str">
            <v>Pensionista</v>
          </cell>
        </row>
        <row r="142">
          <cell r="D142" t="str">
            <v>ECOSAMPA M'Boi Mirim</v>
          </cell>
          <cell r="E142">
            <v>43617</v>
          </cell>
          <cell r="F142">
            <v>1281.23</v>
          </cell>
          <cell r="G142" t="str">
            <v>Demitido em Meses Anteriores</v>
          </cell>
          <cell r="H142">
            <v>43832</v>
          </cell>
          <cell r="I142">
            <v>26289</v>
          </cell>
          <cell r="J142" t="str">
            <v>326.333.618-54</v>
          </cell>
          <cell r="K142" t="str">
            <v>131.41254.81.7</v>
          </cell>
          <cell r="L142" t="str">
            <v>Salário Mensal</v>
          </cell>
          <cell r="M142" t="str">
            <v>Empregado (CLT)</v>
          </cell>
        </row>
        <row r="143">
          <cell r="D143" t="str">
            <v>ECOSAMPA Santo Amaro</v>
          </cell>
          <cell r="E143">
            <v>43617</v>
          </cell>
          <cell r="F143">
            <v>1281.23</v>
          </cell>
          <cell r="G143" t="str">
            <v>Demitido em Meses Anteriores</v>
          </cell>
          <cell r="H143">
            <v>43808</v>
          </cell>
          <cell r="I143">
            <v>24467</v>
          </cell>
          <cell r="J143" t="str">
            <v>513.860.465-15</v>
          </cell>
          <cell r="K143" t="str">
            <v>123.87527.91.9</v>
          </cell>
          <cell r="L143" t="str">
            <v>Salário Mensal</v>
          </cell>
          <cell r="M143" t="str">
            <v>Empregado (CLT)</v>
          </cell>
        </row>
        <row r="144">
          <cell r="D144" t="str">
            <v>ECOSAMPA Operação Geral</v>
          </cell>
          <cell r="E144">
            <v>43617</v>
          </cell>
          <cell r="F144">
            <v>3050.22</v>
          </cell>
          <cell r="G144" t="str">
            <v>Em Atividade Normal</v>
          </cell>
          <cell r="H144">
            <v>45149</v>
          </cell>
          <cell r="I144">
            <v>25435</v>
          </cell>
          <cell r="J144" t="str">
            <v>947.399.517-20</v>
          </cell>
          <cell r="K144" t="str">
            <v>121.96156.19.3</v>
          </cell>
          <cell r="L144" t="str">
            <v>Salário Mensal</v>
          </cell>
          <cell r="M144" t="str">
            <v>Empregado (CLT)</v>
          </cell>
        </row>
        <row r="145">
          <cell r="D145" t="str">
            <v>ECOSAMPA M'Boi Mirim</v>
          </cell>
          <cell r="E145">
            <v>43617</v>
          </cell>
          <cell r="F145">
            <v>1603.99</v>
          </cell>
          <cell r="G145" t="str">
            <v>Em Atividade Normal</v>
          </cell>
          <cell r="H145">
            <v>45119</v>
          </cell>
          <cell r="I145">
            <v>21200</v>
          </cell>
          <cell r="J145" t="str">
            <v>038.171.048-39</v>
          </cell>
          <cell r="K145" t="str">
            <v>108.89567.32.5</v>
          </cell>
          <cell r="L145" t="str">
            <v>Salário Mensal</v>
          </cell>
          <cell r="M145" t="str">
            <v>Empregado (CLT)</v>
          </cell>
        </row>
        <row r="146">
          <cell r="D146" t="str">
            <v>ECOSAMPA Operação Geral</v>
          </cell>
          <cell r="E146">
            <v>44972</v>
          </cell>
          <cell r="F146">
            <v>1603.99</v>
          </cell>
          <cell r="G146" t="str">
            <v>Demitido em Meses Anteriores</v>
          </cell>
          <cell r="H146">
            <v>44986</v>
          </cell>
          <cell r="I146">
            <v>25954</v>
          </cell>
          <cell r="J146" t="str">
            <v>781.571.454-49</v>
          </cell>
          <cell r="K146" t="str">
            <v>124.12409.63.5</v>
          </cell>
          <cell r="L146" t="str">
            <v>Salário Mensal</v>
          </cell>
          <cell r="M146" t="str">
            <v>Empregado (CLT)</v>
          </cell>
        </row>
        <row r="147">
          <cell r="D147" t="str">
            <v>ECOSAMPA M'Boi Mirim</v>
          </cell>
          <cell r="E147">
            <v>43617</v>
          </cell>
          <cell r="F147">
            <v>1603.99</v>
          </cell>
          <cell r="G147" t="str">
            <v>Demitido em Meses Anteriores</v>
          </cell>
          <cell r="H147">
            <v>45091</v>
          </cell>
          <cell r="I147">
            <v>33068</v>
          </cell>
          <cell r="J147" t="str">
            <v>410.839.728-20</v>
          </cell>
          <cell r="K147" t="str">
            <v>212.02569.55.4</v>
          </cell>
          <cell r="L147" t="str">
            <v>Salário Mensal</v>
          </cell>
          <cell r="M147" t="str">
            <v>Empregado (CLT)</v>
          </cell>
        </row>
        <row r="148">
          <cell r="D148" t="str">
            <v>ECOSAMPA Santo Amaro</v>
          </cell>
          <cell r="E148">
            <v>44308</v>
          </cell>
          <cell r="F148">
            <v>1603.99</v>
          </cell>
          <cell r="G148" t="str">
            <v>Em Atividade Normal</v>
          </cell>
          <cell r="H148">
            <v>45177</v>
          </cell>
          <cell r="I148">
            <v>29888</v>
          </cell>
          <cell r="J148" t="str">
            <v>325.247.758-01</v>
          </cell>
          <cell r="K148" t="str">
            <v>131.87689.81.6</v>
          </cell>
          <cell r="L148" t="str">
            <v>Salário Mensal</v>
          </cell>
          <cell r="M148" t="str">
            <v>Empregado (CLT)</v>
          </cell>
        </row>
        <row r="149">
          <cell r="D149" t="str">
            <v>ECOSAMPA Capela do Socorro</v>
          </cell>
          <cell r="E149">
            <v>43617</v>
          </cell>
          <cell r="F149">
            <v>1603.99</v>
          </cell>
          <cell r="G149" t="str">
            <v>Em Atividade Normal</v>
          </cell>
          <cell r="H149">
            <v>45177</v>
          </cell>
          <cell r="I149">
            <v>26429</v>
          </cell>
          <cell r="J149" t="str">
            <v>836.734.079-53</v>
          </cell>
          <cell r="K149" t="str">
            <v>126.02114.49.0</v>
          </cell>
          <cell r="L149" t="str">
            <v>Salário Mensal</v>
          </cell>
          <cell r="M149" t="str">
            <v>Empregado (CLT)</v>
          </cell>
        </row>
        <row r="150">
          <cell r="D150" t="str">
            <v>ECOSAMPA Capela do Socorro</v>
          </cell>
          <cell r="E150">
            <v>43617</v>
          </cell>
          <cell r="F150">
            <v>1907.79</v>
          </cell>
          <cell r="G150" t="str">
            <v>Em Atividade Normal</v>
          </cell>
          <cell r="H150">
            <v>45086</v>
          </cell>
          <cell r="I150">
            <v>18848</v>
          </cell>
          <cell r="J150" t="str">
            <v>344.737.504-34</v>
          </cell>
          <cell r="K150" t="str">
            <v>106.03038.22.8</v>
          </cell>
          <cell r="L150" t="str">
            <v>Salário Mensal</v>
          </cell>
          <cell r="M150" t="str">
            <v>Empregado (CLT)</v>
          </cell>
        </row>
        <row r="151">
          <cell r="D151" t="str">
            <v>ECOSAMPA Parelheiros</v>
          </cell>
          <cell r="E151">
            <v>43617</v>
          </cell>
          <cell r="F151">
            <v>1603.99</v>
          </cell>
          <cell r="G151" t="str">
            <v>Em Atividade Normal</v>
          </cell>
          <cell r="H151">
            <v>44867</v>
          </cell>
          <cell r="I151">
            <v>26650</v>
          </cell>
          <cell r="J151" t="str">
            <v>130.694.878-90</v>
          </cell>
          <cell r="K151" t="str">
            <v>123.78872.38.2</v>
          </cell>
          <cell r="L151" t="str">
            <v>Salário Mensal</v>
          </cell>
          <cell r="M151" t="str">
            <v>Empregado (CLT)</v>
          </cell>
        </row>
        <row r="152">
          <cell r="D152" t="str">
            <v>ECOSAMPA Operação Geral</v>
          </cell>
          <cell r="E152">
            <v>45098</v>
          </cell>
          <cell r="F152">
            <v>1952.99</v>
          </cell>
          <cell r="G152" t="str">
            <v>Demitido em Meses Anteriores</v>
          </cell>
          <cell r="H152">
            <v>45141</v>
          </cell>
          <cell r="I152">
            <v>29631</v>
          </cell>
          <cell r="J152" t="str">
            <v>311.386.588-39</v>
          </cell>
          <cell r="K152" t="str">
            <v>130.30250.77.5</v>
          </cell>
          <cell r="L152" t="str">
            <v>Salário Mensal</v>
          </cell>
          <cell r="M152" t="str">
            <v>Empregado (CLT)</v>
          </cell>
        </row>
        <row r="153">
          <cell r="D153" t="str">
            <v>ECOSAMPA Operação Geral</v>
          </cell>
          <cell r="E153">
            <v>43617</v>
          </cell>
          <cell r="F153">
            <v>1907.79</v>
          </cell>
          <cell r="G153" t="str">
            <v>Em Atividade Normal</v>
          </cell>
          <cell r="H153">
            <v>44993</v>
          </cell>
          <cell r="I153">
            <v>25562</v>
          </cell>
          <cell r="J153" t="str">
            <v>125.542.178-90</v>
          </cell>
          <cell r="K153" t="str">
            <v>123.35098.61.8</v>
          </cell>
          <cell r="L153" t="str">
            <v>Salário Mensal</v>
          </cell>
          <cell r="M153" t="str">
            <v>Empregado (CLT)</v>
          </cell>
        </row>
        <row r="154">
          <cell r="D154" t="str">
            <v>ECOSAMPA Santo Amaro</v>
          </cell>
          <cell r="E154">
            <v>43617</v>
          </cell>
          <cell r="F154">
            <v>1281.23</v>
          </cell>
          <cell r="G154" t="str">
            <v>Demitido em Meses Anteriores</v>
          </cell>
          <cell r="H154">
            <v>43808</v>
          </cell>
          <cell r="I154">
            <v>22961</v>
          </cell>
          <cell r="J154" t="str">
            <v>518.399.625-34</v>
          </cell>
          <cell r="K154" t="str">
            <v>125.87051.81.0</v>
          </cell>
          <cell r="L154" t="str">
            <v>Salário Mensal</v>
          </cell>
          <cell r="M154" t="str">
            <v>Empregado (CLT)</v>
          </cell>
        </row>
        <row r="155">
          <cell r="D155" t="str">
            <v>ECOSAMPA Pensionistas</v>
          </cell>
          <cell r="E155">
            <v>44519</v>
          </cell>
          <cell r="F155">
            <v>0.01</v>
          </cell>
          <cell r="G155" t="str">
            <v>Em Atividade Normal</v>
          </cell>
          <cell r="H155">
            <v>44519</v>
          </cell>
          <cell r="J155" t="str">
            <v>304.356.388-31</v>
          </cell>
          <cell r="L155" t="str">
            <v>Nenhuma</v>
          </cell>
          <cell r="M155" t="str">
            <v>Pensionista</v>
          </cell>
        </row>
        <row r="156">
          <cell r="D156" t="str">
            <v>ECOSAMPA Administração</v>
          </cell>
          <cell r="E156">
            <v>45019</v>
          </cell>
          <cell r="F156">
            <v>1320</v>
          </cell>
          <cell r="G156" t="str">
            <v>Em Atividade Normal</v>
          </cell>
          <cell r="H156">
            <v>45019</v>
          </cell>
          <cell r="I156">
            <v>38166</v>
          </cell>
          <cell r="J156" t="str">
            <v>511.308.018-70</v>
          </cell>
          <cell r="K156" t="str">
            <v>212.69453.46.9</v>
          </cell>
          <cell r="L156" t="str">
            <v>Salário Mensal</v>
          </cell>
          <cell r="M156" t="str">
            <v>Menor Aprendiz</v>
          </cell>
        </row>
        <row r="157">
          <cell r="D157" t="str">
            <v>ECOSAMPA Pensionistas</v>
          </cell>
          <cell r="E157">
            <v>43647</v>
          </cell>
          <cell r="F157">
            <v>0.01</v>
          </cell>
          <cell r="G157" t="str">
            <v>Em Atividade Normal</v>
          </cell>
          <cell r="H157">
            <v>43647</v>
          </cell>
          <cell r="J157" t="str">
            <v>360.168.898-06</v>
          </cell>
          <cell r="L157" t="str">
            <v>Nenhuma</v>
          </cell>
          <cell r="M157" t="str">
            <v>Pensionista</v>
          </cell>
        </row>
        <row r="158">
          <cell r="D158" t="str">
            <v>ECOSAMPA M'Boi Mirim</v>
          </cell>
          <cell r="E158">
            <v>43617</v>
          </cell>
          <cell r="F158">
            <v>1603.99</v>
          </cell>
          <cell r="G158" t="str">
            <v>Em Atividade Normal</v>
          </cell>
          <cell r="H158">
            <v>45149</v>
          </cell>
          <cell r="I158">
            <v>32013</v>
          </cell>
          <cell r="J158" t="str">
            <v>356.887.718-01</v>
          </cell>
          <cell r="K158" t="str">
            <v>203.85804.12.6</v>
          </cell>
          <cell r="L158" t="str">
            <v>Salário Mensal</v>
          </cell>
          <cell r="M158" t="str">
            <v>Empregado (CLT)</v>
          </cell>
        </row>
        <row r="159">
          <cell r="D159" t="str">
            <v>ECOSAMPA Parelheiros</v>
          </cell>
          <cell r="E159">
            <v>44994</v>
          </cell>
          <cell r="F159">
            <v>1603.99</v>
          </cell>
          <cell r="G159" t="str">
            <v>Em Atividade Normal</v>
          </cell>
          <cell r="H159">
            <v>44994</v>
          </cell>
          <cell r="I159">
            <v>29825</v>
          </cell>
          <cell r="J159" t="str">
            <v>300.380.388-38</v>
          </cell>
          <cell r="K159" t="str">
            <v>201.15435.69.1</v>
          </cell>
          <cell r="L159" t="str">
            <v>Salário Mensal</v>
          </cell>
          <cell r="M159" t="str">
            <v>Empregado (CLT)</v>
          </cell>
        </row>
        <row r="160">
          <cell r="D160" t="str">
            <v>ECOSAMPA Campo Limpo</v>
          </cell>
          <cell r="E160">
            <v>43617</v>
          </cell>
          <cell r="F160">
            <v>1603.99</v>
          </cell>
          <cell r="G160" t="str">
            <v>Em Atividade Normal</v>
          </cell>
          <cell r="H160">
            <v>45177</v>
          </cell>
          <cell r="I160">
            <v>27183</v>
          </cell>
          <cell r="J160" t="str">
            <v>861.702.284-15</v>
          </cell>
          <cell r="K160" t="str">
            <v>131.47213.77.2</v>
          </cell>
          <cell r="L160" t="str">
            <v>Salário Mensal</v>
          </cell>
          <cell r="M160" t="str">
            <v>Empregado (CLT)</v>
          </cell>
        </row>
        <row r="161">
          <cell r="D161" t="str">
            <v>ECOSAMPA Operação Geral</v>
          </cell>
          <cell r="E161">
            <v>43651</v>
          </cell>
          <cell r="F161">
            <v>2500</v>
          </cell>
          <cell r="G161" t="str">
            <v>Demitido em Meses Anteriores</v>
          </cell>
          <cell r="H161">
            <v>43661</v>
          </cell>
          <cell r="I161">
            <v>26995</v>
          </cell>
          <cell r="J161" t="str">
            <v>205.328.298-32</v>
          </cell>
          <cell r="K161" t="str">
            <v>125.01510.33.1</v>
          </cell>
          <cell r="L161" t="str">
            <v>Salário Mensal</v>
          </cell>
          <cell r="M161" t="str">
            <v>Empregado (CLT)</v>
          </cell>
        </row>
        <row r="162">
          <cell r="D162" t="str">
            <v>ECOSAMPA M'Boi Mirim</v>
          </cell>
          <cell r="E162">
            <v>43617</v>
          </cell>
          <cell r="F162">
            <v>1281.23</v>
          </cell>
          <cell r="G162" t="str">
            <v>Demitido em Meses Anteriores</v>
          </cell>
          <cell r="H162">
            <v>43808</v>
          </cell>
          <cell r="I162">
            <v>30657</v>
          </cell>
          <cell r="J162" t="str">
            <v>372.434.278-04</v>
          </cell>
          <cell r="K162" t="str">
            <v>209.74171.48.9</v>
          </cell>
          <cell r="L162" t="str">
            <v>Salário Mensal</v>
          </cell>
          <cell r="M162" t="str">
            <v>Empregado (CLT)</v>
          </cell>
        </row>
        <row r="163">
          <cell r="D163" t="str">
            <v>ECOSAMPA Pensionistas</v>
          </cell>
          <cell r="E163">
            <v>44069</v>
          </cell>
          <cell r="F163">
            <v>0.01</v>
          </cell>
          <cell r="G163" t="str">
            <v>Demitido em Meses Anteriores</v>
          </cell>
          <cell r="H163">
            <v>44371</v>
          </cell>
          <cell r="J163" t="str">
            <v>327.635.938-36</v>
          </cell>
          <cell r="L163" t="str">
            <v>Nenhuma</v>
          </cell>
          <cell r="M163" t="str">
            <v>Pensionista</v>
          </cell>
        </row>
        <row r="164">
          <cell r="D164" t="str">
            <v>ECOSAMPA Operação Geral</v>
          </cell>
          <cell r="E164">
            <v>43621</v>
          </cell>
          <cell r="F164">
            <v>2245.94</v>
          </cell>
          <cell r="G164" t="str">
            <v>Em Atividade Normal</v>
          </cell>
          <cell r="H164">
            <v>45177</v>
          </cell>
          <cell r="I164">
            <v>33019</v>
          </cell>
          <cell r="J164" t="str">
            <v>386.499.578-70</v>
          </cell>
          <cell r="K164" t="str">
            <v>210.13523.68.9</v>
          </cell>
          <cell r="L164" t="str">
            <v>Salário Mensal</v>
          </cell>
          <cell r="M164" t="str">
            <v>Empregado (CLT)</v>
          </cell>
        </row>
        <row r="165">
          <cell r="D165" t="str">
            <v>ECOSAMPA Campo Limpo</v>
          </cell>
          <cell r="E165">
            <v>43874</v>
          </cell>
          <cell r="F165">
            <v>1603.99</v>
          </cell>
          <cell r="G165" t="str">
            <v>Em Atividade Normal</v>
          </cell>
          <cell r="H165">
            <v>44715</v>
          </cell>
          <cell r="I165">
            <v>25539</v>
          </cell>
          <cell r="J165" t="str">
            <v>126.377.468-74</v>
          </cell>
          <cell r="K165" t="str">
            <v>121.70724.96.8</v>
          </cell>
          <cell r="L165" t="str">
            <v>Salário Mensal</v>
          </cell>
          <cell r="M165" t="str">
            <v>Empregado (CLT)</v>
          </cell>
        </row>
        <row r="166">
          <cell r="D166" t="str">
            <v>ECOSAMPA Parelheiros</v>
          </cell>
          <cell r="E166">
            <v>43617</v>
          </cell>
          <cell r="F166">
            <v>1603.99</v>
          </cell>
          <cell r="G166" t="str">
            <v>Em Atividade Normal</v>
          </cell>
          <cell r="H166">
            <v>44898</v>
          </cell>
          <cell r="I166">
            <v>29947</v>
          </cell>
          <cell r="J166" t="str">
            <v>226.003.468-30</v>
          </cell>
          <cell r="K166" t="str">
            <v>129.79038.77.8</v>
          </cell>
          <cell r="L166" t="str">
            <v>Salário Mensal</v>
          </cell>
          <cell r="M166" t="str">
            <v>Empregado (CLT)</v>
          </cell>
        </row>
        <row r="167">
          <cell r="D167" t="str">
            <v>ECOSAMPA Operação Geral</v>
          </cell>
          <cell r="E167">
            <v>43917</v>
          </cell>
          <cell r="F167">
            <v>1319.67</v>
          </cell>
          <cell r="G167" t="str">
            <v>Demitido em Meses Anteriores</v>
          </cell>
          <cell r="H167">
            <v>44361</v>
          </cell>
          <cell r="I167">
            <v>32723</v>
          </cell>
          <cell r="J167" t="str">
            <v>391.142.738-70</v>
          </cell>
          <cell r="K167" t="str">
            <v>204.90835.23.0</v>
          </cell>
          <cell r="L167" t="str">
            <v>Salário Mensal</v>
          </cell>
          <cell r="M167" t="str">
            <v>Empregado (CLT)</v>
          </cell>
        </row>
        <row r="168">
          <cell r="D168" t="str">
            <v>ECOSAMPA Operação Geral</v>
          </cell>
          <cell r="E168">
            <v>45117</v>
          </cell>
          <cell r="F168">
            <v>1603.99</v>
          </cell>
          <cell r="G168" t="str">
            <v>Em Atividade Normal</v>
          </cell>
          <cell r="H168">
            <v>45117</v>
          </cell>
          <cell r="I168">
            <v>32902</v>
          </cell>
          <cell r="J168" t="str">
            <v>385.697.328-13</v>
          </cell>
          <cell r="K168" t="str">
            <v>212.17163.18.4</v>
          </cell>
          <cell r="L168" t="str">
            <v>Salário Mensal</v>
          </cell>
          <cell r="M168" t="str">
            <v>Empregado (CLT)</v>
          </cell>
        </row>
        <row r="169">
          <cell r="D169" t="str">
            <v>ECOSAMPA Operação Geral</v>
          </cell>
          <cell r="E169">
            <v>43917</v>
          </cell>
          <cell r="F169">
            <v>1603.99</v>
          </cell>
          <cell r="G169" t="str">
            <v>Em Atividade Normal</v>
          </cell>
          <cell r="H169">
            <v>45086</v>
          </cell>
          <cell r="I169">
            <v>36251</v>
          </cell>
          <cell r="J169" t="str">
            <v>476.247.268-90</v>
          </cell>
          <cell r="K169" t="str">
            <v>202.10374.35.1</v>
          </cell>
          <cell r="L169" t="str">
            <v>Salário Mensal</v>
          </cell>
          <cell r="M169" t="str">
            <v>Empregado (CLT)</v>
          </cell>
        </row>
        <row r="170">
          <cell r="D170" t="str">
            <v>ECOSAMPA Capela do Socorro</v>
          </cell>
          <cell r="E170">
            <v>43617</v>
          </cell>
          <cell r="F170">
            <v>1231.95</v>
          </cell>
          <cell r="G170" t="str">
            <v>Demitido em Meses Anteriores</v>
          </cell>
          <cell r="H170">
            <v>43686</v>
          </cell>
          <cell r="I170">
            <v>32494</v>
          </cell>
          <cell r="J170" t="str">
            <v>383.382.418-22</v>
          </cell>
          <cell r="K170" t="str">
            <v>138.10054.85.1</v>
          </cell>
          <cell r="L170" t="str">
            <v>Salário Mensal</v>
          </cell>
          <cell r="M170" t="str">
            <v>Empregado (CLT)</v>
          </cell>
        </row>
        <row r="171">
          <cell r="D171" t="str">
            <v>ECOSAMPA Campo Limpo</v>
          </cell>
          <cell r="E171">
            <v>44046</v>
          </cell>
          <cell r="F171">
            <v>1319.67</v>
          </cell>
          <cell r="G171" t="str">
            <v>Demitido em Meses Anteriores</v>
          </cell>
          <cell r="H171">
            <v>44109</v>
          </cell>
          <cell r="I171">
            <v>32494</v>
          </cell>
          <cell r="J171" t="str">
            <v>383.382.418-22</v>
          </cell>
          <cell r="K171" t="str">
            <v>138.10054.85.1</v>
          </cell>
          <cell r="L171" t="str">
            <v>Salário Mensal</v>
          </cell>
          <cell r="M171" t="str">
            <v>Empregado (CLT)</v>
          </cell>
        </row>
        <row r="172">
          <cell r="D172" t="str">
            <v>ECOSAMPA M'Boi Mirim</v>
          </cell>
          <cell r="E172">
            <v>43620</v>
          </cell>
          <cell r="F172">
            <v>1231.95</v>
          </cell>
          <cell r="G172" t="str">
            <v>Demitido em Meses Anteriores</v>
          </cell>
          <cell r="H172">
            <v>43704</v>
          </cell>
          <cell r="I172">
            <v>29558</v>
          </cell>
          <cell r="J172" t="str">
            <v>224.855.338-22</v>
          </cell>
          <cell r="K172" t="str">
            <v>129.37111.93.0</v>
          </cell>
          <cell r="L172" t="str">
            <v>Salário Mensal</v>
          </cell>
          <cell r="M172" t="str">
            <v>Empregado (CLT)</v>
          </cell>
        </row>
        <row r="173">
          <cell r="D173" t="str">
            <v>ECOSAMPA Operação Geral</v>
          </cell>
          <cell r="E173">
            <v>43617</v>
          </cell>
          <cell r="F173">
            <v>1603.99</v>
          </cell>
          <cell r="G173" t="str">
            <v>Em Atividade Normal</v>
          </cell>
          <cell r="H173">
            <v>44930</v>
          </cell>
          <cell r="I173">
            <v>28730</v>
          </cell>
          <cell r="J173" t="str">
            <v>278.617.298-50</v>
          </cell>
          <cell r="K173" t="str">
            <v>127.22039.89.5</v>
          </cell>
          <cell r="L173" t="str">
            <v>Salário Mensal</v>
          </cell>
          <cell r="M173" t="str">
            <v>Empregado (CLT)</v>
          </cell>
        </row>
        <row r="174">
          <cell r="D174" t="str">
            <v>ECOSAMPA Capela do Socorro</v>
          </cell>
          <cell r="E174">
            <v>44368</v>
          </cell>
          <cell r="F174">
            <v>1464.83</v>
          </cell>
          <cell r="G174" t="str">
            <v>Demitido em Meses Anteriores</v>
          </cell>
          <cell r="H174">
            <v>44642</v>
          </cell>
          <cell r="I174">
            <v>30052</v>
          </cell>
          <cell r="J174" t="str">
            <v>317.558.348-29</v>
          </cell>
          <cell r="K174" t="str">
            <v>161.22261.77.8</v>
          </cell>
          <cell r="L174" t="str">
            <v>Salário Mensal</v>
          </cell>
          <cell r="M174" t="str">
            <v>Empregado (CLT)</v>
          </cell>
        </row>
        <row r="175">
          <cell r="D175" t="str">
            <v>ECOSAMPA M'Boi Mirim</v>
          </cell>
          <cell r="E175">
            <v>43874</v>
          </cell>
          <cell r="F175">
            <v>1603.99</v>
          </cell>
          <cell r="G175" t="str">
            <v>Em Atividade Normal</v>
          </cell>
          <cell r="H175">
            <v>45086</v>
          </cell>
          <cell r="I175">
            <v>30537</v>
          </cell>
          <cell r="J175" t="str">
            <v>383.926.988-19</v>
          </cell>
          <cell r="K175" t="str">
            <v>201.16366.76.6</v>
          </cell>
          <cell r="L175" t="str">
            <v>Salário Mensal</v>
          </cell>
          <cell r="M175" t="str">
            <v>Empregado (CLT)</v>
          </cell>
        </row>
        <row r="176">
          <cell r="D176" t="str">
            <v>ECOSAMPA M'Boi Mirim</v>
          </cell>
          <cell r="E176">
            <v>43617</v>
          </cell>
          <cell r="F176">
            <v>1603.99</v>
          </cell>
          <cell r="G176" t="str">
            <v>Em Atividade Normal</v>
          </cell>
          <cell r="H176">
            <v>45177</v>
          </cell>
          <cell r="I176">
            <v>36296</v>
          </cell>
          <cell r="J176" t="str">
            <v>525.041.438-93</v>
          </cell>
          <cell r="K176" t="str">
            <v>154.49543.82.8</v>
          </cell>
          <cell r="L176" t="str">
            <v>Salário Mensal</v>
          </cell>
          <cell r="M176" t="str">
            <v>Empregado (CLT)</v>
          </cell>
        </row>
        <row r="177">
          <cell r="D177" t="str">
            <v>ECOSAMPA Santo Amaro</v>
          </cell>
          <cell r="E177">
            <v>44048</v>
          </cell>
          <cell r="F177">
            <v>1464.83</v>
          </cell>
          <cell r="G177" t="str">
            <v>Demitido em Meses Anteriores</v>
          </cell>
          <cell r="H177">
            <v>44496</v>
          </cell>
          <cell r="I177">
            <v>34502</v>
          </cell>
          <cell r="J177" t="str">
            <v>410.964.358-96</v>
          </cell>
          <cell r="K177" t="str">
            <v>160.89859.56.8</v>
          </cell>
          <cell r="L177" t="str">
            <v>Salário Mensal</v>
          </cell>
          <cell r="M177" t="str">
            <v>Empregado (CLT)</v>
          </cell>
        </row>
        <row r="178">
          <cell r="D178" t="str">
            <v>ECOSAMPA Operação Geral</v>
          </cell>
          <cell r="E178">
            <v>43840</v>
          </cell>
          <cell r="F178">
            <v>3050.22</v>
          </cell>
          <cell r="G178" t="str">
            <v>Auxílio-Doença</v>
          </cell>
          <cell r="H178">
            <v>45171</v>
          </cell>
          <cell r="I178">
            <v>33793</v>
          </cell>
          <cell r="J178" t="str">
            <v>409.756.928-79</v>
          </cell>
          <cell r="K178" t="str">
            <v>207.24840.02.2</v>
          </cell>
          <cell r="L178" t="str">
            <v>Salário Mensal</v>
          </cell>
          <cell r="M178" t="str">
            <v>Empregado (CLT)</v>
          </cell>
        </row>
        <row r="179">
          <cell r="D179" t="str">
            <v>ECOSAMPA Operação Geral</v>
          </cell>
          <cell r="E179">
            <v>43917</v>
          </cell>
          <cell r="F179">
            <v>1281.23</v>
          </cell>
          <cell r="G179" t="str">
            <v>Demitido em Meses Anteriores</v>
          </cell>
          <cell r="H179">
            <v>43929</v>
          </cell>
          <cell r="I179">
            <v>30611</v>
          </cell>
          <cell r="J179" t="str">
            <v>335.205.658-70</v>
          </cell>
          <cell r="K179" t="str">
            <v>203.91074.09.6</v>
          </cell>
          <cell r="L179" t="str">
            <v>Salário Mensal</v>
          </cell>
          <cell r="M179" t="str">
            <v>Empregado (CLT)</v>
          </cell>
        </row>
        <row r="180">
          <cell r="D180" t="str">
            <v>ECOSAMPA M'Boi Mirim</v>
          </cell>
          <cell r="E180">
            <v>43617</v>
          </cell>
          <cell r="F180">
            <v>1281.23</v>
          </cell>
          <cell r="G180" t="str">
            <v>Demitido em Meses Anteriores</v>
          </cell>
          <cell r="H180">
            <v>43895</v>
          </cell>
          <cell r="I180">
            <v>31557</v>
          </cell>
          <cell r="J180" t="str">
            <v>347.780.588-79</v>
          </cell>
          <cell r="K180" t="str">
            <v>137.86032.85.7</v>
          </cell>
          <cell r="L180" t="str">
            <v>Salário Mensal</v>
          </cell>
          <cell r="M180" t="str">
            <v>Empregado (CLT)</v>
          </cell>
        </row>
        <row r="181">
          <cell r="D181" t="str">
            <v>ECOSAMPA Campo Limpo</v>
          </cell>
          <cell r="E181">
            <v>44630</v>
          </cell>
          <cell r="F181">
            <v>1603.99</v>
          </cell>
          <cell r="G181" t="str">
            <v>Demitido em Meses Anteriores</v>
          </cell>
          <cell r="H181">
            <v>44994</v>
          </cell>
          <cell r="I181">
            <v>34945</v>
          </cell>
          <cell r="J181" t="str">
            <v>434.304.028-32</v>
          </cell>
          <cell r="K181" t="str">
            <v>209.77990.50.2</v>
          </cell>
          <cell r="L181" t="str">
            <v>Salário Mensal</v>
          </cell>
          <cell r="M181" t="str">
            <v>Empregado (CLT)</v>
          </cell>
        </row>
        <row r="182">
          <cell r="D182" t="str">
            <v>ECOSAMPA Operação Geral</v>
          </cell>
          <cell r="E182">
            <v>43617</v>
          </cell>
          <cell r="F182">
            <v>1465.28</v>
          </cell>
          <cell r="G182" t="str">
            <v>Demitido em Meses Anteriores</v>
          </cell>
          <cell r="H182">
            <v>43704</v>
          </cell>
          <cell r="I182">
            <v>31650</v>
          </cell>
          <cell r="J182" t="str">
            <v>340.132.878-62</v>
          </cell>
          <cell r="K182" t="str">
            <v>160.10708.44.4</v>
          </cell>
          <cell r="L182" t="str">
            <v>Salário Mensal</v>
          </cell>
          <cell r="M182" t="str">
            <v>Empregado (CLT)</v>
          </cell>
        </row>
        <row r="183">
          <cell r="D183" t="str">
            <v>ECOSAMPA Parelheiros</v>
          </cell>
          <cell r="E183">
            <v>43617</v>
          </cell>
          <cell r="F183">
            <v>1603.99</v>
          </cell>
          <cell r="G183" t="str">
            <v>Demitido em Meses Anteriores</v>
          </cell>
          <cell r="H183">
            <v>45091</v>
          </cell>
          <cell r="I183">
            <v>28169</v>
          </cell>
          <cell r="J183" t="str">
            <v>169.876.608-40</v>
          </cell>
          <cell r="K183" t="str">
            <v>129.65056.89.2</v>
          </cell>
          <cell r="L183" t="str">
            <v>Salário Mensal</v>
          </cell>
          <cell r="M183" t="str">
            <v>Empregado (CLT)</v>
          </cell>
        </row>
        <row r="184">
          <cell r="D184" t="str">
            <v>ECOSAMPA Santo Amaro</v>
          </cell>
          <cell r="E184">
            <v>43617</v>
          </cell>
          <cell r="F184">
            <v>1231.95</v>
          </cell>
          <cell r="G184" t="str">
            <v>Demitido em Meses Anteriores</v>
          </cell>
          <cell r="H184">
            <v>43703</v>
          </cell>
          <cell r="I184">
            <v>34538</v>
          </cell>
          <cell r="J184" t="str">
            <v>437.735.148-67</v>
          </cell>
          <cell r="K184" t="str">
            <v>203.66125.44.8</v>
          </cell>
          <cell r="L184" t="str">
            <v>Salário Mensal</v>
          </cell>
          <cell r="M184" t="str">
            <v>Empregado (CLT)</v>
          </cell>
        </row>
        <row r="185">
          <cell r="D185" t="str">
            <v>ECOSAMPA Operação Geral</v>
          </cell>
          <cell r="E185">
            <v>45117</v>
          </cell>
          <cell r="F185">
            <v>1603.99</v>
          </cell>
          <cell r="G185" t="str">
            <v>Em Atividade Normal</v>
          </cell>
          <cell r="H185">
            <v>45117</v>
          </cell>
          <cell r="I185">
            <v>32125</v>
          </cell>
          <cell r="J185" t="str">
            <v>358.552.388-90</v>
          </cell>
          <cell r="K185" t="str">
            <v>135.77650.89.2</v>
          </cell>
          <cell r="L185" t="str">
            <v>Salário Mensal</v>
          </cell>
          <cell r="M185" t="str">
            <v>Empregado (CLT)</v>
          </cell>
        </row>
        <row r="186">
          <cell r="D186" t="str">
            <v>ECOSAMPA Operação Geral</v>
          </cell>
          <cell r="E186">
            <v>43813</v>
          </cell>
          <cell r="F186">
            <v>1603.99</v>
          </cell>
          <cell r="G186" t="str">
            <v>Em Atividade Normal</v>
          </cell>
          <cell r="H186">
            <v>44960</v>
          </cell>
          <cell r="I186">
            <v>29495</v>
          </cell>
          <cell r="J186" t="str">
            <v>225.561.378-60</v>
          </cell>
          <cell r="K186" t="str">
            <v>129.87261.85.5</v>
          </cell>
          <cell r="L186" t="str">
            <v>Salário Mensal</v>
          </cell>
          <cell r="M186" t="str">
            <v>Empregado (CLT)</v>
          </cell>
        </row>
        <row r="187">
          <cell r="D187" t="str">
            <v>ECOSAMPA Capela do Socorro</v>
          </cell>
          <cell r="E187">
            <v>43617</v>
          </cell>
          <cell r="F187">
            <v>1603.99</v>
          </cell>
          <cell r="G187" t="str">
            <v>Em Atividade Normal</v>
          </cell>
          <cell r="H187">
            <v>45056</v>
          </cell>
          <cell r="I187">
            <v>29644</v>
          </cell>
          <cell r="J187" t="str">
            <v>316.903.548-79</v>
          </cell>
          <cell r="K187" t="str">
            <v>209.34817.39.6</v>
          </cell>
          <cell r="L187" t="str">
            <v>Salário Mensal</v>
          </cell>
          <cell r="M187" t="str">
            <v>Empregado (CLT)</v>
          </cell>
        </row>
        <row r="188">
          <cell r="D188" t="str">
            <v>ECOSAMPA Operação Geral</v>
          </cell>
          <cell r="E188">
            <v>44791</v>
          </cell>
          <cell r="F188">
            <v>1603.99</v>
          </cell>
          <cell r="G188" t="str">
            <v>Em Atividade Normal</v>
          </cell>
          <cell r="H188">
            <v>44791</v>
          </cell>
          <cell r="I188">
            <v>29855</v>
          </cell>
          <cell r="J188" t="str">
            <v>323.537.808-14</v>
          </cell>
          <cell r="K188" t="str">
            <v>130.89289.93.7</v>
          </cell>
          <cell r="L188" t="str">
            <v>Salário Mensal</v>
          </cell>
          <cell r="M188" t="str">
            <v>Empregado (CLT)</v>
          </cell>
        </row>
        <row r="189">
          <cell r="D189" t="str">
            <v>ECOSAMPA Operação Geral</v>
          </cell>
          <cell r="E189">
            <v>43627</v>
          </cell>
          <cell r="F189">
            <v>4202.05</v>
          </cell>
          <cell r="G189" t="str">
            <v>Em Atividade Normal</v>
          </cell>
          <cell r="H189">
            <v>44960</v>
          </cell>
          <cell r="I189">
            <v>30670</v>
          </cell>
          <cell r="J189" t="str">
            <v>316.903.528-25</v>
          </cell>
          <cell r="K189" t="str">
            <v>138.93858.85.6</v>
          </cell>
          <cell r="L189" t="str">
            <v>Salário Mensal</v>
          </cell>
          <cell r="M189" t="str">
            <v>Empregado (CLT)</v>
          </cell>
        </row>
        <row r="190">
          <cell r="D190" t="str">
            <v>ECOSAMPA Operação Geral</v>
          </cell>
          <cell r="E190">
            <v>43874</v>
          </cell>
          <cell r="F190">
            <v>3050.22</v>
          </cell>
          <cell r="G190" t="str">
            <v>Em Atividade Normal</v>
          </cell>
          <cell r="H190">
            <v>45023</v>
          </cell>
          <cell r="I190">
            <v>31613</v>
          </cell>
          <cell r="J190" t="str">
            <v>342.788.548-89</v>
          </cell>
          <cell r="K190" t="str">
            <v>135.30927.85.5</v>
          </cell>
          <cell r="L190" t="str">
            <v>Salário Mensal</v>
          </cell>
          <cell r="M190" t="str">
            <v>Empregado (CLT)</v>
          </cell>
        </row>
        <row r="191">
          <cell r="D191" t="str">
            <v>ECOSAMPA Operação Geral</v>
          </cell>
          <cell r="E191">
            <v>43617</v>
          </cell>
          <cell r="F191">
            <v>1523.89</v>
          </cell>
          <cell r="G191" t="str">
            <v>Demitido em Meses Anteriores</v>
          </cell>
          <cell r="H191">
            <v>43991</v>
          </cell>
          <cell r="I191">
            <v>29715</v>
          </cell>
          <cell r="J191" t="str">
            <v>339.541.758-19</v>
          </cell>
          <cell r="K191" t="str">
            <v>134.78629.85.2</v>
          </cell>
          <cell r="L191" t="str">
            <v>Salário Mensal</v>
          </cell>
          <cell r="M191" t="str">
            <v>Empregado (CLT)</v>
          </cell>
        </row>
        <row r="192">
          <cell r="D192" t="str">
            <v>ECOSAMPA M'Boi Mirim</v>
          </cell>
          <cell r="E192">
            <v>44207</v>
          </cell>
          <cell r="F192">
            <v>1319.67</v>
          </cell>
          <cell r="G192" t="str">
            <v>Demitido em Meses Anteriores</v>
          </cell>
          <cell r="H192">
            <v>44462</v>
          </cell>
          <cell r="I192">
            <v>30765</v>
          </cell>
          <cell r="J192" t="str">
            <v>316.620.228-59</v>
          </cell>
          <cell r="K192" t="str">
            <v>131.78034.81.0</v>
          </cell>
          <cell r="L192" t="str">
            <v>Salário Mensal</v>
          </cell>
          <cell r="M192" t="str">
            <v>Empregado (CLT)</v>
          </cell>
        </row>
        <row r="193">
          <cell r="D193" t="str">
            <v>ECOSAMPA Campo Limpo</v>
          </cell>
          <cell r="E193">
            <v>43617</v>
          </cell>
          <cell r="F193">
            <v>1319.67</v>
          </cell>
          <cell r="G193" t="str">
            <v>Demitido em Meses Anteriores</v>
          </cell>
          <cell r="H193">
            <v>44169</v>
          </cell>
          <cell r="I193">
            <v>30634</v>
          </cell>
          <cell r="J193" t="str">
            <v>379.167.498-66</v>
          </cell>
          <cell r="K193" t="str">
            <v>130.57884.85.6</v>
          </cell>
          <cell r="L193" t="str">
            <v>Salário Mensal</v>
          </cell>
          <cell r="M193" t="str">
            <v>Empregado (CLT)</v>
          </cell>
        </row>
        <row r="194">
          <cell r="D194" t="str">
            <v>ECOSAMPA Campo Limpo</v>
          </cell>
          <cell r="E194">
            <v>43874</v>
          </cell>
          <cell r="F194">
            <v>1464.83</v>
          </cell>
          <cell r="G194" t="str">
            <v>Demitido em Meses Anteriores</v>
          </cell>
          <cell r="H194">
            <v>44505</v>
          </cell>
          <cell r="I194">
            <v>29501</v>
          </cell>
          <cell r="J194" t="str">
            <v>223.983.978-31</v>
          </cell>
          <cell r="K194" t="str">
            <v>129.78107.93.8</v>
          </cell>
          <cell r="L194" t="str">
            <v>Salário Mensal</v>
          </cell>
          <cell r="M194" t="str">
            <v>Empregado (CLT)</v>
          </cell>
        </row>
        <row r="195">
          <cell r="D195" t="str">
            <v>ECOSAMPA Operação Geral</v>
          </cell>
          <cell r="E195">
            <v>43617</v>
          </cell>
          <cell r="F195">
            <v>3050.22</v>
          </cell>
          <cell r="G195" t="str">
            <v>Gozando Férias</v>
          </cell>
          <cell r="H195">
            <v>45180</v>
          </cell>
          <cell r="I195">
            <v>29985</v>
          </cell>
          <cell r="J195" t="str">
            <v>297.167.048-10</v>
          </cell>
          <cell r="K195" t="str">
            <v>132.23830.93.5</v>
          </cell>
          <cell r="L195" t="str">
            <v>Salário Mensal</v>
          </cell>
          <cell r="M195" t="str">
            <v>Empregado (CLT)</v>
          </cell>
        </row>
        <row r="196">
          <cell r="D196" t="str">
            <v>ECOSAMPA Operação Geral</v>
          </cell>
          <cell r="E196">
            <v>43617</v>
          </cell>
          <cell r="F196">
            <v>3050.22</v>
          </cell>
          <cell r="G196" t="str">
            <v>Em Atividade Normal</v>
          </cell>
          <cell r="H196">
            <v>45119</v>
          </cell>
          <cell r="I196">
            <v>31883</v>
          </cell>
          <cell r="J196" t="str">
            <v>013.583.843-63</v>
          </cell>
          <cell r="K196" t="str">
            <v>134.12779.19.8</v>
          </cell>
          <cell r="L196" t="str">
            <v>Salário Mensal</v>
          </cell>
          <cell r="M196" t="str">
            <v>Empregado (CLT)</v>
          </cell>
        </row>
        <row r="197">
          <cell r="D197" t="str">
            <v>ECOSAMPA Capela do Socorro</v>
          </cell>
          <cell r="E197">
            <v>43617</v>
          </cell>
          <cell r="F197">
            <v>1603.99</v>
          </cell>
          <cell r="G197" t="str">
            <v>Em Atividade Normal</v>
          </cell>
          <cell r="H197">
            <v>44806</v>
          </cell>
          <cell r="I197">
            <v>27441</v>
          </cell>
          <cell r="J197" t="str">
            <v>872.937.225-91</v>
          </cell>
          <cell r="K197" t="str">
            <v>212.03377.95.0</v>
          </cell>
          <cell r="L197" t="str">
            <v>Salário Mensal</v>
          </cell>
          <cell r="M197" t="str">
            <v>Empregado (CLT)</v>
          </cell>
        </row>
        <row r="198">
          <cell r="D198" t="str">
            <v>ECOSAMPA Santo Amaro</v>
          </cell>
          <cell r="E198">
            <v>43874</v>
          </cell>
          <cell r="F198">
            <v>1603.99</v>
          </cell>
          <cell r="G198" t="str">
            <v>Em Atividade Normal</v>
          </cell>
          <cell r="H198">
            <v>45149</v>
          </cell>
          <cell r="I198">
            <v>35423</v>
          </cell>
          <cell r="J198" t="str">
            <v>464.471.938-27</v>
          </cell>
          <cell r="K198" t="str">
            <v>237.85845.42.8</v>
          </cell>
          <cell r="L198" t="str">
            <v>Salário Mensal</v>
          </cell>
          <cell r="M198" t="str">
            <v>Empregado (CLT)</v>
          </cell>
        </row>
        <row r="199">
          <cell r="D199" t="str">
            <v>ECOSAMPA Operação Geral</v>
          </cell>
          <cell r="E199">
            <v>44967</v>
          </cell>
          <cell r="F199">
            <v>1603.99</v>
          </cell>
          <cell r="G199" t="str">
            <v>Em Atividade Normal</v>
          </cell>
          <cell r="H199">
            <v>44967</v>
          </cell>
          <cell r="I199">
            <v>28161</v>
          </cell>
          <cell r="J199" t="str">
            <v>295.914.208-03</v>
          </cell>
          <cell r="K199" t="str">
            <v>125.01242.43.4</v>
          </cell>
          <cell r="L199" t="str">
            <v>Salário Mensal</v>
          </cell>
          <cell r="M199" t="str">
            <v>Empregado (CLT)</v>
          </cell>
        </row>
        <row r="200">
          <cell r="D200" t="str">
            <v>ECOSAMPA Operação Geral</v>
          </cell>
          <cell r="E200">
            <v>44967</v>
          </cell>
          <cell r="F200">
            <v>1603.99</v>
          </cell>
          <cell r="G200" t="str">
            <v>Demitido em Meses Anteriores</v>
          </cell>
          <cell r="H200">
            <v>44981</v>
          </cell>
          <cell r="I200">
            <v>27026</v>
          </cell>
          <cell r="J200" t="str">
            <v>273.679.848-10</v>
          </cell>
          <cell r="K200" t="str">
            <v>125.26072.66.4</v>
          </cell>
          <cell r="L200" t="str">
            <v>Salário Mensal</v>
          </cell>
          <cell r="M200" t="str">
            <v>Empregado (CLT)</v>
          </cell>
        </row>
        <row r="201">
          <cell r="D201" t="str">
            <v>ECOSAMPA Operação Geral</v>
          </cell>
          <cell r="E201">
            <v>44972</v>
          </cell>
          <cell r="F201">
            <v>1603.99</v>
          </cell>
          <cell r="G201" t="str">
            <v>Demitido em Meses Anteriores</v>
          </cell>
          <cell r="H201">
            <v>44986</v>
          </cell>
          <cell r="I201">
            <v>34284</v>
          </cell>
          <cell r="J201" t="str">
            <v>400.872.318-83</v>
          </cell>
          <cell r="K201" t="str">
            <v>201.15744.87.2</v>
          </cell>
          <cell r="L201" t="str">
            <v>Salário Mensal</v>
          </cell>
          <cell r="M201" t="str">
            <v>Empregado (CLT)</v>
          </cell>
        </row>
        <row r="202">
          <cell r="D202" t="str">
            <v>ECOSAMPA Santo Amaro</v>
          </cell>
          <cell r="E202">
            <v>43617</v>
          </cell>
          <cell r="F202">
            <v>1603.99</v>
          </cell>
          <cell r="G202" t="str">
            <v>Em Atividade Normal</v>
          </cell>
          <cell r="H202">
            <v>45149</v>
          </cell>
          <cell r="I202">
            <v>28614</v>
          </cell>
          <cell r="J202" t="str">
            <v>215.133.198-92</v>
          </cell>
          <cell r="K202" t="str">
            <v>127.57704.93.3</v>
          </cell>
          <cell r="L202" t="str">
            <v>Salário Mensal</v>
          </cell>
          <cell r="M202" t="str">
            <v>Empregado (CLT)</v>
          </cell>
        </row>
        <row r="203">
          <cell r="D203" t="str">
            <v>ECOSAMPA Capela do Socorro</v>
          </cell>
          <cell r="E203">
            <v>43817</v>
          </cell>
          <cell r="F203">
            <v>1603.99</v>
          </cell>
          <cell r="G203" t="str">
            <v>Em Atividade Normal</v>
          </cell>
          <cell r="H203">
            <v>44685</v>
          </cell>
          <cell r="I203">
            <v>29509</v>
          </cell>
          <cell r="J203" t="str">
            <v>225.599.898-08</v>
          </cell>
          <cell r="K203" t="str">
            <v>132.83599.81.4</v>
          </cell>
          <cell r="L203" t="str">
            <v>Salário Mensal</v>
          </cell>
          <cell r="M203" t="str">
            <v>Empregado (CLT)</v>
          </cell>
        </row>
        <row r="204">
          <cell r="D204" t="str">
            <v>ECOSAMPA Operação Geral</v>
          </cell>
          <cell r="E204">
            <v>43617</v>
          </cell>
          <cell r="F204">
            <v>3222.08</v>
          </cell>
          <cell r="G204" t="str">
            <v>Em Atividade Normal</v>
          </cell>
          <cell r="H204">
            <v>45023</v>
          </cell>
          <cell r="I204">
            <v>28926</v>
          </cell>
          <cell r="J204" t="str">
            <v>163.380.418-64</v>
          </cell>
          <cell r="K204" t="str">
            <v>127.86605.77.8</v>
          </cell>
          <cell r="L204" t="str">
            <v>Salário Mensal</v>
          </cell>
          <cell r="M204" t="str">
            <v>Empregado (CLT)</v>
          </cell>
        </row>
        <row r="205">
          <cell r="D205" t="str">
            <v>ECOSAMPA M'Boi Mirim</v>
          </cell>
          <cell r="E205">
            <v>43617</v>
          </cell>
          <cell r="F205">
            <v>1281.23</v>
          </cell>
          <cell r="G205" t="str">
            <v>Demitido em Meses Anteriores</v>
          </cell>
          <cell r="H205">
            <v>43808</v>
          </cell>
          <cell r="I205">
            <v>32267</v>
          </cell>
          <cell r="J205" t="str">
            <v>374.431.668-85</v>
          </cell>
          <cell r="K205" t="str">
            <v>136.51868.77.9</v>
          </cell>
          <cell r="L205" t="str">
            <v>Salário Mensal</v>
          </cell>
          <cell r="M205" t="str">
            <v>Empregado (CLT)</v>
          </cell>
        </row>
        <row r="206">
          <cell r="D206" t="str">
            <v>ECOSAMPA Campo Limpo</v>
          </cell>
          <cell r="E206">
            <v>43874</v>
          </cell>
          <cell r="F206">
            <v>1603.99</v>
          </cell>
          <cell r="G206" t="str">
            <v>Em Atividade Normal</v>
          </cell>
          <cell r="H206">
            <v>45086</v>
          </cell>
          <cell r="I206">
            <v>29554</v>
          </cell>
          <cell r="J206" t="str">
            <v>226.038.538-99</v>
          </cell>
          <cell r="K206" t="str">
            <v>130.86993.81.1</v>
          </cell>
          <cell r="L206" t="str">
            <v>Salário Mensal</v>
          </cell>
          <cell r="M206" t="str">
            <v>Empregado (CLT)</v>
          </cell>
        </row>
        <row r="207">
          <cell r="D207" t="str">
            <v>ECOSAMPA Operação Geral</v>
          </cell>
          <cell r="E207">
            <v>43617</v>
          </cell>
          <cell r="F207">
            <v>2509.54</v>
          </cell>
          <cell r="G207" t="str">
            <v>Demitido em Meses Anteriores</v>
          </cell>
          <cell r="H207">
            <v>44382</v>
          </cell>
          <cell r="I207">
            <v>28118</v>
          </cell>
          <cell r="J207" t="str">
            <v>257.687.108-92</v>
          </cell>
          <cell r="K207" t="str">
            <v>125.54207.38.2</v>
          </cell>
          <cell r="L207" t="str">
            <v>Salário Mensal</v>
          </cell>
          <cell r="M207" t="str">
            <v>Empregado (CLT)</v>
          </cell>
        </row>
        <row r="208">
          <cell r="D208" t="str">
            <v>ECOSAMPA Capela do Socorro</v>
          </cell>
          <cell r="E208">
            <v>44791</v>
          </cell>
          <cell r="F208">
            <v>1907.79</v>
          </cell>
          <cell r="G208" t="str">
            <v>Em Atividade Normal</v>
          </cell>
          <cell r="H208">
            <v>44791</v>
          </cell>
          <cell r="I208">
            <v>30732</v>
          </cell>
          <cell r="J208" t="str">
            <v>230.287.828-04</v>
          </cell>
          <cell r="K208" t="str">
            <v>238.39840.31.3</v>
          </cell>
          <cell r="L208" t="str">
            <v>Salário Mensal</v>
          </cell>
          <cell r="M208" t="str">
            <v>Empregado (CLT)</v>
          </cell>
        </row>
        <row r="209">
          <cell r="D209" t="str">
            <v>ECOSAMPA Operação Geral</v>
          </cell>
          <cell r="E209">
            <v>43617</v>
          </cell>
          <cell r="F209">
            <v>1465.28</v>
          </cell>
          <cell r="G209" t="str">
            <v>Demitido em Meses Anteriores</v>
          </cell>
          <cell r="H209">
            <v>43703</v>
          </cell>
          <cell r="I209">
            <v>32117</v>
          </cell>
          <cell r="J209" t="str">
            <v>358.411.568-02</v>
          </cell>
          <cell r="K209" t="str">
            <v>206.86952.27.2</v>
          </cell>
          <cell r="L209" t="str">
            <v>Salário Mensal</v>
          </cell>
          <cell r="M209" t="str">
            <v>Empregado (CLT)</v>
          </cell>
        </row>
        <row r="210">
          <cell r="D210" t="str">
            <v>ECOSAMPA Operação Geral</v>
          </cell>
          <cell r="E210">
            <v>43617</v>
          </cell>
          <cell r="F210">
            <v>3050.22</v>
          </cell>
          <cell r="G210" t="str">
            <v>Em Atividade Normal</v>
          </cell>
          <cell r="H210">
            <v>44867</v>
          </cell>
          <cell r="I210">
            <v>30117</v>
          </cell>
          <cell r="J210" t="str">
            <v>309.785.388-03</v>
          </cell>
          <cell r="K210" t="str">
            <v>128.14810.93.8</v>
          </cell>
          <cell r="L210" t="str">
            <v>Salário Mensal</v>
          </cell>
          <cell r="M210" t="str">
            <v>Empregado (CLT)</v>
          </cell>
        </row>
        <row r="211">
          <cell r="D211" t="str">
            <v>ECOSAMPA Santo Amaro</v>
          </cell>
          <cell r="E211">
            <v>44582</v>
          </cell>
          <cell r="F211">
            <v>1603.99</v>
          </cell>
          <cell r="G211" t="str">
            <v>Gozando Férias</v>
          </cell>
          <cell r="H211">
            <v>45180</v>
          </cell>
          <cell r="I211">
            <v>34714</v>
          </cell>
          <cell r="J211" t="str">
            <v>414.460.188-90</v>
          </cell>
          <cell r="K211" t="str">
            <v>212.09336.74.1</v>
          </cell>
          <cell r="L211" t="str">
            <v>Salário Mensal</v>
          </cell>
          <cell r="M211" t="str">
            <v>Empregado (CLT)</v>
          </cell>
        </row>
        <row r="212">
          <cell r="D212" t="str">
            <v>ECOSAMPA Capela do Socorro</v>
          </cell>
          <cell r="E212">
            <v>43617</v>
          </cell>
          <cell r="F212">
            <v>3222.08</v>
          </cell>
          <cell r="G212" t="str">
            <v>Gozando Férias</v>
          </cell>
          <cell r="H212">
            <v>45180</v>
          </cell>
          <cell r="I212">
            <v>32152</v>
          </cell>
          <cell r="J212" t="str">
            <v>232.812.928-52</v>
          </cell>
          <cell r="K212" t="str">
            <v>137.69914.77.4</v>
          </cell>
          <cell r="L212" t="str">
            <v>Salário Mensal</v>
          </cell>
          <cell r="M212" t="str">
            <v>Empregado (CLT)</v>
          </cell>
        </row>
        <row r="213">
          <cell r="D213" t="str">
            <v>ECOSAMPA M'Boi Mirim</v>
          </cell>
          <cell r="E213">
            <v>43874</v>
          </cell>
          <cell r="F213">
            <v>1603.99</v>
          </cell>
          <cell r="G213" t="str">
            <v>Em Atividade Normal</v>
          </cell>
          <cell r="H213">
            <v>45086</v>
          </cell>
          <cell r="I213">
            <v>32961</v>
          </cell>
          <cell r="J213" t="str">
            <v>379.294.428-61</v>
          </cell>
          <cell r="K213" t="str">
            <v>206.88113.64.2</v>
          </cell>
          <cell r="L213" t="str">
            <v>Salário Mensal</v>
          </cell>
          <cell r="M213" t="str">
            <v>Empregado (CLT)</v>
          </cell>
        </row>
        <row r="214">
          <cell r="D214" t="str">
            <v>ECOSAMPA Operação Geral</v>
          </cell>
          <cell r="E214">
            <v>43668</v>
          </cell>
          <cell r="F214">
            <v>3050.22</v>
          </cell>
          <cell r="G214" t="str">
            <v>Em Atividade Normal</v>
          </cell>
          <cell r="H214">
            <v>44898</v>
          </cell>
          <cell r="I214">
            <v>30301</v>
          </cell>
          <cell r="J214" t="str">
            <v>219.705.918-11</v>
          </cell>
          <cell r="K214" t="str">
            <v>142.39880.09.9</v>
          </cell>
          <cell r="L214" t="str">
            <v>Salário Mensal</v>
          </cell>
          <cell r="M214" t="str">
            <v>Empregado (CLT)</v>
          </cell>
        </row>
        <row r="215">
          <cell r="D215" t="str">
            <v>ECOSAMPA Operação Geral</v>
          </cell>
          <cell r="E215">
            <v>45180</v>
          </cell>
          <cell r="F215">
            <v>1603.99</v>
          </cell>
          <cell r="G215" t="str">
            <v>Em Atividade Normal</v>
          </cell>
          <cell r="H215">
            <v>45180</v>
          </cell>
          <cell r="I215">
            <v>33912</v>
          </cell>
          <cell r="J215" t="str">
            <v>420.685.358-40</v>
          </cell>
          <cell r="K215" t="str">
            <v>210.72535.63.9</v>
          </cell>
          <cell r="L215" t="str">
            <v>Salário Mensal</v>
          </cell>
          <cell r="M215" t="str">
            <v>Empregado (CLT)</v>
          </cell>
        </row>
        <row r="216">
          <cell r="D216" t="str">
            <v>ECOSAMPA Capela do Socorro</v>
          </cell>
          <cell r="E216">
            <v>43817</v>
          </cell>
          <cell r="F216">
            <v>1319.67</v>
          </cell>
          <cell r="G216" t="str">
            <v>Demitido em Meses Anteriores</v>
          </cell>
          <cell r="H216">
            <v>44324</v>
          </cell>
          <cell r="I216">
            <v>36107</v>
          </cell>
          <cell r="J216" t="str">
            <v>705.394.321-64</v>
          </cell>
          <cell r="K216" t="str">
            <v>139.35400.97.6</v>
          </cell>
          <cell r="L216" t="str">
            <v>Salário Mensal</v>
          </cell>
          <cell r="M216" t="str">
            <v>Empregado (CLT)</v>
          </cell>
        </row>
        <row r="217">
          <cell r="D217" t="str">
            <v>ECOSAMPA Capela do Socorro</v>
          </cell>
          <cell r="E217">
            <v>43617</v>
          </cell>
          <cell r="F217">
            <v>1603.99</v>
          </cell>
          <cell r="G217" t="str">
            <v>Em Atividade Normal</v>
          </cell>
          <cell r="H217">
            <v>44835</v>
          </cell>
          <cell r="I217">
            <v>29958</v>
          </cell>
          <cell r="J217" t="str">
            <v>337.755.818-71</v>
          </cell>
          <cell r="K217" t="str">
            <v>210.24344.10.1</v>
          </cell>
          <cell r="L217" t="str">
            <v>Salário Mensal</v>
          </cell>
          <cell r="M217" t="str">
            <v>Empregado (CLT)</v>
          </cell>
        </row>
        <row r="218">
          <cell r="D218" t="str">
            <v>ECOSAMPA Operação Geral</v>
          </cell>
          <cell r="E218">
            <v>43874</v>
          </cell>
          <cell r="F218">
            <v>2509.54</v>
          </cell>
          <cell r="G218" t="str">
            <v>Demitido em Meses Anteriores</v>
          </cell>
          <cell r="H218">
            <v>44232</v>
          </cell>
          <cell r="I218">
            <v>29165</v>
          </cell>
          <cell r="J218" t="str">
            <v>286.262.938-36</v>
          </cell>
          <cell r="K218" t="str">
            <v>125.39568.05.1</v>
          </cell>
          <cell r="L218" t="str">
            <v>Salário Mensal</v>
          </cell>
          <cell r="M218" t="str">
            <v>Empregado (CLT)</v>
          </cell>
        </row>
        <row r="219">
          <cell r="D219" t="str">
            <v>ECOSAMPA Campo Limpo</v>
          </cell>
          <cell r="E219">
            <v>44368</v>
          </cell>
          <cell r="F219">
            <v>1464.83</v>
          </cell>
          <cell r="G219" t="str">
            <v>Demitido em Meses Anteriores</v>
          </cell>
          <cell r="H219">
            <v>44645</v>
          </cell>
          <cell r="I219">
            <v>34237</v>
          </cell>
          <cell r="J219" t="str">
            <v>419.538.158-47</v>
          </cell>
          <cell r="K219" t="str">
            <v>138.75095.93.5</v>
          </cell>
          <cell r="L219" t="str">
            <v>Salário Mensal</v>
          </cell>
          <cell r="M219" t="str">
            <v>Empregado (CLT)</v>
          </cell>
        </row>
        <row r="220">
          <cell r="D220" t="str">
            <v>ECOSAMPA Capela do Socorro</v>
          </cell>
          <cell r="E220">
            <v>43617</v>
          </cell>
          <cell r="F220">
            <v>1603.99</v>
          </cell>
          <cell r="G220" t="str">
            <v>Em Atividade Normal</v>
          </cell>
          <cell r="H220">
            <v>44960</v>
          </cell>
          <cell r="I220">
            <v>30473</v>
          </cell>
          <cell r="J220" t="str">
            <v>335.302.568-54</v>
          </cell>
          <cell r="K220" t="str">
            <v>136.74867.81.7</v>
          </cell>
          <cell r="L220" t="str">
            <v>Salário Mensal</v>
          </cell>
          <cell r="M220" t="str">
            <v>Empregado (CLT)</v>
          </cell>
        </row>
        <row r="221">
          <cell r="D221" t="str">
            <v>ECOSAMPA Operação Geral</v>
          </cell>
          <cell r="E221">
            <v>43619</v>
          </cell>
          <cell r="F221">
            <v>1753.43</v>
          </cell>
          <cell r="G221" t="str">
            <v>Demitido em Meses Anteriores</v>
          </cell>
          <cell r="H221">
            <v>43703</v>
          </cell>
          <cell r="I221">
            <v>29164</v>
          </cell>
          <cell r="J221" t="str">
            <v>852.647.335-20</v>
          </cell>
          <cell r="K221" t="str">
            <v>130.48896.04.9</v>
          </cell>
          <cell r="L221" t="str">
            <v>Salário Mensal</v>
          </cell>
          <cell r="M221" t="str">
            <v>Empregado (CLT)</v>
          </cell>
        </row>
        <row r="222">
          <cell r="D222" t="str">
            <v>ECOSAMPA Capela do Socorro</v>
          </cell>
          <cell r="E222">
            <v>43916</v>
          </cell>
          <cell r="F222">
            <v>1464.83</v>
          </cell>
          <cell r="G222" t="str">
            <v>Demitido em Meses Anteriores</v>
          </cell>
          <cell r="H222">
            <v>44824</v>
          </cell>
          <cell r="I222">
            <v>33693</v>
          </cell>
          <cell r="J222" t="str">
            <v>234.247.448-24</v>
          </cell>
          <cell r="K222" t="str">
            <v>212.02005.27.8</v>
          </cell>
          <cell r="L222" t="str">
            <v>Salário Mensal</v>
          </cell>
          <cell r="M222" t="str">
            <v>Empregado (CLT)</v>
          </cell>
        </row>
        <row r="223">
          <cell r="D223" t="str">
            <v>ECOSAMPA Pensionistas</v>
          </cell>
          <cell r="E223">
            <v>43965</v>
          </cell>
          <cell r="F223">
            <v>0.01</v>
          </cell>
          <cell r="G223" t="str">
            <v>Em Atividade Normal</v>
          </cell>
          <cell r="H223">
            <v>43965</v>
          </cell>
          <cell r="J223" t="str">
            <v>385.485.028-00</v>
          </cell>
          <cell r="L223" t="str">
            <v>Nenhuma</v>
          </cell>
          <cell r="M223" t="str">
            <v>Pensionista</v>
          </cell>
        </row>
        <row r="224">
          <cell r="D224" t="str">
            <v>ECOSAMPA Santo Amaro</v>
          </cell>
          <cell r="E224">
            <v>43617</v>
          </cell>
          <cell r="F224">
            <v>1603.99</v>
          </cell>
          <cell r="G224" t="str">
            <v>Em Atividade Normal</v>
          </cell>
          <cell r="H224">
            <v>45149</v>
          </cell>
          <cell r="I224">
            <v>22210</v>
          </cell>
          <cell r="J224" t="str">
            <v>129.835.588-51</v>
          </cell>
          <cell r="K224" t="str">
            <v>121.85103.40.9</v>
          </cell>
          <cell r="L224" t="str">
            <v>Salário Mensal</v>
          </cell>
          <cell r="M224" t="str">
            <v>Empregado (CLT)</v>
          </cell>
        </row>
        <row r="225">
          <cell r="D225" t="str">
            <v>ECOSAMPA Operação Geral</v>
          </cell>
          <cell r="E225">
            <v>43617</v>
          </cell>
          <cell r="F225">
            <v>3050.22</v>
          </cell>
          <cell r="G225" t="str">
            <v>Em Atividade Normal</v>
          </cell>
          <cell r="H225">
            <v>45023</v>
          </cell>
          <cell r="I225">
            <v>29461</v>
          </cell>
          <cell r="J225" t="str">
            <v>275.672.378-90</v>
          </cell>
          <cell r="K225" t="str">
            <v>128.20264.89.3</v>
          </cell>
          <cell r="L225" t="str">
            <v>Salário Mensal</v>
          </cell>
          <cell r="M225" t="str">
            <v>Empregado (CLT)</v>
          </cell>
        </row>
        <row r="226">
          <cell r="D226" t="str">
            <v>ECOSAMPA Operação Geral</v>
          </cell>
          <cell r="E226">
            <v>43617</v>
          </cell>
          <cell r="F226">
            <v>2610.2399999999998</v>
          </cell>
          <cell r="G226" t="str">
            <v>Em Atividade Normal</v>
          </cell>
          <cell r="H226">
            <v>45056</v>
          </cell>
          <cell r="I226">
            <v>33742</v>
          </cell>
          <cell r="J226" t="str">
            <v>411.796.618-93</v>
          </cell>
          <cell r="K226" t="str">
            <v>137.71673.81.9</v>
          </cell>
          <cell r="L226" t="str">
            <v>Salário Mensal</v>
          </cell>
          <cell r="M226" t="str">
            <v>Empregado (CLT)</v>
          </cell>
        </row>
        <row r="227">
          <cell r="D227" t="str">
            <v>ECOSAMPA Santo Amaro</v>
          </cell>
          <cell r="E227">
            <v>43617</v>
          </cell>
          <cell r="F227">
            <v>1281.23</v>
          </cell>
          <cell r="G227" t="str">
            <v>Demitido em Meses Anteriores</v>
          </cell>
          <cell r="H227">
            <v>43808</v>
          </cell>
          <cell r="I227">
            <v>20763</v>
          </cell>
          <cell r="J227" t="str">
            <v>949.915.378-00</v>
          </cell>
          <cell r="K227" t="str">
            <v>106.44892.73.8</v>
          </cell>
          <cell r="L227" t="str">
            <v>Salário Mensal</v>
          </cell>
          <cell r="M227" t="str">
            <v>Empregado (CLT)</v>
          </cell>
        </row>
        <row r="228">
          <cell r="D228" t="str">
            <v>ECOSAMPA Santo Amaro</v>
          </cell>
          <cell r="E228">
            <v>43617</v>
          </cell>
          <cell r="F228">
            <v>1231.95</v>
          </cell>
          <cell r="G228" t="str">
            <v>Demitido em Meses Anteriores</v>
          </cell>
          <cell r="H228">
            <v>43704</v>
          </cell>
          <cell r="I228">
            <v>29158</v>
          </cell>
          <cell r="J228" t="str">
            <v>293.657.668-77</v>
          </cell>
          <cell r="K228" t="str">
            <v>131.23428.93.0</v>
          </cell>
          <cell r="L228" t="str">
            <v>Salário Mensal</v>
          </cell>
          <cell r="M228" t="str">
            <v>Empregado (CLT)</v>
          </cell>
        </row>
        <row r="229">
          <cell r="D229" t="str">
            <v>ECOSAMPA Operação Geral</v>
          </cell>
          <cell r="E229">
            <v>43617</v>
          </cell>
          <cell r="F229">
            <v>3050.22</v>
          </cell>
          <cell r="G229" t="str">
            <v>Em Atividade Normal</v>
          </cell>
          <cell r="H229">
            <v>45119</v>
          </cell>
          <cell r="I229">
            <v>26818</v>
          </cell>
          <cell r="J229" t="str">
            <v>149.212.958-59</v>
          </cell>
          <cell r="K229" t="str">
            <v>124.59145.11.1</v>
          </cell>
          <cell r="L229" t="str">
            <v>Salário Mensal</v>
          </cell>
          <cell r="M229" t="str">
            <v>Empregado (CLT)</v>
          </cell>
        </row>
        <row r="230">
          <cell r="D230" t="str">
            <v>ECOSAMPA Santo Amaro</v>
          </cell>
          <cell r="E230">
            <v>43617</v>
          </cell>
          <cell r="F230">
            <v>1603.99</v>
          </cell>
          <cell r="G230" t="str">
            <v>Em Atividade Normal</v>
          </cell>
          <cell r="H230">
            <v>44835</v>
          </cell>
          <cell r="I230">
            <v>25715</v>
          </cell>
          <cell r="J230" t="str">
            <v>393.660.813-04</v>
          </cell>
          <cell r="K230" t="str">
            <v>124.58438.06.9</v>
          </cell>
          <cell r="L230" t="str">
            <v>Salário Mensal</v>
          </cell>
          <cell r="M230" t="str">
            <v>Empregado (CLT)</v>
          </cell>
        </row>
        <row r="231">
          <cell r="D231" t="str">
            <v>ECOSAMPA Capela do Socorro</v>
          </cell>
          <cell r="E231">
            <v>44419</v>
          </cell>
          <cell r="F231">
            <v>1603.99</v>
          </cell>
          <cell r="G231" t="str">
            <v>Em Atividade Normal</v>
          </cell>
          <cell r="H231">
            <v>45086</v>
          </cell>
          <cell r="I231">
            <v>26359</v>
          </cell>
          <cell r="J231" t="str">
            <v>151.552.688-77</v>
          </cell>
          <cell r="K231" t="str">
            <v>123.40474.73.8</v>
          </cell>
          <cell r="L231" t="str">
            <v>Salário Mensal</v>
          </cell>
          <cell r="M231" t="str">
            <v>Empregado (CLT)</v>
          </cell>
        </row>
        <row r="232">
          <cell r="D232" t="str">
            <v>ECOSAMPA Santo Amaro</v>
          </cell>
          <cell r="E232">
            <v>43617</v>
          </cell>
          <cell r="F232">
            <v>1464.83</v>
          </cell>
          <cell r="G232" t="str">
            <v>Demitido em Meses Anteriores</v>
          </cell>
          <cell r="H232">
            <v>44816</v>
          </cell>
          <cell r="I232">
            <v>25628</v>
          </cell>
          <cell r="J232" t="str">
            <v>374.179.833-91</v>
          </cell>
          <cell r="K232" t="str">
            <v>123.79112.40.3</v>
          </cell>
          <cell r="L232" t="str">
            <v>Salário Mensal</v>
          </cell>
          <cell r="M232" t="str">
            <v>Empregado (CLT)</v>
          </cell>
        </row>
        <row r="233">
          <cell r="D233" t="str">
            <v>ECOSAMPA Santo Amaro</v>
          </cell>
          <cell r="E233">
            <v>43617</v>
          </cell>
          <cell r="F233">
            <v>1603.99</v>
          </cell>
          <cell r="G233" t="str">
            <v>Em Atividade Normal</v>
          </cell>
          <cell r="H233">
            <v>45177</v>
          </cell>
          <cell r="I233">
            <v>25144</v>
          </cell>
          <cell r="J233" t="str">
            <v>350.332.312-00</v>
          </cell>
          <cell r="K233" t="str">
            <v>123.17365.90.1</v>
          </cell>
          <cell r="L233" t="str">
            <v>Salário Mensal</v>
          </cell>
          <cell r="M233" t="str">
            <v>Empregado (CLT)</v>
          </cell>
        </row>
        <row r="234">
          <cell r="D234" t="str">
            <v>ECOSAMPA Capela do Socorro</v>
          </cell>
          <cell r="E234">
            <v>43874</v>
          </cell>
          <cell r="F234">
            <v>1281.23</v>
          </cell>
          <cell r="G234" t="str">
            <v>Demitido em Meses Anteriores</v>
          </cell>
          <cell r="H234">
            <v>43888</v>
          </cell>
          <cell r="I234">
            <v>26121</v>
          </cell>
          <cell r="J234" t="str">
            <v>794.371.259-53</v>
          </cell>
          <cell r="K234" t="str">
            <v>123.37037.22.5</v>
          </cell>
          <cell r="L234" t="str">
            <v>Salário Mensal</v>
          </cell>
          <cell r="M234" t="str">
            <v>Empregado (CLT)</v>
          </cell>
        </row>
        <row r="235">
          <cell r="D235" t="str">
            <v>ECOSAMPA Campo Limpo</v>
          </cell>
          <cell r="E235">
            <v>43617</v>
          </cell>
          <cell r="F235">
            <v>1603.99</v>
          </cell>
          <cell r="G235" t="str">
            <v>Em Atividade Normal</v>
          </cell>
          <cell r="H235">
            <v>44960</v>
          </cell>
          <cell r="I235">
            <v>23327</v>
          </cell>
          <cell r="J235" t="str">
            <v>264.054.768-20</v>
          </cell>
          <cell r="K235" t="str">
            <v>121.46179.73.4</v>
          </cell>
          <cell r="L235" t="str">
            <v>Salário Mensal</v>
          </cell>
          <cell r="M235" t="str">
            <v>Empregado (CLT)</v>
          </cell>
        </row>
        <row r="236">
          <cell r="D236" t="str">
            <v>ECOSAMPA Santo Amaro</v>
          </cell>
          <cell r="E236">
            <v>44994</v>
          </cell>
          <cell r="F236">
            <v>1603.99</v>
          </cell>
          <cell r="G236" t="str">
            <v>Em Atividade Normal</v>
          </cell>
          <cell r="H236">
            <v>45184</v>
          </cell>
          <cell r="I236">
            <v>30748</v>
          </cell>
          <cell r="J236" t="str">
            <v>337.312.618-55</v>
          </cell>
          <cell r="K236" t="str">
            <v>203.44478.83.6</v>
          </cell>
          <cell r="L236" t="str">
            <v>Salário Mensal</v>
          </cell>
          <cell r="M236" t="str">
            <v>Empregado (CLT)</v>
          </cell>
        </row>
        <row r="237">
          <cell r="D237" t="str">
            <v>ECOSAMPA M'Boi Mirim</v>
          </cell>
          <cell r="E237">
            <v>43617</v>
          </cell>
          <cell r="F237">
            <v>1603.99</v>
          </cell>
          <cell r="G237" t="str">
            <v>Em Atividade Normal</v>
          </cell>
          <cell r="H237">
            <v>45023</v>
          </cell>
          <cell r="I237">
            <v>30952</v>
          </cell>
          <cell r="J237" t="str">
            <v>026.809.363-61</v>
          </cell>
          <cell r="K237" t="str">
            <v>161.48972.56.6</v>
          </cell>
          <cell r="L237" t="str">
            <v>Salário Mensal</v>
          </cell>
          <cell r="M237" t="str">
            <v>Empregado (CLT)</v>
          </cell>
        </row>
        <row r="238">
          <cell r="D238" t="str">
            <v>ECOSAMPA Capela do Socorro</v>
          </cell>
          <cell r="E238">
            <v>43617</v>
          </cell>
          <cell r="F238">
            <v>1907.79</v>
          </cell>
          <cell r="G238" t="str">
            <v>Em Atividade Normal</v>
          </cell>
          <cell r="H238">
            <v>45119</v>
          </cell>
          <cell r="I238">
            <v>27294</v>
          </cell>
          <cell r="J238" t="str">
            <v>164.144.248-46</v>
          </cell>
          <cell r="K238" t="str">
            <v>124.72647.24.9</v>
          </cell>
          <cell r="L238" t="str">
            <v>Salário Mensal</v>
          </cell>
          <cell r="M238" t="str">
            <v>Empregado (CLT)</v>
          </cell>
        </row>
        <row r="239">
          <cell r="D239" t="str">
            <v>ECOSAMPA Operação Geral</v>
          </cell>
          <cell r="E239">
            <v>44972</v>
          </cell>
          <cell r="F239">
            <v>1603.99</v>
          </cell>
          <cell r="G239" t="str">
            <v>Demitido em Meses Anteriores</v>
          </cell>
          <cell r="H239">
            <v>44986</v>
          </cell>
          <cell r="I239">
            <v>29744</v>
          </cell>
          <cell r="J239" t="str">
            <v>223.470.098-18</v>
          </cell>
          <cell r="K239" t="str">
            <v>129.35171.93.6</v>
          </cell>
          <cell r="L239" t="str">
            <v>Salário Mensal</v>
          </cell>
          <cell r="M239" t="str">
            <v>Empregado (CLT)</v>
          </cell>
        </row>
        <row r="240">
          <cell r="D240" t="str">
            <v>ECOSAMPA Capela do Socorro</v>
          </cell>
          <cell r="E240">
            <v>43617</v>
          </cell>
          <cell r="F240">
            <v>1603.99</v>
          </cell>
          <cell r="G240" t="str">
            <v>Em Atividade Normal</v>
          </cell>
          <cell r="H240">
            <v>44898</v>
          </cell>
          <cell r="I240">
            <v>25967</v>
          </cell>
          <cell r="J240" t="str">
            <v>263.801.308-02</v>
          </cell>
          <cell r="K240" t="str">
            <v>125.53962.18.7</v>
          </cell>
          <cell r="L240" t="str">
            <v>Salário Mensal</v>
          </cell>
          <cell r="M240" t="str">
            <v>Empregado (CLT)</v>
          </cell>
        </row>
        <row r="241">
          <cell r="D241" t="str">
            <v>ECOSAMPA Capela do Socorro</v>
          </cell>
          <cell r="E241">
            <v>43874</v>
          </cell>
          <cell r="F241">
            <v>1319.67</v>
          </cell>
          <cell r="G241" t="str">
            <v>Demitido em Meses Anteriores</v>
          </cell>
          <cell r="H241">
            <v>44242</v>
          </cell>
          <cell r="I241">
            <v>34436</v>
          </cell>
          <cell r="J241" t="str">
            <v>098.728.894-65</v>
          </cell>
          <cell r="K241" t="str">
            <v>160.11707.22.0</v>
          </cell>
          <cell r="L241" t="str">
            <v>Salário Mensal</v>
          </cell>
          <cell r="M241" t="str">
            <v>Empregado (CLT)</v>
          </cell>
        </row>
        <row r="242">
          <cell r="D242" t="str">
            <v>ECOSAMPA Santo Amaro</v>
          </cell>
          <cell r="E242">
            <v>43617</v>
          </cell>
          <cell r="F242">
            <v>1603.99</v>
          </cell>
          <cell r="G242" t="str">
            <v>Em Atividade Normal</v>
          </cell>
          <cell r="H242">
            <v>45149</v>
          </cell>
          <cell r="I242">
            <v>26098</v>
          </cell>
          <cell r="J242" t="str">
            <v>164.138.218-09</v>
          </cell>
          <cell r="K242" t="str">
            <v>124.38139.50.3</v>
          </cell>
          <cell r="L242" t="str">
            <v>Salário Mensal</v>
          </cell>
          <cell r="M242" t="str">
            <v>Empregado (CLT)</v>
          </cell>
        </row>
        <row r="243">
          <cell r="D243" t="str">
            <v>ECOSAMPA Capela do Socorro</v>
          </cell>
          <cell r="E243">
            <v>43617</v>
          </cell>
          <cell r="F243">
            <v>1281.23</v>
          </cell>
          <cell r="G243" t="str">
            <v>Demitido em Meses Anteriores</v>
          </cell>
          <cell r="H243">
            <v>43962</v>
          </cell>
          <cell r="I243">
            <v>28535</v>
          </cell>
          <cell r="J243" t="str">
            <v>219.145.738-03</v>
          </cell>
          <cell r="K243" t="str">
            <v>128.59726.81.2</v>
          </cell>
          <cell r="L243" t="str">
            <v>Salário Mensal</v>
          </cell>
          <cell r="M243" t="str">
            <v>Empregado (CLT)</v>
          </cell>
        </row>
        <row r="244">
          <cell r="D244" t="str">
            <v>ECOSAMPA M'Boi Mirim</v>
          </cell>
          <cell r="E244">
            <v>43617</v>
          </cell>
          <cell r="F244">
            <v>1603.99</v>
          </cell>
          <cell r="G244" t="str">
            <v>Em Atividade Normal</v>
          </cell>
          <cell r="H244">
            <v>45023</v>
          </cell>
          <cell r="I244">
            <v>23675</v>
          </cell>
          <cell r="J244" t="str">
            <v>166.241.678-40</v>
          </cell>
          <cell r="K244" t="str">
            <v>124.50256.71.9</v>
          </cell>
          <cell r="L244" t="str">
            <v>Salário Mensal</v>
          </cell>
          <cell r="M244" t="str">
            <v>Empregado (CLT)</v>
          </cell>
        </row>
        <row r="245">
          <cell r="D245" t="str">
            <v>ECOSAMPA Operação Geral</v>
          </cell>
          <cell r="E245">
            <v>44630</v>
          </cell>
          <cell r="F245">
            <v>1464.83</v>
          </cell>
          <cell r="G245" t="str">
            <v>Demitido em Meses Anteriores</v>
          </cell>
          <cell r="H245">
            <v>44662</v>
          </cell>
          <cell r="I245">
            <v>27123</v>
          </cell>
          <cell r="J245" t="str">
            <v>164.798.128-08</v>
          </cell>
          <cell r="K245" t="str">
            <v>124.26601.94.0</v>
          </cell>
          <cell r="L245" t="str">
            <v>Salário Mensal</v>
          </cell>
          <cell r="M245" t="str">
            <v>Empregado (CLT)</v>
          </cell>
        </row>
        <row r="246">
          <cell r="D246" t="str">
            <v>ECOSAMPA Capela do Socorro</v>
          </cell>
          <cell r="E246">
            <v>43617</v>
          </cell>
          <cell r="F246">
            <v>1319.67</v>
          </cell>
          <cell r="G246" t="str">
            <v>Demitido em Meses Anteriores</v>
          </cell>
          <cell r="H246">
            <v>44111</v>
          </cell>
          <cell r="I246">
            <v>27551</v>
          </cell>
          <cell r="J246" t="str">
            <v>321.275.678-03</v>
          </cell>
          <cell r="K246" t="str">
            <v>132.76410.77.9</v>
          </cell>
          <cell r="L246" t="str">
            <v>Salário Mensal</v>
          </cell>
          <cell r="M246" t="str">
            <v>Empregado (CLT)</v>
          </cell>
        </row>
        <row r="247">
          <cell r="D247" t="str">
            <v>ECOSAMPA Operação Geral</v>
          </cell>
          <cell r="E247">
            <v>43617</v>
          </cell>
          <cell r="F247">
            <v>1907.79</v>
          </cell>
          <cell r="G247" t="str">
            <v>Em Atividade Normal</v>
          </cell>
          <cell r="H247">
            <v>45177</v>
          </cell>
          <cell r="I247">
            <v>25278</v>
          </cell>
          <cell r="J247" t="str">
            <v>164.737.688-23</v>
          </cell>
          <cell r="K247" t="str">
            <v>123.75179.69.4</v>
          </cell>
          <cell r="L247" t="str">
            <v>Salário Mensal</v>
          </cell>
          <cell r="M247" t="str">
            <v>Empregado (CLT)</v>
          </cell>
        </row>
        <row r="248">
          <cell r="D248" t="str">
            <v>ECOSAMPA Operação Geral</v>
          </cell>
          <cell r="E248">
            <v>43617</v>
          </cell>
          <cell r="F248">
            <v>3043.01</v>
          </cell>
          <cell r="G248" t="str">
            <v>Em Atividade Normal</v>
          </cell>
          <cell r="H248">
            <v>45119</v>
          </cell>
          <cell r="I248">
            <v>28258</v>
          </cell>
          <cell r="J248" t="str">
            <v>987.445.855-00</v>
          </cell>
          <cell r="K248" t="str">
            <v>126.28592.04.7</v>
          </cell>
          <cell r="L248" t="str">
            <v>Salário Mensal</v>
          </cell>
          <cell r="M248" t="str">
            <v>Empregado (CLT)</v>
          </cell>
        </row>
        <row r="249">
          <cell r="D249" t="str">
            <v>ECOSAMPA Parelheiros</v>
          </cell>
          <cell r="E249">
            <v>44419</v>
          </cell>
          <cell r="F249">
            <v>1603.99</v>
          </cell>
          <cell r="G249" t="str">
            <v>Em Atividade Normal</v>
          </cell>
          <cell r="H249">
            <v>45086</v>
          </cell>
          <cell r="I249">
            <v>30428</v>
          </cell>
          <cell r="J249" t="str">
            <v>322.561.778-40</v>
          </cell>
          <cell r="K249" t="str">
            <v>131.75947.93.9</v>
          </cell>
          <cell r="L249" t="str">
            <v>Salário Mensal</v>
          </cell>
          <cell r="M249" t="str">
            <v>Empregado (CLT)</v>
          </cell>
        </row>
        <row r="250">
          <cell r="D250" t="str">
            <v>ECOSAMPA M'Boi Mirim</v>
          </cell>
          <cell r="E250">
            <v>43617</v>
          </cell>
          <cell r="F250">
            <v>1281.23</v>
          </cell>
          <cell r="G250" t="str">
            <v>Demitido em Meses Anteriores</v>
          </cell>
          <cell r="H250">
            <v>43808</v>
          </cell>
          <cell r="I250">
            <v>23628</v>
          </cell>
          <cell r="J250" t="str">
            <v>710.632.004-82</v>
          </cell>
          <cell r="K250" t="str">
            <v>122.94092.90.4</v>
          </cell>
          <cell r="L250" t="str">
            <v>Salário Mensal</v>
          </cell>
          <cell r="M250" t="str">
            <v>Empregado (CLT)</v>
          </cell>
        </row>
        <row r="251">
          <cell r="D251" t="str">
            <v>ECOSAMPA Operação Geral</v>
          </cell>
          <cell r="E251">
            <v>43617</v>
          </cell>
          <cell r="F251">
            <v>4202.05</v>
          </cell>
          <cell r="G251" t="str">
            <v>Em Atividade Normal</v>
          </cell>
          <cell r="H251">
            <v>44993</v>
          </cell>
          <cell r="I251">
            <v>21922</v>
          </cell>
          <cell r="J251" t="str">
            <v>264.363.374-15</v>
          </cell>
          <cell r="K251" t="str">
            <v>106.67248.32.0</v>
          </cell>
          <cell r="L251" t="str">
            <v>Salário Mensal</v>
          </cell>
          <cell r="M251" t="str">
            <v>Empregado (CLT)</v>
          </cell>
        </row>
        <row r="252">
          <cell r="D252" t="str">
            <v>ECOSAMPA Operação Geral</v>
          </cell>
          <cell r="E252">
            <v>43617</v>
          </cell>
          <cell r="F252">
            <v>1523.89</v>
          </cell>
          <cell r="G252" t="str">
            <v>Demitido em Meses Anteriores</v>
          </cell>
          <cell r="H252">
            <v>43991</v>
          </cell>
          <cell r="I252">
            <v>28108</v>
          </cell>
          <cell r="J252" t="str">
            <v>731.428.403-20</v>
          </cell>
          <cell r="K252" t="str">
            <v>125.46658.08.7</v>
          </cell>
          <cell r="L252" t="str">
            <v>Salário Mensal</v>
          </cell>
          <cell r="M252" t="str">
            <v>Empregado (CLT)</v>
          </cell>
        </row>
        <row r="253">
          <cell r="D253" t="str">
            <v>ECOSAMPA Administração</v>
          </cell>
          <cell r="E253">
            <v>43619</v>
          </cell>
          <cell r="F253">
            <v>3286.43</v>
          </cell>
          <cell r="G253" t="str">
            <v>Em Atividade Normal</v>
          </cell>
          <cell r="H253">
            <v>44888</v>
          </cell>
          <cell r="I253">
            <v>26368</v>
          </cell>
          <cell r="J253" t="str">
            <v>313.758.553-87</v>
          </cell>
          <cell r="K253" t="str">
            <v>180.00337.54.7</v>
          </cell>
          <cell r="L253" t="str">
            <v>Salário Mensal</v>
          </cell>
          <cell r="M253" t="str">
            <v>Empregado (CLT)</v>
          </cell>
        </row>
        <row r="254">
          <cell r="D254" t="str">
            <v>ECOSAMPA M'Boi Mirim</v>
          </cell>
          <cell r="E254">
            <v>44018</v>
          </cell>
          <cell r="F254">
            <v>1603.99</v>
          </cell>
          <cell r="G254" t="str">
            <v>Em Atividade Normal</v>
          </cell>
          <cell r="H254">
            <v>45086</v>
          </cell>
          <cell r="I254">
            <v>27192</v>
          </cell>
          <cell r="J254" t="str">
            <v>048.249.784-08</v>
          </cell>
          <cell r="K254" t="str">
            <v>124.35055.14.7</v>
          </cell>
          <cell r="L254" t="str">
            <v>Salário Mensal</v>
          </cell>
          <cell r="M254" t="str">
            <v>Empregado (CLT)</v>
          </cell>
        </row>
        <row r="255">
          <cell r="D255" t="str">
            <v>ECOSAMPA Operação Geral</v>
          </cell>
          <cell r="E255">
            <v>43617</v>
          </cell>
          <cell r="F255">
            <v>1907.79</v>
          </cell>
          <cell r="G255" t="str">
            <v>Demitido em Meses Anteriores</v>
          </cell>
          <cell r="H255">
            <v>45091</v>
          </cell>
          <cell r="I255">
            <v>32814</v>
          </cell>
          <cell r="J255" t="str">
            <v>389.569.908-08</v>
          </cell>
          <cell r="K255" t="str">
            <v>204.31616.36.6</v>
          </cell>
          <cell r="L255" t="str">
            <v>Salário Mensal</v>
          </cell>
          <cell r="M255" t="str">
            <v>Empregado (CLT)</v>
          </cell>
        </row>
        <row r="256">
          <cell r="D256" t="str">
            <v>ECOSAMPA Operação Geral</v>
          </cell>
          <cell r="E256">
            <v>43682</v>
          </cell>
          <cell r="F256">
            <v>15623.88</v>
          </cell>
          <cell r="G256" t="str">
            <v>Em Atividade Normal</v>
          </cell>
          <cell r="H256">
            <v>45112</v>
          </cell>
          <cell r="I256">
            <v>22626</v>
          </cell>
          <cell r="J256" t="str">
            <v>073.153.518-92</v>
          </cell>
          <cell r="K256" t="str">
            <v>108.55474.83.9</v>
          </cell>
          <cell r="L256" t="str">
            <v>Salário Mensal</v>
          </cell>
          <cell r="M256" t="str">
            <v>Empregado (CLT)</v>
          </cell>
        </row>
        <row r="257">
          <cell r="D257" t="str">
            <v>ECOSAMPA M'Boi Mirim</v>
          </cell>
          <cell r="E257">
            <v>43617</v>
          </cell>
          <cell r="F257">
            <v>1281.23</v>
          </cell>
          <cell r="G257" t="str">
            <v>Demitido em Meses Anteriores</v>
          </cell>
          <cell r="H257">
            <v>43808</v>
          </cell>
          <cell r="I257">
            <v>19726</v>
          </cell>
          <cell r="J257" t="str">
            <v>047.291.868-00</v>
          </cell>
          <cell r="K257" t="str">
            <v>120.41592.65.8</v>
          </cell>
          <cell r="L257" t="str">
            <v>Salário Mensal</v>
          </cell>
          <cell r="M257" t="str">
            <v>Empregado (CLT)</v>
          </cell>
        </row>
        <row r="258">
          <cell r="D258" t="str">
            <v>ECOSAMPA Santo Amaro</v>
          </cell>
          <cell r="E258">
            <v>44582</v>
          </cell>
          <cell r="F258">
            <v>1603.99</v>
          </cell>
          <cell r="G258" t="str">
            <v>Em Atividade Normal</v>
          </cell>
          <cell r="H258">
            <v>44582</v>
          </cell>
          <cell r="I258">
            <v>32089</v>
          </cell>
          <cell r="J258" t="str">
            <v>052.032.785-39</v>
          </cell>
          <cell r="K258" t="str">
            <v>160.47074.36.8</v>
          </cell>
          <cell r="L258" t="str">
            <v>Salário Mensal</v>
          </cell>
          <cell r="M258" t="str">
            <v>Empregado (CLT)</v>
          </cell>
        </row>
        <row r="259">
          <cell r="D259" t="str">
            <v>ECOSAMPA Santo Amaro</v>
          </cell>
          <cell r="E259">
            <v>43617</v>
          </cell>
          <cell r="F259">
            <v>1319.67</v>
          </cell>
          <cell r="G259" t="str">
            <v>Demitido em Meses Anteriores</v>
          </cell>
          <cell r="H259">
            <v>44242</v>
          </cell>
          <cell r="I259">
            <v>29018</v>
          </cell>
          <cell r="J259" t="str">
            <v>799.542.433-72</v>
          </cell>
          <cell r="K259" t="str">
            <v>127.52074.85.0</v>
          </cell>
          <cell r="L259" t="str">
            <v>Salário Mensal</v>
          </cell>
          <cell r="M259" t="str">
            <v>Empregado (CLT)</v>
          </cell>
        </row>
        <row r="260">
          <cell r="D260" t="str">
            <v>ECOSAMPA Operação Geral</v>
          </cell>
          <cell r="E260">
            <v>43617</v>
          </cell>
          <cell r="F260">
            <v>3050.22</v>
          </cell>
          <cell r="G260" t="str">
            <v>Em Atividade Normal</v>
          </cell>
          <cell r="H260">
            <v>45149</v>
          </cell>
          <cell r="I260">
            <v>23555</v>
          </cell>
          <cell r="J260" t="str">
            <v>083.406.188-06</v>
          </cell>
          <cell r="K260" t="str">
            <v>108.87257.60.4</v>
          </cell>
          <cell r="L260" t="str">
            <v>Salário Mensal</v>
          </cell>
          <cell r="M260" t="str">
            <v>Empregado (CLT)</v>
          </cell>
        </row>
        <row r="261">
          <cell r="D261" t="str">
            <v>ECOSAMPA Capela do Socorro</v>
          </cell>
          <cell r="E261">
            <v>43617</v>
          </cell>
          <cell r="F261">
            <v>1603.99</v>
          </cell>
          <cell r="G261" t="str">
            <v>Em Atividade Normal</v>
          </cell>
          <cell r="H261">
            <v>44960</v>
          </cell>
          <cell r="I261">
            <v>23648</v>
          </cell>
          <cell r="J261" t="str">
            <v>135.535.528-16</v>
          </cell>
          <cell r="K261" t="str">
            <v>120.66471.53.6</v>
          </cell>
          <cell r="L261" t="str">
            <v>Salário Mensal</v>
          </cell>
          <cell r="M261" t="str">
            <v>Empregado (CLT)</v>
          </cell>
        </row>
        <row r="262">
          <cell r="D262" t="str">
            <v>ECOSAMPA Campo Limpo</v>
          </cell>
          <cell r="E262">
            <v>43617</v>
          </cell>
          <cell r="F262">
            <v>1603.99</v>
          </cell>
          <cell r="G262" t="str">
            <v>Em Atividade Normal</v>
          </cell>
          <cell r="H262">
            <v>45177</v>
          </cell>
          <cell r="I262">
            <v>23052</v>
          </cell>
          <cell r="J262" t="str">
            <v>116.070.228-42</v>
          </cell>
          <cell r="K262" t="str">
            <v>122.40260.82.5</v>
          </cell>
          <cell r="L262" t="str">
            <v>Salário Mensal</v>
          </cell>
          <cell r="M262" t="str">
            <v>Empregado (CLT)</v>
          </cell>
        </row>
        <row r="263">
          <cell r="D263" t="str">
            <v>ECOSAMPA Santo Amaro</v>
          </cell>
          <cell r="E263">
            <v>43617</v>
          </cell>
          <cell r="F263">
            <v>1603.99</v>
          </cell>
          <cell r="G263" t="str">
            <v>Gozando Férias</v>
          </cell>
          <cell r="H263">
            <v>45180</v>
          </cell>
          <cell r="I263">
            <v>22530</v>
          </cell>
          <cell r="J263" t="str">
            <v>076.930.928-38</v>
          </cell>
          <cell r="K263" t="str">
            <v>121.03506.12.1</v>
          </cell>
          <cell r="L263" t="str">
            <v>Salário Mensal</v>
          </cell>
          <cell r="M263" t="str">
            <v>Empregado (CLT)</v>
          </cell>
        </row>
        <row r="264">
          <cell r="D264" t="str">
            <v>ECOSAMPA Santo Amaro</v>
          </cell>
          <cell r="E264">
            <v>43617</v>
          </cell>
          <cell r="F264">
            <v>1281.23</v>
          </cell>
          <cell r="G264" t="str">
            <v>Demitido em Meses Anteriores</v>
          </cell>
          <cell r="H264">
            <v>44033</v>
          </cell>
          <cell r="I264">
            <v>16852</v>
          </cell>
          <cell r="J264" t="str">
            <v>349.687.924-68</v>
          </cell>
          <cell r="K264" t="str">
            <v>106.80680.99.0</v>
          </cell>
          <cell r="L264" t="str">
            <v>Salário Mensal</v>
          </cell>
          <cell r="M264" t="str">
            <v>Empregado (CLT)</v>
          </cell>
        </row>
        <row r="265">
          <cell r="D265" t="str">
            <v>ECOSAMPA Capela do Socorro</v>
          </cell>
          <cell r="E265">
            <v>43617</v>
          </cell>
          <cell r="F265">
            <v>1281.23</v>
          </cell>
          <cell r="G265" t="str">
            <v>Demitido em Meses Anteriores</v>
          </cell>
          <cell r="H265">
            <v>43808</v>
          </cell>
          <cell r="I265">
            <v>20652</v>
          </cell>
          <cell r="J265" t="str">
            <v>529.964.685-20</v>
          </cell>
          <cell r="K265" t="str">
            <v>123.21863.90.2</v>
          </cell>
          <cell r="L265" t="str">
            <v>Salário Mensal</v>
          </cell>
          <cell r="M265" t="str">
            <v>Empregado (CLT)</v>
          </cell>
        </row>
        <row r="266">
          <cell r="D266" t="str">
            <v>ECOSAMPA Operação Geral</v>
          </cell>
          <cell r="E266">
            <v>43617</v>
          </cell>
          <cell r="F266">
            <v>3050.22</v>
          </cell>
          <cell r="G266" t="str">
            <v>Gozando Férias</v>
          </cell>
          <cell r="H266">
            <v>45180</v>
          </cell>
          <cell r="I266">
            <v>22345</v>
          </cell>
          <cell r="J266" t="str">
            <v>296.421.084-53</v>
          </cell>
          <cell r="K266" t="str">
            <v>108.97138.38.1</v>
          </cell>
          <cell r="L266" t="str">
            <v>Salário Mensal</v>
          </cell>
          <cell r="M266" t="str">
            <v>Empregado (CLT)</v>
          </cell>
        </row>
        <row r="267">
          <cell r="D267" t="str">
            <v>ECOSAMPA Campo Limpo</v>
          </cell>
          <cell r="E267">
            <v>43617</v>
          </cell>
          <cell r="F267">
            <v>1603.99</v>
          </cell>
          <cell r="G267" t="str">
            <v>Em Atividade Normal</v>
          </cell>
          <cell r="H267">
            <v>45000</v>
          </cell>
          <cell r="I267">
            <v>24150</v>
          </cell>
          <cell r="J267" t="str">
            <v>489.512.345-68</v>
          </cell>
          <cell r="K267" t="str">
            <v>125.49672.73.0</v>
          </cell>
          <cell r="L267" t="str">
            <v>Salário Mensal</v>
          </cell>
          <cell r="M267" t="str">
            <v>Empregado (CLT)</v>
          </cell>
        </row>
        <row r="268">
          <cell r="D268" t="str">
            <v>ECOSAMPA Santo Amaro</v>
          </cell>
          <cell r="E268">
            <v>43617</v>
          </cell>
          <cell r="F268">
            <v>1319.67</v>
          </cell>
          <cell r="G268" t="str">
            <v>Demitido em Meses Anteriores</v>
          </cell>
          <cell r="H268">
            <v>44299</v>
          </cell>
          <cell r="I268">
            <v>21592</v>
          </cell>
          <cell r="J268" t="str">
            <v>475.849.554-87</v>
          </cell>
          <cell r="K268" t="str">
            <v>123.56816.62.5</v>
          </cell>
          <cell r="L268" t="str">
            <v>Salário Mensal</v>
          </cell>
          <cell r="M268" t="str">
            <v>Empregado (CLT)</v>
          </cell>
        </row>
        <row r="269">
          <cell r="D269" t="str">
            <v>ECOSAMPA Operação Geral</v>
          </cell>
          <cell r="E269">
            <v>43617</v>
          </cell>
          <cell r="F269">
            <v>3050.22</v>
          </cell>
          <cell r="G269" t="str">
            <v>Em Atividade Normal</v>
          </cell>
          <cell r="H269">
            <v>44990</v>
          </cell>
          <cell r="I269">
            <v>27304</v>
          </cell>
          <cell r="J269" t="str">
            <v>007.971.656-30</v>
          </cell>
          <cell r="K269" t="str">
            <v>128.34068.85.4</v>
          </cell>
          <cell r="L269" t="str">
            <v>Salário Mensal</v>
          </cell>
          <cell r="M269" t="str">
            <v>Empregado (CLT)</v>
          </cell>
        </row>
        <row r="270">
          <cell r="D270" t="str">
            <v>ECOSAMPA Santo Amaro</v>
          </cell>
          <cell r="E270">
            <v>43617</v>
          </cell>
          <cell r="F270">
            <v>1603.99</v>
          </cell>
          <cell r="G270" t="str">
            <v>Em Atividade Normal</v>
          </cell>
          <cell r="H270">
            <v>45143</v>
          </cell>
          <cell r="I270">
            <v>25806</v>
          </cell>
          <cell r="J270" t="str">
            <v>139.727.998-29</v>
          </cell>
          <cell r="K270" t="str">
            <v>122.48834.85.5</v>
          </cell>
          <cell r="L270" t="str">
            <v>Salário Mensal</v>
          </cell>
          <cell r="M270" t="str">
            <v>Empregado (CLT)</v>
          </cell>
        </row>
        <row r="271">
          <cell r="D271" t="str">
            <v>ECOSAMPA Operação Geral</v>
          </cell>
          <cell r="E271">
            <v>43916</v>
          </cell>
          <cell r="F271">
            <v>1464.83</v>
          </cell>
          <cell r="G271" t="str">
            <v>Demitido em Meses Anteriores</v>
          </cell>
          <cell r="H271">
            <v>44505</v>
          </cell>
          <cell r="I271">
            <v>29799</v>
          </cell>
          <cell r="J271" t="str">
            <v>016.698.893-60</v>
          </cell>
          <cell r="K271" t="str">
            <v>129.16094.04.2</v>
          </cell>
          <cell r="L271" t="str">
            <v>Salário Mensal</v>
          </cell>
          <cell r="M271" t="str">
            <v>Empregado (CLT)</v>
          </cell>
        </row>
        <row r="272">
          <cell r="D272" t="str">
            <v>ECOSAMPA Capela do Socorro</v>
          </cell>
          <cell r="E272">
            <v>43617</v>
          </cell>
          <cell r="F272">
            <v>1603.99</v>
          </cell>
          <cell r="G272" t="str">
            <v>Em Atividade Normal</v>
          </cell>
          <cell r="H272">
            <v>45177</v>
          </cell>
          <cell r="I272">
            <v>24226</v>
          </cell>
          <cell r="J272" t="str">
            <v>743.807.534-68</v>
          </cell>
          <cell r="K272" t="str">
            <v>123.70707.33.1</v>
          </cell>
          <cell r="L272" t="str">
            <v>Salário Mensal</v>
          </cell>
          <cell r="M272" t="str">
            <v>Empregado (CLT)</v>
          </cell>
        </row>
        <row r="273">
          <cell r="D273" t="str">
            <v>ECOSAMPA M'Boi Mirim</v>
          </cell>
          <cell r="E273">
            <v>44725</v>
          </cell>
          <cell r="F273">
            <v>1603.99</v>
          </cell>
          <cell r="G273" t="str">
            <v>Em Atividade Normal</v>
          </cell>
          <cell r="H273">
            <v>44725</v>
          </cell>
          <cell r="I273">
            <v>30115</v>
          </cell>
          <cell r="J273" t="str">
            <v>045.718.925-86</v>
          </cell>
          <cell r="K273" t="str">
            <v>161.29414.73.1</v>
          </cell>
          <cell r="L273" t="str">
            <v>Salário Mensal</v>
          </cell>
          <cell r="M273" t="str">
            <v>Empregado (CLT)</v>
          </cell>
        </row>
        <row r="274">
          <cell r="D274" t="str">
            <v>ECOSAMPA Operação Geral</v>
          </cell>
          <cell r="E274">
            <v>43617</v>
          </cell>
          <cell r="F274">
            <v>2436.4499999999998</v>
          </cell>
          <cell r="G274" t="str">
            <v>Demitido em Meses Anteriores</v>
          </cell>
          <cell r="H274">
            <v>43801</v>
          </cell>
          <cell r="I274">
            <v>30610</v>
          </cell>
          <cell r="J274" t="str">
            <v>321.114.258-42</v>
          </cell>
          <cell r="K274" t="str">
            <v>130.96843.81.2</v>
          </cell>
          <cell r="L274" t="str">
            <v>Salário Mensal</v>
          </cell>
          <cell r="M274" t="str">
            <v>Empregado (CLT)</v>
          </cell>
        </row>
        <row r="275">
          <cell r="D275" t="str">
            <v>ECOSAMPA Santo Amaro</v>
          </cell>
          <cell r="E275">
            <v>43617</v>
          </cell>
          <cell r="F275">
            <v>1603.99</v>
          </cell>
          <cell r="G275" t="str">
            <v>Em Atividade Normal</v>
          </cell>
          <cell r="H275">
            <v>45149</v>
          </cell>
          <cell r="I275">
            <v>26593</v>
          </cell>
          <cell r="J275" t="str">
            <v>587.133.524-15</v>
          </cell>
          <cell r="K275" t="str">
            <v>122.73725.46.0</v>
          </cell>
          <cell r="L275" t="str">
            <v>Salário Mensal</v>
          </cell>
          <cell r="M275" t="str">
            <v>Empregado (CLT)</v>
          </cell>
        </row>
        <row r="276">
          <cell r="D276" t="str">
            <v>ECOSAMPA Campo Limpo</v>
          </cell>
          <cell r="E276">
            <v>43617</v>
          </cell>
          <cell r="F276">
            <v>1603.99</v>
          </cell>
          <cell r="G276" t="str">
            <v>Gozando Férias</v>
          </cell>
          <cell r="H276">
            <v>45180</v>
          </cell>
          <cell r="I276">
            <v>26036</v>
          </cell>
          <cell r="J276" t="str">
            <v>164.151.738-71</v>
          </cell>
          <cell r="K276" t="str">
            <v>124.38196.60.4</v>
          </cell>
          <cell r="L276" t="str">
            <v>Salário Mensal</v>
          </cell>
          <cell r="M276" t="str">
            <v>Empregado (CLT)</v>
          </cell>
        </row>
        <row r="277">
          <cell r="D277" t="str">
            <v>ECOSAMPA Santo Amaro</v>
          </cell>
          <cell r="E277">
            <v>43617</v>
          </cell>
          <cell r="F277">
            <v>1281.23</v>
          </cell>
          <cell r="G277" t="str">
            <v>Demitido em Meses Anteriores</v>
          </cell>
          <cell r="H277">
            <v>43780</v>
          </cell>
          <cell r="I277">
            <v>25836</v>
          </cell>
          <cell r="J277" t="str">
            <v>968.776.183-00</v>
          </cell>
          <cell r="K277" t="str">
            <v>122.75712.84.6</v>
          </cell>
          <cell r="L277" t="str">
            <v>Salário Mensal</v>
          </cell>
          <cell r="M277" t="str">
            <v>Empregado (CLT)</v>
          </cell>
        </row>
        <row r="278">
          <cell r="D278" t="str">
            <v>ECOSAMPA Campo Limpo</v>
          </cell>
          <cell r="E278">
            <v>43617</v>
          </cell>
          <cell r="F278">
            <v>1281.23</v>
          </cell>
          <cell r="G278" t="str">
            <v>Demitido em Meses Anteriores</v>
          </cell>
          <cell r="H278">
            <v>43899</v>
          </cell>
          <cell r="I278">
            <v>18607</v>
          </cell>
          <cell r="J278" t="str">
            <v>013.068.968-86</v>
          </cell>
          <cell r="K278" t="str">
            <v>108.20002.27.2</v>
          </cell>
          <cell r="L278" t="str">
            <v>Salário Mensal</v>
          </cell>
          <cell r="M278" t="str">
            <v>Empregado (CLT)</v>
          </cell>
        </row>
        <row r="279">
          <cell r="D279" t="str">
            <v>ECOSAMPA Operação Geral</v>
          </cell>
          <cell r="E279">
            <v>43776</v>
          </cell>
          <cell r="F279">
            <v>2536.4499999999998</v>
          </cell>
          <cell r="G279" t="str">
            <v>Demitido em Meses Anteriores</v>
          </cell>
          <cell r="H279">
            <v>44032</v>
          </cell>
          <cell r="I279">
            <v>19461</v>
          </cell>
          <cell r="J279" t="str">
            <v>664.974.938-91</v>
          </cell>
          <cell r="K279" t="str">
            <v>103.74216.20.4</v>
          </cell>
          <cell r="L279" t="str">
            <v>Salário Mensal</v>
          </cell>
          <cell r="M279" t="str">
            <v>Empregado (CLT)</v>
          </cell>
        </row>
        <row r="280">
          <cell r="D280" t="str">
            <v>ECOSAMPA Santo Amaro</v>
          </cell>
          <cell r="E280">
            <v>44330</v>
          </cell>
          <cell r="F280">
            <v>1464.83</v>
          </cell>
          <cell r="G280" t="str">
            <v>Demitido em Meses Anteriores</v>
          </cell>
          <cell r="H280">
            <v>44632</v>
          </cell>
          <cell r="I280">
            <v>19461</v>
          </cell>
          <cell r="J280" t="str">
            <v>664.974.938-91</v>
          </cell>
          <cell r="K280" t="str">
            <v>103.74216.20.4</v>
          </cell>
          <cell r="L280" t="str">
            <v>Salário Mensal</v>
          </cell>
          <cell r="M280" t="str">
            <v>Empregado (CLT)</v>
          </cell>
        </row>
        <row r="281">
          <cell r="D281" t="str">
            <v>ECOSAMPA Campo Limpo</v>
          </cell>
          <cell r="E281">
            <v>43617</v>
          </cell>
          <cell r="F281">
            <v>1281.23</v>
          </cell>
          <cell r="G281" t="str">
            <v>Demitido em Meses Anteriores</v>
          </cell>
          <cell r="H281">
            <v>43808</v>
          </cell>
          <cell r="I281">
            <v>19260</v>
          </cell>
          <cell r="J281" t="str">
            <v>877.389.378-15</v>
          </cell>
          <cell r="K281" t="str">
            <v>104.22788.49.7</v>
          </cell>
          <cell r="L281" t="str">
            <v>Salário Mensal</v>
          </cell>
          <cell r="M281" t="str">
            <v>Empregado (CLT)</v>
          </cell>
        </row>
        <row r="282">
          <cell r="D282" t="str">
            <v>ECOSAMPA Campo Limpo</v>
          </cell>
          <cell r="E282">
            <v>43617</v>
          </cell>
          <cell r="F282">
            <v>1281.23</v>
          </cell>
          <cell r="G282" t="str">
            <v>Demitido em Meses Anteriores</v>
          </cell>
          <cell r="H282">
            <v>43895</v>
          </cell>
          <cell r="I282">
            <v>33288</v>
          </cell>
          <cell r="J282" t="str">
            <v>381.415.278-60</v>
          </cell>
          <cell r="K282" t="str">
            <v>141.68533.72.3</v>
          </cell>
          <cell r="L282" t="str">
            <v>Salário Mensal</v>
          </cell>
          <cell r="M282" t="str">
            <v>Empregado (CLT)</v>
          </cell>
        </row>
        <row r="283">
          <cell r="D283" t="str">
            <v>ECOSAMPA Operação Geral</v>
          </cell>
          <cell r="E283">
            <v>43917</v>
          </cell>
          <cell r="F283">
            <v>3050.22</v>
          </cell>
          <cell r="G283" t="str">
            <v>Em Atividade Normal</v>
          </cell>
          <cell r="H283">
            <v>45056</v>
          </cell>
          <cell r="I283">
            <v>28764</v>
          </cell>
          <cell r="J283" t="str">
            <v>801.177.083-72</v>
          </cell>
          <cell r="K283" t="str">
            <v>127.74041.93.9</v>
          </cell>
          <cell r="L283" t="str">
            <v>Salário Mensal</v>
          </cell>
          <cell r="M283" t="str">
            <v>Empregado (CLT)</v>
          </cell>
        </row>
        <row r="284">
          <cell r="D284" t="str">
            <v>ECOSAMPA Campo Limpo</v>
          </cell>
          <cell r="E284">
            <v>44419</v>
          </cell>
          <cell r="F284">
            <v>1319.67</v>
          </cell>
          <cell r="G284" t="str">
            <v>Demitido em Meses Anteriores</v>
          </cell>
          <cell r="H284">
            <v>44449</v>
          </cell>
          <cell r="I284">
            <v>22876</v>
          </cell>
          <cell r="J284" t="str">
            <v>064.053.598-40</v>
          </cell>
          <cell r="K284" t="str">
            <v>107.74318.01.2</v>
          </cell>
          <cell r="L284" t="str">
            <v>Salário Mensal</v>
          </cell>
          <cell r="M284" t="str">
            <v>Empregado (CLT)</v>
          </cell>
        </row>
        <row r="285">
          <cell r="D285" t="str">
            <v>ECOSAMPA Capela do Socorro</v>
          </cell>
          <cell r="E285">
            <v>43617</v>
          </cell>
          <cell r="F285">
            <v>1603.99</v>
          </cell>
          <cell r="G285" t="str">
            <v>Em Atividade Normal</v>
          </cell>
          <cell r="H285">
            <v>45177</v>
          </cell>
          <cell r="I285">
            <v>24112</v>
          </cell>
          <cell r="J285" t="str">
            <v>134.593.368-11</v>
          </cell>
          <cell r="K285" t="str">
            <v>123.83154.10.7</v>
          </cell>
          <cell r="L285" t="str">
            <v>Salário Mensal</v>
          </cell>
          <cell r="M285" t="str">
            <v>Empregado (CLT)</v>
          </cell>
        </row>
        <row r="286">
          <cell r="D286" t="str">
            <v>ECOSAMPA Operação Geral</v>
          </cell>
          <cell r="E286">
            <v>43617</v>
          </cell>
          <cell r="F286">
            <v>1523.89</v>
          </cell>
          <cell r="G286" t="str">
            <v>Demitido em Meses Anteriores</v>
          </cell>
          <cell r="H286">
            <v>43974</v>
          </cell>
          <cell r="I286">
            <v>29164</v>
          </cell>
          <cell r="J286" t="str">
            <v>841.610.783-15</v>
          </cell>
          <cell r="K286" t="str">
            <v>128.18384.77.1</v>
          </cell>
          <cell r="L286" t="str">
            <v>Salário Mensal</v>
          </cell>
          <cell r="M286" t="str">
            <v>Empregado (CLT)</v>
          </cell>
        </row>
        <row r="287">
          <cell r="D287" t="str">
            <v>ECOSAMPA M'Boi Mirim</v>
          </cell>
          <cell r="E287">
            <v>43617</v>
          </cell>
          <cell r="F287">
            <v>1281.23</v>
          </cell>
          <cell r="G287" t="str">
            <v>Demitido em Meses Anteriores</v>
          </cell>
          <cell r="H287">
            <v>43808</v>
          </cell>
          <cell r="I287">
            <v>20474</v>
          </cell>
          <cell r="J287" t="str">
            <v>270.189.894-34</v>
          </cell>
          <cell r="K287" t="str">
            <v>102.37298.77.2</v>
          </cell>
          <cell r="L287" t="str">
            <v>Salário Mensal</v>
          </cell>
          <cell r="M287" t="str">
            <v>Empregado (CLT)</v>
          </cell>
        </row>
        <row r="288">
          <cell r="D288" t="str">
            <v>ECOSAMPA Santo Amaro</v>
          </cell>
          <cell r="E288">
            <v>43617</v>
          </cell>
          <cell r="F288">
            <v>1603.99</v>
          </cell>
          <cell r="G288" t="str">
            <v>Em Atividade Normal</v>
          </cell>
          <cell r="H288">
            <v>44835</v>
          </cell>
          <cell r="I288">
            <v>26647</v>
          </cell>
          <cell r="J288" t="str">
            <v>268.841.638-36</v>
          </cell>
          <cell r="K288" t="str">
            <v>127.20470.93.9</v>
          </cell>
          <cell r="L288" t="str">
            <v>Salário Mensal</v>
          </cell>
          <cell r="M288" t="str">
            <v>Empregado (CLT)</v>
          </cell>
        </row>
        <row r="289">
          <cell r="D289" t="str">
            <v>ECOSAMPA Campo Limpo</v>
          </cell>
          <cell r="E289">
            <v>43617</v>
          </cell>
          <cell r="F289">
            <v>1603.99</v>
          </cell>
          <cell r="G289" t="str">
            <v>Gozando Férias</v>
          </cell>
          <cell r="H289">
            <v>45180</v>
          </cell>
          <cell r="I289">
            <v>23259</v>
          </cell>
          <cell r="J289" t="str">
            <v>529.557.299-49</v>
          </cell>
          <cell r="K289" t="str">
            <v>121.71571.71.5</v>
          </cell>
          <cell r="L289" t="str">
            <v>Salário Mensal</v>
          </cell>
          <cell r="M289" t="str">
            <v>Empregado (CLT)</v>
          </cell>
        </row>
        <row r="290">
          <cell r="D290" t="str">
            <v>ECOSAMPA Operação Geral</v>
          </cell>
          <cell r="E290">
            <v>43617</v>
          </cell>
          <cell r="F290">
            <v>1523.89</v>
          </cell>
          <cell r="G290" t="str">
            <v>Demitido em Meses Anteriores</v>
          </cell>
          <cell r="H290">
            <v>43974</v>
          </cell>
          <cell r="I290">
            <v>25326</v>
          </cell>
          <cell r="J290" t="str">
            <v>487.829.395-00</v>
          </cell>
          <cell r="K290" t="str">
            <v>169.90998.00.9</v>
          </cell>
          <cell r="L290" t="str">
            <v>Salário Mensal</v>
          </cell>
          <cell r="M290" t="str">
            <v>Empregado (CLT)</v>
          </cell>
        </row>
        <row r="291">
          <cell r="D291" t="str">
            <v>ECOSAMPA Operação Geral</v>
          </cell>
          <cell r="E291">
            <v>43617</v>
          </cell>
          <cell r="F291">
            <v>5555.31</v>
          </cell>
          <cell r="G291" t="str">
            <v>Em Atividade Normal</v>
          </cell>
          <cell r="H291">
            <v>45023</v>
          </cell>
          <cell r="I291">
            <v>28689</v>
          </cell>
          <cell r="J291" t="str">
            <v>269.777.988-40</v>
          </cell>
          <cell r="K291" t="str">
            <v>126.71903.85.7</v>
          </cell>
          <cell r="L291" t="str">
            <v>Salário Mensal</v>
          </cell>
          <cell r="M291" t="str">
            <v>Empregado (CLT)</v>
          </cell>
        </row>
        <row r="292">
          <cell r="D292" t="str">
            <v>ECOSAMPA Campo Limpo</v>
          </cell>
          <cell r="E292">
            <v>43617</v>
          </cell>
          <cell r="F292">
            <v>1603.99</v>
          </cell>
          <cell r="G292" t="str">
            <v>Gozando Férias</v>
          </cell>
          <cell r="H292">
            <v>45180</v>
          </cell>
          <cell r="I292">
            <v>27022</v>
          </cell>
          <cell r="J292" t="str">
            <v>900.784.384-20</v>
          </cell>
          <cell r="K292" t="str">
            <v>124.87921.87.2</v>
          </cell>
          <cell r="L292" t="str">
            <v>Salário Mensal</v>
          </cell>
          <cell r="M292" t="str">
            <v>Empregado (CLT)</v>
          </cell>
        </row>
        <row r="293">
          <cell r="D293" t="str">
            <v>ECOSAMPA Parelheiros</v>
          </cell>
          <cell r="E293">
            <v>43617</v>
          </cell>
          <cell r="F293">
            <v>1231.95</v>
          </cell>
          <cell r="G293" t="str">
            <v>Demitido em Meses Anteriores</v>
          </cell>
          <cell r="H293">
            <v>43704</v>
          </cell>
          <cell r="I293">
            <v>22162</v>
          </cell>
          <cell r="J293" t="str">
            <v>134.585.298-37</v>
          </cell>
          <cell r="K293" t="str">
            <v>121.45879.48.1</v>
          </cell>
          <cell r="L293" t="str">
            <v>Salário Mensal</v>
          </cell>
          <cell r="M293" t="str">
            <v>Empregado (CLT)</v>
          </cell>
        </row>
        <row r="294">
          <cell r="D294" t="str">
            <v>ECOSAMPA Operação Geral</v>
          </cell>
          <cell r="E294">
            <v>43617</v>
          </cell>
          <cell r="F294">
            <v>3050.22</v>
          </cell>
          <cell r="G294" t="str">
            <v>Em Atividade Normal</v>
          </cell>
          <cell r="H294">
            <v>44898</v>
          </cell>
          <cell r="I294">
            <v>31986</v>
          </cell>
          <cell r="J294" t="str">
            <v>036.211.245-27</v>
          </cell>
          <cell r="K294" t="str">
            <v>160.11055.13.4</v>
          </cell>
          <cell r="L294" t="str">
            <v>Salário Mensal</v>
          </cell>
          <cell r="M294" t="str">
            <v>Empregado (CLT)</v>
          </cell>
        </row>
        <row r="295">
          <cell r="D295" t="str">
            <v>ECOSAMPA M'Boi Mirim</v>
          </cell>
          <cell r="E295">
            <v>43617</v>
          </cell>
          <cell r="F295">
            <v>1603.99</v>
          </cell>
          <cell r="G295" t="str">
            <v>Em Atividade Normal</v>
          </cell>
          <cell r="H295">
            <v>45023</v>
          </cell>
          <cell r="I295">
            <v>31479</v>
          </cell>
          <cell r="J295" t="str">
            <v>029.083.833-90</v>
          </cell>
          <cell r="K295" t="str">
            <v>160.01067.81.4</v>
          </cell>
          <cell r="L295" t="str">
            <v>Salário Mensal</v>
          </cell>
          <cell r="M295" t="str">
            <v>Empregado (CLT)</v>
          </cell>
        </row>
        <row r="296">
          <cell r="D296" t="str">
            <v>ECOSAMPA Santo Amaro</v>
          </cell>
          <cell r="E296">
            <v>43617</v>
          </cell>
          <cell r="F296">
            <v>1603.99</v>
          </cell>
          <cell r="G296" t="str">
            <v>Em Atividade Normal</v>
          </cell>
          <cell r="H296">
            <v>45070</v>
          </cell>
          <cell r="I296">
            <v>25240</v>
          </cell>
          <cell r="J296" t="str">
            <v>118.756.038-32</v>
          </cell>
          <cell r="K296" t="str">
            <v>124.02733.83.9</v>
          </cell>
          <cell r="L296" t="str">
            <v>Salário Mensal</v>
          </cell>
          <cell r="M296" t="str">
            <v>Empregado (CLT)</v>
          </cell>
        </row>
        <row r="297">
          <cell r="D297" t="str">
            <v>ECOSAMPA Parelheiros</v>
          </cell>
          <cell r="E297">
            <v>43617</v>
          </cell>
          <cell r="F297">
            <v>1603.99</v>
          </cell>
          <cell r="G297" t="str">
            <v>Em Atividade Normal</v>
          </cell>
          <cell r="H297">
            <v>45119</v>
          </cell>
          <cell r="I297">
            <v>25281</v>
          </cell>
          <cell r="J297" t="str">
            <v>223.645.768-57</v>
          </cell>
          <cell r="K297" t="str">
            <v>122.97475.27.8</v>
          </cell>
          <cell r="L297" t="str">
            <v>Salário Mensal</v>
          </cell>
          <cell r="M297" t="str">
            <v>Empregado (CLT)</v>
          </cell>
        </row>
        <row r="298">
          <cell r="D298" t="str">
            <v>ECOSAMPA Operação Geral</v>
          </cell>
          <cell r="E298">
            <v>43617</v>
          </cell>
          <cell r="F298">
            <v>3050.22</v>
          </cell>
          <cell r="G298" t="str">
            <v>Demitido em Meses Anteriores</v>
          </cell>
          <cell r="H298">
            <v>44903</v>
          </cell>
          <cell r="I298">
            <v>28078</v>
          </cell>
          <cell r="J298" t="str">
            <v>759.155.613-49</v>
          </cell>
          <cell r="K298" t="str">
            <v>126.57864.93.9</v>
          </cell>
          <cell r="L298" t="str">
            <v>Salário Mensal</v>
          </cell>
          <cell r="M298" t="str">
            <v>Empregado (CLT)</v>
          </cell>
        </row>
        <row r="299">
          <cell r="D299" t="str">
            <v>ECOSAMPA Operação Geral</v>
          </cell>
          <cell r="E299">
            <v>43617</v>
          </cell>
          <cell r="F299">
            <v>2509.54</v>
          </cell>
          <cell r="G299" t="str">
            <v>Demitido em Meses Anteriores</v>
          </cell>
          <cell r="H299">
            <v>44306</v>
          </cell>
          <cell r="I299">
            <v>31471</v>
          </cell>
          <cell r="J299" t="str">
            <v>342.921.998-17</v>
          </cell>
          <cell r="K299" t="str">
            <v>203.91039.56.8</v>
          </cell>
          <cell r="L299" t="str">
            <v>Salário Mensal</v>
          </cell>
          <cell r="M299" t="str">
            <v>Empregado (CLT)</v>
          </cell>
        </row>
        <row r="300">
          <cell r="D300" t="str">
            <v>ECOSAMPA Santo Amaro</v>
          </cell>
          <cell r="E300">
            <v>43617</v>
          </cell>
          <cell r="F300">
            <v>1603.99</v>
          </cell>
          <cell r="G300" t="str">
            <v>Em Atividade Normal</v>
          </cell>
          <cell r="H300">
            <v>44867</v>
          </cell>
          <cell r="I300">
            <v>23154</v>
          </cell>
          <cell r="J300" t="str">
            <v>255.774.388-70</v>
          </cell>
          <cell r="K300" t="str">
            <v>122.89460.22.4</v>
          </cell>
          <cell r="L300" t="str">
            <v>Salário Mensal</v>
          </cell>
          <cell r="M300" t="str">
            <v>Empregado (CLT)</v>
          </cell>
        </row>
        <row r="301">
          <cell r="D301" t="str">
            <v>ECOSAMPA Operação Geral</v>
          </cell>
          <cell r="E301">
            <v>43617</v>
          </cell>
          <cell r="F301">
            <v>1603.99</v>
          </cell>
          <cell r="G301" t="str">
            <v>Gozando Férias</v>
          </cell>
          <cell r="H301">
            <v>45180</v>
          </cell>
          <cell r="I301">
            <v>24210</v>
          </cell>
          <cell r="J301" t="str">
            <v>091.354.948-75</v>
          </cell>
          <cell r="K301" t="str">
            <v>120.05808.01.8</v>
          </cell>
          <cell r="L301" t="str">
            <v>Salário Mensal</v>
          </cell>
          <cell r="M301" t="str">
            <v>Empregado (CLT)</v>
          </cell>
        </row>
        <row r="302">
          <cell r="D302" t="str">
            <v>ECOSAMPA Operação Geral</v>
          </cell>
          <cell r="E302">
            <v>43813</v>
          </cell>
          <cell r="F302">
            <v>3050.22</v>
          </cell>
          <cell r="G302" t="str">
            <v>Em Atividade Normal</v>
          </cell>
          <cell r="H302">
            <v>44960</v>
          </cell>
          <cell r="I302">
            <v>26919</v>
          </cell>
          <cell r="J302" t="str">
            <v>020.265.917-84</v>
          </cell>
          <cell r="K302" t="str">
            <v>124.97765.91.1</v>
          </cell>
          <cell r="L302" t="str">
            <v>Salário Mensal</v>
          </cell>
          <cell r="M302" t="str">
            <v>Empregado (CLT)</v>
          </cell>
        </row>
        <row r="303">
          <cell r="D303" t="str">
            <v>ECOSAMPA Capela do Socorro</v>
          </cell>
          <cell r="E303">
            <v>43617</v>
          </cell>
          <cell r="F303">
            <v>1603.99</v>
          </cell>
          <cell r="G303" t="str">
            <v>Em Atividade Normal</v>
          </cell>
          <cell r="H303">
            <v>45177</v>
          </cell>
          <cell r="I303">
            <v>24952</v>
          </cell>
          <cell r="J303" t="str">
            <v>147.807.188-56</v>
          </cell>
          <cell r="K303" t="str">
            <v>123.24286.97.3</v>
          </cell>
          <cell r="L303" t="str">
            <v>Salário Mensal</v>
          </cell>
          <cell r="M303" t="str">
            <v>Empregado (CLT)</v>
          </cell>
        </row>
        <row r="304">
          <cell r="D304" t="str">
            <v>ECOSAMPA Capela do Socorro</v>
          </cell>
          <cell r="E304">
            <v>43617</v>
          </cell>
          <cell r="F304">
            <v>1603.99</v>
          </cell>
          <cell r="G304" t="str">
            <v>Em Atividade Normal</v>
          </cell>
          <cell r="H304">
            <v>44960</v>
          </cell>
          <cell r="I304">
            <v>27310</v>
          </cell>
          <cell r="J304" t="str">
            <v>189.643.128-30</v>
          </cell>
          <cell r="K304" t="str">
            <v>130.50368.85.2</v>
          </cell>
          <cell r="L304" t="str">
            <v>Salário Mensal</v>
          </cell>
          <cell r="M304" t="str">
            <v>Empregado (CLT)</v>
          </cell>
        </row>
        <row r="305">
          <cell r="D305" t="str">
            <v>ECOSAMPA Santo Amaro</v>
          </cell>
          <cell r="E305">
            <v>45022</v>
          </cell>
          <cell r="F305">
            <v>1603.99</v>
          </cell>
          <cell r="G305" t="str">
            <v>Em Atividade Normal</v>
          </cell>
          <cell r="H305">
            <v>45022</v>
          </cell>
          <cell r="I305">
            <v>26934</v>
          </cell>
          <cell r="J305" t="str">
            <v>180.052.568-09</v>
          </cell>
          <cell r="K305" t="str">
            <v>124.84944.87.1</v>
          </cell>
          <cell r="L305" t="str">
            <v>Salário Mensal</v>
          </cell>
          <cell r="M305" t="str">
            <v>Empregado (CLT)</v>
          </cell>
        </row>
        <row r="306">
          <cell r="D306" t="str">
            <v>ECOSAMPA Operação Geral</v>
          </cell>
          <cell r="E306">
            <v>43617</v>
          </cell>
          <cell r="F306">
            <v>3222.08</v>
          </cell>
          <cell r="G306" t="str">
            <v>Demitido em Meses Anteriores</v>
          </cell>
          <cell r="H306">
            <v>45110</v>
          </cell>
          <cell r="I306">
            <v>30818</v>
          </cell>
          <cell r="J306" t="str">
            <v>340.009.358-01</v>
          </cell>
          <cell r="K306" t="str">
            <v>133.92612.93.5</v>
          </cell>
          <cell r="L306" t="str">
            <v>Salário Mensal</v>
          </cell>
          <cell r="M306" t="str">
            <v>Empregado (CLT)</v>
          </cell>
        </row>
        <row r="307">
          <cell r="D307" t="str">
            <v>ECOSAMPA Pensionistas</v>
          </cell>
          <cell r="E307">
            <v>44946</v>
          </cell>
          <cell r="F307">
            <v>0.01</v>
          </cell>
          <cell r="G307" t="str">
            <v>Demitido em Meses Anteriores</v>
          </cell>
          <cell r="H307">
            <v>45091</v>
          </cell>
          <cell r="J307" t="str">
            <v>691.242.565-87</v>
          </cell>
          <cell r="L307" t="str">
            <v>Nenhuma</v>
          </cell>
          <cell r="M307" t="str">
            <v>Pensionista</v>
          </cell>
        </row>
        <row r="308">
          <cell r="D308" t="str">
            <v>ECOSAMPA Administração</v>
          </cell>
          <cell r="E308">
            <v>44734</v>
          </cell>
          <cell r="F308">
            <v>1320</v>
          </cell>
          <cell r="G308" t="str">
            <v>Em Atividade Normal</v>
          </cell>
          <cell r="H308">
            <v>44734</v>
          </cell>
          <cell r="I308">
            <v>36639</v>
          </cell>
          <cell r="J308" t="str">
            <v>450.687.728-44</v>
          </cell>
          <cell r="K308" t="str">
            <v>236.55446.00.0</v>
          </cell>
          <cell r="L308" t="str">
            <v>Salário Mensal</v>
          </cell>
          <cell r="M308" t="str">
            <v>Menor Aprendiz</v>
          </cell>
        </row>
        <row r="309">
          <cell r="D309" t="str">
            <v>ECOSAMPA Santo Amaro</v>
          </cell>
          <cell r="E309">
            <v>44567</v>
          </cell>
          <cell r="F309">
            <v>1603.99</v>
          </cell>
          <cell r="G309" t="str">
            <v>Em Atividade Normal</v>
          </cell>
          <cell r="H309">
            <v>44567</v>
          </cell>
          <cell r="I309">
            <v>23753</v>
          </cell>
          <cell r="J309" t="str">
            <v>023.458.418-18</v>
          </cell>
          <cell r="K309" t="str">
            <v>122.39933.26.9</v>
          </cell>
          <cell r="L309" t="str">
            <v>Salário Mensal</v>
          </cell>
          <cell r="M309" t="str">
            <v>Empregado (CLT)</v>
          </cell>
        </row>
        <row r="310">
          <cell r="D310" t="str">
            <v>ECOSAMPA M'Boi Mirim</v>
          </cell>
          <cell r="E310">
            <v>43617</v>
          </cell>
          <cell r="F310">
            <v>1231.95</v>
          </cell>
          <cell r="G310" t="str">
            <v>Demitido em Meses Anteriores</v>
          </cell>
          <cell r="H310">
            <v>43706</v>
          </cell>
          <cell r="I310">
            <v>25989</v>
          </cell>
          <cell r="J310" t="str">
            <v>291.524.918-03</v>
          </cell>
          <cell r="K310" t="str">
            <v>128.73662.89.3</v>
          </cell>
          <cell r="L310" t="str">
            <v>Salário Mensal</v>
          </cell>
          <cell r="M310" t="str">
            <v>Empregado (CLT)</v>
          </cell>
        </row>
        <row r="311">
          <cell r="D311" t="str">
            <v>ECOSAMPA Operação Geral</v>
          </cell>
          <cell r="E311">
            <v>43617</v>
          </cell>
          <cell r="F311">
            <v>2509.54</v>
          </cell>
          <cell r="G311" t="str">
            <v>Demitido em Meses Anteriores</v>
          </cell>
          <cell r="H311">
            <v>44204</v>
          </cell>
          <cell r="I311">
            <v>31661</v>
          </cell>
          <cell r="J311" t="str">
            <v>362.745.318-23</v>
          </cell>
          <cell r="K311" t="str">
            <v>206.18410.49.4</v>
          </cell>
          <cell r="L311" t="str">
            <v>Salário Mensal</v>
          </cell>
          <cell r="M311" t="str">
            <v>Empregado (CLT)</v>
          </cell>
        </row>
        <row r="312">
          <cell r="D312" t="str">
            <v>ECOSAMPA Operação Geral</v>
          </cell>
          <cell r="E312">
            <v>45180</v>
          </cell>
          <cell r="F312">
            <v>1603.99</v>
          </cell>
          <cell r="G312" t="str">
            <v>Em Atividade Normal</v>
          </cell>
          <cell r="H312">
            <v>45180</v>
          </cell>
          <cell r="I312">
            <v>37259</v>
          </cell>
          <cell r="J312" t="str">
            <v>482.375.098-54</v>
          </cell>
          <cell r="K312" t="str">
            <v>212.09379.06.8</v>
          </cell>
          <cell r="L312" t="str">
            <v>Salário Mensal</v>
          </cell>
          <cell r="M312" t="str">
            <v>Empregado (CLT)</v>
          </cell>
        </row>
        <row r="313">
          <cell r="D313" t="str">
            <v>ECOSAMPA Operação Geral</v>
          </cell>
          <cell r="E313">
            <v>43916</v>
          </cell>
          <cell r="F313">
            <v>1281.23</v>
          </cell>
          <cell r="G313" t="str">
            <v>Demitido em Meses Anteriores</v>
          </cell>
          <cell r="H313">
            <v>43950</v>
          </cell>
          <cell r="I313">
            <v>29037</v>
          </cell>
          <cell r="J313" t="str">
            <v>282.593.238-85</v>
          </cell>
          <cell r="K313" t="str">
            <v>125.55405.70.6</v>
          </cell>
          <cell r="L313" t="str">
            <v>Salário Mensal</v>
          </cell>
          <cell r="M313" t="str">
            <v>Empregado (CLT)</v>
          </cell>
        </row>
        <row r="314">
          <cell r="D314" t="str">
            <v>ECOSAMPA Operação Geral</v>
          </cell>
          <cell r="E314">
            <v>43617</v>
          </cell>
          <cell r="F314">
            <v>1603.99</v>
          </cell>
          <cell r="G314" t="str">
            <v>Em Atividade Normal</v>
          </cell>
          <cell r="H314">
            <v>45149</v>
          </cell>
          <cell r="I314">
            <v>24262</v>
          </cell>
          <cell r="J314" t="str">
            <v>541.128.853-34</v>
          </cell>
          <cell r="K314" t="str">
            <v>124.92892.58.3</v>
          </cell>
          <cell r="L314" t="str">
            <v>Salário Mensal</v>
          </cell>
          <cell r="M314" t="str">
            <v>Empregado (CLT)</v>
          </cell>
        </row>
        <row r="315">
          <cell r="D315" t="str">
            <v>ECOSAMPA Santo Amaro</v>
          </cell>
          <cell r="E315">
            <v>43617</v>
          </cell>
          <cell r="F315">
            <v>1603.99</v>
          </cell>
          <cell r="G315" t="str">
            <v>Em Atividade Normal</v>
          </cell>
          <cell r="H315">
            <v>45056</v>
          </cell>
          <cell r="I315">
            <v>25150</v>
          </cell>
          <cell r="J315" t="str">
            <v>536.648.415-49</v>
          </cell>
          <cell r="K315" t="str">
            <v>125.33917.34.8</v>
          </cell>
          <cell r="L315" t="str">
            <v>Salário Mensal</v>
          </cell>
          <cell r="M315" t="str">
            <v>Empregado (CLT)</v>
          </cell>
        </row>
        <row r="316">
          <cell r="D316" t="str">
            <v>ECOSAMPA Capela do Socorro</v>
          </cell>
          <cell r="E316">
            <v>43617</v>
          </cell>
          <cell r="F316">
            <v>1231.95</v>
          </cell>
          <cell r="G316" t="str">
            <v>Demitido em Meses Anteriores</v>
          </cell>
          <cell r="H316">
            <v>43704</v>
          </cell>
          <cell r="I316">
            <v>23438</v>
          </cell>
          <cell r="J316" t="str">
            <v>060.746.058-07</v>
          </cell>
          <cell r="K316" t="str">
            <v>120.25955.60.1</v>
          </cell>
          <cell r="L316" t="str">
            <v>Salário Mensal</v>
          </cell>
          <cell r="M316" t="str">
            <v>Empregado (CLT)</v>
          </cell>
        </row>
        <row r="317">
          <cell r="D317" t="str">
            <v>ECOSAMPA Administração</v>
          </cell>
          <cell r="E317">
            <v>43682</v>
          </cell>
          <cell r="F317">
            <v>6541.55</v>
          </cell>
          <cell r="G317" t="str">
            <v>Em Atividade Normal</v>
          </cell>
          <cell r="H317">
            <v>45130</v>
          </cell>
          <cell r="I317">
            <v>32818</v>
          </cell>
          <cell r="J317" t="str">
            <v>390.851.658-73</v>
          </cell>
          <cell r="K317" t="str">
            <v>210.68796.25.3</v>
          </cell>
          <cell r="L317" t="str">
            <v>Salário Mensal</v>
          </cell>
          <cell r="M317" t="str">
            <v>Empregado (CLT)</v>
          </cell>
        </row>
        <row r="318">
          <cell r="D318" t="str">
            <v>ECOSAMPA Operação Geral</v>
          </cell>
          <cell r="E318">
            <v>43617</v>
          </cell>
          <cell r="F318">
            <v>3050.22</v>
          </cell>
          <cell r="G318" t="str">
            <v>Gozando Férias</v>
          </cell>
          <cell r="H318">
            <v>45180</v>
          </cell>
          <cell r="I318">
            <v>26900</v>
          </cell>
          <cell r="J318" t="str">
            <v>892.428.824-53</v>
          </cell>
          <cell r="K318" t="str">
            <v>128.04095.89.6</v>
          </cell>
          <cell r="L318" t="str">
            <v>Salário Mensal</v>
          </cell>
          <cell r="M318" t="str">
            <v>Empregado (CLT)</v>
          </cell>
        </row>
        <row r="319">
          <cell r="D319" t="str">
            <v>ECOSAMPA Operação Geral</v>
          </cell>
          <cell r="E319">
            <v>44601</v>
          </cell>
          <cell r="F319">
            <v>2383.7800000000002</v>
          </cell>
          <cell r="G319" t="str">
            <v>Demitido em Meses Anteriores</v>
          </cell>
          <cell r="H319">
            <v>44606</v>
          </cell>
          <cell r="I319">
            <v>35101</v>
          </cell>
          <cell r="J319" t="str">
            <v>413.042.528-50</v>
          </cell>
          <cell r="K319" t="str">
            <v>209.63050.48.0</v>
          </cell>
          <cell r="L319" t="str">
            <v>Salário Mensal</v>
          </cell>
          <cell r="M319" t="str">
            <v>Empregado (CLT)</v>
          </cell>
        </row>
        <row r="320">
          <cell r="D320" t="str">
            <v>ECOSAMPA Operação Geral</v>
          </cell>
          <cell r="E320">
            <v>44273</v>
          </cell>
          <cell r="F320">
            <v>1704.78</v>
          </cell>
          <cell r="G320" t="str">
            <v>Demitido em Meses Anteriores</v>
          </cell>
          <cell r="H320">
            <v>44382</v>
          </cell>
          <cell r="I320">
            <v>35690</v>
          </cell>
          <cell r="J320" t="str">
            <v>443.139.358-78</v>
          </cell>
          <cell r="K320" t="str">
            <v>131.04216.38.9</v>
          </cell>
          <cell r="L320" t="str">
            <v>Salário Mensal</v>
          </cell>
          <cell r="M320" t="str">
            <v>Empregado (CLT)</v>
          </cell>
        </row>
        <row r="321">
          <cell r="D321" t="str">
            <v>ECOSAMPA Santo Amaro</v>
          </cell>
          <cell r="E321">
            <v>43617</v>
          </cell>
          <cell r="F321">
            <v>1603.99</v>
          </cell>
          <cell r="G321" t="str">
            <v>Em Atividade Normal</v>
          </cell>
          <cell r="H321">
            <v>45177</v>
          </cell>
          <cell r="I321">
            <v>22261</v>
          </cell>
          <cell r="J321" t="str">
            <v>326.812.162-49</v>
          </cell>
          <cell r="K321" t="str">
            <v>120.02472.45.0</v>
          </cell>
          <cell r="L321" t="str">
            <v>Salário Mensal</v>
          </cell>
          <cell r="M321" t="str">
            <v>Empregado (CLT)</v>
          </cell>
        </row>
        <row r="322">
          <cell r="D322" t="str">
            <v>ECOSAMPA Santo Amaro</v>
          </cell>
          <cell r="E322">
            <v>43617</v>
          </cell>
          <cell r="F322">
            <v>1281.23</v>
          </cell>
          <cell r="G322" t="str">
            <v>Demitido em Meses Anteriores</v>
          </cell>
          <cell r="H322">
            <v>43913</v>
          </cell>
          <cell r="I322">
            <v>23115</v>
          </cell>
          <cell r="J322" t="str">
            <v>049.723.638-94</v>
          </cell>
          <cell r="K322" t="str">
            <v>120.75417.92.1</v>
          </cell>
          <cell r="L322" t="str">
            <v>Salário Mensal</v>
          </cell>
          <cell r="M322" t="str">
            <v>Empregado (CLT)</v>
          </cell>
        </row>
        <row r="323">
          <cell r="D323" t="str">
            <v>ECOSAMPA M'Boi Mirim</v>
          </cell>
          <cell r="E323">
            <v>43617</v>
          </cell>
          <cell r="F323">
            <v>1603.99</v>
          </cell>
          <cell r="G323" t="str">
            <v>Em Atividade Normal</v>
          </cell>
          <cell r="H323">
            <v>45119</v>
          </cell>
          <cell r="I323">
            <v>21907</v>
          </cell>
          <cell r="J323" t="str">
            <v>683.004.334-49</v>
          </cell>
          <cell r="K323" t="str">
            <v>120.27587.76.6</v>
          </cell>
          <cell r="L323" t="str">
            <v>Salário Mensal</v>
          </cell>
          <cell r="M323" t="str">
            <v>Empregado (CLT)</v>
          </cell>
        </row>
        <row r="324">
          <cell r="D324" t="str">
            <v>ECOSAMPA Pensionistas</v>
          </cell>
          <cell r="E324">
            <v>45190</v>
          </cell>
          <cell r="F324">
            <v>0.01</v>
          </cell>
          <cell r="G324" t="str">
            <v>Em Atividade Normal</v>
          </cell>
          <cell r="H324">
            <v>45190</v>
          </cell>
          <cell r="J324" t="str">
            <v>885.781.865-91</v>
          </cell>
          <cell r="L324" t="str">
            <v>Nenhuma</v>
          </cell>
          <cell r="M324" t="str">
            <v>Pensionista</v>
          </cell>
        </row>
        <row r="325">
          <cell r="D325" t="str">
            <v>ECOSAMPA Santo Amaro</v>
          </cell>
          <cell r="E325">
            <v>44419</v>
          </cell>
          <cell r="F325">
            <v>1603.99</v>
          </cell>
          <cell r="G325" t="str">
            <v>Em Atividade Normal</v>
          </cell>
          <cell r="H325">
            <v>45086</v>
          </cell>
          <cell r="I325">
            <v>34464</v>
          </cell>
          <cell r="J325" t="str">
            <v>401.300.858-04</v>
          </cell>
          <cell r="K325" t="str">
            <v>201.71870.01.2</v>
          </cell>
          <cell r="L325" t="str">
            <v>Salário Mensal</v>
          </cell>
          <cell r="M325" t="str">
            <v>Empregado (CLT)</v>
          </cell>
        </row>
        <row r="326">
          <cell r="D326" t="str">
            <v>ECOSAMPA Operação Geral</v>
          </cell>
          <cell r="E326">
            <v>43621</v>
          </cell>
          <cell r="F326">
            <v>6154.04</v>
          </cell>
          <cell r="G326" t="str">
            <v>Em Atividade Normal</v>
          </cell>
          <cell r="H326">
            <v>45149</v>
          </cell>
          <cell r="I326">
            <v>29039</v>
          </cell>
          <cell r="J326" t="str">
            <v>283.463.068-22</v>
          </cell>
          <cell r="K326" t="str">
            <v>127.90680.89.4</v>
          </cell>
          <cell r="L326" t="str">
            <v>Salário Mensal</v>
          </cell>
          <cell r="M326" t="str">
            <v>Empregado (CLT)</v>
          </cell>
        </row>
        <row r="327">
          <cell r="D327" t="str">
            <v>ECOSAMPA Capela do Socorro</v>
          </cell>
          <cell r="E327">
            <v>43874</v>
          </cell>
          <cell r="F327">
            <v>1464.83</v>
          </cell>
          <cell r="G327" t="str">
            <v>Demitido em Meses Anteriores</v>
          </cell>
          <cell r="H327">
            <v>44743</v>
          </cell>
          <cell r="I327">
            <v>33743</v>
          </cell>
          <cell r="J327" t="str">
            <v>407.928.728-35</v>
          </cell>
          <cell r="K327" t="str">
            <v>161.64995.70.2</v>
          </cell>
          <cell r="L327" t="str">
            <v>Salário Mensal</v>
          </cell>
          <cell r="M327" t="str">
            <v>Empregado (CLT)</v>
          </cell>
        </row>
        <row r="328">
          <cell r="D328" t="str">
            <v>ECOSAMPA Campo Limpo</v>
          </cell>
          <cell r="E328">
            <v>44630</v>
          </cell>
          <cell r="F328">
            <v>1603.99</v>
          </cell>
          <cell r="G328" t="str">
            <v>Demitido em Meses Anteriores</v>
          </cell>
          <cell r="H328">
            <v>45026</v>
          </cell>
          <cell r="I328">
            <v>35883</v>
          </cell>
          <cell r="J328" t="str">
            <v>440.209.908-08</v>
          </cell>
          <cell r="K328" t="str">
            <v>161.69574.76.4</v>
          </cell>
          <cell r="L328" t="str">
            <v>Salário Mensal</v>
          </cell>
          <cell r="M328" t="str">
            <v>Empregado (CLT)</v>
          </cell>
        </row>
        <row r="329">
          <cell r="D329" t="str">
            <v>ECOSAMPA Pensionistas</v>
          </cell>
          <cell r="E329">
            <v>44491</v>
          </cell>
          <cell r="F329">
            <v>0.01</v>
          </cell>
          <cell r="G329" t="str">
            <v>Em Atividade Normal</v>
          </cell>
          <cell r="H329">
            <v>44491</v>
          </cell>
          <cell r="J329" t="str">
            <v>386.667.638-76</v>
          </cell>
          <cell r="L329" t="str">
            <v>Nenhuma</v>
          </cell>
          <cell r="M329" t="str">
            <v>Pensionista</v>
          </cell>
        </row>
        <row r="330">
          <cell r="D330" t="str">
            <v>ECOSAMPA Pensionistas</v>
          </cell>
          <cell r="E330">
            <v>44904</v>
          </cell>
          <cell r="F330">
            <v>0.01</v>
          </cell>
          <cell r="G330" t="str">
            <v>Em Atividade Normal</v>
          </cell>
          <cell r="H330">
            <v>44904</v>
          </cell>
          <cell r="J330" t="str">
            <v>236.949.218-00</v>
          </cell>
          <cell r="L330" t="str">
            <v>Nenhuma</v>
          </cell>
          <cell r="M330" t="str">
            <v>Pensionista</v>
          </cell>
        </row>
        <row r="331">
          <cell r="D331" t="str">
            <v>ECOSAMPA M'Boi Mirim</v>
          </cell>
          <cell r="E331">
            <v>43617</v>
          </cell>
          <cell r="F331">
            <v>1464.83</v>
          </cell>
          <cell r="G331" t="str">
            <v>Demitido em Meses Anteriores</v>
          </cell>
          <cell r="H331">
            <v>44694</v>
          </cell>
          <cell r="I331">
            <v>32961</v>
          </cell>
          <cell r="J331" t="str">
            <v>386.330.988-06</v>
          </cell>
          <cell r="K331" t="str">
            <v>206.86914.99.0</v>
          </cell>
          <cell r="L331" t="str">
            <v>Salário Mensal</v>
          </cell>
          <cell r="M331" t="str">
            <v>Empregado (CLT)</v>
          </cell>
        </row>
        <row r="332">
          <cell r="D332" t="str">
            <v>ECOSAMPA Pensionistas</v>
          </cell>
          <cell r="E332">
            <v>45187</v>
          </cell>
          <cell r="F332">
            <v>0.01</v>
          </cell>
          <cell r="G332" t="str">
            <v>Em Atividade Normal</v>
          </cell>
          <cell r="H332">
            <v>45187</v>
          </cell>
          <cell r="J332" t="str">
            <v>398.025.328-78</v>
          </cell>
          <cell r="L332" t="str">
            <v>Nenhuma</v>
          </cell>
          <cell r="M332" t="str">
            <v>Pensionista</v>
          </cell>
        </row>
        <row r="333">
          <cell r="D333" t="str">
            <v>ECOSAMPA Operação Geral</v>
          </cell>
          <cell r="E333">
            <v>45054</v>
          </cell>
          <cell r="F333">
            <v>2072.08</v>
          </cell>
          <cell r="G333" t="str">
            <v>Em Atividade Normal</v>
          </cell>
          <cell r="H333">
            <v>45054</v>
          </cell>
          <cell r="I333">
            <v>35696</v>
          </cell>
          <cell r="J333" t="str">
            <v>434.784.748-33</v>
          </cell>
          <cell r="K333" t="str">
            <v>131.56804.73.7</v>
          </cell>
          <cell r="L333" t="str">
            <v>Salário Mensal</v>
          </cell>
          <cell r="M333" t="str">
            <v>Empregado (CLT)</v>
          </cell>
        </row>
        <row r="334">
          <cell r="D334" t="str">
            <v>ECOSAMPA Operação Geral</v>
          </cell>
          <cell r="E334">
            <v>43710</v>
          </cell>
          <cell r="F334">
            <v>1606.8</v>
          </cell>
          <cell r="G334" t="str">
            <v>Demitido em Meses Anteriores</v>
          </cell>
          <cell r="H334">
            <v>44138</v>
          </cell>
          <cell r="I334">
            <v>34884</v>
          </cell>
          <cell r="J334" t="str">
            <v>425.791.268-56</v>
          </cell>
          <cell r="K334" t="str">
            <v>209.60004.20.8</v>
          </cell>
          <cell r="L334" t="str">
            <v>Salário Mensal</v>
          </cell>
          <cell r="M334" t="str">
            <v>Empregado (CLT)</v>
          </cell>
        </row>
        <row r="335">
          <cell r="D335" t="str">
            <v>ECOSAMPA Operação Geral</v>
          </cell>
          <cell r="E335">
            <v>44487</v>
          </cell>
          <cell r="F335">
            <v>1603.99</v>
          </cell>
          <cell r="G335" t="str">
            <v>Em Atividade Normal</v>
          </cell>
          <cell r="H335">
            <v>44898</v>
          </cell>
          <cell r="I335">
            <v>34370</v>
          </cell>
          <cell r="J335" t="str">
            <v>117.747.394-10</v>
          </cell>
          <cell r="K335" t="str">
            <v>160.21354.40.1</v>
          </cell>
          <cell r="L335" t="str">
            <v>Salário Mensal</v>
          </cell>
          <cell r="M335" t="str">
            <v>Empregado (CLT)</v>
          </cell>
        </row>
        <row r="336">
          <cell r="D336" t="str">
            <v>ECOSAMPA Campo Limpo</v>
          </cell>
          <cell r="E336">
            <v>44945</v>
          </cell>
          <cell r="F336">
            <v>1603.99</v>
          </cell>
          <cell r="G336" t="str">
            <v>Em Atividade Normal</v>
          </cell>
          <cell r="H336">
            <v>44945</v>
          </cell>
          <cell r="I336">
            <v>33974</v>
          </cell>
          <cell r="J336" t="str">
            <v>449.591.248-81</v>
          </cell>
          <cell r="K336" t="str">
            <v>212.02183.76.1</v>
          </cell>
          <cell r="L336" t="str">
            <v>Salário Mensal</v>
          </cell>
          <cell r="M336" t="str">
            <v>Empregado (CLT)</v>
          </cell>
        </row>
        <row r="337">
          <cell r="D337" t="str">
            <v>ECOSAMPA Parelheiros</v>
          </cell>
          <cell r="E337">
            <v>45180</v>
          </cell>
          <cell r="F337">
            <v>1603.99</v>
          </cell>
          <cell r="G337" t="str">
            <v>Em Atividade Normal</v>
          </cell>
          <cell r="H337">
            <v>45180</v>
          </cell>
          <cell r="I337">
            <v>34019</v>
          </cell>
          <cell r="J337" t="str">
            <v>404.370.408-95</v>
          </cell>
          <cell r="K337" t="str">
            <v>204.45577.68.6</v>
          </cell>
          <cell r="L337" t="str">
            <v>Salário Mensal</v>
          </cell>
          <cell r="M337" t="str">
            <v>Empregado (CLT)</v>
          </cell>
        </row>
        <row r="338">
          <cell r="D338" t="str">
            <v>ECOSAMPA Operação Geral</v>
          </cell>
          <cell r="E338">
            <v>44972</v>
          </cell>
          <cell r="F338">
            <v>1603.99</v>
          </cell>
          <cell r="G338" t="str">
            <v>Demitido em Meses Anteriores</v>
          </cell>
          <cell r="H338">
            <v>44986</v>
          </cell>
          <cell r="I338">
            <v>33814</v>
          </cell>
          <cell r="J338" t="str">
            <v>431.004.848-00</v>
          </cell>
          <cell r="K338" t="str">
            <v>161.64775.98.2</v>
          </cell>
          <cell r="L338" t="str">
            <v>Salário Mensal</v>
          </cell>
          <cell r="M338" t="str">
            <v>Empregado (CLT)</v>
          </cell>
        </row>
        <row r="339">
          <cell r="D339" t="str">
            <v>ECOSAMPA Santo Amaro</v>
          </cell>
          <cell r="E339">
            <v>43804</v>
          </cell>
          <cell r="F339">
            <v>1603.99</v>
          </cell>
          <cell r="G339" t="str">
            <v>Em Atividade Normal</v>
          </cell>
          <cell r="H339">
            <v>45086</v>
          </cell>
          <cell r="I339">
            <v>34298</v>
          </cell>
          <cell r="J339" t="str">
            <v>413.618.238-44</v>
          </cell>
          <cell r="K339" t="str">
            <v>204.16139.66.8</v>
          </cell>
          <cell r="L339" t="str">
            <v>Salário Mensal</v>
          </cell>
          <cell r="M339" t="str">
            <v>Empregado (CLT)</v>
          </cell>
        </row>
        <row r="340">
          <cell r="D340" t="str">
            <v>ECOSAMPA Operação Geral</v>
          </cell>
          <cell r="E340">
            <v>43617</v>
          </cell>
          <cell r="F340">
            <v>1523.89</v>
          </cell>
          <cell r="G340" t="str">
            <v>Demitido em Meses Anteriores</v>
          </cell>
          <cell r="H340">
            <v>43974</v>
          </cell>
          <cell r="I340">
            <v>32297</v>
          </cell>
          <cell r="J340" t="str">
            <v>379.905.638-60</v>
          </cell>
          <cell r="K340" t="str">
            <v>202.17977.90.6</v>
          </cell>
          <cell r="L340" t="str">
            <v>Salário Mensal</v>
          </cell>
          <cell r="M340" t="str">
            <v>Empregado (CLT)</v>
          </cell>
        </row>
        <row r="341">
          <cell r="D341" t="str">
            <v>ECOSAMPA Operação Geral</v>
          </cell>
          <cell r="E341">
            <v>43617</v>
          </cell>
          <cell r="F341">
            <v>3050.22</v>
          </cell>
          <cell r="G341" t="str">
            <v>Em Atividade Normal</v>
          </cell>
          <cell r="H341">
            <v>45119</v>
          </cell>
          <cell r="I341">
            <v>32938</v>
          </cell>
          <cell r="J341" t="str">
            <v>397.594.508-79</v>
          </cell>
          <cell r="K341" t="str">
            <v>201.15343.77.0</v>
          </cell>
          <cell r="L341" t="str">
            <v>Salário Mensal</v>
          </cell>
          <cell r="M341" t="str">
            <v>Empregado (CLT)</v>
          </cell>
        </row>
        <row r="342">
          <cell r="D342" t="str">
            <v>ECOSAMPA Campo Limpo</v>
          </cell>
          <cell r="E342">
            <v>43617</v>
          </cell>
          <cell r="F342">
            <v>1281.23</v>
          </cell>
          <cell r="G342" t="str">
            <v>Demitido em Meses Anteriores</v>
          </cell>
          <cell r="H342">
            <v>43801</v>
          </cell>
          <cell r="I342">
            <v>34084</v>
          </cell>
          <cell r="J342" t="str">
            <v>404.562.298-50</v>
          </cell>
          <cell r="K342" t="str">
            <v>202.10278.78.6</v>
          </cell>
          <cell r="L342" t="str">
            <v>Salário Mensal</v>
          </cell>
          <cell r="M342" t="str">
            <v>Empregado (CLT)</v>
          </cell>
        </row>
        <row r="343">
          <cell r="D343" t="str">
            <v>ECOSAMPA Santo Amaro</v>
          </cell>
          <cell r="E343">
            <v>45022</v>
          </cell>
          <cell r="F343">
            <v>1603.99</v>
          </cell>
          <cell r="G343" t="str">
            <v>Em Atividade Normal</v>
          </cell>
          <cell r="H343">
            <v>45022</v>
          </cell>
          <cell r="I343">
            <v>31884</v>
          </cell>
          <cell r="J343" t="str">
            <v>377.021.878-75</v>
          </cell>
          <cell r="K343" t="str">
            <v>210.32448.87.5</v>
          </cell>
          <cell r="L343" t="str">
            <v>Salário Mensal</v>
          </cell>
          <cell r="M343" t="str">
            <v>Empregado (CLT)</v>
          </cell>
        </row>
        <row r="344">
          <cell r="D344" t="str">
            <v>ECOSAMPA Campo Limpo</v>
          </cell>
          <cell r="E344">
            <v>43617</v>
          </cell>
          <cell r="F344">
            <v>1603.99</v>
          </cell>
          <cell r="G344" t="str">
            <v>Em Atividade Normal</v>
          </cell>
          <cell r="H344">
            <v>45050</v>
          </cell>
          <cell r="I344">
            <v>33936</v>
          </cell>
          <cell r="J344" t="str">
            <v>406.698.308-10</v>
          </cell>
          <cell r="K344" t="str">
            <v>206.86952.88.4</v>
          </cell>
          <cell r="L344" t="str">
            <v>Salário Mensal</v>
          </cell>
          <cell r="M344" t="str">
            <v>Empregado (CLT)</v>
          </cell>
        </row>
        <row r="345">
          <cell r="D345" t="str">
            <v>ECOSAMPA Operação Geral</v>
          </cell>
          <cell r="E345">
            <v>43917</v>
          </cell>
          <cell r="F345">
            <v>1281.23</v>
          </cell>
          <cell r="G345" t="str">
            <v>Demitido em Meses Anteriores</v>
          </cell>
          <cell r="H345">
            <v>43950</v>
          </cell>
          <cell r="I345">
            <v>35624</v>
          </cell>
          <cell r="J345" t="str">
            <v>456.345.198-37</v>
          </cell>
          <cell r="K345" t="str">
            <v>210.71354.35.5</v>
          </cell>
          <cell r="L345" t="str">
            <v>Salário Mensal</v>
          </cell>
          <cell r="M345" t="str">
            <v>Empregado (CLT)</v>
          </cell>
        </row>
        <row r="346">
          <cell r="D346" t="str">
            <v>ECOSAMPA Santo Amaro</v>
          </cell>
          <cell r="E346">
            <v>43617</v>
          </cell>
          <cell r="F346">
            <v>1603.99</v>
          </cell>
          <cell r="G346" t="str">
            <v>Em Atividade Normal</v>
          </cell>
          <cell r="H346">
            <v>44960</v>
          </cell>
          <cell r="I346">
            <v>34184</v>
          </cell>
          <cell r="J346" t="str">
            <v>411.652.708-46</v>
          </cell>
          <cell r="K346" t="str">
            <v>207.89125.07.7</v>
          </cell>
          <cell r="L346" t="str">
            <v>Salário Mensal</v>
          </cell>
          <cell r="M346" t="str">
            <v>Empregado (CLT)</v>
          </cell>
        </row>
        <row r="347">
          <cell r="D347" t="str">
            <v>ECOSAMPA Operação Geral</v>
          </cell>
          <cell r="E347">
            <v>43918</v>
          </cell>
          <cell r="F347">
            <v>1281.23</v>
          </cell>
          <cell r="G347" t="str">
            <v>Demitido em Meses Anteriores</v>
          </cell>
          <cell r="H347">
            <v>43950</v>
          </cell>
          <cell r="I347">
            <v>33389</v>
          </cell>
          <cell r="J347" t="str">
            <v>425.041.798-04</v>
          </cell>
          <cell r="K347" t="str">
            <v>201.17259.21.1</v>
          </cell>
          <cell r="L347" t="str">
            <v>Salário Mensal</v>
          </cell>
          <cell r="M347" t="str">
            <v>Empregado (CLT)</v>
          </cell>
        </row>
        <row r="348">
          <cell r="D348" t="str">
            <v>ECOSAMPA Operação Geral</v>
          </cell>
          <cell r="E348">
            <v>43617</v>
          </cell>
          <cell r="F348">
            <v>1907.79</v>
          </cell>
          <cell r="G348" t="str">
            <v>Em Atividade Normal</v>
          </cell>
          <cell r="H348">
            <v>45177</v>
          </cell>
          <cell r="I348">
            <v>34628</v>
          </cell>
          <cell r="J348" t="str">
            <v>433.887.488-02</v>
          </cell>
          <cell r="K348" t="str">
            <v>204.16233.92.3</v>
          </cell>
          <cell r="L348" t="str">
            <v>Salário Mensal</v>
          </cell>
          <cell r="M348" t="str">
            <v>Empregado (CLT)</v>
          </cell>
        </row>
        <row r="349">
          <cell r="D349" t="str">
            <v>ECOSAMPA Capela do Socorro</v>
          </cell>
          <cell r="E349">
            <v>43617</v>
          </cell>
          <cell r="F349">
            <v>1603.99</v>
          </cell>
          <cell r="G349" t="str">
            <v>Em Atividade Normal</v>
          </cell>
          <cell r="H349">
            <v>44960</v>
          </cell>
          <cell r="I349">
            <v>34664</v>
          </cell>
          <cell r="J349" t="str">
            <v>454.918.198-24</v>
          </cell>
          <cell r="K349" t="str">
            <v>207.81571.93.0</v>
          </cell>
          <cell r="L349" t="str">
            <v>Salário Mensal</v>
          </cell>
          <cell r="M349" t="str">
            <v>Empregado (CLT)</v>
          </cell>
        </row>
        <row r="350">
          <cell r="D350" t="str">
            <v>ECOSAMPA Santo Amaro</v>
          </cell>
          <cell r="E350">
            <v>43617</v>
          </cell>
          <cell r="F350">
            <v>1464.83</v>
          </cell>
          <cell r="G350" t="str">
            <v>Demitido em Meses Anteriores</v>
          </cell>
          <cell r="H350">
            <v>44694</v>
          </cell>
          <cell r="I350">
            <v>34827</v>
          </cell>
          <cell r="J350" t="str">
            <v>447.293.538-46</v>
          </cell>
          <cell r="K350" t="str">
            <v>207.85005.44.1</v>
          </cell>
          <cell r="L350" t="str">
            <v>Salário Mensal</v>
          </cell>
          <cell r="M350" t="str">
            <v>Empregado (CLT)</v>
          </cell>
        </row>
        <row r="351">
          <cell r="D351" t="str">
            <v>ECOSAMPA Administração</v>
          </cell>
          <cell r="E351">
            <v>45040</v>
          </cell>
          <cell r="F351">
            <v>1320</v>
          </cell>
          <cell r="G351" t="str">
            <v>Em Atividade Normal</v>
          </cell>
          <cell r="H351">
            <v>45040</v>
          </cell>
          <cell r="I351">
            <v>37418</v>
          </cell>
          <cell r="J351" t="str">
            <v>522.564.758-83</v>
          </cell>
          <cell r="K351" t="str">
            <v>220.19493.73.9</v>
          </cell>
          <cell r="L351" t="str">
            <v>Salário Mensal</v>
          </cell>
          <cell r="M351" t="str">
            <v>Menor Aprendiz</v>
          </cell>
        </row>
        <row r="352">
          <cell r="D352" t="str">
            <v>ECOSAMPA Operação Geral</v>
          </cell>
          <cell r="E352">
            <v>43617</v>
          </cell>
          <cell r="F352">
            <v>3050.22</v>
          </cell>
          <cell r="G352" t="str">
            <v>Em Atividade Normal</v>
          </cell>
          <cell r="H352">
            <v>44960</v>
          </cell>
          <cell r="I352">
            <v>32241</v>
          </cell>
          <cell r="J352" t="str">
            <v>353.366.468-65</v>
          </cell>
          <cell r="K352" t="str">
            <v>204.30182.93.1</v>
          </cell>
          <cell r="L352" t="str">
            <v>Salário Mensal</v>
          </cell>
          <cell r="M352" t="str">
            <v>Empregado (CLT)</v>
          </cell>
        </row>
        <row r="353">
          <cell r="D353" t="str">
            <v>ECOSAMPA Parelheiros</v>
          </cell>
          <cell r="E353">
            <v>44820</v>
          </cell>
          <cell r="F353">
            <v>1603.99</v>
          </cell>
          <cell r="G353" t="str">
            <v>Em Atividade Normal</v>
          </cell>
          <cell r="H353">
            <v>44820</v>
          </cell>
          <cell r="I353">
            <v>35718</v>
          </cell>
          <cell r="J353" t="str">
            <v>067.102.695-07</v>
          </cell>
          <cell r="K353" t="str">
            <v>138.52714.34.5</v>
          </cell>
          <cell r="L353" t="str">
            <v>Salário Mensal</v>
          </cell>
          <cell r="M353" t="str">
            <v>Empregado (CLT)</v>
          </cell>
        </row>
        <row r="354">
          <cell r="D354" t="str">
            <v>ECOSAMPA Capela do Socorro</v>
          </cell>
          <cell r="E354">
            <v>43617</v>
          </cell>
          <cell r="F354">
            <v>1281.23</v>
          </cell>
          <cell r="G354" t="str">
            <v>Demitido em Meses Anteriores</v>
          </cell>
          <cell r="H354">
            <v>43907</v>
          </cell>
          <cell r="I354">
            <v>34312</v>
          </cell>
          <cell r="J354" t="str">
            <v>321.983.558-92</v>
          </cell>
          <cell r="K354" t="str">
            <v>209.78353.04.2</v>
          </cell>
          <cell r="L354" t="str">
            <v>Salário Mensal</v>
          </cell>
          <cell r="M354" t="str">
            <v>Empregado (CLT)</v>
          </cell>
        </row>
        <row r="355">
          <cell r="D355" t="str">
            <v>ECOSAMPA Capela do Socorro</v>
          </cell>
          <cell r="E355">
            <v>44308</v>
          </cell>
          <cell r="F355">
            <v>1319.67</v>
          </cell>
          <cell r="G355" t="str">
            <v>Demitido em Meses Anteriores</v>
          </cell>
          <cell r="H355">
            <v>44394</v>
          </cell>
          <cell r="I355">
            <v>36007</v>
          </cell>
          <cell r="J355" t="str">
            <v>507.167.478-55</v>
          </cell>
          <cell r="K355" t="str">
            <v>201.16878.63.5</v>
          </cell>
          <cell r="L355" t="str">
            <v>Salário Mensal</v>
          </cell>
          <cell r="M355" t="str">
            <v>Empregado (CLT)</v>
          </cell>
        </row>
        <row r="356">
          <cell r="D356" t="str">
            <v>ECOSAMPA Operação Geral</v>
          </cell>
          <cell r="E356">
            <v>45117</v>
          </cell>
          <cell r="F356">
            <v>1603.99</v>
          </cell>
          <cell r="G356" t="str">
            <v>Em Atividade Normal</v>
          </cell>
          <cell r="H356">
            <v>45117</v>
          </cell>
          <cell r="I356">
            <v>34389</v>
          </cell>
          <cell r="J356" t="str">
            <v>357.317.728-00</v>
          </cell>
          <cell r="K356" t="str">
            <v>162.12393.45.2</v>
          </cell>
          <cell r="L356" t="str">
            <v>Salário Mensal</v>
          </cell>
          <cell r="M356" t="str">
            <v>Empregado (CLT)</v>
          </cell>
        </row>
        <row r="357">
          <cell r="D357" t="str">
            <v>ECOSAMPA Pensionistas</v>
          </cell>
          <cell r="E357">
            <v>44393</v>
          </cell>
          <cell r="F357">
            <v>0.01</v>
          </cell>
          <cell r="G357" t="str">
            <v>Demitido em Meses Anteriores</v>
          </cell>
          <cell r="H357">
            <v>45091</v>
          </cell>
          <cell r="J357" t="str">
            <v>421.649.218-52</v>
          </cell>
          <cell r="L357" t="str">
            <v>Nenhuma</v>
          </cell>
          <cell r="M357" t="str">
            <v>Pensionista</v>
          </cell>
        </row>
        <row r="358">
          <cell r="D358" t="str">
            <v>ECOSAMPA Pensionistas</v>
          </cell>
          <cell r="E358">
            <v>44432</v>
          </cell>
          <cell r="F358">
            <v>0.01</v>
          </cell>
          <cell r="G358" t="str">
            <v>Demitido em Meses Anteriores</v>
          </cell>
          <cell r="H358">
            <v>44482</v>
          </cell>
          <cell r="J358" t="str">
            <v>372.504.328-00</v>
          </cell>
          <cell r="L358" t="str">
            <v>Nenhuma</v>
          </cell>
          <cell r="M358" t="str">
            <v>Pensionista</v>
          </cell>
        </row>
        <row r="359">
          <cell r="D359" t="str">
            <v>ECOSAMPA Pensionistas</v>
          </cell>
          <cell r="E359">
            <v>44372</v>
          </cell>
          <cell r="F359">
            <v>0.01</v>
          </cell>
          <cell r="G359" t="str">
            <v>Demitido em Meses Anteriores</v>
          </cell>
          <cell r="H359">
            <v>44743</v>
          </cell>
          <cell r="J359" t="str">
            <v>350.312.418-70</v>
          </cell>
          <cell r="L359" t="str">
            <v>Nenhuma</v>
          </cell>
          <cell r="M359" t="str">
            <v>Pensionista</v>
          </cell>
        </row>
        <row r="360">
          <cell r="D360" t="str">
            <v>ECOSAMPA Administração</v>
          </cell>
          <cell r="E360">
            <v>43619</v>
          </cell>
          <cell r="F360">
            <v>6541.55</v>
          </cell>
          <cell r="G360" t="str">
            <v>Demitido em Meses Anteriores</v>
          </cell>
          <cell r="H360">
            <v>45148</v>
          </cell>
          <cell r="I360">
            <v>30951</v>
          </cell>
          <cell r="J360" t="str">
            <v>070.551.646-64</v>
          </cell>
          <cell r="K360" t="str">
            <v>127.54348.09.5</v>
          </cell>
          <cell r="L360" t="str">
            <v>Salário Mensal</v>
          </cell>
          <cell r="M360" t="str">
            <v>Empregado (CLT)</v>
          </cell>
        </row>
        <row r="361">
          <cell r="D361" t="str">
            <v>ECOSAMPA Operação Geral</v>
          </cell>
          <cell r="E361">
            <v>44967</v>
          </cell>
          <cell r="F361">
            <v>1603.99</v>
          </cell>
          <cell r="G361" t="str">
            <v>Demitido em Meses Anteriores</v>
          </cell>
          <cell r="H361">
            <v>44981</v>
          </cell>
          <cell r="I361">
            <v>29508</v>
          </cell>
          <cell r="J361" t="str">
            <v>300.636.028-14</v>
          </cell>
          <cell r="K361" t="str">
            <v>129.13584.93.6</v>
          </cell>
          <cell r="L361" t="str">
            <v>Salário Mensal</v>
          </cell>
          <cell r="M361" t="str">
            <v>Empregado (CLT)</v>
          </cell>
        </row>
        <row r="362">
          <cell r="D362" t="str">
            <v>ECOSAMPA Capela do Socorro</v>
          </cell>
          <cell r="E362">
            <v>45022</v>
          </cell>
          <cell r="F362">
            <v>1603.99</v>
          </cell>
          <cell r="G362" t="str">
            <v>Em Atividade Normal</v>
          </cell>
          <cell r="H362">
            <v>45022</v>
          </cell>
          <cell r="I362">
            <v>27380</v>
          </cell>
          <cell r="J362" t="str">
            <v>604.427.431-49</v>
          </cell>
          <cell r="K362" t="str">
            <v>126.52991.02.9</v>
          </cell>
          <cell r="L362" t="str">
            <v>Salário Mensal</v>
          </cell>
          <cell r="M362" t="str">
            <v>Empregado (CLT)</v>
          </cell>
        </row>
        <row r="363">
          <cell r="D363" t="str">
            <v>ECOSAMPA Santo Amaro</v>
          </cell>
          <cell r="E363">
            <v>43617</v>
          </cell>
          <cell r="F363">
            <v>1603.99</v>
          </cell>
          <cell r="G363" t="str">
            <v>Em Atividade Normal</v>
          </cell>
          <cell r="H363">
            <v>44776</v>
          </cell>
          <cell r="I363">
            <v>27652</v>
          </cell>
          <cell r="J363" t="str">
            <v>186.745.258-81</v>
          </cell>
          <cell r="K363" t="str">
            <v>125.25749.06.7</v>
          </cell>
          <cell r="L363" t="str">
            <v>Salário Mensal</v>
          </cell>
          <cell r="M363" t="str">
            <v>Empregado (CLT)</v>
          </cell>
        </row>
        <row r="364">
          <cell r="D364" t="str">
            <v>ECOSAMPA Santo Amaro</v>
          </cell>
          <cell r="E364">
            <v>43617</v>
          </cell>
          <cell r="F364">
            <v>1603.99</v>
          </cell>
          <cell r="G364" t="str">
            <v>Em Atividade Normal</v>
          </cell>
          <cell r="H364">
            <v>45023</v>
          </cell>
          <cell r="I364">
            <v>28256</v>
          </cell>
          <cell r="J364" t="str">
            <v>249.394.168-36</v>
          </cell>
          <cell r="K364" t="str">
            <v>132.61122.81.0</v>
          </cell>
          <cell r="L364" t="str">
            <v>Salário Mensal</v>
          </cell>
          <cell r="M364" t="str">
            <v>Empregado (CLT)</v>
          </cell>
        </row>
        <row r="365">
          <cell r="D365" t="str">
            <v>ECOSAMPA Santo Amaro</v>
          </cell>
          <cell r="E365">
            <v>43817</v>
          </cell>
          <cell r="F365">
            <v>1603.99</v>
          </cell>
          <cell r="G365" t="str">
            <v>Em Atividade Normal</v>
          </cell>
          <cell r="H365">
            <v>45119</v>
          </cell>
          <cell r="I365">
            <v>26023</v>
          </cell>
          <cell r="J365" t="str">
            <v>125.361.868-22</v>
          </cell>
          <cell r="K365" t="str">
            <v>123.24221.70.7</v>
          </cell>
          <cell r="L365" t="str">
            <v>Salário Mensal</v>
          </cell>
          <cell r="M365" t="str">
            <v>Empregado (CLT)</v>
          </cell>
        </row>
        <row r="366">
          <cell r="D366" t="str">
            <v>ECOSAMPA Santo Amaro</v>
          </cell>
          <cell r="E366">
            <v>44207</v>
          </cell>
          <cell r="F366">
            <v>1603.99</v>
          </cell>
          <cell r="G366" t="str">
            <v>Em Atividade Normal</v>
          </cell>
          <cell r="H366">
            <v>45173</v>
          </cell>
          <cell r="I366">
            <v>28024</v>
          </cell>
          <cell r="J366" t="str">
            <v>174.305.478-50</v>
          </cell>
          <cell r="K366" t="str">
            <v>124.67889.96.5</v>
          </cell>
          <cell r="L366" t="str">
            <v>Salário Mensal</v>
          </cell>
          <cell r="M366" t="str">
            <v>Empregado (CLT)</v>
          </cell>
        </row>
        <row r="367">
          <cell r="D367" t="str">
            <v>ECOSAMPA Operação Geral</v>
          </cell>
          <cell r="E367">
            <v>43617</v>
          </cell>
          <cell r="F367">
            <v>3050.22</v>
          </cell>
          <cell r="G367" t="str">
            <v>Em Atividade Normal</v>
          </cell>
          <cell r="H367">
            <v>44867</v>
          </cell>
          <cell r="I367">
            <v>23276</v>
          </cell>
          <cell r="J367" t="str">
            <v>184.772.078-10</v>
          </cell>
          <cell r="K367" t="str">
            <v>121.12886.05.5</v>
          </cell>
          <cell r="L367" t="str">
            <v>Salário Mensal</v>
          </cell>
          <cell r="M367" t="str">
            <v>Empregado (CLT)</v>
          </cell>
        </row>
        <row r="368">
          <cell r="D368" t="str">
            <v>ECOSAMPA Campo Limpo</v>
          </cell>
          <cell r="E368">
            <v>43617</v>
          </cell>
          <cell r="F368">
            <v>1603.99</v>
          </cell>
          <cell r="G368" t="str">
            <v>Em Atividade Normal</v>
          </cell>
          <cell r="H368">
            <v>44806</v>
          </cell>
          <cell r="I368">
            <v>23637</v>
          </cell>
          <cell r="J368" t="str">
            <v>170.904.948-02</v>
          </cell>
          <cell r="K368" t="str">
            <v>123.08108.71.3</v>
          </cell>
          <cell r="L368" t="str">
            <v>Salário Mensal</v>
          </cell>
          <cell r="M368" t="str">
            <v>Empregado (CLT)</v>
          </cell>
        </row>
        <row r="369">
          <cell r="D369" t="str">
            <v>ECOSAMPA M'Boi Mirim</v>
          </cell>
          <cell r="E369">
            <v>44048</v>
          </cell>
          <cell r="F369">
            <v>1603.99</v>
          </cell>
          <cell r="G369" t="str">
            <v>Em Atividade Normal</v>
          </cell>
          <cell r="H369">
            <v>45086</v>
          </cell>
          <cell r="I369">
            <v>30578</v>
          </cell>
          <cell r="J369" t="str">
            <v>329.234.348-89</v>
          </cell>
          <cell r="K369" t="str">
            <v>132.11289.81.9</v>
          </cell>
          <cell r="L369" t="str">
            <v>Salário Mensal</v>
          </cell>
          <cell r="M369" t="str">
            <v>Empregado (CLT)</v>
          </cell>
        </row>
        <row r="370">
          <cell r="D370" t="str">
            <v>ECOSAMPA Capela do Socorro</v>
          </cell>
          <cell r="E370">
            <v>43617</v>
          </cell>
          <cell r="F370">
            <v>1603.99</v>
          </cell>
          <cell r="G370" t="str">
            <v>Auxílio-Doença</v>
          </cell>
          <cell r="H370">
            <v>44275</v>
          </cell>
          <cell r="I370">
            <v>25041</v>
          </cell>
          <cell r="J370" t="str">
            <v>128.734.668-55</v>
          </cell>
          <cell r="K370" t="str">
            <v>123.53099.39.6</v>
          </cell>
          <cell r="L370" t="str">
            <v>Salário Mensal</v>
          </cell>
          <cell r="M370" t="str">
            <v>Empregado (CLT)</v>
          </cell>
        </row>
        <row r="371">
          <cell r="D371" t="str">
            <v>ECOSAMPA Capela do Socorro</v>
          </cell>
          <cell r="E371">
            <v>44046</v>
          </cell>
          <cell r="F371">
            <v>1319.67</v>
          </cell>
          <cell r="G371" t="str">
            <v>Demitido em Meses Anteriores</v>
          </cell>
          <cell r="H371">
            <v>44080</v>
          </cell>
          <cell r="I371">
            <v>28066</v>
          </cell>
          <cell r="J371" t="str">
            <v>259.002.078-38</v>
          </cell>
          <cell r="K371" t="str">
            <v>201.16378.64.0</v>
          </cell>
          <cell r="L371" t="str">
            <v>Salário Mensal</v>
          </cell>
          <cell r="M371" t="str">
            <v>Empregado (CLT)</v>
          </cell>
        </row>
        <row r="372">
          <cell r="D372" t="str">
            <v>ECOSAMPA Operação Geral</v>
          </cell>
          <cell r="E372">
            <v>43617</v>
          </cell>
          <cell r="F372">
            <v>2785.59</v>
          </cell>
          <cell r="G372" t="str">
            <v>Demitido em Meses Anteriores</v>
          </cell>
          <cell r="H372">
            <v>44602</v>
          </cell>
          <cell r="I372">
            <v>29005</v>
          </cell>
          <cell r="J372" t="str">
            <v>307.965.618-00</v>
          </cell>
          <cell r="K372" t="str">
            <v>131.32376.89.1</v>
          </cell>
          <cell r="L372" t="str">
            <v>Salário Mensal</v>
          </cell>
          <cell r="M372" t="str">
            <v>Empregado (CLT)</v>
          </cell>
        </row>
        <row r="373">
          <cell r="D373" t="str">
            <v>ECOSAMPA Santo Amaro</v>
          </cell>
          <cell r="E373">
            <v>44207</v>
          </cell>
          <cell r="F373">
            <v>1603.99</v>
          </cell>
          <cell r="G373" t="str">
            <v>Em Atividade Normal</v>
          </cell>
          <cell r="H373">
            <v>45149</v>
          </cell>
          <cell r="I373">
            <v>31882</v>
          </cell>
          <cell r="J373" t="str">
            <v>053.985.355-01</v>
          </cell>
          <cell r="K373" t="str">
            <v>161.87498.31.4</v>
          </cell>
          <cell r="L373" t="str">
            <v>Salário Mensal</v>
          </cell>
          <cell r="M373" t="str">
            <v>Empregado (CLT)</v>
          </cell>
        </row>
        <row r="374">
          <cell r="D374" t="str">
            <v>ECOSAMPA Santo Amaro</v>
          </cell>
          <cell r="E374">
            <v>43804</v>
          </cell>
          <cell r="F374">
            <v>1281.23</v>
          </cell>
          <cell r="G374" t="str">
            <v>Demitido em Meses Anteriores</v>
          </cell>
          <cell r="H374">
            <v>43894</v>
          </cell>
          <cell r="I374">
            <v>29077</v>
          </cell>
          <cell r="J374" t="str">
            <v>285.898.858-79</v>
          </cell>
          <cell r="K374" t="str">
            <v>130.56903.77.6</v>
          </cell>
          <cell r="L374" t="str">
            <v>Salário Mensal</v>
          </cell>
          <cell r="M374" t="str">
            <v>Empregado (CLT)</v>
          </cell>
        </row>
        <row r="375">
          <cell r="D375" t="str">
            <v>ECOSAMPA Campo Limpo</v>
          </cell>
          <cell r="E375">
            <v>43617</v>
          </cell>
          <cell r="F375">
            <v>1603.99</v>
          </cell>
          <cell r="G375" t="str">
            <v>Em Atividade Normal</v>
          </cell>
          <cell r="H375">
            <v>44835</v>
          </cell>
          <cell r="I375">
            <v>22677</v>
          </cell>
          <cell r="J375" t="str">
            <v>254.291.488-57</v>
          </cell>
          <cell r="K375" t="str">
            <v>125.26005.96.7</v>
          </cell>
          <cell r="L375" t="str">
            <v>Salário Mensal</v>
          </cell>
          <cell r="M375" t="str">
            <v>Empregado (CLT)</v>
          </cell>
        </row>
        <row r="376">
          <cell r="D376" t="str">
            <v>ECOSAMPA M'Boi Mirim</v>
          </cell>
          <cell r="E376">
            <v>43617</v>
          </cell>
          <cell r="F376">
            <v>1603.99</v>
          </cell>
          <cell r="G376" t="str">
            <v>Em Atividade Normal</v>
          </cell>
          <cell r="H376">
            <v>45149</v>
          </cell>
          <cell r="I376">
            <v>22850</v>
          </cell>
          <cell r="J376" t="str">
            <v>048.702.498-20</v>
          </cell>
          <cell r="K376" t="str">
            <v>108.11276.98.5</v>
          </cell>
          <cell r="L376" t="str">
            <v>Salário Mensal</v>
          </cell>
          <cell r="M376" t="str">
            <v>Empregado (CLT)</v>
          </cell>
        </row>
        <row r="377">
          <cell r="D377" t="str">
            <v>ECOSAMPA Operação Geral</v>
          </cell>
          <cell r="E377">
            <v>44967</v>
          </cell>
          <cell r="F377">
            <v>1603.99</v>
          </cell>
          <cell r="G377" t="str">
            <v>Em Atividade Normal</v>
          </cell>
          <cell r="H377">
            <v>44967</v>
          </cell>
          <cell r="I377">
            <v>28257</v>
          </cell>
          <cell r="J377" t="str">
            <v>273.689.358-13</v>
          </cell>
          <cell r="K377" t="str">
            <v>126.45734.77.6</v>
          </cell>
          <cell r="L377" t="str">
            <v>Salário Mensal</v>
          </cell>
          <cell r="M377" t="str">
            <v>Empregado (CLT)</v>
          </cell>
        </row>
        <row r="378">
          <cell r="D378" t="str">
            <v>ECOSAMPA Operação Geral</v>
          </cell>
          <cell r="E378">
            <v>44582</v>
          </cell>
          <cell r="F378">
            <v>1603.99</v>
          </cell>
          <cell r="G378" t="str">
            <v>Em Atividade Normal</v>
          </cell>
          <cell r="H378">
            <v>45023</v>
          </cell>
          <cell r="I378">
            <v>33725</v>
          </cell>
          <cell r="J378" t="str">
            <v>418.875.628-42</v>
          </cell>
          <cell r="K378" t="str">
            <v>138.02048.93.7</v>
          </cell>
          <cell r="L378" t="str">
            <v>Salário Mensal</v>
          </cell>
          <cell r="M378" t="str">
            <v>Empregado (CLT)</v>
          </cell>
        </row>
        <row r="379">
          <cell r="D379" t="str">
            <v>ECOSAMPA Santo Amaro</v>
          </cell>
          <cell r="E379">
            <v>43804</v>
          </cell>
          <cell r="F379">
            <v>1603.99</v>
          </cell>
          <cell r="G379" t="str">
            <v>Em Atividade Normal</v>
          </cell>
          <cell r="H379">
            <v>45143</v>
          </cell>
          <cell r="I379">
            <v>29275</v>
          </cell>
          <cell r="J379" t="str">
            <v>280.734.488-74</v>
          </cell>
          <cell r="K379" t="str">
            <v>127.08252.85.4</v>
          </cell>
          <cell r="L379" t="str">
            <v>Salário Mensal</v>
          </cell>
          <cell r="M379" t="str">
            <v>Empregado (CLT)</v>
          </cell>
        </row>
        <row r="380">
          <cell r="D380" t="str">
            <v>ECOSAMPA Santo Amaro</v>
          </cell>
          <cell r="E380">
            <v>43874</v>
          </cell>
          <cell r="F380">
            <v>1603.99</v>
          </cell>
          <cell r="G380" t="str">
            <v>Em Atividade Normal</v>
          </cell>
          <cell r="H380">
            <v>45177</v>
          </cell>
          <cell r="I380">
            <v>28879</v>
          </cell>
          <cell r="J380" t="str">
            <v>375.417.168-20</v>
          </cell>
          <cell r="K380" t="str">
            <v>130.32001.93.4</v>
          </cell>
          <cell r="L380" t="str">
            <v>Salário Mensal</v>
          </cell>
          <cell r="M380" t="str">
            <v>Empregado (CLT)</v>
          </cell>
        </row>
        <row r="381">
          <cell r="D381" t="str">
            <v>ECOSAMPA Santo Amaro</v>
          </cell>
          <cell r="E381">
            <v>43617</v>
          </cell>
          <cell r="F381">
            <v>1603.99</v>
          </cell>
          <cell r="G381" t="str">
            <v>Demitido em Meses Anteriores</v>
          </cell>
          <cell r="H381">
            <v>45005</v>
          </cell>
          <cell r="I381">
            <v>32298</v>
          </cell>
          <cell r="J381" t="str">
            <v>381.925.748-90</v>
          </cell>
          <cell r="K381" t="str">
            <v>136.15480.93.6</v>
          </cell>
          <cell r="L381" t="str">
            <v>Salário Mensal</v>
          </cell>
          <cell r="M381" t="str">
            <v>Empregado (CLT)</v>
          </cell>
        </row>
        <row r="382">
          <cell r="D382" t="str">
            <v>ECOSAMPA Operação Geral</v>
          </cell>
          <cell r="E382">
            <v>43620</v>
          </cell>
          <cell r="F382">
            <v>1603.99</v>
          </cell>
          <cell r="G382" t="str">
            <v>Em Atividade Normal</v>
          </cell>
          <cell r="H382">
            <v>45048</v>
          </cell>
          <cell r="I382">
            <v>25354</v>
          </cell>
          <cell r="J382" t="str">
            <v>086.973.288-96</v>
          </cell>
          <cell r="K382" t="str">
            <v>122.40514.33.9</v>
          </cell>
          <cell r="L382" t="str">
            <v>Salário Mensal</v>
          </cell>
          <cell r="M382" t="str">
            <v>Empregado (CLT)</v>
          </cell>
        </row>
        <row r="383">
          <cell r="D383" t="str">
            <v>ECOSAMPA Operação Geral</v>
          </cell>
          <cell r="E383">
            <v>43617</v>
          </cell>
          <cell r="F383">
            <v>1907.79</v>
          </cell>
          <cell r="G383" t="str">
            <v>Em Atividade Normal</v>
          </cell>
          <cell r="H383">
            <v>44898</v>
          </cell>
          <cell r="I383">
            <v>31140</v>
          </cell>
          <cell r="J383" t="str">
            <v>349.168.568-05</v>
          </cell>
          <cell r="K383" t="str">
            <v>136.98058.77.3</v>
          </cell>
          <cell r="L383" t="str">
            <v>Salário Mensal</v>
          </cell>
          <cell r="M383" t="str">
            <v>Empregado (CLT)</v>
          </cell>
        </row>
        <row r="384">
          <cell r="D384" t="str">
            <v>ECOSAMPA Operação Geral</v>
          </cell>
          <cell r="E384">
            <v>44994</v>
          </cell>
          <cell r="F384">
            <v>1603.99</v>
          </cell>
          <cell r="G384" t="str">
            <v>Em Atividade Normal</v>
          </cell>
          <cell r="H384">
            <v>44994</v>
          </cell>
          <cell r="I384">
            <v>26107</v>
          </cell>
          <cell r="J384" t="str">
            <v>170.099.268-67</v>
          </cell>
          <cell r="K384" t="str">
            <v>122.84957.08.2</v>
          </cell>
          <cell r="L384" t="str">
            <v>Salário Mensal</v>
          </cell>
          <cell r="M384" t="str">
            <v>Empregado (CLT)</v>
          </cell>
        </row>
        <row r="385">
          <cell r="D385" t="str">
            <v>ECOSAMPA Santo Amaro</v>
          </cell>
          <cell r="E385">
            <v>43811</v>
          </cell>
          <cell r="F385">
            <v>1603.99</v>
          </cell>
          <cell r="G385" t="str">
            <v>Em Atividade Normal</v>
          </cell>
          <cell r="H385">
            <v>45086</v>
          </cell>
          <cell r="I385">
            <v>27408</v>
          </cell>
          <cell r="J385" t="str">
            <v>339.744.288-52</v>
          </cell>
          <cell r="K385" t="str">
            <v>125.01547.80.4</v>
          </cell>
          <cell r="L385" t="str">
            <v>Salário Mensal</v>
          </cell>
          <cell r="M385" t="str">
            <v>Empregado (CLT)</v>
          </cell>
        </row>
        <row r="386">
          <cell r="D386" t="str">
            <v>ECOSAMPA Capela do Socorro</v>
          </cell>
          <cell r="E386">
            <v>43617</v>
          </cell>
          <cell r="F386">
            <v>1603.99</v>
          </cell>
          <cell r="G386" t="str">
            <v>Em Atividade Normal</v>
          </cell>
          <cell r="H386">
            <v>45177</v>
          </cell>
          <cell r="I386">
            <v>26660</v>
          </cell>
          <cell r="J386" t="str">
            <v>708.518.245-87</v>
          </cell>
          <cell r="K386" t="str">
            <v>124.69367.45.1</v>
          </cell>
          <cell r="L386" t="str">
            <v>Salário Mensal</v>
          </cell>
          <cell r="M386" t="str">
            <v>Empregado (CLT)</v>
          </cell>
        </row>
        <row r="387">
          <cell r="D387" t="str">
            <v>ECOSAMPA Santo Amaro</v>
          </cell>
          <cell r="E387">
            <v>43617</v>
          </cell>
          <cell r="F387">
            <v>1603.99</v>
          </cell>
          <cell r="G387" t="str">
            <v>Em Atividade Normal</v>
          </cell>
          <cell r="H387">
            <v>45177</v>
          </cell>
          <cell r="I387">
            <v>24789</v>
          </cell>
          <cell r="J387" t="str">
            <v>144.271.168-09</v>
          </cell>
          <cell r="K387" t="str">
            <v>123.74830.53.7</v>
          </cell>
          <cell r="L387" t="str">
            <v>Salário Mensal</v>
          </cell>
          <cell r="M387" t="str">
            <v>Empregado (CLT)</v>
          </cell>
        </row>
        <row r="388">
          <cell r="D388" t="str">
            <v>ECOSAMPA M'Boi Mirim</v>
          </cell>
          <cell r="E388">
            <v>43617</v>
          </cell>
          <cell r="F388">
            <v>1603.99</v>
          </cell>
          <cell r="G388" t="str">
            <v>Gozando Férias</v>
          </cell>
          <cell r="H388">
            <v>45180</v>
          </cell>
          <cell r="I388">
            <v>33385</v>
          </cell>
          <cell r="J388" t="str">
            <v>377.854.728-31</v>
          </cell>
          <cell r="K388" t="str">
            <v>201.15199.35.1</v>
          </cell>
          <cell r="L388" t="str">
            <v>Salário Mensal</v>
          </cell>
          <cell r="M388" t="str">
            <v>Empregado (CLT)</v>
          </cell>
        </row>
        <row r="389">
          <cell r="D389" t="str">
            <v>ECOSAMPA M'Boi Mirim</v>
          </cell>
          <cell r="E389">
            <v>43617</v>
          </cell>
          <cell r="F389">
            <v>1603.99</v>
          </cell>
          <cell r="G389" t="str">
            <v>Em Atividade Normal</v>
          </cell>
          <cell r="H389">
            <v>45177</v>
          </cell>
          <cell r="I389">
            <v>28042</v>
          </cell>
          <cell r="J389" t="str">
            <v>734.734.563-49</v>
          </cell>
          <cell r="K389" t="str">
            <v>127.00886.42.0</v>
          </cell>
          <cell r="L389" t="str">
            <v>Salário Mensal</v>
          </cell>
          <cell r="M389" t="str">
            <v>Empregado (CLT)</v>
          </cell>
        </row>
        <row r="390">
          <cell r="D390" t="str">
            <v>ECOSAMPA Operação Geral</v>
          </cell>
          <cell r="E390">
            <v>44972</v>
          </cell>
          <cell r="F390">
            <v>1603.99</v>
          </cell>
          <cell r="G390" t="str">
            <v>Demitido em Meses Anteriores</v>
          </cell>
          <cell r="H390">
            <v>44986</v>
          </cell>
          <cell r="I390">
            <v>31144</v>
          </cell>
          <cell r="J390" t="str">
            <v>106.971.237-07</v>
          </cell>
          <cell r="K390" t="str">
            <v>131.77890.29.2</v>
          </cell>
          <cell r="L390" t="str">
            <v>Salário Mensal</v>
          </cell>
          <cell r="M390" t="str">
            <v>Empregado (CLT)</v>
          </cell>
        </row>
        <row r="391">
          <cell r="D391" t="str">
            <v>ECOSAMPA Santo Amaro</v>
          </cell>
          <cell r="E391">
            <v>43617</v>
          </cell>
          <cell r="F391">
            <v>3222.08</v>
          </cell>
          <cell r="G391" t="str">
            <v>Em Atividade Normal</v>
          </cell>
          <cell r="H391">
            <v>45071</v>
          </cell>
          <cell r="I391">
            <v>34102</v>
          </cell>
          <cell r="J391" t="str">
            <v>407.478.038-03</v>
          </cell>
          <cell r="K391" t="str">
            <v>210.73020.21.7</v>
          </cell>
          <cell r="L391" t="str">
            <v>Salário Mensal</v>
          </cell>
          <cell r="M391" t="str">
            <v>Empregado (CLT)</v>
          </cell>
        </row>
        <row r="392">
          <cell r="D392" t="str">
            <v>ECOSAMPA Capela do Socorro</v>
          </cell>
          <cell r="E392">
            <v>43617</v>
          </cell>
          <cell r="F392">
            <v>1603.99</v>
          </cell>
          <cell r="G392" t="str">
            <v>Em Atividade Normal</v>
          </cell>
          <cell r="H392">
            <v>45177</v>
          </cell>
          <cell r="I392">
            <v>30536</v>
          </cell>
          <cell r="J392" t="str">
            <v>329.441.388-20</v>
          </cell>
          <cell r="K392" t="str">
            <v>133.77654.89.4</v>
          </cell>
          <cell r="L392" t="str">
            <v>Salário Mensal</v>
          </cell>
          <cell r="M392" t="str">
            <v>Empregado (CLT)</v>
          </cell>
        </row>
        <row r="393">
          <cell r="D393" t="str">
            <v>ECOSAMPA Operação Geral</v>
          </cell>
          <cell r="E393">
            <v>43617</v>
          </cell>
          <cell r="F393">
            <v>1523.89</v>
          </cell>
          <cell r="G393" t="str">
            <v>Demitido em Meses Anteriores</v>
          </cell>
          <cell r="H393">
            <v>43974</v>
          </cell>
          <cell r="I393">
            <v>26279</v>
          </cell>
          <cell r="J393" t="str">
            <v>650.598.675-87</v>
          </cell>
          <cell r="K393" t="str">
            <v>124.70524.98.0</v>
          </cell>
          <cell r="L393" t="str">
            <v>Salário Mensal</v>
          </cell>
          <cell r="M393" t="str">
            <v>Empregado (CLT)</v>
          </cell>
        </row>
        <row r="394">
          <cell r="D394" t="str">
            <v>ECOSAMPA Capela do Socorro</v>
          </cell>
          <cell r="E394">
            <v>45098</v>
          </cell>
          <cell r="F394">
            <v>1603.99</v>
          </cell>
          <cell r="G394" t="str">
            <v>Em Atividade Normal</v>
          </cell>
          <cell r="H394">
            <v>45098</v>
          </cell>
          <cell r="I394">
            <v>33997</v>
          </cell>
          <cell r="J394" t="str">
            <v>053.193.323-78</v>
          </cell>
          <cell r="K394" t="str">
            <v>117.73479.49.5</v>
          </cell>
          <cell r="L394" t="str">
            <v>Salário Mensal</v>
          </cell>
          <cell r="M394" t="str">
            <v>Empregado (CLT)</v>
          </cell>
        </row>
        <row r="395">
          <cell r="D395" t="str">
            <v>ECOSAMPA Pensionistas</v>
          </cell>
          <cell r="E395">
            <v>44648</v>
          </cell>
          <cell r="F395">
            <v>0.01</v>
          </cell>
          <cell r="G395" t="str">
            <v>Em Atividade Normal</v>
          </cell>
          <cell r="H395">
            <v>44648</v>
          </cell>
          <cell r="J395" t="str">
            <v>464.925.728-07</v>
          </cell>
          <cell r="L395" t="str">
            <v>Nenhuma</v>
          </cell>
          <cell r="M395" t="str">
            <v>Pensionista</v>
          </cell>
        </row>
        <row r="396">
          <cell r="D396" t="str">
            <v>ECOSAMPA M'Boi Mirim</v>
          </cell>
          <cell r="E396">
            <v>43617</v>
          </cell>
          <cell r="F396">
            <v>1603.99</v>
          </cell>
          <cell r="G396" t="str">
            <v>Em Atividade Normal</v>
          </cell>
          <cell r="H396">
            <v>45177</v>
          </cell>
          <cell r="I396">
            <v>27286</v>
          </cell>
          <cell r="J396" t="str">
            <v>929.003.139-53</v>
          </cell>
          <cell r="K396" t="str">
            <v>127.05775.93.7</v>
          </cell>
          <cell r="L396" t="str">
            <v>Salário Mensal</v>
          </cell>
          <cell r="M396" t="str">
            <v>Empregado (CLT)</v>
          </cell>
        </row>
        <row r="397">
          <cell r="D397" t="str">
            <v>ECOSAMPA Operação Geral</v>
          </cell>
          <cell r="E397">
            <v>44487</v>
          </cell>
          <cell r="F397">
            <v>1464.83</v>
          </cell>
          <cell r="G397" t="str">
            <v>Demitido em Meses Anteriores</v>
          </cell>
          <cell r="H397">
            <v>44824</v>
          </cell>
          <cell r="I397">
            <v>34156</v>
          </cell>
          <cell r="J397" t="str">
            <v>425.522.798-56</v>
          </cell>
          <cell r="K397" t="str">
            <v>207.11718.17.7</v>
          </cell>
          <cell r="L397" t="str">
            <v>Salário Mensal</v>
          </cell>
          <cell r="M397" t="str">
            <v>Empregado (CLT)</v>
          </cell>
        </row>
        <row r="398">
          <cell r="D398" t="str">
            <v>ECOSAMPA Campo Limpo</v>
          </cell>
          <cell r="E398">
            <v>44207</v>
          </cell>
          <cell r="F398">
            <v>1319.67</v>
          </cell>
          <cell r="G398" t="str">
            <v>Demitido em Meses Anteriores</v>
          </cell>
          <cell r="H398">
            <v>44292</v>
          </cell>
          <cell r="I398">
            <v>26557</v>
          </cell>
          <cell r="J398" t="str">
            <v>111.266.428-94</v>
          </cell>
          <cell r="K398" t="str">
            <v>170.33345.73.7</v>
          </cell>
          <cell r="L398" t="str">
            <v>Salário Mensal</v>
          </cell>
          <cell r="M398" t="str">
            <v>Empregado (CLT)</v>
          </cell>
        </row>
        <row r="399">
          <cell r="D399" t="str">
            <v>ECOSAMPA Operação Geral</v>
          </cell>
          <cell r="E399">
            <v>43617</v>
          </cell>
          <cell r="F399">
            <v>1569.61</v>
          </cell>
          <cell r="G399" t="str">
            <v>Demitido em Meses Anteriores</v>
          </cell>
          <cell r="H399">
            <v>44112</v>
          </cell>
          <cell r="I399">
            <v>21905</v>
          </cell>
          <cell r="J399" t="str">
            <v>013.928.138-08</v>
          </cell>
          <cell r="K399" t="str">
            <v>120.34044.60.8</v>
          </cell>
          <cell r="L399" t="str">
            <v>Salário Mensal</v>
          </cell>
          <cell r="M399" t="str">
            <v>Empregado (CLT)</v>
          </cell>
        </row>
        <row r="400">
          <cell r="D400" t="str">
            <v>ECOSAMPA Operação Geral</v>
          </cell>
          <cell r="E400">
            <v>43617</v>
          </cell>
          <cell r="F400">
            <v>1907.79</v>
          </cell>
          <cell r="G400" t="str">
            <v>Em Atividade Normal</v>
          </cell>
          <cell r="H400">
            <v>45023</v>
          </cell>
          <cell r="I400">
            <v>29643</v>
          </cell>
          <cell r="J400" t="str">
            <v>292.490.138-33</v>
          </cell>
          <cell r="K400" t="str">
            <v>130.12444.77.6</v>
          </cell>
          <cell r="L400" t="str">
            <v>Salário Mensal</v>
          </cell>
          <cell r="M400" t="str">
            <v>Empregado (CLT)</v>
          </cell>
        </row>
        <row r="401">
          <cell r="D401" t="str">
            <v>ECOSAMPA Operação Geral</v>
          </cell>
          <cell r="E401">
            <v>43617</v>
          </cell>
          <cell r="F401">
            <v>3050.22</v>
          </cell>
          <cell r="G401" t="str">
            <v>Em Atividade Normal</v>
          </cell>
          <cell r="H401">
            <v>45177</v>
          </cell>
          <cell r="I401">
            <v>27579</v>
          </cell>
          <cell r="J401" t="str">
            <v>249.403.108-76</v>
          </cell>
          <cell r="K401" t="str">
            <v>124.44887.45.1</v>
          </cell>
          <cell r="L401" t="str">
            <v>Salário Mensal</v>
          </cell>
          <cell r="M401" t="str">
            <v>Empregado (CLT)</v>
          </cell>
        </row>
        <row r="402">
          <cell r="D402" t="str">
            <v>ECOSAMPA Operação Geral</v>
          </cell>
          <cell r="E402">
            <v>43617</v>
          </cell>
          <cell r="F402">
            <v>1465.28</v>
          </cell>
          <cell r="G402" t="str">
            <v>Demitido em Meses Anteriores</v>
          </cell>
          <cell r="H402">
            <v>43703</v>
          </cell>
          <cell r="I402">
            <v>28190</v>
          </cell>
          <cell r="J402" t="str">
            <v>189.678.958-79</v>
          </cell>
          <cell r="K402" t="str">
            <v>125.93726.89.1</v>
          </cell>
          <cell r="L402" t="str">
            <v>Salário Mensal</v>
          </cell>
          <cell r="M402" t="str">
            <v>Empregado (CLT)</v>
          </cell>
        </row>
        <row r="403">
          <cell r="D403" t="str">
            <v>ECOSAMPA Capela do Socorro</v>
          </cell>
          <cell r="E403">
            <v>43617</v>
          </cell>
          <cell r="F403">
            <v>1603.99</v>
          </cell>
          <cell r="G403" t="str">
            <v>Em Atividade Normal</v>
          </cell>
          <cell r="H403">
            <v>45119</v>
          </cell>
          <cell r="I403">
            <v>21390</v>
          </cell>
          <cell r="J403" t="str">
            <v>134.619.508-07</v>
          </cell>
          <cell r="K403" t="str">
            <v>107.86219.56.1</v>
          </cell>
          <cell r="L403" t="str">
            <v>Salário Mensal</v>
          </cell>
          <cell r="M403" t="str">
            <v>Empregado (CLT)</v>
          </cell>
        </row>
        <row r="404">
          <cell r="D404" t="str">
            <v>ECOSAMPA Santo Amaro</v>
          </cell>
          <cell r="E404">
            <v>45180</v>
          </cell>
          <cell r="F404">
            <v>1603.99</v>
          </cell>
          <cell r="G404" t="str">
            <v>Em Atividade Normal</v>
          </cell>
          <cell r="H404">
            <v>45180</v>
          </cell>
          <cell r="I404">
            <v>25969</v>
          </cell>
          <cell r="J404" t="str">
            <v>126.753.438-97</v>
          </cell>
          <cell r="K404" t="str">
            <v>123.24534.88.8</v>
          </cell>
          <cell r="L404" t="str">
            <v>Salário Mensal</v>
          </cell>
          <cell r="M404" t="str">
            <v>Empregado (CLT)</v>
          </cell>
        </row>
        <row r="405">
          <cell r="D405" t="str">
            <v>ECOSAMPA Capela do Socorro</v>
          </cell>
          <cell r="E405">
            <v>43817</v>
          </cell>
          <cell r="F405">
            <v>1603.99</v>
          </cell>
          <cell r="G405" t="str">
            <v>Demitido em Meses Anteriores</v>
          </cell>
          <cell r="H405">
            <v>44910</v>
          </cell>
          <cell r="I405">
            <v>33393</v>
          </cell>
          <cell r="J405" t="str">
            <v>422.309.748-23</v>
          </cell>
          <cell r="K405" t="str">
            <v>210.72547.88.2</v>
          </cell>
          <cell r="L405" t="str">
            <v>Salário Mensal</v>
          </cell>
          <cell r="M405" t="str">
            <v>Empregado (CLT)</v>
          </cell>
        </row>
        <row r="406">
          <cell r="D406" t="str">
            <v>ECOSAMPA Santo Amaro</v>
          </cell>
          <cell r="E406">
            <v>43617</v>
          </cell>
          <cell r="F406">
            <v>1603.99</v>
          </cell>
          <cell r="G406" t="str">
            <v>Em Atividade Normal</v>
          </cell>
          <cell r="H406">
            <v>45056</v>
          </cell>
          <cell r="I406">
            <v>33561</v>
          </cell>
          <cell r="J406" t="str">
            <v>398.767.068-10</v>
          </cell>
          <cell r="K406" t="str">
            <v>201.15154.57.9</v>
          </cell>
          <cell r="L406" t="str">
            <v>Salário Mensal</v>
          </cell>
          <cell r="M406" t="str">
            <v>Empregado (CLT)</v>
          </cell>
        </row>
        <row r="407">
          <cell r="D407" t="str">
            <v>ECOSAMPA Operação Geral</v>
          </cell>
          <cell r="E407">
            <v>43617</v>
          </cell>
          <cell r="F407">
            <v>3050.22</v>
          </cell>
          <cell r="G407" t="str">
            <v>Em Atividade Normal</v>
          </cell>
          <cell r="H407">
            <v>44867</v>
          </cell>
          <cell r="I407">
            <v>32568</v>
          </cell>
          <cell r="J407" t="str">
            <v>391.649.398-12</v>
          </cell>
          <cell r="K407" t="str">
            <v>138.03225.77.8</v>
          </cell>
          <cell r="L407" t="str">
            <v>Salário Mensal</v>
          </cell>
          <cell r="M407" t="str">
            <v>Empregado (CLT)</v>
          </cell>
        </row>
        <row r="408">
          <cell r="D408" t="str">
            <v>ECOSAMPA Operação Geral</v>
          </cell>
          <cell r="E408">
            <v>43617</v>
          </cell>
          <cell r="F408">
            <v>3050.22</v>
          </cell>
          <cell r="G408" t="str">
            <v>Em Atividade Normal</v>
          </cell>
          <cell r="H408">
            <v>44806</v>
          </cell>
          <cell r="I408">
            <v>27860</v>
          </cell>
          <cell r="J408" t="str">
            <v>254.538.498-43</v>
          </cell>
          <cell r="K408" t="str">
            <v>124.57286.98.2</v>
          </cell>
          <cell r="L408" t="str">
            <v>Salário Mensal</v>
          </cell>
          <cell r="M408" t="str">
            <v>Empregado (CLT)</v>
          </cell>
        </row>
        <row r="409">
          <cell r="D409" t="str">
            <v>ECOSAMPA Campo Limpo</v>
          </cell>
          <cell r="E409">
            <v>43617</v>
          </cell>
          <cell r="F409">
            <v>1231.95</v>
          </cell>
          <cell r="G409" t="str">
            <v>Demitido em Meses Anteriores</v>
          </cell>
          <cell r="H409">
            <v>43704</v>
          </cell>
          <cell r="I409">
            <v>31656</v>
          </cell>
          <cell r="J409" t="str">
            <v>030.898.853-10</v>
          </cell>
          <cell r="K409" t="str">
            <v>160.49528.04.8</v>
          </cell>
          <cell r="L409" t="str">
            <v>Salário Mensal</v>
          </cell>
          <cell r="M409" t="str">
            <v>Empregado (CLT)</v>
          </cell>
        </row>
        <row r="410">
          <cell r="D410" t="str">
            <v>ECOSAMPA Operação Geral</v>
          </cell>
          <cell r="E410">
            <v>43617</v>
          </cell>
          <cell r="F410">
            <v>3050.22</v>
          </cell>
          <cell r="G410" t="str">
            <v>Em Atividade Normal</v>
          </cell>
          <cell r="H410">
            <v>45149</v>
          </cell>
          <cell r="I410">
            <v>30753</v>
          </cell>
          <cell r="J410" t="str">
            <v>320.046.798-32</v>
          </cell>
          <cell r="K410" t="str">
            <v>132.61837.85.2</v>
          </cell>
          <cell r="L410" t="str">
            <v>Salário Mensal</v>
          </cell>
          <cell r="M410" t="str">
            <v>Empregado (CLT)</v>
          </cell>
        </row>
        <row r="411">
          <cell r="D411" t="str">
            <v>ECOSAMPA Campo Limpo</v>
          </cell>
          <cell r="E411">
            <v>43617</v>
          </cell>
          <cell r="F411">
            <v>1603.99</v>
          </cell>
          <cell r="G411" t="str">
            <v>Em Atividade Normal</v>
          </cell>
          <cell r="H411">
            <v>45119</v>
          </cell>
          <cell r="I411">
            <v>21869</v>
          </cell>
          <cell r="J411" t="str">
            <v>641.628.774-91</v>
          </cell>
          <cell r="K411" t="str">
            <v>106.64173.37.0</v>
          </cell>
          <cell r="L411" t="str">
            <v>Salário Mensal</v>
          </cell>
          <cell r="M411" t="str">
            <v>Empregado (CLT)</v>
          </cell>
        </row>
        <row r="412">
          <cell r="D412" t="str">
            <v>ECOSAMPA Santo Amaro</v>
          </cell>
          <cell r="E412">
            <v>43617</v>
          </cell>
          <cell r="F412">
            <v>1603.99</v>
          </cell>
          <cell r="G412" t="str">
            <v>Em Atividade Normal</v>
          </cell>
          <cell r="H412">
            <v>45056</v>
          </cell>
          <cell r="I412">
            <v>23047</v>
          </cell>
          <cell r="J412" t="str">
            <v>453.162.369-04</v>
          </cell>
          <cell r="K412" t="str">
            <v>120.13783.50.9</v>
          </cell>
          <cell r="L412" t="str">
            <v>Salário Mensal</v>
          </cell>
          <cell r="M412" t="str">
            <v>Empregado (CLT)</v>
          </cell>
        </row>
        <row r="413">
          <cell r="D413" t="str">
            <v>ECOSAMPA Capela do Socorro</v>
          </cell>
          <cell r="E413">
            <v>43617</v>
          </cell>
          <cell r="F413">
            <v>1603.99</v>
          </cell>
          <cell r="G413" t="str">
            <v>Em Atividade Normal</v>
          </cell>
          <cell r="H413">
            <v>45177</v>
          </cell>
          <cell r="I413">
            <v>22294</v>
          </cell>
          <cell r="J413" t="str">
            <v>346.339.604-15</v>
          </cell>
          <cell r="K413" t="str">
            <v>120.40562.84.4</v>
          </cell>
          <cell r="L413" t="str">
            <v>Salário Mensal</v>
          </cell>
          <cell r="M413" t="str">
            <v>Empregado (CLT)</v>
          </cell>
        </row>
        <row r="414">
          <cell r="D414" t="str">
            <v>ECOSAMPA Operação Geral</v>
          </cell>
          <cell r="E414">
            <v>43917</v>
          </cell>
          <cell r="F414">
            <v>2509.54</v>
          </cell>
          <cell r="G414" t="str">
            <v>Demitido em Meses Anteriores</v>
          </cell>
          <cell r="H414">
            <v>44085</v>
          </cell>
          <cell r="I414">
            <v>26081</v>
          </cell>
          <cell r="J414" t="str">
            <v>140.717.638-25</v>
          </cell>
          <cell r="K414" t="str">
            <v>123.83508.85.5</v>
          </cell>
          <cell r="L414" t="str">
            <v>Salário Mensal</v>
          </cell>
          <cell r="M414" t="str">
            <v>Empregado (CLT)</v>
          </cell>
        </row>
        <row r="415">
          <cell r="D415" t="str">
            <v>ECOSAMPA Operação Geral</v>
          </cell>
          <cell r="E415">
            <v>44967</v>
          </cell>
          <cell r="F415">
            <v>1603.99</v>
          </cell>
          <cell r="G415" t="str">
            <v>Demitido em Meses Anteriores</v>
          </cell>
          <cell r="H415">
            <v>44981</v>
          </cell>
          <cell r="I415">
            <v>30078</v>
          </cell>
          <cell r="J415" t="str">
            <v>304.157.518-37</v>
          </cell>
          <cell r="K415" t="str">
            <v>127.34068.22.4</v>
          </cell>
          <cell r="L415" t="str">
            <v>Salário Mensal</v>
          </cell>
          <cell r="M415" t="str">
            <v>Empregado (CLT)</v>
          </cell>
        </row>
        <row r="416">
          <cell r="D416" t="str">
            <v>ECOSAMPA Campo Limpo</v>
          </cell>
          <cell r="E416">
            <v>43617</v>
          </cell>
          <cell r="F416">
            <v>1603.99</v>
          </cell>
          <cell r="G416" t="str">
            <v>Em Atividade Normal</v>
          </cell>
          <cell r="H416">
            <v>45149</v>
          </cell>
          <cell r="I416">
            <v>23866</v>
          </cell>
          <cell r="J416" t="str">
            <v>782.262.284-68</v>
          </cell>
          <cell r="K416" t="str">
            <v>124.70075.34.5</v>
          </cell>
          <cell r="L416" t="str">
            <v>Salário Mensal</v>
          </cell>
          <cell r="M416" t="str">
            <v>Empregado (CLT)</v>
          </cell>
        </row>
        <row r="417">
          <cell r="D417" t="str">
            <v>ECOSAMPA Capela do Socorro</v>
          </cell>
          <cell r="E417">
            <v>43817</v>
          </cell>
          <cell r="F417">
            <v>1603.99</v>
          </cell>
          <cell r="G417" t="str">
            <v>Em Atividade Normal</v>
          </cell>
          <cell r="H417">
            <v>45177</v>
          </cell>
          <cell r="I417">
            <v>24018</v>
          </cell>
          <cell r="J417" t="str">
            <v>327.878.203-87</v>
          </cell>
          <cell r="K417" t="str">
            <v>123.50511.22.9</v>
          </cell>
          <cell r="L417" t="str">
            <v>Salário Mensal</v>
          </cell>
          <cell r="M417" t="str">
            <v>Empregado (CLT)</v>
          </cell>
        </row>
        <row r="418">
          <cell r="D418" t="str">
            <v>ECOSAMPA M'Boi Mirim</v>
          </cell>
          <cell r="E418">
            <v>44018</v>
          </cell>
          <cell r="F418">
            <v>1603.99</v>
          </cell>
          <cell r="G418" t="str">
            <v>Em Atividade Normal</v>
          </cell>
          <cell r="H418">
            <v>45056</v>
          </cell>
          <cell r="I418">
            <v>28134</v>
          </cell>
          <cell r="J418" t="str">
            <v>987.255.994-53</v>
          </cell>
          <cell r="K418" t="str">
            <v>124.66252.50.5</v>
          </cell>
          <cell r="L418" t="str">
            <v>Salário Mensal</v>
          </cell>
          <cell r="M418" t="str">
            <v>Empregado (CLT)</v>
          </cell>
        </row>
        <row r="419">
          <cell r="D419" t="str">
            <v>ECOSAMPA Santo Amaro</v>
          </cell>
          <cell r="E419">
            <v>43617</v>
          </cell>
          <cell r="F419">
            <v>1603.99</v>
          </cell>
          <cell r="G419" t="str">
            <v>Auxílio-Doença</v>
          </cell>
          <cell r="H419">
            <v>43713</v>
          </cell>
          <cell r="I419">
            <v>22389</v>
          </cell>
          <cell r="J419" t="str">
            <v>475.438.504-78</v>
          </cell>
          <cell r="K419" t="str">
            <v>123.74156.55.0</v>
          </cell>
          <cell r="L419" t="str">
            <v>Salário Mensal</v>
          </cell>
          <cell r="M419" t="str">
            <v>Empregado (CLT)</v>
          </cell>
        </row>
        <row r="420">
          <cell r="D420" t="str">
            <v>ECOSAMPA Parelheiros</v>
          </cell>
          <cell r="E420">
            <v>43617</v>
          </cell>
          <cell r="F420">
            <v>1907.79</v>
          </cell>
          <cell r="G420" t="str">
            <v>Gozando Férias</v>
          </cell>
          <cell r="H420">
            <v>45180</v>
          </cell>
          <cell r="I420">
            <v>28375</v>
          </cell>
          <cell r="J420" t="str">
            <v>232.209.268-19</v>
          </cell>
          <cell r="K420" t="str">
            <v>135.39636.93.4</v>
          </cell>
          <cell r="L420" t="str">
            <v>Salário Mensal</v>
          </cell>
          <cell r="M420" t="str">
            <v>Empregado (CLT)</v>
          </cell>
        </row>
        <row r="421">
          <cell r="D421" t="str">
            <v>ECOSAMPA Operação Geral</v>
          </cell>
          <cell r="E421">
            <v>43617</v>
          </cell>
          <cell r="F421">
            <v>2232.3000000000002</v>
          </cell>
          <cell r="G421" t="str">
            <v>Demitido em Meses Anteriores</v>
          </cell>
          <cell r="H421">
            <v>44690</v>
          </cell>
          <cell r="I421">
            <v>24578</v>
          </cell>
          <cell r="J421" t="str">
            <v>462.366.354-04</v>
          </cell>
          <cell r="K421" t="str">
            <v>123.08632.45.5</v>
          </cell>
          <cell r="L421" t="str">
            <v>Salário Mensal</v>
          </cell>
          <cell r="M421" t="str">
            <v>Empregado (CLT)</v>
          </cell>
        </row>
        <row r="422">
          <cell r="D422" t="str">
            <v>ECOSAMPA Operação Geral</v>
          </cell>
          <cell r="E422">
            <v>44216</v>
          </cell>
          <cell r="F422">
            <v>4387.7</v>
          </cell>
          <cell r="G422" t="str">
            <v>Em Atividade Normal</v>
          </cell>
          <cell r="H422">
            <v>45149</v>
          </cell>
          <cell r="I422">
            <v>29376</v>
          </cell>
          <cell r="J422" t="str">
            <v>293.994.738-48</v>
          </cell>
          <cell r="K422" t="str">
            <v>128.21752.56.5</v>
          </cell>
          <cell r="L422" t="str">
            <v>Salário Mensal</v>
          </cell>
          <cell r="M422" t="str">
            <v>Empregado (CLT)</v>
          </cell>
        </row>
        <row r="423">
          <cell r="D423" t="str">
            <v>ECOSAMPA M'Boi Mirim</v>
          </cell>
          <cell r="E423">
            <v>43617</v>
          </cell>
          <cell r="F423">
            <v>1907.79</v>
          </cell>
          <cell r="G423" t="str">
            <v>Gozando Férias</v>
          </cell>
          <cell r="H423">
            <v>45180</v>
          </cell>
          <cell r="I423">
            <v>25839</v>
          </cell>
          <cell r="J423" t="str">
            <v>447.698.078-30</v>
          </cell>
          <cell r="K423" t="str">
            <v>123.88445.89.4</v>
          </cell>
          <cell r="L423" t="str">
            <v>Salário Mensal</v>
          </cell>
          <cell r="M423" t="str">
            <v>Empregado (CLT)</v>
          </cell>
        </row>
        <row r="424">
          <cell r="D424" t="str">
            <v>ECOSAMPA Capela do Socorro</v>
          </cell>
          <cell r="E424">
            <v>44018</v>
          </cell>
          <cell r="F424">
            <v>1319.67</v>
          </cell>
          <cell r="G424" t="str">
            <v>Demitido em Meses Anteriores</v>
          </cell>
          <cell r="H424">
            <v>44245</v>
          </cell>
          <cell r="I424">
            <v>24908</v>
          </cell>
          <cell r="J424" t="str">
            <v>093.838.928-97</v>
          </cell>
          <cell r="K424" t="str">
            <v>122.44211.43.8</v>
          </cell>
          <cell r="L424" t="str">
            <v>Salário Mensal</v>
          </cell>
          <cell r="M424" t="str">
            <v>Empregado (CLT)</v>
          </cell>
        </row>
        <row r="425">
          <cell r="D425" t="str">
            <v>ECOSAMPA Santo Amaro</v>
          </cell>
          <cell r="E425">
            <v>44048</v>
          </cell>
          <cell r="F425">
            <v>1603.99</v>
          </cell>
          <cell r="G425" t="str">
            <v>Em Atividade Normal</v>
          </cell>
          <cell r="H425">
            <v>45086</v>
          </cell>
          <cell r="I425">
            <v>27600</v>
          </cell>
          <cell r="J425" t="str">
            <v>248.158.098-28</v>
          </cell>
          <cell r="K425" t="str">
            <v>123.20347.93.5</v>
          </cell>
          <cell r="L425" t="str">
            <v>Salário Mensal</v>
          </cell>
          <cell r="M425" t="str">
            <v>Empregado (CLT)</v>
          </cell>
        </row>
        <row r="426">
          <cell r="D426" t="str">
            <v>ECOSAMPA Capela do Socorro</v>
          </cell>
          <cell r="E426">
            <v>43617</v>
          </cell>
          <cell r="F426">
            <v>1603.99</v>
          </cell>
          <cell r="G426" t="str">
            <v>Em Atividade Normal</v>
          </cell>
          <cell r="H426">
            <v>45177</v>
          </cell>
          <cell r="I426">
            <v>28272</v>
          </cell>
          <cell r="J426" t="str">
            <v>249.030.648-08</v>
          </cell>
          <cell r="K426" t="str">
            <v>127.19042.81.3</v>
          </cell>
          <cell r="L426" t="str">
            <v>Salário Mensal</v>
          </cell>
          <cell r="M426" t="str">
            <v>Empregado (CLT)</v>
          </cell>
        </row>
        <row r="427">
          <cell r="D427" t="str">
            <v>ECOSAMPA Operação Geral</v>
          </cell>
          <cell r="E427">
            <v>44487</v>
          </cell>
          <cell r="F427">
            <v>1464.83</v>
          </cell>
          <cell r="G427" t="str">
            <v>Demitido em Meses Anteriores</v>
          </cell>
          <cell r="H427">
            <v>44659</v>
          </cell>
          <cell r="I427">
            <v>29503</v>
          </cell>
          <cell r="J427" t="str">
            <v>292.740.068-70</v>
          </cell>
          <cell r="K427" t="str">
            <v>129.63849.89.5</v>
          </cell>
          <cell r="L427" t="str">
            <v>Salário Mensal</v>
          </cell>
          <cell r="M427" t="str">
            <v>Empregado (CLT)</v>
          </cell>
        </row>
        <row r="428">
          <cell r="D428" t="str">
            <v>ECOSAMPA Capela do Socorro</v>
          </cell>
          <cell r="E428">
            <v>43617</v>
          </cell>
          <cell r="F428">
            <v>1603.99</v>
          </cell>
          <cell r="G428" t="str">
            <v>Em Atividade Normal</v>
          </cell>
          <cell r="H428">
            <v>45177</v>
          </cell>
          <cell r="I428">
            <v>24322</v>
          </cell>
          <cell r="J428" t="str">
            <v>573.362.456-68</v>
          </cell>
          <cell r="K428" t="str">
            <v>123.71704.91.3</v>
          </cell>
          <cell r="L428" t="str">
            <v>Salário Mensal</v>
          </cell>
          <cell r="M428" t="str">
            <v>Empregado (CLT)</v>
          </cell>
        </row>
        <row r="429">
          <cell r="D429" t="str">
            <v>ECOSAMPA Pensionistas</v>
          </cell>
          <cell r="E429">
            <v>45132</v>
          </cell>
          <cell r="F429">
            <v>0.01</v>
          </cell>
          <cell r="G429" t="str">
            <v>Em Atividade Normal</v>
          </cell>
          <cell r="H429">
            <v>45132</v>
          </cell>
          <cell r="I429">
            <v>30246</v>
          </cell>
          <cell r="J429" t="str">
            <v>314.131.168-41</v>
          </cell>
          <cell r="L429" t="str">
            <v>Nenhuma</v>
          </cell>
          <cell r="M429" t="str">
            <v>Pensionista</v>
          </cell>
        </row>
        <row r="430">
          <cell r="D430" t="str">
            <v>ECOSAMPA Pensionistas</v>
          </cell>
          <cell r="E430">
            <v>45002</v>
          </cell>
          <cell r="F430">
            <v>0.01</v>
          </cell>
          <cell r="G430" t="str">
            <v>Em Atividade Normal</v>
          </cell>
          <cell r="H430">
            <v>45002</v>
          </cell>
          <cell r="J430" t="str">
            <v>264.902.588-38</v>
          </cell>
          <cell r="L430" t="str">
            <v>Nenhuma</v>
          </cell>
          <cell r="M430" t="str">
            <v>Pensionista</v>
          </cell>
        </row>
        <row r="431">
          <cell r="D431" t="str">
            <v>ECOSAMPA Operação Geral</v>
          </cell>
          <cell r="E431">
            <v>44791</v>
          </cell>
          <cell r="F431">
            <v>1603.99</v>
          </cell>
          <cell r="G431" t="str">
            <v>Demitido em Meses Anteriores</v>
          </cell>
          <cell r="H431">
            <v>44966</v>
          </cell>
          <cell r="I431">
            <v>28769</v>
          </cell>
          <cell r="J431" t="str">
            <v>283.278.588-31</v>
          </cell>
          <cell r="K431" t="str">
            <v>129.04327.93.4</v>
          </cell>
          <cell r="L431" t="str">
            <v>Salário Mensal</v>
          </cell>
          <cell r="M431" t="str">
            <v>Empregado (CLT)</v>
          </cell>
        </row>
        <row r="432">
          <cell r="D432" t="str">
            <v>ECOSAMPA Operação Geral</v>
          </cell>
          <cell r="E432">
            <v>43617</v>
          </cell>
          <cell r="F432">
            <v>1907.79</v>
          </cell>
          <cell r="G432" t="str">
            <v>Em Atividade Normal</v>
          </cell>
          <cell r="H432">
            <v>44930</v>
          </cell>
          <cell r="I432">
            <v>29748</v>
          </cell>
          <cell r="J432" t="str">
            <v>045.182.136-02</v>
          </cell>
          <cell r="K432" t="str">
            <v>164.53891.55.8</v>
          </cell>
          <cell r="L432" t="str">
            <v>Salário Mensal</v>
          </cell>
          <cell r="M432" t="str">
            <v>Empregado (CLT)</v>
          </cell>
        </row>
        <row r="433">
          <cell r="D433" t="str">
            <v>ECOSAMPA Santo Amaro</v>
          </cell>
          <cell r="E433">
            <v>43617</v>
          </cell>
          <cell r="F433">
            <v>1603.99</v>
          </cell>
          <cell r="G433" t="str">
            <v>Gozando Férias</v>
          </cell>
          <cell r="H433">
            <v>45180</v>
          </cell>
          <cell r="I433">
            <v>26349</v>
          </cell>
          <cell r="J433" t="str">
            <v>117.624.508-28</v>
          </cell>
          <cell r="K433" t="str">
            <v>123.02409.60.6</v>
          </cell>
          <cell r="L433" t="str">
            <v>Salário Mensal</v>
          </cell>
          <cell r="M433" t="str">
            <v>Empregado (CLT)</v>
          </cell>
        </row>
        <row r="434">
          <cell r="D434" t="str">
            <v>ECOSAMPA Campo Limpo</v>
          </cell>
          <cell r="E434">
            <v>43617</v>
          </cell>
          <cell r="F434">
            <v>1603.99</v>
          </cell>
          <cell r="G434" t="str">
            <v>Gozando Férias</v>
          </cell>
          <cell r="H434">
            <v>45180</v>
          </cell>
          <cell r="I434">
            <v>26612</v>
          </cell>
          <cell r="J434" t="str">
            <v>277.537.188-43</v>
          </cell>
          <cell r="K434" t="str">
            <v>127.34026.93.9</v>
          </cell>
          <cell r="L434" t="str">
            <v>Salário Mensal</v>
          </cell>
          <cell r="M434" t="str">
            <v>Empregado (CLT)</v>
          </cell>
        </row>
        <row r="435">
          <cell r="D435" t="str">
            <v>ECOSAMPA Operação Geral</v>
          </cell>
          <cell r="E435">
            <v>44368</v>
          </cell>
          <cell r="F435">
            <v>3050.22</v>
          </cell>
          <cell r="G435" t="str">
            <v>Em Atividade Normal</v>
          </cell>
          <cell r="H435">
            <v>45023</v>
          </cell>
          <cell r="I435">
            <v>29886</v>
          </cell>
          <cell r="J435" t="str">
            <v>220.530.318-08</v>
          </cell>
          <cell r="K435" t="str">
            <v>131.90580.77.3</v>
          </cell>
          <cell r="L435" t="str">
            <v>Salário Mensal</v>
          </cell>
          <cell r="M435" t="str">
            <v>Empregado (CLT)</v>
          </cell>
        </row>
        <row r="436">
          <cell r="D436" t="str">
            <v>ECOSAMPA Santo Amaro</v>
          </cell>
          <cell r="E436">
            <v>44048</v>
          </cell>
          <cell r="F436">
            <v>1464.83</v>
          </cell>
          <cell r="G436" t="str">
            <v>Demitido em Meses Anteriores</v>
          </cell>
          <cell r="H436">
            <v>44505</v>
          </cell>
          <cell r="I436">
            <v>28904</v>
          </cell>
          <cell r="J436" t="str">
            <v>295.740.778-70</v>
          </cell>
          <cell r="K436" t="str">
            <v>128.66551.85.2</v>
          </cell>
          <cell r="L436" t="str">
            <v>Salário Mensal</v>
          </cell>
          <cell r="M436" t="str">
            <v>Empregado (CLT)</v>
          </cell>
        </row>
        <row r="437">
          <cell r="D437" t="str">
            <v>ECOSAMPA Santo Amaro</v>
          </cell>
          <cell r="E437">
            <v>43617</v>
          </cell>
          <cell r="F437">
            <v>1603.99</v>
          </cell>
          <cell r="G437" t="str">
            <v>Em Atividade Normal</v>
          </cell>
          <cell r="H437">
            <v>45023</v>
          </cell>
          <cell r="I437">
            <v>25452</v>
          </cell>
          <cell r="J437" t="str">
            <v>129.804.328-06</v>
          </cell>
          <cell r="K437" t="str">
            <v>124.42719.97.7</v>
          </cell>
          <cell r="L437" t="str">
            <v>Salário Mensal</v>
          </cell>
          <cell r="M437" t="str">
            <v>Empregado (CLT)</v>
          </cell>
        </row>
        <row r="438">
          <cell r="D438" t="str">
            <v>ECOSAMPA Operação Geral</v>
          </cell>
          <cell r="E438">
            <v>44630</v>
          </cell>
          <cell r="F438">
            <v>1603.99</v>
          </cell>
          <cell r="G438" t="str">
            <v>Em Atividade Normal</v>
          </cell>
          <cell r="H438">
            <v>45086</v>
          </cell>
          <cell r="I438">
            <v>29499</v>
          </cell>
          <cell r="J438" t="str">
            <v>293.218.928-00</v>
          </cell>
          <cell r="K438" t="str">
            <v>125.55254.82.1</v>
          </cell>
          <cell r="L438" t="str">
            <v>Salário Mensal</v>
          </cell>
          <cell r="M438" t="str">
            <v>Empregado (CLT)</v>
          </cell>
        </row>
        <row r="439">
          <cell r="D439" t="str">
            <v>ECOSAMPA Parelheiros</v>
          </cell>
          <cell r="E439">
            <v>44308</v>
          </cell>
          <cell r="F439">
            <v>1603.99</v>
          </cell>
          <cell r="G439" t="str">
            <v>Em Atividade Normal</v>
          </cell>
          <cell r="H439">
            <v>45149</v>
          </cell>
          <cell r="I439">
            <v>27023</v>
          </cell>
          <cell r="J439" t="str">
            <v>290.060.248-30</v>
          </cell>
          <cell r="K439" t="str">
            <v>125.39299.13.1</v>
          </cell>
          <cell r="L439" t="str">
            <v>Salário Mensal</v>
          </cell>
          <cell r="M439" t="str">
            <v>Empregado (CLT)</v>
          </cell>
        </row>
        <row r="440">
          <cell r="D440" t="str">
            <v>ECOSAMPA Operação Geral</v>
          </cell>
          <cell r="E440">
            <v>43817</v>
          </cell>
          <cell r="F440">
            <v>1281.23</v>
          </cell>
          <cell r="G440" t="str">
            <v>Demitido em Meses Anteriores</v>
          </cell>
          <cell r="H440">
            <v>43895</v>
          </cell>
          <cell r="I440">
            <v>36070</v>
          </cell>
          <cell r="J440" t="str">
            <v>470.282.648-40</v>
          </cell>
          <cell r="K440" t="str">
            <v>207.77173.46.2</v>
          </cell>
          <cell r="L440" t="str">
            <v>Salário Mensal</v>
          </cell>
          <cell r="M440" t="str">
            <v>Empregado (CLT)</v>
          </cell>
        </row>
        <row r="441">
          <cell r="D441" t="str">
            <v>ECOSAMPA Campo Limpo</v>
          </cell>
          <cell r="E441">
            <v>43617</v>
          </cell>
          <cell r="F441">
            <v>1319.67</v>
          </cell>
          <cell r="G441" t="str">
            <v>Demitido em Meses Anteriores</v>
          </cell>
          <cell r="H441">
            <v>44109</v>
          </cell>
          <cell r="I441">
            <v>24751</v>
          </cell>
          <cell r="J441" t="str">
            <v>117.026.708-48</v>
          </cell>
          <cell r="K441" t="str">
            <v>123.02867.26.4</v>
          </cell>
          <cell r="L441" t="str">
            <v>Salário Mensal</v>
          </cell>
          <cell r="M441" t="str">
            <v>Empregado (CLT)</v>
          </cell>
        </row>
        <row r="442">
          <cell r="D442" t="str">
            <v>ECOSAMPA Operação Geral</v>
          </cell>
          <cell r="E442">
            <v>43617</v>
          </cell>
          <cell r="F442">
            <v>3050.22</v>
          </cell>
          <cell r="G442" t="str">
            <v>Em Atividade Normal</v>
          </cell>
          <cell r="H442">
            <v>44806</v>
          </cell>
          <cell r="I442">
            <v>26160</v>
          </cell>
          <cell r="J442" t="str">
            <v>166.199.018-59</v>
          </cell>
          <cell r="K442" t="str">
            <v>124.44916.02.8</v>
          </cell>
          <cell r="L442" t="str">
            <v>Salário Mensal</v>
          </cell>
          <cell r="M442" t="str">
            <v>Empregado (CLT)</v>
          </cell>
        </row>
        <row r="443">
          <cell r="D443" t="str">
            <v>ECOSAMPA Campo Limpo</v>
          </cell>
          <cell r="E443">
            <v>43617</v>
          </cell>
          <cell r="F443">
            <v>1603.99</v>
          </cell>
          <cell r="G443" t="str">
            <v>Demitido em Meses Anteriores</v>
          </cell>
          <cell r="H443">
            <v>44844</v>
          </cell>
          <cell r="I443">
            <v>23301</v>
          </cell>
          <cell r="J443" t="str">
            <v>075.470.358-41</v>
          </cell>
          <cell r="K443" t="str">
            <v>121.81091.82.1</v>
          </cell>
          <cell r="L443" t="str">
            <v>Salário Mensal</v>
          </cell>
          <cell r="M443" t="str">
            <v>Empregado (CLT)</v>
          </cell>
        </row>
        <row r="444">
          <cell r="D444" t="str">
            <v>ECOSAMPA Santo Amaro</v>
          </cell>
          <cell r="E444">
            <v>43811</v>
          </cell>
          <cell r="F444">
            <v>1464.83</v>
          </cell>
          <cell r="G444" t="str">
            <v>Demitido em Meses Anteriores</v>
          </cell>
          <cell r="H444">
            <v>44743</v>
          </cell>
          <cell r="I444">
            <v>36850</v>
          </cell>
          <cell r="J444" t="str">
            <v>571.904.388-82</v>
          </cell>
          <cell r="K444" t="str">
            <v>203.90983.51.3</v>
          </cell>
          <cell r="L444" t="str">
            <v>Salário Mensal</v>
          </cell>
          <cell r="M444" t="str">
            <v>Empregado (CLT)</v>
          </cell>
        </row>
        <row r="445">
          <cell r="D445" t="str">
            <v>ECOSAMPA Santo Amaro</v>
          </cell>
          <cell r="E445">
            <v>44048</v>
          </cell>
          <cell r="F445">
            <v>1603.99</v>
          </cell>
          <cell r="G445" t="str">
            <v>Em Atividade Normal</v>
          </cell>
          <cell r="H445">
            <v>45086</v>
          </cell>
          <cell r="I445">
            <v>26490</v>
          </cell>
          <cell r="J445" t="str">
            <v>091.377.298-45</v>
          </cell>
          <cell r="K445" t="str">
            <v>201.57015.67.4</v>
          </cell>
          <cell r="L445" t="str">
            <v>Salário Mensal</v>
          </cell>
          <cell r="M445" t="str">
            <v>Empregado (CLT)</v>
          </cell>
        </row>
        <row r="446">
          <cell r="D446" t="str">
            <v>ECOSAMPA Capela do Socorro</v>
          </cell>
          <cell r="E446">
            <v>43617</v>
          </cell>
          <cell r="F446">
            <v>1603.99</v>
          </cell>
          <cell r="G446" t="str">
            <v>Em Atividade Normal</v>
          </cell>
          <cell r="H446">
            <v>45177</v>
          </cell>
          <cell r="I446">
            <v>30817</v>
          </cell>
          <cell r="J446" t="str">
            <v>340.720.008-09</v>
          </cell>
          <cell r="K446" t="str">
            <v>127.99594.85.0</v>
          </cell>
          <cell r="L446" t="str">
            <v>Salário Mensal</v>
          </cell>
          <cell r="M446" t="str">
            <v>Empregado (CLT)</v>
          </cell>
        </row>
        <row r="447">
          <cell r="D447" t="str">
            <v>ECOSAMPA M'Boi Mirim</v>
          </cell>
          <cell r="E447">
            <v>43874</v>
          </cell>
          <cell r="F447">
            <v>1281.23</v>
          </cell>
          <cell r="G447" t="str">
            <v>Demitido em Meses Anteriores</v>
          </cell>
          <cell r="H447">
            <v>43888</v>
          </cell>
          <cell r="I447">
            <v>32189</v>
          </cell>
          <cell r="J447" t="str">
            <v>382.592.798-94</v>
          </cell>
          <cell r="K447" t="str">
            <v>203.93004.86.9</v>
          </cell>
          <cell r="L447" t="str">
            <v>Salário Mensal</v>
          </cell>
          <cell r="M447" t="str">
            <v>Empregado (CLT)</v>
          </cell>
        </row>
        <row r="448">
          <cell r="D448" t="str">
            <v>ECOSAMPA Operação Geral</v>
          </cell>
          <cell r="E448">
            <v>43617</v>
          </cell>
          <cell r="F448">
            <v>1603.99</v>
          </cell>
          <cell r="G448" t="str">
            <v>Em Atividade Normal</v>
          </cell>
          <cell r="H448">
            <v>44867</v>
          </cell>
          <cell r="I448">
            <v>27767</v>
          </cell>
          <cell r="J448" t="str">
            <v>247.072.548-88</v>
          </cell>
          <cell r="K448" t="str">
            <v>125.02821.95.0</v>
          </cell>
          <cell r="L448" t="str">
            <v>Salário Mensal</v>
          </cell>
          <cell r="M448" t="str">
            <v>Empregado (CLT)</v>
          </cell>
        </row>
        <row r="449">
          <cell r="D449" t="str">
            <v>ECOSAMPA Santo Amaro</v>
          </cell>
          <cell r="E449">
            <v>43617</v>
          </cell>
          <cell r="F449">
            <v>1603.99</v>
          </cell>
          <cell r="G449" t="str">
            <v>Gozando Férias</v>
          </cell>
          <cell r="H449">
            <v>45180</v>
          </cell>
          <cell r="I449">
            <v>31914</v>
          </cell>
          <cell r="J449" t="str">
            <v>349.207.038-80</v>
          </cell>
          <cell r="K449" t="str">
            <v>207.80029.93.8</v>
          </cell>
          <cell r="L449" t="str">
            <v>Salário Mensal</v>
          </cell>
          <cell r="M449" t="str">
            <v>Empregado (CLT)</v>
          </cell>
        </row>
        <row r="450">
          <cell r="D450" t="str">
            <v>ECOSAMPA Operação Geral</v>
          </cell>
          <cell r="E450">
            <v>43881</v>
          </cell>
          <cell r="F450">
            <v>3050.22</v>
          </cell>
          <cell r="G450" t="str">
            <v>Em Atividade Normal</v>
          </cell>
          <cell r="H450">
            <v>45056</v>
          </cell>
          <cell r="I450">
            <v>27225</v>
          </cell>
          <cell r="J450" t="str">
            <v>153.165.458-42</v>
          </cell>
          <cell r="K450" t="str">
            <v>124.32024.23.2</v>
          </cell>
          <cell r="L450" t="str">
            <v>Salário Mensal</v>
          </cell>
          <cell r="M450" t="str">
            <v>Empregado (CLT)</v>
          </cell>
        </row>
        <row r="451">
          <cell r="D451" t="str">
            <v>ECOSAMPA Operação Geral</v>
          </cell>
          <cell r="E451">
            <v>43813</v>
          </cell>
          <cell r="F451">
            <v>3050.22</v>
          </cell>
          <cell r="G451" t="str">
            <v>Em Atividade Normal</v>
          </cell>
          <cell r="H451">
            <v>44960</v>
          </cell>
          <cell r="I451">
            <v>31843</v>
          </cell>
          <cell r="J451" t="str">
            <v>035.709.055-19</v>
          </cell>
          <cell r="K451" t="str">
            <v>143.98297.27.4</v>
          </cell>
          <cell r="L451" t="str">
            <v>Salário Mensal</v>
          </cell>
          <cell r="M451" t="str">
            <v>Empregado (CLT)</v>
          </cell>
        </row>
        <row r="452">
          <cell r="D452" t="str">
            <v>ECOSAMPA Parelheiros</v>
          </cell>
          <cell r="E452">
            <v>43617</v>
          </cell>
          <cell r="F452">
            <v>1281.23</v>
          </cell>
          <cell r="G452" t="str">
            <v>Demitido em Meses Anteriores</v>
          </cell>
          <cell r="H452">
            <v>43896</v>
          </cell>
          <cell r="I452">
            <v>32660</v>
          </cell>
          <cell r="J452" t="str">
            <v>374.889.168-75</v>
          </cell>
          <cell r="K452" t="str">
            <v>203.91537.20.7</v>
          </cell>
          <cell r="L452" t="str">
            <v>Salário Mensal</v>
          </cell>
          <cell r="M452" t="str">
            <v>Empregado (CLT)</v>
          </cell>
        </row>
        <row r="453">
          <cell r="D453" t="str">
            <v>ECOSAMPA Operação Geral</v>
          </cell>
          <cell r="E453">
            <v>44972</v>
          </cell>
          <cell r="F453">
            <v>1603.99</v>
          </cell>
          <cell r="G453" t="str">
            <v>Demitido em Meses Anteriores</v>
          </cell>
          <cell r="H453">
            <v>44986</v>
          </cell>
          <cell r="I453">
            <v>32169</v>
          </cell>
          <cell r="J453" t="str">
            <v>448.720.768-18</v>
          </cell>
          <cell r="K453" t="str">
            <v>201.14992.34.1</v>
          </cell>
          <cell r="L453" t="str">
            <v>Salário Mensal</v>
          </cell>
          <cell r="M453" t="str">
            <v>Empregado (CLT)</v>
          </cell>
        </row>
        <row r="454">
          <cell r="D454" t="str">
            <v>ECOSAMPA Capela do Socorro</v>
          </cell>
          <cell r="E454">
            <v>44945</v>
          </cell>
          <cell r="F454">
            <v>1603.99</v>
          </cell>
          <cell r="G454" t="str">
            <v>Em Atividade Normal</v>
          </cell>
          <cell r="H454">
            <v>44945</v>
          </cell>
          <cell r="I454">
            <v>30798</v>
          </cell>
          <cell r="J454" t="str">
            <v>334.084.078-43</v>
          </cell>
          <cell r="K454" t="str">
            <v>135.05673.89.6</v>
          </cell>
          <cell r="L454" t="str">
            <v>Salário Mensal</v>
          </cell>
          <cell r="M454" t="str">
            <v>Empregado (CLT)</v>
          </cell>
        </row>
        <row r="455">
          <cell r="D455" t="str">
            <v>ECOSAMPA M'Boi Mirim</v>
          </cell>
          <cell r="E455">
            <v>43811</v>
          </cell>
          <cell r="F455">
            <v>1464.83</v>
          </cell>
          <cell r="G455" t="str">
            <v>Demitido em Meses Anteriores</v>
          </cell>
          <cell r="H455">
            <v>44505</v>
          </cell>
          <cell r="I455">
            <v>34860</v>
          </cell>
          <cell r="J455" t="str">
            <v>017.796.334-40</v>
          </cell>
          <cell r="K455" t="str">
            <v>206.56523.79.9</v>
          </cell>
          <cell r="L455" t="str">
            <v>Salário Mensal</v>
          </cell>
          <cell r="M455" t="str">
            <v>Empregado (CLT)</v>
          </cell>
        </row>
        <row r="456">
          <cell r="D456" t="str">
            <v>ECOSAMPA Campo Limpo</v>
          </cell>
          <cell r="E456">
            <v>44207</v>
          </cell>
          <cell r="F456">
            <v>1319.67</v>
          </cell>
          <cell r="G456" t="str">
            <v>Demitido em Meses Anteriores</v>
          </cell>
          <cell r="H456">
            <v>44235</v>
          </cell>
          <cell r="I456">
            <v>31286</v>
          </cell>
          <cell r="J456" t="str">
            <v>064.561.494-79</v>
          </cell>
          <cell r="K456" t="str">
            <v>164.83527.16.1</v>
          </cell>
          <cell r="L456" t="str">
            <v>Salário Mensal</v>
          </cell>
          <cell r="M456" t="str">
            <v>Empregado (CLT)</v>
          </cell>
        </row>
        <row r="457">
          <cell r="D457" t="str">
            <v>ECOSAMPA Parelheiros</v>
          </cell>
          <cell r="E457">
            <v>43617</v>
          </cell>
          <cell r="F457">
            <v>1603.99</v>
          </cell>
          <cell r="G457" t="str">
            <v>Gozando Férias</v>
          </cell>
          <cell r="H457">
            <v>45180</v>
          </cell>
          <cell r="I457">
            <v>28468</v>
          </cell>
          <cell r="J457" t="str">
            <v>036.776.084-30</v>
          </cell>
          <cell r="K457" t="str">
            <v>164.28562.19.8</v>
          </cell>
          <cell r="L457" t="str">
            <v>Salário Mensal</v>
          </cell>
          <cell r="M457" t="str">
            <v>Empregado (CLT)</v>
          </cell>
        </row>
        <row r="458">
          <cell r="D458" t="str">
            <v>ECOSAMPA Santo Amaro</v>
          </cell>
          <cell r="E458">
            <v>43874</v>
          </cell>
          <cell r="F458">
            <v>1603.99</v>
          </cell>
          <cell r="G458" t="str">
            <v>Em Atividade Normal</v>
          </cell>
          <cell r="H458">
            <v>45149</v>
          </cell>
          <cell r="I458">
            <v>33833</v>
          </cell>
          <cell r="J458" t="str">
            <v>068.303.425-11</v>
          </cell>
          <cell r="K458" t="str">
            <v>161.87640.97.8</v>
          </cell>
          <cell r="L458" t="str">
            <v>Salário Mensal</v>
          </cell>
          <cell r="M458" t="str">
            <v>Empregado (CLT)</v>
          </cell>
        </row>
        <row r="459">
          <cell r="D459" t="str">
            <v>ECOSAMPA Operação Geral</v>
          </cell>
          <cell r="E459">
            <v>43617</v>
          </cell>
          <cell r="F459">
            <v>2509.54</v>
          </cell>
          <cell r="G459" t="str">
            <v>Demitido em Meses Anteriores</v>
          </cell>
          <cell r="H459">
            <v>44361</v>
          </cell>
          <cell r="I459">
            <v>29036</v>
          </cell>
          <cell r="J459" t="str">
            <v>042.444.036-98</v>
          </cell>
          <cell r="K459" t="str">
            <v>128.03621.81.0</v>
          </cell>
          <cell r="L459" t="str">
            <v>Salário Mensal</v>
          </cell>
          <cell r="M459" t="str">
            <v>Empregado (CLT)</v>
          </cell>
        </row>
        <row r="460">
          <cell r="D460" t="str">
            <v>ECOSAMPA M'Boi Mirim</v>
          </cell>
          <cell r="E460">
            <v>43617</v>
          </cell>
          <cell r="F460">
            <v>1603.99</v>
          </cell>
          <cell r="G460" t="str">
            <v>Gozando Férias</v>
          </cell>
          <cell r="H460">
            <v>45180</v>
          </cell>
          <cell r="I460">
            <v>34458</v>
          </cell>
          <cell r="J460" t="str">
            <v>078.288.215-30</v>
          </cell>
          <cell r="K460" t="str">
            <v>160.58474.45.1</v>
          </cell>
          <cell r="L460" t="str">
            <v>Salário Mensal</v>
          </cell>
          <cell r="M460" t="str">
            <v>Empregado (CLT)</v>
          </cell>
        </row>
        <row r="461">
          <cell r="D461" t="str">
            <v>ECOSAMPA Capela do Socorro</v>
          </cell>
          <cell r="E461">
            <v>43617</v>
          </cell>
          <cell r="F461">
            <v>1603.99</v>
          </cell>
          <cell r="G461" t="str">
            <v>Em Atividade Normal</v>
          </cell>
          <cell r="H461">
            <v>45056</v>
          </cell>
          <cell r="I461">
            <v>34091</v>
          </cell>
          <cell r="J461" t="str">
            <v>419.490.028-61</v>
          </cell>
          <cell r="K461" t="str">
            <v>164.16136.60.1</v>
          </cell>
          <cell r="L461" t="str">
            <v>Salário Mensal</v>
          </cell>
          <cell r="M461" t="str">
            <v>Empregado (CLT)</v>
          </cell>
        </row>
        <row r="462">
          <cell r="D462" t="str">
            <v>ECOSAMPA Campo Limpo</v>
          </cell>
          <cell r="E462">
            <v>43617</v>
          </cell>
          <cell r="F462">
            <v>1603.99</v>
          </cell>
          <cell r="G462" t="str">
            <v>Em Atividade Normal</v>
          </cell>
          <cell r="H462">
            <v>45149</v>
          </cell>
          <cell r="I462">
            <v>18688</v>
          </cell>
          <cell r="J462" t="str">
            <v>661.265.338-87</v>
          </cell>
          <cell r="K462" t="str">
            <v>103.94140.17.3</v>
          </cell>
          <cell r="L462" t="str">
            <v>Salário Mensal</v>
          </cell>
          <cell r="M462" t="str">
            <v>Empregado (CLT)</v>
          </cell>
        </row>
        <row r="463">
          <cell r="D463" t="str">
            <v>ECOSAMPA Santo Amaro</v>
          </cell>
          <cell r="E463">
            <v>43617</v>
          </cell>
          <cell r="F463">
            <v>1603.99</v>
          </cell>
          <cell r="G463" t="str">
            <v>Em Atividade Normal</v>
          </cell>
          <cell r="H463">
            <v>45169</v>
          </cell>
          <cell r="I463">
            <v>24781</v>
          </cell>
          <cell r="J463" t="str">
            <v>344.558.068-57</v>
          </cell>
          <cell r="K463" t="str">
            <v>136.98150.81.5</v>
          </cell>
          <cell r="L463" t="str">
            <v>Salário Mensal</v>
          </cell>
          <cell r="M463" t="str">
            <v>Empregado (CLT)</v>
          </cell>
        </row>
        <row r="464">
          <cell r="D464" t="str">
            <v>ECOSAMPA Campo Limpo</v>
          </cell>
          <cell r="E464">
            <v>44368</v>
          </cell>
          <cell r="F464">
            <v>1603.99</v>
          </cell>
          <cell r="G464" t="str">
            <v>Em Atividade Normal</v>
          </cell>
          <cell r="H464">
            <v>44989</v>
          </cell>
          <cell r="I464">
            <v>29724</v>
          </cell>
          <cell r="J464" t="str">
            <v>303.416.798-95</v>
          </cell>
          <cell r="K464" t="str">
            <v>129.59411.77.5</v>
          </cell>
          <cell r="L464" t="str">
            <v>Salário Mensal</v>
          </cell>
          <cell r="M464" t="str">
            <v>Empregado (CLT)</v>
          </cell>
        </row>
        <row r="465">
          <cell r="D465" t="str">
            <v>ECOSAMPA Santo Amaro</v>
          </cell>
          <cell r="E465">
            <v>44419</v>
          </cell>
          <cell r="F465">
            <v>1603.99</v>
          </cell>
          <cell r="G465" t="str">
            <v>Demitido no Mês</v>
          </cell>
          <cell r="H465">
            <v>45194</v>
          </cell>
          <cell r="I465">
            <v>36974</v>
          </cell>
          <cell r="J465" t="str">
            <v>515.082.998-62</v>
          </cell>
          <cell r="K465" t="str">
            <v>165.13476.27.6</v>
          </cell>
          <cell r="L465" t="str">
            <v>Salário Mensal</v>
          </cell>
          <cell r="M465" t="str">
            <v>Empregado (CLT)</v>
          </cell>
        </row>
        <row r="466">
          <cell r="D466" t="str">
            <v>ECOSAMPA Santo Amaro</v>
          </cell>
          <cell r="E466">
            <v>43617</v>
          </cell>
          <cell r="F466">
            <v>1603.99</v>
          </cell>
          <cell r="G466" t="str">
            <v>Gozando Férias</v>
          </cell>
          <cell r="H466">
            <v>45180</v>
          </cell>
          <cell r="I466">
            <v>27156</v>
          </cell>
          <cell r="J466" t="str">
            <v>844.241.924-15</v>
          </cell>
          <cell r="K466" t="str">
            <v>125.00785.22.1</v>
          </cell>
          <cell r="L466" t="str">
            <v>Salário Mensal</v>
          </cell>
          <cell r="M466" t="str">
            <v>Empregado (CLT)</v>
          </cell>
        </row>
        <row r="467">
          <cell r="D467" t="str">
            <v>ECOSAMPA Operação Geral</v>
          </cell>
          <cell r="E467">
            <v>44972</v>
          </cell>
          <cell r="F467">
            <v>1603.99</v>
          </cell>
          <cell r="G467" t="str">
            <v>Demitido em Meses Anteriores</v>
          </cell>
          <cell r="H467">
            <v>44986</v>
          </cell>
          <cell r="I467">
            <v>28656</v>
          </cell>
          <cell r="J467" t="str">
            <v>274.277.508-02</v>
          </cell>
          <cell r="K467" t="str">
            <v>128.83968.77.4</v>
          </cell>
          <cell r="L467" t="str">
            <v>Salário Mensal</v>
          </cell>
          <cell r="M467" t="str">
            <v>Empregado (CLT)</v>
          </cell>
        </row>
        <row r="468">
          <cell r="D468" t="str">
            <v>ECOSAMPA Capela do Socorro</v>
          </cell>
          <cell r="E468">
            <v>43617</v>
          </cell>
          <cell r="F468">
            <v>1603.99</v>
          </cell>
          <cell r="G468" t="str">
            <v>Em Atividade Normal</v>
          </cell>
          <cell r="H468">
            <v>44867</v>
          </cell>
          <cell r="I468">
            <v>25437</v>
          </cell>
          <cell r="J468" t="str">
            <v>152.597.188-36</v>
          </cell>
          <cell r="K468" t="str">
            <v>124.02942.41.1</v>
          </cell>
          <cell r="L468" t="str">
            <v>Salário Mensal</v>
          </cell>
          <cell r="M468" t="str">
            <v>Empregado (CLT)</v>
          </cell>
        </row>
        <row r="469">
          <cell r="D469" t="str">
            <v>ECOSAMPA Santo Amaro</v>
          </cell>
          <cell r="E469">
            <v>43617</v>
          </cell>
          <cell r="F469">
            <v>1603.99</v>
          </cell>
          <cell r="G469" t="str">
            <v>Em Atividade Normal</v>
          </cell>
          <cell r="H469">
            <v>45023</v>
          </cell>
          <cell r="I469">
            <v>23437</v>
          </cell>
          <cell r="J469" t="str">
            <v>082.991.978-30</v>
          </cell>
          <cell r="K469" t="str">
            <v>108.60272.75.0</v>
          </cell>
          <cell r="L469" t="str">
            <v>Salário Mensal</v>
          </cell>
          <cell r="M469" t="str">
            <v>Empregado (CLT)</v>
          </cell>
        </row>
        <row r="470">
          <cell r="D470" t="str">
            <v>ECOSAMPA Operação Geral</v>
          </cell>
          <cell r="E470">
            <v>43617</v>
          </cell>
          <cell r="F470">
            <v>1603.99</v>
          </cell>
          <cell r="G470" t="str">
            <v>Em Atividade Normal</v>
          </cell>
          <cell r="H470">
            <v>44835</v>
          </cell>
          <cell r="I470">
            <v>23748</v>
          </cell>
          <cell r="J470" t="str">
            <v>517.574.194-20</v>
          </cell>
          <cell r="K470" t="str">
            <v>122.98460.99.1</v>
          </cell>
          <cell r="L470" t="str">
            <v>Salário Mensal</v>
          </cell>
          <cell r="M470" t="str">
            <v>Empregado (CLT)</v>
          </cell>
        </row>
        <row r="471">
          <cell r="D471" t="str">
            <v>ECOSAMPA Santo Amaro</v>
          </cell>
          <cell r="E471">
            <v>43728</v>
          </cell>
          <cell r="F471">
            <v>1319.67</v>
          </cell>
          <cell r="G471" t="str">
            <v>Demitido em Meses Anteriores</v>
          </cell>
          <cell r="H471">
            <v>44306</v>
          </cell>
          <cell r="I471">
            <v>28557</v>
          </cell>
          <cell r="J471" t="str">
            <v>035.164.249-82</v>
          </cell>
          <cell r="K471" t="str">
            <v>164.74104.21.0</v>
          </cell>
          <cell r="L471" t="str">
            <v>Salário Mensal</v>
          </cell>
          <cell r="M471" t="str">
            <v>Empregado (CLT)</v>
          </cell>
        </row>
        <row r="472">
          <cell r="D472" t="str">
            <v>ECOSAMPA M'Boi Mirim</v>
          </cell>
          <cell r="E472">
            <v>43617</v>
          </cell>
          <cell r="F472">
            <v>1603.99</v>
          </cell>
          <cell r="G472" t="str">
            <v>Em Atividade Normal</v>
          </cell>
          <cell r="H472">
            <v>44867</v>
          </cell>
          <cell r="I472">
            <v>29655</v>
          </cell>
          <cell r="J472" t="str">
            <v>324.861.968-62</v>
          </cell>
          <cell r="K472" t="str">
            <v>136.83297.93.9</v>
          </cell>
          <cell r="L472" t="str">
            <v>Salário Mensal</v>
          </cell>
          <cell r="M472" t="str">
            <v>Empregado (CLT)</v>
          </cell>
        </row>
        <row r="473">
          <cell r="D473" t="str">
            <v>ECOSAMPA M'Boi Mirim</v>
          </cell>
          <cell r="E473">
            <v>43617</v>
          </cell>
          <cell r="F473">
            <v>1464.83</v>
          </cell>
          <cell r="G473" t="str">
            <v>Demitido em Meses Anteriores</v>
          </cell>
          <cell r="H473">
            <v>44776</v>
          </cell>
          <cell r="I473">
            <v>32720</v>
          </cell>
          <cell r="J473" t="str">
            <v>395.360.108-36</v>
          </cell>
          <cell r="K473" t="str">
            <v>207.26263.50.2</v>
          </cell>
          <cell r="L473" t="str">
            <v>Salário Mensal</v>
          </cell>
          <cell r="M473" t="str">
            <v>Empregado (CLT)</v>
          </cell>
        </row>
        <row r="474">
          <cell r="D474" t="str">
            <v>ECOSAMPA Operação Geral</v>
          </cell>
          <cell r="E474">
            <v>43622</v>
          </cell>
          <cell r="F474">
            <v>3190.71</v>
          </cell>
          <cell r="G474" t="str">
            <v>Em Atividade Normal</v>
          </cell>
          <cell r="H474">
            <v>45041</v>
          </cell>
          <cell r="I474">
            <v>34067</v>
          </cell>
          <cell r="J474" t="str">
            <v>413.109.388-06</v>
          </cell>
          <cell r="K474" t="str">
            <v>137.45073.89.3</v>
          </cell>
          <cell r="L474" t="str">
            <v>Salário Mensal</v>
          </cell>
          <cell r="M474" t="str">
            <v>Empregado (CLT)</v>
          </cell>
        </row>
        <row r="475">
          <cell r="D475" t="str">
            <v>ECOSAMPA Operação Geral</v>
          </cell>
          <cell r="E475">
            <v>43918</v>
          </cell>
          <cell r="F475">
            <v>3050.22</v>
          </cell>
          <cell r="G475" t="str">
            <v>Em Atividade Normal</v>
          </cell>
          <cell r="H475">
            <v>45056</v>
          </cell>
          <cell r="I475">
            <v>28734</v>
          </cell>
          <cell r="J475" t="str">
            <v>245.669.908-42</v>
          </cell>
          <cell r="K475" t="str">
            <v>124.98887.22.0</v>
          </cell>
          <cell r="L475" t="str">
            <v>Salário Mensal</v>
          </cell>
          <cell r="M475" t="str">
            <v>Empregado (CLT)</v>
          </cell>
        </row>
        <row r="476">
          <cell r="D476" t="str">
            <v>ECOSAMPA Pensionistas</v>
          </cell>
          <cell r="E476">
            <v>45103</v>
          </cell>
          <cell r="F476">
            <v>0.01</v>
          </cell>
          <cell r="G476" t="str">
            <v>Em Atividade Normal</v>
          </cell>
          <cell r="H476">
            <v>45103</v>
          </cell>
          <cell r="J476" t="str">
            <v>298.681.108-66</v>
          </cell>
          <cell r="L476" t="str">
            <v>Nenhuma</v>
          </cell>
          <cell r="M476" t="str">
            <v>Pensionista</v>
          </cell>
        </row>
        <row r="477">
          <cell r="D477" t="str">
            <v>ECOSAMPA Operação Geral</v>
          </cell>
          <cell r="E477">
            <v>43620</v>
          </cell>
          <cell r="F477">
            <v>3050.22</v>
          </cell>
          <cell r="G477" t="str">
            <v>Em Atividade Normal</v>
          </cell>
          <cell r="H477">
            <v>44898</v>
          </cell>
          <cell r="I477">
            <v>29674</v>
          </cell>
          <cell r="J477" t="str">
            <v>325.435.748-59</v>
          </cell>
          <cell r="K477" t="str">
            <v>206.87433.60.0</v>
          </cell>
          <cell r="L477" t="str">
            <v>Salário Mensal</v>
          </cell>
          <cell r="M477" t="str">
            <v>Empregado (CLT)</v>
          </cell>
        </row>
        <row r="478">
          <cell r="D478" t="str">
            <v>ECOSAMPA Operação Geral</v>
          </cell>
          <cell r="E478">
            <v>43622</v>
          </cell>
          <cell r="F478">
            <v>5277.68</v>
          </cell>
          <cell r="G478" t="str">
            <v>Em Atividade Normal</v>
          </cell>
          <cell r="H478">
            <v>45056</v>
          </cell>
          <cell r="I478">
            <v>30875</v>
          </cell>
          <cell r="J478" t="str">
            <v>339.776.858-64</v>
          </cell>
          <cell r="K478" t="str">
            <v>127.53891.26.7</v>
          </cell>
          <cell r="L478" t="str">
            <v>Salário Mensal</v>
          </cell>
          <cell r="M478" t="str">
            <v>Empregado (CLT)</v>
          </cell>
        </row>
        <row r="479">
          <cell r="D479" t="str">
            <v>ECOSAMPA Santo Amaro</v>
          </cell>
          <cell r="E479">
            <v>43617</v>
          </cell>
          <cell r="F479">
            <v>1603.99</v>
          </cell>
          <cell r="G479" t="str">
            <v>Em Atividade Normal</v>
          </cell>
          <cell r="H479">
            <v>44806</v>
          </cell>
          <cell r="I479">
            <v>28242</v>
          </cell>
          <cell r="J479" t="str">
            <v>781.065.165-04</v>
          </cell>
          <cell r="K479" t="str">
            <v>130.42403.07.5</v>
          </cell>
          <cell r="L479" t="str">
            <v>Salário Mensal</v>
          </cell>
          <cell r="M479" t="str">
            <v>Empregado (CLT)</v>
          </cell>
        </row>
        <row r="480">
          <cell r="D480" t="str">
            <v>ECOSAMPA M'Boi Mirim</v>
          </cell>
          <cell r="E480">
            <v>43617</v>
          </cell>
          <cell r="F480">
            <v>1603.99</v>
          </cell>
          <cell r="G480" t="str">
            <v>Em Atividade Normal</v>
          </cell>
          <cell r="H480">
            <v>45177</v>
          </cell>
          <cell r="I480">
            <v>28055</v>
          </cell>
          <cell r="J480" t="str">
            <v>280.083.078-62</v>
          </cell>
          <cell r="K480" t="str">
            <v>127.73900.81.4</v>
          </cell>
          <cell r="L480" t="str">
            <v>Salário Mensal</v>
          </cell>
          <cell r="M480" t="str">
            <v>Empregado (CLT)</v>
          </cell>
        </row>
        <row r="481">
          <cell r="D481" t="str">
            <v>ECOSAMPA Campo Limpo</v>
          </cell>
          <cell r="E481">
            <v>43617</v>
          </cell>
          <cell r="F481">
            <v>1603.99</v>
          </cell>
          <cell r="G481" t="str">
            <v>Em Atividade Normal</v>
          </cell>
          <cell r="H481">
            <v>45056</v>
          </cell>
          <cell r="I481">
            <v>31581</v>
          </cell>
          <cell r="J481" t="str">
            <v>402.947.718-67</v>
          </cell>
          <cell r="K481" t="str">
            <v>201.15351.21.8</v>
          </cell>
          <cell r="L481" t="str">
            <v>Salário Mensal</v>
          </cell>
          <cell r="M481" t="str">
            <v>Empregado (CLT)</v>
          </cell>
        </row>
        <row r="482">
          <cell r="D482" t="str">
            <v>ECOSAMPA Campo Limpo</v>
          </cell>
          <cell r="E482">
            <v>43617</v>
          </cell>
          <cell r="F482">
            <v>1319.67</v>
          </cell>
          <cell r="G482" t="str">
            <v>Demitido em Meses Anteriores</v>
          </cell>
          <cell r="H482">
            <v>44111</v>
          </cell>
          <cell r="I482">
            <v>27707</v>
          </cell>
          <cell r="J482" t="str">
            <v>276.867.258-04</v>
          </cell>
          <cell r="K482" t="str">
            <v>165.19809.39.0</v>
          </cell>
          <cell r="L482" t="str">
            <v>Salário Mensal</v>
          </cell>
          <cell r="M482" t="str">
            <v>Empregado (CLT)</v>
          </cell>
        </row>
        <row r="483">
          <cell r="D483" t="str">
            <v>ECOSAMPA M'Boi Mirim</v>
          </cell>
          <cell r="E483">
            <v>43617</v>
          </cell>
          <cell r="F483">
            <v>1603.99</v>
          </cell>
          <cell r="G483" t="str">
            <v>Em Atividade Normal</v>
          </cell>
          <cell r="H483">
            <v>45177</v>
          </cell>
          <cell r="I483">
            <v>25422</v>
          </cell>
          <cell r="J483" t="str">
            <v>117.721.528-46</v>
          </cell>
          <cell r="K483" t="str">
            <v>123.02718.78.1</v>
          </cell>
          <cell r="L483" t="str">
            <v>Salário Mensal</v>
          </cell>
          <cell r="M483" t="str">
            <v>Empregado (CLT)</v>
          </cell>
        </row>
        <row r="484">
          <cell r="D484" t="str">
            <v>ECOSAMPA Santo Amaro</v>
          </cell>
          <cell r="E484">
            <v>43617</v>
          </cell>
          <cell r="F484">
            <v>1281.23</v>
          </cell>
          <cell r="G484" t="str">
            <v>Demitido em Meses Anteriores</v>
          </cell>
          <cell r="H484">
            <v>43808</v>
          </cell>
          <cell r="I484">
            <v>27688</v>
          </cell>
          <cell r="J484" t="str">
            <v>277.175.638-27</v>
          </cell>
          <cell r="K484" t="str">
            <v>130.55120.85.9</v>
          </cell>
          <cell r="L484" t="str">
            <v>Salário Mensal</v>
          </cell>
          <cell r="M484" t="str">
            <v>Empregado (CLT)</v>
          </cell>
        </row>
        <row r="485">
          <cell r="D485" t="str">
            <v>ECOSAMPA Pensionistas</v>
          </cell>
          <cell r="E485">
            <v>43628</v>
          </cell>
          <cell r="F485">
            <v>0.01</v>
          </cell>
          <cell r="G485" t="str">
            <v>Demitido em Meses Anteriores</v>
          </cell>
          <cell r="H485">
            <v>43703</v>
          </cell>
          <cell r="J485" t="str">
            <v>317.551.808-70</v>
          </cell>
          <cell r="L485" t="str">
            <v>Nenhuma</v>
          </cell>
          <cell r="M485" t="str">
            <v>Pensionista</v>
          </cell>
        </row>
        <row r="486">
          <cell r="D486" t="str">
            <v>ECOSAMPA Operação Geral</v>
          </cell>
          <cell r="E486">
            <v>44967</v>
          </cell>
          <cell r="F486">
            <v>1603.99</v>
          </cell>
          <cell r="G486" t="str">
            <v>Demitido em Meses Anteriores</v>
          </cell>
          <cell r="H486">
            <v>44981</v>
          </cell>
          <cell r="I486">
            <v>28496</v>
          </cell>
          <cell r="J486" t="str">
            <v>280.217.138-01</v>
          </cell>
          <cell r="K486" t="str">
            <v>212.09407.25.8</v>
          </cell>
          <cell r="L486" t="str">
            <v>Salário Mensal</v>
          </cell>
          <cell r="M486" t="str">
            <v>Empregado (CLT)</v>
          </cell>
        </row>
        <row r="487">
          <cell r="D487" t="str">
            <v>ECOSAMPA Operação Geral</v>
          </cell>
          <cell r="E487">
            <v>43617</v>
          </cell>
          <cell r="F487">
            <v>1603.99</v>
          </cell>
          <cell r="G487" t="str">
            <v>Em Atividade Normal</v>
          </cell>
          <cell r="H487">
            <v>45119</v>
          </cell>
          <cell r="I487">
            <v>23301</v>
          </cell>
          <cell r="J487" t="str">
            <v>748.355.724-91</v>
          </cell>
          <cell r="K487" t="str">
            <v>123.99830.20.4</v>
          </cell>
          <cell r="L487" t="str">
            <v>Salário Mensal</v>
          </cell>
          <cell r="M487" t="str">
            <v>Empregado (CLT)</v>
          </cell>
        </row>
        <row r="488">
          <cell r="D488" t="str">
            <v>ECOSAMPA Operação Geral</v>
          </cell>
          <cell r="E488">
            <v>43916</v>
          </cell>
          <cell r="F488">
            <v>1952.99</v>
          </cell>
          <cell r="G488" t="str">
            <v>Em Atividade Normal</v>
          </cell>
          <cell r="H488">
            <v>45149</v>
          </cell>
          <cell r="I488">
            <v>36974</v>
          </cell>
          <cell r="J488" t="str">
            <v>515.083.418-18</v>
          </cell>
          <cell r="K488" t="str">
            <v>212.09407.57.6</v>
          </cell>
          <cell r="L488" t="str">
            <v>Salário Mensal</v>
          </cell>
          <cell r="M488" t="str">
            <v>Empregado (CLT)</v>
          </cell>
        </row>
        <row r="489">
          <cell r="D489" t="str">
            <v>ECOSAMPA Operação Geral</v>
          </cell>
          <cell r="E489">
            <v>43620</v>
          </cell>
          <cell r="F489">
            <v>1523.89</v>
          </cell>
          <cell r="G489" t="str">
            <v>Demitido em Meses Anteriores</v>
          </cell>
          <cell r="H489">
            <v>43991</v>
          </cell>
          <cell r="I489">
            <v>31169</v>
          </cell>
          <cell r="J489" t="str">
            <v>039.268.865-44</v>
          </cell>
          <cell r="K489" t="str">
            <v>203.84632.49.6</v>
          </cell>
          <cell r="L489" t="str">
            <v>Salário Mensal</v>
          </cell>
          <cell r="M489" t="str">
            <v>Empregado (CLT)</v>
          </cell>
        </row>
        <row r="490">
          <cell r="D490" t="str">
            <v>ECOSAMPA Campo Limpo</v>
          </cell>
          <cell r="E490">
            <v>43617</v>
          </cell>
          <cell r="F490">
            <v>1603.99</v>
          </cell>
          <cell r="G490" t="str">
            <v>Gozando Férias</v>
          </cell>
          <cell r="H490">
            <v>45180</v>
          </cell>
          <cell r="I490">
            <v>28266</v>
          </cell>
          <cell r="J490" t="str">
            <v>828.708.103-34</v>
          </cell>
          <cell r="K490" t="str">
            <v>129.01237.77.2</v>
          </cell>
          <cell r="L490" t="str">
            <v>Salário Mensal</v>
          </cell>
          <cell r="M490" t="str">
            <v>Empregado (CLT)</v>
          </cell>
        </row>
        <row r="491">
          <cell r="D491" t="str">
            <v>ECOSAMPA Santo Amaro</v>
          </cell>
          <cell r="E491">
            <v>43617</v>
          </cell>
          <cell r="F491">
            <v>1603.99</v>
          </cell>
          <cell r="G491" t="str">
            <v>Gozando Férias</v>
          </cell>
          <cell r="H491">
            <v>45180</v>
          </cell>
          <cell r="I491">
            <v>32529</v>
          </cell>
          <cell r="J491" t="str">
            <v>398.772.258-40</v>
          </cell>
          <cell r="K491" t="str">
            <v>201.53601.63.3</v>
          </cell>
          <cell r="L491" t="str">
            <v>Salário Mensal</v>
          </cell>
          <cell r="M491" t="str">
            <v>Empregado (CLT)</v>
          </cell>
        </row>
        <row r="492">
          <cell r="D492" t="str">
            <v>ECOSAMPA Santo Amaro</v>
          </cell>
          <cell r="E492">
            <v>43617</v>
          </cell>
          <cell r="F492">
            <v>1603.99</v>
          </cell>
          <cell r="G492" t="str">
            <v>Em Atividade Normal</v>
          </cell>
          <cell r="H492">
            <v>45119</v>
          </cell>
          <cell r="I492">
            <v>22275</v>
          </cell>
          <cell r="J492" t="str">
            <v>022.303.438-07</v>
          </cell>
          <cell r="K492" t="str">
            <v>120.71896.55.8</v>
          </cell>
          <cell r="L492" t="str">
            <v>Salário Mensal</v>
          </cell>
          <cell r="M492" t="str">
            <v>Empregado (CLT)</v>
          </cell>
        </row>
        <row r="493">
          <cell r="D493" t="str">
            <v>ECOSAMPA Operação Geral</v>
          </cell>
          <cell r="E493">
            <v>43623</v>
          </cell>
          <cell r="F493">
            <v>4947.5600000000004</v>
          </cell>
          <cell r="G493" t="str">
            <v>Em Atividade Normal</v>
          </cell>
          <cell r="H493">
            <v>45119</v>
          </cell>
          <cell r="I493">
            <v>27841</v>
          </cell>
          <cell r="J493" t="str">
            <v>951.191.164-34</v>
          </cell>
          <cell r="K493" t="str">
            <v>125.38861.79.0</v>
          </cell>
          <cell r="L493" t="str">
            <v>Salário Mensal</v>
          </cell>
          <cell r="M493" t="str">
            <v>Empregado (CLT)</v>
          </cell>
        </row>
        <row r="494">
          <cell r="D494" t="str">
            <v>ECOSAMPA Operação Geral</v>
          </cell>
          <cell r="E494">
            <v>45131</v>
          </cell>
          <cell r="F494">
            <v>3050.22</v>
          </cell>
          <cell r="G494" t="str">
            <v>Em Atividade Normal</v>
          </cell>
          <cell r="H494">
            <v>45131</v>
          </cell>
          <cell r="I494">
            <v>25577</v>
          </cell>
          <cell r="J494" t="str">
            <v>569.678.295-72</v>
          </cell>
          <cell r="K494" t="str">
            <v>122.71997.67.6</v>
          </cell>
          <cell r="L494" t="str">
            <v>Salário Mensal</v>
          </cell>
          <cell r="M494" t="str">
            <v>Empregado (CLT)</v>
          </cell>
        </row>
        <row r="495">
          <cell r="D495" t="str">
            <v>ECOSAMPA Operação Geral</v>
          </cell>
          <cell r="E495">
            <v>43617</v>
          </cell>
          <cell r="F495">
            <v>3050.22</v>
          </cell>
          <cell r="G495" t="str">
            <v>Em Atividade Normal</v>
          </cell>
          <cell r="H495">
            <v>44806</v>
          </cell>
          <cell r="I495">
            <v>30113</v>
          </cell>
          <cell r="J495" t="str">
            <v>294.223.908-50</v>
          </cell>
          <cell r="K495" t="str">
            <v>209.79528.49.0</v>
          </cell>
          <cell r="L495" t="str">
            <v>Salário Mensal</v>
          </cell>
          <cell r="M495" t="str">
            <v>Empregado (CLT)</v>
          </cell>
        </row>
        <row r="496">
          <cell r="D496" t="str">
            <v>ECOSAMPA Operação Geral</v>
          </cell>
          <cell r="E496">
            <v>43916</v>
          </cell>
          <cell r="F496">
            <v>1603.99</v>
          </cell>
          <cell r="G496" t="str">
            <v>Em Atividade Normal</v>
          </cell>
          <cell r="H496">
            <v>45056</v>
          </cell>
          <cell r="I496">
            <v>36398</v>
          </cell>
          <cell r="J496" t="str">
            <v>449.818.928-02</v>
          </cell>
          <cell r="K496" t="str">
            <v>201.15351.53.6</v>
          </cell>
          <cell r="L496" t="str">
            <v>Salário Mensal</v>
          </cell>
          <cell r="M496" t="str">
            <v>Empregado (CLT)</v>
          </cell>
        </row>
        <row r="497">
          <cell r="D497" t="str">
            <v>ECOSAMPA Operação Geral</v>
          </cell>
          <cell r="E497">
            <v>43617</v>
          </cell>
          <cell r="F497">
            <v>1907.79</v>
          </cell>
          <cell r="G497" t="str">
            <v>Em Atividade Normal</v>
          </cell>
          <cell r="H497">
            <v>44867</v>
          </cell>
          <cell r="I497">
            <v>29009</v>
          </cell>
          <cell r="J497" t="str">
            <v>327.335.978-17</v>
          </cell>
          <cell r="K497" t="str">
            <v>136.46126.89.1</v>
          </cell>
          <cell r="L497" t="str">
            <v>Salário Mensal</v>
          </cell>
          <cell r="M497" t="str">
            <v>Empregado (CLT)</v>
          </cell>
        </row>
        <row r="498">
          <cell r="D498" t="str">
            <v>ECOSAMPA Capela do Socorro</v>
          </cell>
          <cell r="E498">
            <v>43617</v>
          </cell>
          <cell r="F498">
            <v>1603.99</v>
          </cell>
          <cell r="G498" t="str">
            <v>Gozando Férias</v>
          </cell>
          <cell r="H498">
            <v>45180</v>
          </cell>
          <cell r="I498">
            <v>31023</v>
          </cell>
          <cell r="J498" t="str">
            <v>356.257.038-41</v>
          </cell>
          <cell r="K498" t="str">
            <v>212.09413.54.1</v>
          </cell>
          <cell r="L498" t="str">
            <v>Salário Mensal</v>
          </cell>
          <cell r="M498" t="str">
            <v>Empregado (CLT)</v>
          </cell>
        </row>
        <row r="499">
          <cell r="D499" t="str">
            <v>ECOSAMPA Operação Geral</v>
          </cell>
          <cell r="E499">
            <v>43617</v>
          </cell>
          <cell r="F499">
            <v>1465.28</v>
          </cell>
          <cell r="G499" t="str">
            <v>Demitido em Meses Anteriores</v>
          </cell>
          <cell r="H499">
            <v>43703</v>
          </cell>
          <cell r="I499">
            <v>31820</v>
          </cell>
          <cell r="J499" t="str">
            <v>370.771.498-54</v>
          </cell>
          <cell r="K499" t="str">
            <v>135.34082.81.7</v>
          </cell>
          <cell r="L499" t="str">
            <v>Salário Mensal</v>
          </cell>
          <cell r="M499" t="str">
            <v>Empregado (CLT)</v>
          </cell>
        </row>
        <row r="500">
          <cell r="D500" t="str">
            <v>ECOSAMPA Santo Amaro</v>
          </cell>
          <cell r="E500">
            <v>43617</v>
          </cell>
          <cell r="F500">
            <v>1603.99</v>
          </cell>
          <cell r="G500" t="str">
            <v>Em Atividade Normal</v>
          </cell>
          <cell r="H500">
            <v>45177</v>
          </cell>
          <cell r="I500">
            <v>32254</v>
          </cell>
          <cell r="J500" t="str">
            <v>040.009.125-93</v>
          </cell>
          <cell r="K500" t="str">
            <v>160.18953.51.0</v>
          </cell>
          <cell r="L500" t="str">
            <v>Salário Mensal</v>
          </cell>
          <cell r="M500" t="str">
            <v>Empregado (CLT)</v>
          </cell>
        </row>
        <row r="501">
          <cell r="D501" t="str">
            <v>ECOSAMPA Operação Geral</v>
          </cell>
          <cell r="E501">
            <v>43617</v>
          </cell>
          <cell r="F501">
            <v>1907.79</v>
          </cell>
          <cell r="G501" t="str">
            <v>Em Atividade Normal</v>
          </cell>
          <cell r="H501">
            <v>45177</v>
          </cell>
          <cell r="I501">
            <v>28046</v>
          </cell>
          <cell r="J501" t="str">
            <v>916.890.744-34</v>
          </cell>
          <cell r="K501" t="str">
            <v>125.59744.44.0</v>
          </cell>
          <cell r="L501" t="str">
            <v>Salário Mensal</v>
          </cell>
          <cell r="M501" t="str">
            <v>Empregado (CLT)</v>
          </cell>
        </row>
        <row r="502">
          <cell r="D502" t="str">
            <v>ECOSAMPA Campo Limpo</v>
          </cell>
          <cell r="E502">
            <v>43617</v>
          </cell>
          <cell r="F502">
            <v>1603.99</v>
          </cell>
          <cell r="G502" t="str">
            <v>Em Atividade Normal</v>
          </cell>
          <cell r="H502">
            <v>45184</v>
          </cell>
          <cell r="I502">
            <v>23297</v>
          </cell>
          <cell r="J502" t="str">
            <v>109.175.888-35</v>
          </cell>
          <cell r="K502" t="str">
            <v>123.53011.56.1</v>
          </cell>
          <cell r="L502" t="str">
            <v>Salário Mensal</v>
          </cell>
          <cell r="M502" t="str">
            <v>Empregado (CLT)</v>
          </cell>
        </row>
        <row r="503">
          <cell r="D503" t="str">
            <v>ECOSAMPA Capela do Socorro</v>
          </cell>
          <cell r="E503">
            <v>43728</v>
          </cell>
          <cell r="F503">
            <v>1603.99</v>
          </cell>
          <cell r="G503" t="str">
            <v>Demitido em Meses Anteriores</v>
          </cell>
          <cell r="H503">
            <v>45012</v>
          </cell>
          <cell r="I503">
            <v>34227</v>
          </cell>
          <cell r="J503" t="str">
            <v>426.589.788-63</v>
          </cell>
          <cell r="K503" t="str">
            <v>138.98538.93.0</v>
          </cell>
          <cell r="L503" t="str">
            <v>Salário Mensal</v>
          </cell>
          <cell r="M503" t="str">
            <v>Empregado (CLT)</v>
          </cell>
        </row>
        <row r="504">
          <cell r="D504" t="str">
            <v>ECOSAMPA Santo Amaro</v>
          </cell>
          <cell r="E504">
            <v>44308</v>
          </cell>
          <cell r="F504">
            <v>1603.99</v>
          </cell>
          <cell r="G504" t="str">
            <v>Demitido no Mês</v>
          </cell>
          <cell r="H504">
            <v>45180</v>
          </cell>
          <cell r="I504">
            <v>35776</v>
          </cell>
          <cell r="J504" t="str">
            <v>486.288.208-09</v>
          </cell>
          <cell r="K504" t="str">
            <v>206.88251.12.3</v>
          </cell>
          <cell r="L504" t="str">
            <v>Salário Mensal</v>
          </cell>
          <cell r="M504" t="str">
            <v>Empregado (CLT)</v>
          </cell>
        </row>
        <row r="505">
          <cell r="D505" t="str">
            <v>ECOSAMPA Santo Amaro</v>
          </cell>
          <cell r="E505">
            <v>43811</v>
          </cell>
          <cell r="F505">
            <v>1603.99</v>
          </cell>
          <cell r="G505" t="str">
            <v>Em Atividade Normal</v>
          </cell>
          <cell r="H505">
            <v>45119</v>
          </cell>
          <cell r="I505">
            <v>26371</v>
          </cell>
          <cell r="J505" t="str">
            <v>184.768.618-42</v>
          </cell>
          <cell r="K505" t="str">
            <v>125.38554.27.8</v>
          </cell>
          <cell r="L505" t="str">
            <v>Salário Mensal</v>
          </cell>
          <cell r="M505" t="str">
            <v>Empregado (CLT)</v>
          </cell>
        </row>
        <row r="506">
          <cell r="D506" t="str">
            <v>ECOSAMPA M'Boi Mirim</v>
          </cell>
          <cell r="E506">
            <v>43617</v>
          </cell>
          <cell r="F506">
            <v>1603.99</v>
          </cell>
          <cell r="G506" t="str">
            <v>Em Atividade Normal</v>
          </cell>
          <cell r="H506">
            <v>45177</v>
          </cell>
          <cell r="I506">
            <v>26231</v>
          </cell>
          <cell r="J506" t="str">
            <v>143.359.468-48</v>
          </cell>
          <cell r="K506" t="str">
            <v>124.32174.41.2</v>
          </cell>
          <cell r="L506" t="str">
            <v>Salário Mensal</v>
          </cell>
          <cell r="M506" t="str">
            <v>Empregado (CLT)</v>
          </cell>
        </row>
        <row r="507">
          <cell r="D507" t="str">
            <v>ECOSAMPA Operação Geral</v>
          </cell>
          <cell r="E507">
            <v>43620</v>
          </cell>
          <cell r="F507">
            <v>3050.22</v>
          </cell>
          <cell r="G507" t="str">
            <v>Em Atividade Normal</v>
          </cell>
          <cell r="H507">
            <v>44930</v>
          </cell>
          <cell r="I507">
            <v>30923</v>
          </cell>
          <cell r="J507" t="str">
            <v>314.214.438-21</v>
          </cell>
          <cell r="K507" t="str">
            <v>135.65091.93.1</v>
          </cell>
          <cell r="L507" t="str">
            <v>Salário Mensal</v>
          </cell>
          <cell r="M507" t="str">
            <v>Empregado (CLT)</v>
          </cell>
        </row>
        <row r="508">
          <cell r="D508" t="str">
            <v>ECOSAMPA Campo Limpo</v>
          </cell>
          <cell r="E508">
            <v>43623</v>
          </cell>
          <cell r="F508">
            <v>3222.08</v>
          </cell>
          <cell r="G508" t="str">
            <v>Em Atividade Normal</v>
          </cell>
          <cell r="H508">
            <v>44957</v>
          </cell>
          <cell r="I508">
            <v>32233</v>
          </cell>
          <cell r="J508" t="str">
            <v>374.222.308-94</v>
          </cell>
          <cell r="K508" t="str">
            <v>207.07884.43.2</v>
          </cell>
          <cell r="L508" t="str">
            <v>Salário Mensal</v>
          </cell>
          <cell r="M508" t="str">
            <v>Empregado (CLT)</v>
          </cell>
        </row>
        <row r="509">
          <cell r="D509" t="str">
            <v>ECOSAMPA Pensionistas</v>
          </cell>
          <cell r="E509">
            <v>43647</v>
          </cell>
          <cell r="F509">
            <v>0.01</v>
          </cell>
          <cell r="G509" t="str">
            <v>Em Atividade Normal</v>
          </cell>
          <cell r="H509">
            <v>43647</v>
          </cell>
          <cell r="J509" t="str">
            <v>297.884.518-02</v>
          </cell>
          <cell r="L509" t="str">
            <v>Nenhuma</v>
          </cell>
          <cell r="M509" t="str">
            <v>Pensionista</v>
          </cell>
        </row>
        <row r="510">
          <cell r="D510" t="str">
            <v>ECOSAMPA Operação Geral</v>
          </cell>
          <cell r="E510">
            <v>44872</v>
          </cell>
          <cell r="F510">
            <v>1952.99</v>
          </cell>
          <cell r="G510" t="str">
            <v>Demitido em Meses Anteriores</v>
          </cell>
          <cell r="H510">
            <v>45084</v>
          </cell>
          <cell r="I510">
            <v>32654</v>
          </cell>
          <cell r="J510" t="str">
            <v>373.845.358-08</v>
          </cell>
          <cell r="K510" t="str">
            <v>209.79532.64.1</v>
          </cell>
          <cell r="L510" t="str">
            <v>Salário Mensal</v>
          </cell>
          <cell r="M510" t="str">
            <v>Empregado (CLT)</v>
          </cell>
        </row>
        <row r="511">
          <cell r="D511" t="str">
            <v>ECOSAMPA Capela do Socorro</v>
          </cell>
          <cell r="E511">
            <v>44368</v>
          </cell>
          <cell r="F511">
            <v>1603.99</v>
          </cell>
          <cell r="G511" t="str">
            <v>Em Atividade Normal</v>
          </cell>
          <cell r="H511">
            <v>45103</v>
          </cell>
          <cell r="I511">
            <v>30313</v>
          </cell>
          <cell r="J511" t="str">
            <v>311.449.868-00</v>
          </cell>
          <cell r="K511" t="str">
            <v>132.15324.85.6</v>
          </cell>
          <cell r="L511" t="str">
            <v>Salário Mensal</v>
          </cell>
          <cell r="M511" t="str">
            <v>Empregado (CLT)</v>
          </cell>
        </row>
        <row r="512">
          <cell r="D512" t="str">
            <v>ECOSAMPA Administração</v>
          </cell>
          <cell r="E512">
            <v>45040</v>
          </cell>
          <cell r="F512">
            <v>1320</v>
          </cell>
          <cell r="G512" t="str">
            <v>Em Atividade Normal</v>
          </cell>
          <cell r="H512">
            <v>45040</v>
          </cell>
          <cell r="I512">
            <v>38129</v>
          </cell>
          <cell r="J512" t="str">
            <v>556.323.878-44</v>
          </cell>
          <cell r="K512" t="str">
            <v>212.02768.92.1</v>
          </cell>
          <cell r="L512" t="str">
            <v>Salário Mensal</v>
          </cell>
          <cell r="M512" t="str">
            <v>Menor Aprendiz</v>
          </cell>
        </row>
        <row r="513">
          <cell r="D513" t="str">
            <v>ECOSAMPA Parelheiros</v>
          </cell>
          <cell r="E513">
            <v>43617</v>
          </cell>
          <cell r="F513">
            <v>1231.95</v>
          </cell>
          <cell r="G513" t="str">
            <v>Demitido em Meses Anteriores</v>
          </cell>
          <cell r="H513">
            <v>43704</v>
          </cell>
          <cell r="I513">
            <v>33704</v>
          </cell>
          <cell r="J513" t="str">
            <v>407.494.568-17</v>
          </cell>
          <cell r="K513" t="str">
            <v>161.25801.44.7</v>
          </cell>
          <cell r="L513" t="str">
            <v>Salário Mensal</v>
          </cell>
          <cell r="M513" t="str">
            <v>Empregado (CLT)</v>
          </cell>
        </row>
        <row r="514">
          <cell r="D514" t="str">
            <v>ECOSAMPA Santo Amaro</v>
          </cell>
          <cell r="E514">
            <v>43617</v>
          </cell>
          <cell r="F514">
            <v>1603.99</v>
          </cell>
          <cell r="G514" t="str">
            <v>Em Atividade Normal</v>
          </cell>
          <cell r="H514">
            <v>44835</v>
          </cell>
          <cell r="I514">
            <v>34806</v>
          </cell>
          <cell r="J514" t="str">
            <v>449.450.238-32</v>
          </cell>
          <cell r="K514" t="str">
            <v>201.15351.52.8</v>
          </cell>
          <cell r="L514" t="str">
            <v>Salário Mensal</v>
          </cell>
          <cell r="M514" t="str">
            <v>Empregado (CLT)</v>
          </cell>
        </row>
        <row r="515">
          <cell r="D515" t="str">
            <v>ECOSAMPA M'Boi Mirim</v>
          </cell>
          <cell r="E515">
            <v>43874</v>
          </cell>
          <cell r="F515">
            <v>1603.99</v>
          </cell>
          <cell r="G515" t="str">
            <v>Em Atividade Normal</v>
          </cell>
          <cell r="H515">
            <v>45119</v>
          </cell>
          <cell r="I515">
            <v>33025</v>
          </cell>
          <cell r="J515" t="str">
            <v>366.923.898-01</v>
          </cell>
          <cell r="K515" t="str">
            <v>161.22297.45.4</v>
          </cell>
          <cell r="L515" t="str">
            <v>Salário Mensal</v>
          </cell>
          <cell r="M515" t="str">
            <v>Empregado (CLT)</v>
          </cell>
        </row>
        <row r="516">
          <cell r="D516" t="str">
            <v>ECOSAMPA Operação Geral</v>
          </cell>
          <cell r="E516">
            <v>44725</v>
          </cell>
          <cell r="F516">
            <v>1464.83</v>
          </cell>
          <cell r="G516" t="str">
            <v>Demitido em Meses Anteriores</v>
          </cell>
          <cell r="H516">
            <v>44781</v>
          </cell>
          <cell r="I516">
            <v>34789</v>
          </cell>
          <cell r="J516" t="str">
            <v>449.105.228-08</v>
          </cell>
          <cell r="K516" t="str">
            <v>204.85261.21.3</v>
          </cell>
          <cell r="L516" t="str">
            <v>Salário Mensal</v>
          </cell>
          <cell r="M516" t="str">
            <v>Empregado (CLT)</v>
          </cell>
        </row>
        <row r="517">
          <cell r="D517" t="str">
            <v>ECOSAMPA Capela do Socorro</v>
          </cell>
          <cell r="E517">
            <v>43617</v>
          </cell>
          <cell r="F517">
            <v>1603.99</v>
          </cell>
          <cell r="G517" t="str">
            <v>Gozando Férias</v>
          </cell>
          <cell r="H517">
            <v>45180</v>
          </cell>
          <cell r="I517">
            <v>31819</v>
          </cell>
          <cell r="J517" t="str">
            <v>365.393.238-67</v>
          </cell>
          <cell r="K517" t="str">
            <v>134.62996.85.0</v>
          </cell>
          <cell r="L517" t="str">
            <v>Salário Mensal</v>
          </cell>
          <cell r="M517" t="str">
            <v>Empregado (CLT)</v>
          </cell>
        </row>
        <row r="518">
          <cell r="D518" t="str">
            <v>ECOSAMPA M'Boi Mirim</v>
          </cell>
          <cell r="E518">
            <v>43617</v>
          </cell>
          <cell r="F518">
            <v>1603.99</v>
          </cell>
          <cell r="G518" t="str">
            <v>Em Atividade Normal</v>
          </cell>
          <cell r="H518">
            <v>45023</v>
          </cell>
          <cell r="I518">
            <v>34460</v>
          </cell>
          <cell r="J518" t="str">
            <v>428.730.848-47</v>
          </cell>
          <cell r="K518" t="str">
            <v>210.41720.13.2</v>
          </cell>
          <cell r="L518" t="str">
            <v>Salário Mensal</v>
          </cell>
          <cell r="M518" t="str">
            <v>Empregado (CLT)</v>
          </cell>
        </row>
        <row r="519">
          <cell r="D519" t="str">
            <v>ECOSAMPA Capela do Socorro</v>
          </cell>
          <cell r="E519">
            <v>43874</v>
          </cell>
          <cell r="F519">
            <v>1319.67</v>
          </cell>
          <cell r="G519" t="str">
            <v>Demitido em Meses Anteriores</v>
          </cell>
          <cell r="H519">
            <v>44412</v>
          </cell>
          <cell r="I519">
            <v>32460</v>
          </cell>
          <cell r="J519" t="str">
            <v>363.331.458-07</v>
          </cell>
          <cell r="K519" t="str">
            <v>135.78007.81.0</v>
          </cell>
          <cell r="L519" t="str">
            <v>Salário Mensal</v>
          </cell>
          <cell r="M519" t="str">
            <v>Empregado (CLT)</v>
          </cell>
        </row>
        <row r="520">
          <cell r="D520" t="str">
            <v>ECOSAMPA M'Boi Mirim</v>
          </cell>
          <cell r="E520">
            <v>43617</v>
          </cell>
          <cell r="F520">
            <v>1281.23</v>
          </cell>
          <cell r="G520" t="str">
            <v>Demitido em Meses Anteriores</v>
          </cell>
          <cell r="H520">
            <v>43895</v>
          </cell>
          <cell r="I520">
            <v>30725</v>
          </cell>
          <cell r="J520" t="str">
            <v>327.944.898-01</v>
          </cell>
          <cell r="K520" t="str">
            <v>210.16746.27.1</v>
          </cell>
          <cell r="L520" t="str">
            <v>Salário Mensal</v>
          </cell>
          <cell r="M520" t="str">
            <v>Empregado (CLT)</v>
          </cell>
        </row>
        <row r="521">
          <cell r="D521" t="str">
            <v>ECOSAMPA Santo Amaro</v>
          </cell>
          <cell r="E521">
            <v>44567</v>
          </cell>
          <cell r="F521">
            <v>1603.99</v>
          </cell>
          <cell r="G521" t="str">
            <v>Demitido em Meses Anteriores</v>
          </cell>
          <cell r="H521">
            <v>45160</v>
          </cell>
          <cell r="I521">
            <v>32804</v>
          </cell>
          <cell r="J521" t="str">
            <v>359.076.468-61</v>
          </cell>
          <cell r="K521" t="str">
            <v>160.36336.27.7</v>
          </cell>
          <cell r="L521" t="str">
            <v>Salário Mensal</v>
          </cell>
          <cell r="M521" t="str">
            <v>Empregado (CLT)</v>
          </cell>
        </row>
        <row r="522">
          <cell r="D522" t="str">
            <v>ECOSAMPA Operação Geral</v>
          </cell>
          <cell r="E522">
            <v>43617</v>
          </cell>
          <cell r="F522">
            <v>3050.22</v>
          </cell>
          <cell r="G522" t="str">
            <v>Em Atividade Normal</v>
          </cell>
          <cell r="H522">
            <v>45023</v>
          </cell>
          <cell r="I522">
            <v>31529</v>
          </cell>
          <cell r="J522" t="str">
            <v>330.661.118-22</v>
          </cell>
          <cell r="K522" t="str">
            <v>133.12682.85.0</v>
          </cell>
          <cell r="L522" t="str">
            <v>Salário Mensal</v>
          </cell>
          <cell r="M522" t="str">
            <v>Empregado (CLT)</v>
          </cell>
        </row>
        <row r="523">
          <cell r="D523" t="str">
            <v>ECOSAMPA Operação Geral</v>
          </cell>
          <cell r="E523">
            <v>43617</v>
          </cell>
          <cell r="F523">
            <v>1523.89</v>
          </cell>
          <cell r="G523" t="str">
            <v>Demitido em Meses Anteriores</v>
          </cell>
          <cell r="H523">
            <v>43977</v>
          </cell>
          <cell r="I523">
            <v>29471</v>
          </cell>
          <cell r="J523" t="str">
            <v>347.209.478-83</v>
          </cell>
          <cell r="K523" t="str">
            <v>212.40679.62.0</v>
          </cell>
          <cell r="L523" t="str">
            <v>Salário Mensal</v>
          </cell>
          <cell r="M523" t="str">
            <v>Empregado (CLT)</v>
          </cell>
        </row>
        <row r="524">
          <cell r="D524" t="str">
            <v>ECOSAMPA Operação Geral</v>
          </cell>
          <cell r="E524">
            <v>43617</v>
          </cell>
          <cell r="F524">
            <v>1523.89</v>
          </cell>
          <cell r="G524" t="str">
            <v>Demitido em Meses Anteriores</v>
          </cell>
          <cell r="H524">
            <v>43974</v>
          </cell>
          <cell r="I524">
            <v>30965</v>
          </cell>
          <cell r="J524" t="str">
            <v>063.413.374-85</v>
          </cell>
          <cell r="K524" t="str">
            <v>209.65773.38.2</v>
          </cell>
          <cell r="L524" t="str">
            <v>Salário Mensal</v>
          </cell>
          <cell r="M524" t="str">
            <v>Empregado (CLT)</v>
          </cell>
        </row>
        <row r="525">
          <cell r="D525" t="str">
            <v>ECOSAMPA Capela do Socorro</v>
          </cell>
          <cell r="E525">
            <v>43617</v>
          </cell>
          <cell r="F525">
            <v>1281.23</v>
          </cell>
          <cell r="G525" t="str">
            <v>Demitido em Meses Anteriores</v>
          </cell>
          <cell r="H525">
            <v>44029</v>
          </cell>
          <cell r="I525">
            <v>19306</v>
          </cell>
          <cell r="J525" t="str">
            <v>010.220.658-90</v>
          </cell>
          <cell r="K525" t="str">
            <v>108.47533.07.4</v>
          </cell>
          <cell r="L525" t="str">
            <v>Salário Mensal</v>
          </cell>
          <cell r="M525" t="str">
            <v>Empregado (CLT)</v>
          </cell>
        </row>
        <row r="526">
          <cell r="D526" t="str">
            <v>ECOSAMPA Santo Amaro</v>
          </cell>
          <cell r="E526">
            <v>43811</v>
          </cell>
          <cell r="F526">
            <v>1603.99</v>
          </cell>
          <cell r="G526" t="str">
            <v>Em Atividade Normal</v>
          </cell>
          <cell r="H526">
            <v>45149</v>
          </cell>
          <cell r="I526">
            <v>34757</v>
          </cell>
          <cell r="J526" t="str">
            <v>463.332.548-51</v>
          </cell>
          <cell r="K526" t="str">
            <v>210.73039.78.3</v>
          </cell>
          <cell r="L526" t="str">
            <v>Salário Mensal</v>
          </cell>
          <cell r="M526" t="str">
            <v>Empregado (CLT)</v>
          </cell>
        </row>
        <row r="527">
          <cell r="D527" t="str">
            <v>ECOSAMPA Campo Limpo</v>
          </cell>
          <cell r="E527">
            <v>44308</v>
          </cell>
          <cell r="F527">
            <v>1603.99</v>
          </cell>
          <cell r="G527" t="str">
            <v>Em Atividade Normal</v>
          </cell>
          <cell r="H527">
            <v>44989</v>
          </cell>
          <cell r="I527">
            <v>33435</v>
          </cell>
          <cell r="J527" t="str">
            <v>409.832.138-60</v>
          </cell>
          <cell r="K527" t="str">
            <v>210.71835.92.2</v>
          </cell>
          <cell r="L527" t="str">
            <v>Salário Mensal</v>
          </cell>
          <cell r="M527" t="str">
            <v>Empregado (CLT)</v>
          </cell>
        </row>
        <row r="528">
          <cell r="D528" t="str">
            <v>ECOSAMPA Operação Geral</v>
          </cell>
          <cell r="E528">
            <v>43617</v>
          </cell>
          <cell r="F528">
            <v>3050.22</v>
          </cell>
          <cell r="G528" t="str">
            <v>Em Atividade Normal</v>
          </cell>
          <cell r="H528">
            <v>44806</v>
          </cell>
          <cell r="I528">
            <v>32113</v>
          </cell>
          <cell r="J528" t="str">
            <v>357.387.568-86</v>
          </cell>
          <cell r="K528" t="str">
            <v>161.14115.63.6</v>
          </cell>
          <cell r="L528" t="str">
            <v>Salário Mensal</v>
          </cell>
          <cell r="M528" t="str">
            <v>Empregado (CLT)</v>
          </cell>
        </row>
        <row r="529">
          <cell r="D529" t="str">
            <v>ECOSAMPA Operação Geral</v>
          </cell>
          <cell r="E529">
            <v>43617</v>
          </cell>
          <cell r="F529">
            <v>1907.79</v>
          </cell>
          <cell r="G529" t="str">
            <v>Gozando Férias</v>
          </cell>
          <cell r="H529">
            <v>45180</v>
          </cell>
          <cell r="I529">
            <v>25423</v>
          </cell>
          <cell r="J529" t="str">
            <v>480.119.245-91</v>
          </cell>
          <cell r="K529" t="str">
            <v>123.24501.81.5</v>
          </cell>
          <cell r="L529" t="str">
            <v>Salário Mensal</v>
          </cell>
          <cell r="M529" t="str">
            <v>Empregado (CLT)</v>
          </cell>
        </row>
        <row r="530">
          <cell r="D530" t="str">
            <v>ECOSAMPA Santo Amaro</v>
          </cell>
          <cell r="E530">
            <v>43617</v>
          </cell>
          <cell r="F530">
            <v>1464.83</v>
          </cell>
          <cell r="G530" t="str">
            <v>Demitido em Meses Anteriores</v>
          </cell>
          <cell r="H530">
            <v>44601</v>
          </cell>
          <cell r="I530">
            <v>36325</v>
          </cell>
          <cell r="J530" t="str">
            <v>481.150.248-56</v>
          </cell>
          <cell r="K530" t="str">
            <v>212.09422.20.6</v>
          </cell>
          <cell r="L530" t="str">
            <v>Salário Mensal</v>
          </cell>
          <cell r="M530" t="str">
            <v>Empregado (CLT)</v>
          </cell>
        </row>
        <row r="531">
          <cell r="D531" t="str">
            <v>ECOSAMPA Campo Limpo</v>
          </cell>
          <cell r="E531">
            <v>44900</v>
          </cell>
          <cell r="F531">
            <v>1603.99</v>
          </cell>
          <cell r="G531" t="str">
            <v>Em Atividade Normal</v>
          </cell>
          <cell r="H531">
            <v>44900</v>
          </cell>
          <cell r="I531">
            <v>34619</v>
          </cell>
          <cell r="J531" t="str">
            <v>426.851.278-01</v>
          </cell>
          <cell r="K531" t="str">
            <v>161.64778.26.4</v>
          </cell>
          <cell r="L531" t="str">
            <v>Salário Mensal</v>
          </cell>
          <cell r="M531" t="str">
            <v>Empregado (CLT)</v>
          </cell>
        </row>
        <row r="532">
          <cell r="D532" t="str">
            <v>ECOSAMPA Operação Geral</v>
          </cell>
          <cell r="E532">
            <v>43749</v>
          </cell>
          <cell r="F532">
            <v>1606.8</v>
          </cell>
          <cell r="G532" t="str">
            <v>Demitido em Meses Anteriores</v>
          </cell>
          <cell r="H532">
            <v>44216</v>
          </cell>
          <cell r="I532">
            <v>32311</v>
          </cell>
          <cell r="J532" t="str">
            <v>364.035.438-90</v>
          </cell>
          <cell r="K532" t="str">
            <v>210.69364.64.0</v>
          </cell>
          <cell r="L532" t="str">
            <v>Salário Mensal</v>
          </cell>
          <cell r="M532" t="str">
            <v>Empregado (CLT)</v>
          </cell>
        </row>
        <row r="533">
          <cell r="D533" t="str">
            <v>ECOSAMPA Operação Geral</v>
          </cell>
          <cell r="E533">
            <v>43617</v>
          </cell>
          <cell r="F533">
            <v>2430.6799999999998</v>
          </cell>
          <cell r="G533" t="str">
            <v>Demitido em Meses Anteriores</v>
          </cell>
          <cell r="H533">
            <v>43955</v>
          </cell>
          <cell r="I533">
            <v>33383</v>
          </cell>
          <cell r="J533" t="str">
            <v>381.292.288-66</v>
          </cell>
          <cell r="K533" t="str">
            <v>160.90094.25.1</v>
          </cell>
          <cell r="L533" t="str">
            <v>Salário Mensal</v>
          </cell>
          <cell r="M533" t="str">
            <v>Empregado (CLT)</v>
          </cell>
        </row>
        <row r="534">
          <cell r="D534" t="str">
            <v>ECOSAMPA Santo Amaro</v>
          </cell>
          <cell r="E534">
            <v>43728</v>
          </cell>
          <cell r="F534">
            <v>1319.67</v>
          </cell>
          <cell r="G534" t="str">
            <v>Demitido em Meses Anteriores</v>
          </cell>
          <cell r="H534">
            <v>44109</v>
          </cell>
          <cell r="I534">
            <v>36290</v>
          </cell>
          <cell r="J534" t="str">
            <v>489.646.648-92</v>
          </cell>
          <cell r="K534" t="str">
            <v>154.49541.39.6</v>
          </cell>
          <cell r="L534" t="str">
            <v>Salário Mensal</v>
          </cell>
          <cell r="M534" t="str">
            <v>Empregado (CLT)</v>
          </cell>
        </row>
        <row r="535">
          <cell r="D535" t="str">
            <v>ECOSAMPA Santo Amaro</v>
          </cell>
          <cell r="E535">
            <v>43617</v>
          </cell>
          <cell r="F535">
            <v>1281.23</v>
          </cell>
          <cell r="G535" t="str">
            <v>Demitido em Meses Anteriores</v>
          </cell>
          <cell r="H535">
            <v>44033</v>
          </cell>
          <cell r="I535">
            <v>20539</v>
          </cell>
          <cell r="J535" t="str">
            <v>949.642.388-49</v>
          </cell>
          <cell r="K535" t="str">
            <v>106.85946.49.2</v>
          </cell>
          <cell r="L535" t="str">
            <v>Salário Mensal</v>
          </cell>
          <cell r="M535" t="str">
            <v>Empregado (CLT)</v>
          </cell>
        </row>
        <row r="536">
          <cell r="D536" t="str">
            <v>ECOSAMPA Operação Geral</v>
          </cell>
          <cell r="E536">
            <v>43617</v>
          </cell>
          <cell r="F536">
            <v>2342.7399999999998</v>
          </cell>
          <cell r="G536" t="str">
            <v>Demitido em Meses Anteriores</v>
          </cell>
          <cell r="H536">
            <v>43703</v>
          </cell>
          <cell r="I536">
            <v>29921</v>
          </cell>
          <cell r="J536" t="str">
            <v>039.733.554-79</v>
          </cell>
          <cell r="K536" t="str">
            <v>207.06285.03.9</v>
          </cell>
          <cell r="L536" t="str">
            <v>Salário Mensal</v>
          </cell>
          <cell r="M536" t="str">
            <v>Empregado (CLT)</v>
          </cell>
        </row>
        <row r="537">
          <cell r="D537" t="str">
            <v>ECOSAMPA Capela do Socorro</v>
          </cell>
          <cell r="E537">
            <v>43617</v>
          </cell>
          <cell r="F537">
            <v>1603.99</v>
          </cell>
          <cell r="G537" t="str">
            <v>Gozando Férias</v>
          </cell>
          <cell r="H537">
            <v>45180</v>
          </cell>
          <cell r="I537">
            <v>34972</v>
          </cell>
          <cell r="J537" t="str">
            <v>044.713.683-62</v>
          </cell>
          <cell r="K537" t="str">
            <v>202.03212.68.6</v>
          </cell>
          <cell r="L537" t="str">
            <v>Salário Mensal</v>
          </cell>
          <cell r="M537" t="str">
            <v>Empregado (CLT)</v>
          </cell>
        </row>
        <row r="538">
          <cell r="D538" t="str">
            <v>ECOSAMPA Operação Geral</v>
          </cell>
          <cell r="E538">
            <v>43617</v>
          </cell>
          <cell r="F538">
            <v>1907.79</v>
          </cell>
          <cell r="G538" t="str">
            <v>Em Atividade Normal</v>
          </cell>
          <cell r="H538">
            <v>44806</v>
          </cell>
          <cell r="I538">
            <v>31651</v>
          </cell>
          <cell r="J538" t="str">
            <v>081.794.166-58</v>
          </cell>
          <cell r="K538" t="str">
            <v>160.20843.08.5</v>
          </cell>
          <cell r="L538" t="str">
            <v>Salário Mensal</v>
          </cell>
          <cell r="M538" t="str">
            <v>Empregado (CLT)</v>
          </cell>
        </row>
        <row r="539">
          <cell r="D539" t="str">
            <v>ECOSAMPA Parelheiros</v>
          </cell>
          <cell r="E539">
            <v>43728</v>
          </cell>
          <cell r="F539">
            <v>1603.99</v>
          </cell>
          <cell r="G539" t="str">
            <v>Demitido em Meses Anteriores</v>
          </cell>
          <cell r="H539">
            <v>44935</v>
          </cell>
          <cell r="I539">
            <v>33995</v>
          </cell>
          <cell r="J539" t="str">
            <v>381.062.778-01</v>
          </cell>
          <cell r="K539" t="str">
            <v>212.09429.00.6</v>
          </cell>
          <cell r="L539" t="str">
            <v>Salário Mensal</v>
          </cell>
          <cell r="M539" t="str">
            <v>Empregado (CLT)</v>
          </cell>
        </row>
        <row r="540">
          <cell r="D540" t="str">
            <v>ECOSAMPA Campo Limpo</v>
          </cell>
          <cell r="E540">
            <v>44210</v>
          </cell>
          <cell r="F540">
            <v>1319.67</v>
          </cell>
          <cell r="G540" t="str">
            <v>Demitido em Meses Anteriores</v>
          </cell>
          <cell r="H540">
            <v>44270</v>
          </cell>
          <cell r="I540">
            <v>34064</v>
          </cell>
          <cell r="J540" t="str">
            <v>230.629.218-38</v>
          </cell>
          <cell r="K540" t="str">
            <v>210.72585.02.4</v>
          </cell>
          <cell r="L540" t="str">
            <v>Salário Mensal</v>
          </cell>
          <cell r="M540" t="str">
            <v>Empregado (CLT)</v>
          </cell>
        </row>
        <row r="541">
          <cell r="D541" t="str">
            <v>ECOSAMPA Parelheiros</v>
          </cell>
          <cell r="E541">
            <v>43874</v>
          </cell>
          <cell r="F541">
            <v>1319.67</v>
          </cell>
          <cell r="G541" t="str">
            <v>Demitido em Meses Anteriores</v>
          </cell>
          <cell r="H541">
            <v>44361</v>
          </cell>
          <cell r="I541">
            <v>32534</v>
          </cell>
          <cell r="J541" t="str">
            <v>367.825.498-59</v>
          </cell>
          <cell r="K541" t="str">
            <v>161.14325.81.9</v>
          </cell>
          <cell r="L541" t="str">
            <v>Salário Mensal</v>
          </cell>
          <cell r="M541" t="str">
            <v>Empregado (CLT)</v>
          </cell>
        </row>
        <row r="542">
          <cell r="D542" t="str">
            <v>ECOSAMPA Parelheiros</v>
          </cell>
          <cell r="E542">
            <v>43617</v>
          </cell>
          <cell r="F542">
            <v>1603.99</v>
          </cell>
          <cell r="G542" t="str">
            <v>Em Atividade Normal</v>
          </cell>
          <cell r="H542">
            <v>45149</v>
          </cell>
          <cell r="I542">
            <v>31936</v>
          </cell>
          <cell r="J542" t="str">
            <v>237.769.598-19</v>
          </cell>
          <cell r="K542" t="str">
            <v>210.32035.65.1</v>
          </cell>
          <cell r="L542" t="str">
            <v>Salário Mensal</v>
          </cell>
          <cell r="M542" t="str">
            <v>Empregado (CLT)</v>
          </cell>
        </row>
        <row r="543">
          <cell r="D543" t="str">
            <v>ECOSAMPA Santo Amaro</v>
          </cell>
          <cell r="E543">
            <v>43617</v>
          </cell>
          <cell r="F543">
            <v>1603.99</v>
          </cell>
          <cell r="G543" t="str">
            <v>Em Atividade Normal</v>
          </cell>
          <cell r="H543">
            <v>45023</v>
          </cell>
          <cell r="I543">
            <v>35605</v>
          </cell>
          <cell r="J543" t="str">
            <v>511.958.938-33</v>
          </cell>
          <cell r="K543" t="str">
            <v>237.45817.26.1</v>
          </cell>
          <cell r="L543" t="str">
            <v>Salário Mensal</v>
          </cell>
          <cell r="M543" t="str">
            <v>Empregado (CLT)</v>
          </cell>
        </row>
        <row r="544">
          <cell r="D544" t="str">
            <v>ECOSAMPA M'Boi Mirim</v>
          </cell>
          <cell r="E544">
            <v>43620</v>
          </cell>
          <cell r="F544">
            <v>1603.99</v>
          </cell>
          <cell r="G544" t="str">
            <v>Demitido em Meses Anteriores</v>
          </cell>
          <cell r="H544">
            <v>44935</v>
          </cell>
          <cell r="I544">
            <v>29107</v>
          </cell>
          <cell r="J544" t="str">
            <v>413.953.438-96</v>
          </cell>
          <cell r="K544" t="str">
            <v>126.65378.66.5</v>
          </cell>
          <cell r="L544" t="str">
            <v>Salário Mensal</v>
          </cell>
          <cell r="M544" t="str">
            <v>Empregado (CLT)</v>
          </cell>
        </row>
        <row r="545">
          <cell r="D545" t="str">
            <v>ECOSAMPA Santo Amaro</v>
          </cell>
          <cell r="E545">
            <v>44207</v>
          </cell>
          <cell r="F545">
            <v>1603.99</v>
          </cell>
          <cell r="G545" t="str">
            <v>Demitido no Mês</v>
          </cell>
          <cell r="H545">
            <v>45194</v>
          </cell>
          <cell r="I545">
            <v>32421</v>
          </cell>
          <cell r="J545" t="str">
            <v>357.133.118-48</v>
          </cell>
          <cell r="K545" t="str">
            <v>212.09427.82.8</v>
          </cell>
          <cell r="L545" t="str">
            <v>Salário Mensal</v>
          </cell>
          <cell r="M545" t="str">
            <v>Empregado (CLT)</v>
          </cell>
        </row>
        <row r="546">
          <cell r="D546" t="str">
            <v>ECOSAMPA Campo Limpo</v>
          </cell>
          <cell r="E546">
            <v>43619</v>
          </cell>
          <cell r="F546">
            <v>1603.99</v>
          </cell>
          <cell r="G546" t="str">
            <v>Em Atividade Normal</v>
          </cell>
          <cell r="H546">
            <v>45023</v>
          </cell>
          <cell r="I546">
            <v>34559</v>
          </cell>
          <cell r="J546" t="str">
            <v>413.005.628-03</v>
          </cell>
          <cell r="K546" t="str">
            <v>210.71140.89.4</v>
          </cell>
          <cell r="L546" t="str">
            <v>Salário Mensal</v>
          </cell>
          <cell r="M546" t="str">
            <v>Empregado (CLT)</v>
          </cell>
        </row>
        <row r="547">
          <cell r="D547" t="str">
            <v>ECOSAMPA Campo Limpo</v>
          </cell>
          <cell r="E547">
            <v>43617</v>
          </cell>
          <cell r="F547">
            <v>1231.95</v>
          </cell>
          <cell r="G547" t="str">
            <v>Demitido em Meses Anteriores</v>
          </cell>
          <cell r="H547">
            <v>43690</v>
          </cell>
          <cell r="I547">
            <v>35261</v>
          </cell>
          <cell r="J547" t="str">
            <v>430.858.418-30</v>
          </cell>
          <cell r="K547" t="str">
            <v>200.74257.43.3</v>
          </cell>
          <cell r="L547" t="str">
            <v>Salário Mensal</v>
          </cell>
          <cell r="M547" t="str">
            <v>Empregado (CLT)</v>
          </cell>
        </row>
        <row r="548">
          <cell r="D548" t="str">
            <v>ECOSAMPA Operação Geral</v>
          </cell>
          <cell r="E548">
            <v>44967</v>
          </cell>
          <cell r="F548">
            <v>3050.22</v>
          </cell>
          <cell r="G548" t="str">
            <v>Em Atividade Normal</v>
          </cell>
          <cell r="H548">
            <v>44967</v>
          </cell>
          <cell r="I548">
            <v>31201</v>
          </cell>
          <cell r="J548" t="str">
            <v>339.984.898-60</v>
          </cell>
          <cell r="K548" t="str">
            <v>161.21503.17.4</v>
          </cell>
          <cell r="L548" t="str">
            <v>Salário Mensal</v>
          </cell>
          <cell r="M548" t="str">
            <v>Empregado (CLT)</v>
          </cell>
        </row>
        <row r="549">
          <cell r="D549" t="str">
            <v>ECOSAMPA Santo Amaro</v>
          </cell>
          <cell r="E549">
            <v>43617</v>
          </cell>
          <cell r="F549">
            <v>1603.99</v>
          </cell>
          <cell r="G549" t="str">
            <v>Em Atividade Normal</v>
          </cell>
          <cell r="H549">
            <v>44989</v>
          </cell>
          <cell r="I549">
            <v>34788</v>
          </cell>
          <cell r="J549" t="str">
            <v>410.276.898-09</v>
          </cell>
          <cell r="K549" t="str">
            <v>201.15251.42.6</v>
          </cell>
          <cell r="L549" t="str">
            <v>Salário Mensal</v>
          </cell>
          <cell r="M549" t="str">
            <v>Empregado (CLT)</v>
          </cell>
        </row>
        <row r="550">
          <cell r="D550" t="str">
            <v>ECOSAMPA Campo Limpo</v>
          </cell>
          <cell r="E550">
            <v>44046</v>
          </cell>
          <cell r="F550">
            <v>1319.67</v>
          </cell>
          <cell r="G550" t="str">
            <v>Demitido em Meses Anteriores</v>
          </cell>
          <cell r="H550">
            <v>44119</v>
          </cell>
          <cell r="I550">
            <v>35364</v>
          </cell>
          <cell r="J550" t="str">
            <v>473.545.948-06</v>
          </cell>
          <cell r="K550" t="str">
            <v>152.84757.00.2</v>
          </cell>
          <cell r="L550" t="str">
            <v>Salário Mensal</v>
          </cell>
          <cell r="M550" t="str">
            <v>Empregado (CLT)</v>
          </cell>
        </row>
        <row r="551">
          <cell r="D551" t="str">
            <v>ECOSAMPA Operação Geral</v>
          </cell>
          <cell r="E551">
            <v>44967</v>
          </cell>
          <cell r="F551">
            <v>1603.99</v>
          </cell>
          <cell r="G551" t="str">
            <v>Demitido em Meses Anteriores</v>
          </cell>
          <cell r="H551">
            <v>44981</v>
          </cell>
          <cell r="I551">
            <v>33140</v>
          </cell>
          <cell r="J551" t="str">
            <v>377.095.738-51</v>
          </cell>
          <cell r="K551" t="str">
            <v>204.89053.43.7</v>
          </cell>
          <cell r="L551" t="str">
            <v>Salário Mensal</v>
          </cell>
          <cell r="M551" t="str">
            <v>Empregado (CLT)</v>
          </cell>
        </row>
        <row r="552">
          <cell r="D552" t="str">
            <v>ECOSAMPA M'Boi Mirim</v>
          </cell>
          <cell r="E552">
            <v>43617</v>
          </cell>
          <cell r="F552">
            <v>1603.99</v>
          </cell>
          <cell r="G552" t="str">
            <v>Gozando Férias</v>
          </cell>
          <cell r="H552">
            <v>45180</v>
          </cell>
          <cell r="I552">
            <v>35677</v>
          </cell>
          <cell r="J552" t="str">
            <v>072.537.365-24</v>
          </cell>
          <cell r="K552" t="str">
            <v>142.06048.81.5</v>
          </cell>
          <cell r="L552" t="str">
            <v>Salário Mensal</v>
          </cell>
          <cell r="M552" t="str">
            <v>Empregado (CLT)</v>
          </cell>
        </row>
        <row r="553">
          <cell r="D553" t="str">
            <v>ECOSAMPA Campo Limpo</v>
          </cell>
          <cell r="E553">
            <v>43617</v>
          </cell>
          <cell r="F553">
            <v>1603.99</v>
          </cell>
          <cell r="G553" t="str">
            <v>Demitido em Meses Anteriores</v>
          </cell>
          <cell r="H553">
            <v>44966</v>
          </cell>
          <cell r="I553">
            <v>36261</v>
          </cell>
          <cell r="J553" t="str">
            <v>501.221.418-81</v>
          </cell>
          <cell r="K553" t="str">
            <v>154.49550.83.2</v>
          </cell>
          <cell r="L553" t="str">
            <v>Salário Mensal</v>
          </cell>
          <cell r="M553" t="str">
            <v>Empregado (CLT)</v>
          </cell>
        </row>
        <row r="554">
          <cell r="D554" t="str">
            <v>ECOSAMPA Operação Geral</v>
          </cell>
          <cell r="E554">
            <v>45098</v>
          </cell>
          <cell r="F554">
            <v>3050.22</v>
          </cell>
          <cell r="G554" t="str">
            <v>Em Atividade Normal</v>
          </cell>
          <cell r="H554">
            <v>45098</v>
          </cell>
          <cell r="I554">
            <v>31441</v>
          </cell>
          <cell r="J554" t="str">
            <v>086.889.186-00</v>
          </cell>
          <cell r="K554" t="str">
            <v>160.09215.83.9</v>
          </cell>
          <cell r="L554" t="str">
            <v>Salário Mensal</v>
          </cell>
          <cell r="M554" t="str">
            <v>Empregado (CLT)</v>
          </cell>
        </row>
        <row r="555">
          <cell r="D555" t="str">
            <v>ECOSAMPA Santo Amaro</v>
          </cell>
          <cell r="E555">
            <v>43617</v>
          </cell>
          <cell r="F555">
            <v>1281.23</v>
          </cell>
          <cell r="G555" t="str">
            <v>Demitido em Meses Anteriores</v>
          </cell>
          <cell r="H555">
            <v>43864</v>
          </cell>
          <cell r="I555">
            <v>35875</v>
          </cell>
          <cell r="J555" t="str">
            <v>130.820.216-46</v>
          </cell>
          <cell r="K555" t="str">
            <v>212.84454.48.9</v>
          </cell>
          <cell r="L555" t="str">
            <v>Salário Mensal</v>
          </cell>
          <cell r="M555" t="str">
            <v>Empregado (CLT)</v>
          </cell>
        </row>
        <row r="556">
          <cell r="D556" t="str">
            <v>ECOSAMPA Operação Geral</v>
          </cell>
          <cell r="E556">
            <v>44235</v>
          </cell>
          <cell r="F556">
            <v>3050.22</v>
          </cell>
          <cell r="G556" t="str">
            <v>Em Atividade Normal</v>
          </cell>
          <cell r="H556">
            <v>45086</v>
          </cell>
          <cell r="I556">
            <v>32062</v>
          </cell>
          <cell r="J556" t="str">
            <v>229.940.608-50</v>
          </cell>
          <cell r="K556" t="str">
            <v>132.76340.81.9</v>
          </cell>
          <cell r="L556" t="str">
            <v>Salário Mensal</v>
          </cell>
          <cell r="M556" t="str">
            <v>Empregado (CLT)</v>
          </cell>
        </row>
        <row r="557">
          <cell r="D557" t="str">
            <v>ECOSAMPA Santo Amaro</v>
          </cell>
          <cell r="E557">
            <v>44273</v>
          </cell>
          <cell r="F557">
            <v>1603.99</v>
          </cell>
          <cell r="G557" t="str">
            <v>Em Atividade Normal</v>
          </cell>
          <cell r="H557">
            <v>45198</v>
          </cell>
          <cell r="I557">
            <v>31590</v>
          </cell>
          <cell r="J557" t="str">
            <v>369.392.738-32</v>
          </cell>
          <cell r="K557" t="str">
            <v>133.98487.77.6</v>
          </cell>
          <cell r="L557" t="str">
            <v>Salário Mensal</v>
          </cell>
          <cell r="M557" t="str">
            <v>Empregado (CLT)</v>
          </cell>
        </row>
        <row r="558">
          <cell r="D558" t="str">
            <v>ECOSAMPA Santo Amaro</v>
          </cell>
          <cell r="E558">
            <v>43874</v>
          </cell>
          <cell r="F558">
            <v>1464.83</v>
          </cell>
          <cell r="G558" t="str">
            <v>Demitido em Meses Anteriores</v>
          </cell>
          <cell r="H558">
            <v>44694</v>
          </cell>
          <cell r="I558">
            <v>33749</v>
          </cell>
          <cell r="J558" t="str">
            <v>414.255.998-26</v>
          </cell>
          <cell r="K558" t="str">
            <v>210.73039.43.0</v>
          </cell>
          <cell r="L558" t="str">
            <v>Salário Mensal</v>
          </cell>
          <cell r="M558" t="str">
            <v>Empregado (CLT)</v>
          </cell>
        </row>
        <row r="559">
          <cell r="D559" t="str">
            <v>ECOSAMPA Operação Geral</v>
          </cell>
          <cell r="E559">
            <v>43617</v>
          </cell>
          <cell r="F559">
            <v>1603.99</v>
          </cell>
          <cell r="G559" t="str">
            <v>Em Atividade Normal</v>
          </cell>
          <cell r="H559">
            <v>45056</v>
          </cell>
          <cell r="I559">
            <v>21824</v>
          </cell>
          <cell r="J559" t="str">
            <v>053.788.798-92</v>
          </cell>
          <cell r="K559" t="str">
            <v>121.13202.71.0</v>
          </cell>
          <cell r="L559" t="str">
            <v>Salário Mensal</v>
          </cell>
          <cell r="M559" t="str">
            <v>Empregado (CLT)</v>
          </cell>
        </row>
        <row r="560">
          <cell r="D560" t="str">
            <v>ECOSAMPA Santo Amaro</v>
          </cell>
          <cell r="E560">
            <v>43617</v>
          </cell>
          <cell r="F560">
            <v>1281.23</v>
          </cell>
          <cell r="G560" t="str">
            <v>Demitido em Meses Anteriores</v>
          </cell>
          <cell r="H560">
            <v>43770</v>
          </cell>
          <cell r="I560">
            <v>16934</v>
          </cell>
          <cell r="J560" t="str">
            <v>815.624.468-00</v>
          </cell>
          <cell r="K560" t="str">
            <v>104.24747.93.3</v>
          </cell>
          <cell r="L560" t="str">
            <v>Salário Mensal</v>
          </cell>
          <cell r="M560" t="str">
            <v>Empregado (CLT)</v>
          </cell>
        </row>
        <row r="561">
          <cell r="D561" t="str">
            <v>ECOSAMPA Capela do Socorro</v>
          </cell>
          <cell r="E561">
            <v>43617</v>
          </cell>
          <cell r="F561">
            <v>1603.99</v>
          </cell>
          <cell r="G561" t="str">
            <v>Em Atividade Normal</v>
          </cell>
          <cell r="H561">
            <v>45149</v>
          </cell>
          <cell r="I561">
            <v>24077</v>
          </cell>
          <cell r="J561" t="str">
            <v>606.924.306-44</v>
          </cell>
          <cell r="K561" t="str">
            <v>122.91569.44.0</v>
          </cell>
          <cell r="L561" t="str">
            <v>Salário Mensal</v>
          </cell>
          <cell r="M561" t="str">
            <v>Empregado (CLT)</v>
          </cell>
        </row>
        <row r="562">
          <cell r="D562" t="str">
            <v>ECOSAMPA Operação Geral</v>
          </cell>
          <cell r="E562">
            <v>43617</v>
          </cell>
          <cell r="F562">
            <v>1281.23</v>
          </cell>
          <cell r="G562" t="str">
            <v>Demitido em Meses Anteriores</v>
          </cell>
          <cell r="H562">
            <v>43895</v>
          </cell>
          <cell r="I562">
            <v>31171</v>
          </cell>
          <cell r="J562" t="str">
            <v>023.150.885-93</v>
          </cell>
          <cell r="K562" t="str">
            <v>201.19883.99.0</v>
          </cell>
          <cell r="L562" t="str">
            <v>Salário Mensal</v>
          </cell>
          <cell r="M562" t="str">
            <v>Empregado (CLT)</v>
          </cell>
        </row>
        <row r="563">
          <cell r="D563" t="str">
            <v>ECOSAMPA Operação Geral</v>
          </cell>
          <cell r="E563">
            <v>43617</v>
          </cell>
          <cell r="F563">
            <v>3050.22</v>
          </cell>
          <cell r="G563" t="str">
            <v>Em Atividade Normal</v>
          </cell>
          <cell r="H563">
            <v>44960</v>
          </cell>
          <cell r="I563">
            <v>30178</v>
          </cell>
          <cell r="J563" t="str">
            <v>225.328.138-73</v>
          </cell>
          <cell r="K563" t="str">
            <v>131.07719.81.0</v>
          </cell>
          <cell r="L563" t="str">
            <v>Salário Mensal</v>
          </cell>
          <cell r="M563" t="str">
            <v>Empregado (CLT)</v>
          </cell>
        </row>
        <row r="564">
          <cell r="D564" t="str">
            <v>ECOSAMPA M'Boi Mirim</v>
          </cell>
          <cell r="E564">
            <v>43617</v>
          </cell>
          <cell r="F564">
            <v>1603.99</v>
          </cell>
          <cell r="G564" t="str">
            <v>Gozando Férias</v>
          </cell>
          <cell r="H564">
            <v>45180</v>
          </cell>
          <cell r="I564">
            <v>33152</v>
          </cell>
          <cell r="J564" t="str">
            <v>422.469.858-70</v>
          </cell>
          <cell r="K564" t="str">
            <v>202.10252.62.0</v>
          </cell>
          <cell r="L564" t="str">
            <v>Salário Mensal</v>
          </cell>
          <cell r="M564" t="str">
            <v>Empregado (CLT)</v>
          </cell>
        </row>
        <row r="565">
          <cell r="D565" t="str">
            <v>ECOSAMPA Campo Limpo</v>
          </cell>
          <cell r="E565">
            <v>44419</v>
          </cell>
          <cell r="F565">
            <v>1603.99</v>
          </cell>
          <cell r="G565" t="str">
            <v>Em Atividade Normal</v>
          </cell>
          <cell r="H565">
            <v>45086</v>
          </cell>
          <cell r="I565">
            <v>24329</v>
          </cell>
          <cell r="J565" t="str">
            <v>061.444.008-42</v>
          </cell>
          <cell r="K565" t="str">
            <v>108.99478.45.7</v>
          </cell>
          <cell r="L565" t="str">
            <v>Salário Mensal</v>
          </cell>
          <cell r="M565" t="str">
            <v>Empregado (CLT)</v>
          </cell>
        </row>
        <row r="566">
          <cell r="D566" t="str">
            <v>ECOSAMPA Administração</v>
          </cell>
          <cell r="E566">
            <v>43619</v>
          </cell>
          <cell r="F566">
            <v>6541.55</v>
          </cell>
          <cell r="G566" t="str">
            <v>Em Atividade Normal</v>
          </cell>
          <cell r="H566">
            <v>45013</v>
          </cell>
          <cell r="I566">
            <v>29014</v>
          </cell>
          <cell r="J566" t="str">
            <v>275.287.698-00</v>
          </cell>
          <cell r="K566" t="str">
            <v>129.63468.85.9</v>
          </cell>
          <cell r="L566" t="str">
            <v>Salário Mensal</v>
          </cell>
          <cell r="M566" t="str">
            <v>Empregado (CLT)</v>
          </cell>
        </row>
        <row r="567">
          <cell r="D567" t="str">
            <v>ECOSAMPA Operação Geral</v>
          </cell>
          <cell r="E567">
            <v>43617</v>
          </cell>
          <cell r="F567">
            <v>1281.23</v>
          </cell>
          <cell r="G567" t="str">
            <v>Demitido em Meses Anteriores</v>
          </cell>
          <cell r="H567">
            <v>43896</v>
          </cell>
          <cell r="I567">
            <v>30296</v>
          </cell>
          <cell r="J567" t="str">
            <v>341.386.608-79</v>
          </cell>
          <cell r="K567" t="str">
            <v>161.16791.76.0</v>
          </cell>
          <cell r="L567" t="str">
            <v>Salário Mensal</v>
          </cell>
          <cell r="M567" t="str">
            <v>Empregado (CLT)</v>
          </cell>
        </row>
        <row r="568">
          <cell r="D568" t="str">
            <v>ECOSAMPA Pensionistas</v>
          </cell>
          <cell r="E568">
            <v>44705</v>
          </cell>
          <cell r="F568">
            <v>0.01</v>
          </cell>
          <cell r="G568" t="str">
            <v>Em Atividade Normal</v>
          </cell>
          <cell r="H568">
            <v>44705</v>
          </cell>
          <cell r="J568" t="str">
            <v>324.748.598-88</v>
          </cell>
          <cell r="L568" t="str">
            <v>Nenhuma</v>
          </cell>
          <cell r="M568" t="str">
            <v>Pensionista</v>
          </cell>
        </row>
        <row r="569">
          <cell r="D569" t="str">
            <v>ECOSAMPA Operação Geral</v>
          </cell>
          <cell r="E569">
            <v>43620</v>
          </cell>
          <cell r="F569">
            <v>3050.22</v>
          </cell>
          <cell r="G569" t="str">
            <v>Em Atividade Normal</v>
          </cell>
          <cell r="H569">
            <v>45149</v>
          </cell>
          <cell r="I569">
            <v>26034</v>
          </cell>
          <cell r="J569" t="str">
            <v>640.978.385-04</v>
          </cell>
          <cell r="K569" t="str">
            <v>123.93640.68.3</v>
          </cell>
          <cell r="L569" t="str">
            <v>Salário Mensal</v>
          </cell>
          <cell r="M569" t="str">
            <v>Empregado (CLT)</v>
          </cell>
        </row>
        <row r="570">
          <cell r="D570" t="str">
            <v>ECOSAMPA M'Boi Mirim</v>
          </cell>
          <cell r="E570">
            <v>43617</v>
          </cell>
          <cell r="F570">
            <v>1603.99</v>
          </cell>
          <cell r="G570" t="str">
            <v>Gozando Férias</v>
          </cell>
          <cell r="H570">
            <v>45180</v>
          </cell>
          <cell r="I570">
            <v>24116</v>
          </cell>
          <cell r="J570" t="str">
            <v>359.139.755-53</v>
          </cell>
          <cell r="K570" t="str">
            <v>121.50300.63.1</v>
          </cell>
          <cell r="L570" t="str">
            <v>Salário Mensal</v>
          </cell>
          <cell r="M570" t="str">
            <v>Empregado (CLT)</v>
          </cell>
        </row>
        <row r="571">
          <cell r="D571" t="str">
            <v>ECOSAMPA M'Boi Mirim</v>
          </cell>
          <cell r="E571">
            <v>43617</v>
          </cell>
          <cell r="F571">
            <v>1603.99</v>
          </cell>
          <cell r="G571" t="str">
            <v>Gozando Férias</v>
          </cell>
          <cell r="H571">
            <v>45180</v>
          </cell>
          <cell r="I571">
            <v>23224</v>
          </cell>
          <cell r="J571" t="str">
            <v>083.144.278-61</v>
          </cell>
          <cell r="K571" t="str">
            <v>108.32581.59.0</v>
          </cell>
          <cell r="L571" t="str">
            <v>Salário Mensal</v>
          </cell>
          <cell r="M571" t="str">
            <v>Empregado (CLT)</v>
          </cell>
        </row>
        <row r="572">
          <cell r="D572" t="str">
            <v>ECOSAMPA Capela do Socorro</v>
          </cell>
          <cell r="E572">
            <v>43617</v>
          </cell>
          <cell r="F572">
            <v>1603.99</v>
          </cell>
          <cell r="G572" t="str">
            <v>Gozando Férias</v>
          </cell>
          <cell r="H572">
            <v>45180</v>
          </cell>
          <cell r="I572">
            <v>28260</v>
          </cell>
          <cell r="J572" t="str">
            <v>001.195.105-29</v>
          </cell>
          <cell r="K572" t="str">
            <v>134.43815.85.4</v>
          </cell>
          <cell r="L572" t="str">
            <v>Salário Mensal</v>
          </cell>
          <cell r="M572" t="str">
            <v>Empregado (CLT)</v>
          </cell>
        </row>
        <row r="573">
          <cell r="D573" t="str">
            <v>ECOSAMPA Operação Geral</v>
          </cell>
          <cell r="E573">
            <v>44508</v>
          </cell>
          <cell r="F573">
            <v>3050.22</v>
          </cell>
          <cell r="G573" t="str">
            <v>Em Atividade Normal</v>
          </cell>
          <cell r="H573">
            <v>44930</v>
          </cell>
          <cell r="I573">
            <v>25839</v>
          </cell>
          <cell r="J573" t="str">
            <v>148.914.198-73</v>
          </cell>
          <cell r="K573" t="str">
            <v>123.32276.87.6</v>
          </cell>
          <cell r="L573" t="str">
            <v>Salário Mensal</v>
          </cell>
          <cell r="M573" t="str">
            <v>Empregado (CLT)</v>
          </cell>
        </row>
        <row r="574">
          <cell r="D574" t="str">
            <v>ECOSAMPA Campo Limpo</v>
          </cell>
          <cell r="E574">
            <v>44994</v>
          </cell>
          <cell r="F574">
            <v>1603.99</v>
          </cell>
          <cell r="G574" t="str">
            <v>Em Atividade Normal</v>
          </cell>
          <cell r="H574">
            <v>44994</v>
          </cell>
          <cell r="I574">
            <v>25038</v>
          </cell>
          <cell r="J574" t="str">
            <v>125.249.068-25</v>
          </cell>
          <cell r="K574" t="str">
            <v>123.29416.53.0</v>
          </cell>
          <cell r="L574" t="str">
            <v>Salário Mensal</v>
          </cell>
          <cell r="M574" t="str">
            <v>Empregado (CLT)</v>
          </cell>
        </row>
        <row r="575">
          <cell r="D575" t="str">
            <v>ECOSAMPA Santo Amaro</v>
          </cell>
          <cell r="E575">
            <v>44725</v>
          </cell>
          <cell r="F575">
            <v>1603.99</v>
          </cell>
          <cell r="G575" t="str">
            <v>Em Atividade Normal</v>
          </cell>
          <cell r="H575">
            <v>44725</v>
          </cell>
          <cell r="I575">
            <v>24850</v>
          </cell>
          <cell r="J575" t="str">
            <v>670.925.869-68</v>
          </cell>
          <cell r="K575" t="str">
            <v>123.08362.24.5</v>
          </cell>
          <cell r="L575" t="str">
            <v>Salário Mensal</v>
          </cell>
          <cell r="M575" t="str">
            <v>Empregado (CLT)</v>
          </cell>
        </row>
        <row r="576">
          <cell r="D576" t="str">
            <v>ECOSAMPA Santo Amaro</v>
          </cell>
          <cell r="E576">
            <v>44273</v>
          </cell>
          <cell r="F576">
            <v>1603.99</v>
          </cell>
          <cell r="G576" t="str">
            <v>Gozando Férias</v>
          </cell>
          <cell r="H576">
            <v>45180</v>
          </cell>
          <cell r="I576">
            <v>36402</v>
          </cell>
          <cell r="J576" t="str">
            <v>503.573.788-81</v>
          </cell>
          <cell r="K576" t="str">
            <v>161.35034.98.8</v>
          </cell>
          <cell r="L576" t="str">
            <v>Salário Mensal</v>
          </cell>
          <cell r="M576" t="str">
            <v>Empregado (CLT)</v>
          </cell>
        </row>
        <row r="577">
          <cell r="D577" t="str">
            <v>ECOSAMPA M'Boi Mirim</v>
          </cell>
          <cell r="E577">
            <v>43617</v>
          </cell>
          <cell r="F577">
            <v>1281.23</v>
          </cell>
          <cell r="G577" t="str">
            <v>Demitido em Meses Anteriores</v>
          </cell>
          <cell r="H577">
            <v>43803</v>
          </cell>
          <cell r="I577">
            <v>34617</v>
          </cell>
          <cell r="J577" t="str">
            <v>440.529.728-21</v>
          </cell>
          <cell r="K577" t="str">
            <v>161.14339.60.7</v>
          </cell>
          <cell r="L577" t="str">
            <v>Salário Mensal</v>
          </cell>
          <cell r="M577" t="str">
            <v>Empregado (CLT)</v>
          </cell>
        </row>
        <row r="578">
          <cell r="D578" t="str">
            <v>ECOSAMPA Campo Limpo</v>
          </cell>
          <cell r="E578">
            <v>43617</v>
          </cell>
          <cell r="F578">
            <v>1231.95</v>
          </cell>
          <cell r="G578" t="str">
            <v>Demitido em Meses Anteriores</v>
          </cell>
          <cell r="H578">
            <v>43710</v>
          </cell>
          <cell r="I578">
            <v>35907</v>
          </cell>
          <cell r="J578" t="str">
            <v>475.802.458-84</v>
          </cell>
          <cell r="K578" t="str">
            <v>237.05583.59.6</v>
          </cell>
          <cell r="L578" t="str">
            <v>Salário Mensal</v>
          </cell>
          <cell r="M578" t="str">
            <v>Empregado (CLT)</v>
          </cell>
        </row>
        <row r="579">
          <cell r="D579" t="str">
            <v>ECOSAMPA Campo Limpo</v>
          </cell>
          <cell r="E579">
            <v>43617</v>
          </cell>
          <cell r="F579">
            <v>2610.2399999999998</v>
          </cell>
          <cell r="G579" t="str">
            <v>Em Atividade Normal</v>
          </cell>
          <cell r="H579">
            <v>45119</v>
          </cell>
          <cell r="I579">
            <v>34662</v>
          </cell>
          <cell r="J579" t="str">
            <v>439.838.018-38</v>
          </cell>
          <cell r="K579" t="str">
            <v>207.80053.41.3</v>
          </cell>
          <cell r="L579" t="str">
            <v>Salário Mensal</v>
          </cell>
          <cell r="M579" t="str">
            <v>Empregado (CLT)</v>
          </cell>
        </row>
        <row r="580">
          <cell r="D580" t="str">
            <v>ECOSAMPA Santo Amaro</v>
          </cell>
          <cell r="E580">
            <v>44046</v>
          </cell>
          <cell r="F580">
            <v>1464.83</v>
          </cell>
          <cell r="G580" t="str">
            <v>Demitido em Meses Anteriores</v>
          </cell>
          <cell r="H580">
            <v>44694</v>
          </cell>
          <cell r="I580">
            <v>34320</v>
          </cell>
          <cell r="J580" t="str">
            <v>414.071.888-95</v>
          </cell>
          <cell r="K580" t="str">
            <v>210.71925.60.3</v>
          </cell>
          <cell r="L580" t="str">
            <v>Salário Mensal</v>
          </cell>
          <cell r="M580" t="str">
            <v>Empregado (CLT)</v>
          </cell>
        </row>
        <row r="581">
          <cell r="D581" t="str">
            <v>ECOSAMPA Pensionistas</v>
          </cell>
          <cell r="E581">
            <v>44855</v>
          </cell>
          <cell r="F581">
            <v>0.01</v>
          </cell>
          <cell r="G581" t="str">
            <v>Em Atividade Normal</v>
          </cell>
          <cell r="H581">
            <v>44855</v>
          </cell>
          <cell r="J581" t="str">
            <v>781.262.156-15</v>
          </cell>
          <cell r="L581" t="str">
            <v>Nenhuma</v>
          </cell>
          <cell r="M581" t="str">
            <v>Pensionista</v>
          </cell>
        </row>
        <row r="582">
          <cell r="D582" t="str">
            <v>ECOSAMPA Campo Limpo</v>
          </cell>
          <cell r="E582">
            <v>43617</v>
          </cell>
          <cell r="F582">
            <v>1603.99</v>
          </cell>
          <cell r="G582" t="str">
            <v>Em Atividade Normal</v>
          </cell>
          <cell r="H582">
            <v>44960</v>
          </cell>
          <cell r="I582">
            <v>26853</v>
          </cell>
          <cell r="J582" t="str">
            <v>279.259.408-08</v>
          </cell>
          <cell r="K582" t="str">
            <v>126.53861.89.7</v>
          </cell>
          <cell r="L582" t="str">
            <v>Salário Mensal</v>
          </cell>
          <cell r="M582" t="str">
            <v>Empregado (CLT)</v>
          </cell>
        </row>
        <row r="583">
          <cell r="D583" t="str">
            <v>ECOSAMPA Capela do Socorro</v>
          </cell>
          <cell r="E583">
            <v>43617</v>
          </cell>
          <cell r="F583">
            <v>6154.04</v>
          </cell>
          <cell r="G583" t="str">
            <v>Em Atividade Normal</v>
          </cell>
          <cell r="H583">
            <v>45119</v>
          </cell>
          <cell r="I583">
            <v>26892</v>
          </cell>
          <cell r="J583" t="str">
            <v>183.034.578-88</v>
          </cell>
          <cell r="K583" t="str">
            <v>123.29241.73.0</v>
          </cell>
          <cell r="L583" t="str">
            <v>Salário Mensal</v>
          </cell>
          <cell r="M583" t="str">
            <v>Empregado (CLT)</v>
          </cell>
        </row>
        <row r="584">
          <cell r="D584" t="str">
            <v>ECOSAMPA Campo Limpo</v>
          </cell>
          <cell r="E584">
            <v>43617</v>
          </cell>
          <cell r="F584">
            <v>1231.95</v>
          </cell>
          <cell r="G584" t="str">
            <v>Demitido em Meses Anteriores</v>
          </cell>
          <cell r="H584">
            <v>43685</v>
          </cell>
          <cell r="I584">
            <v>32845</v>
          </cell>
          <cell r="J584" t="str">
            <v>401.135.898-32</v>
          </cell>
          <cell r="K584" t="str">
            <v>160.08472.41.2</v>
          </cell>
          <cell r="L584" t="str">
            <v>Salário Mensal</v>
          </cell>
          <cell r="M584" t="str">
            <v>Empregado (CLT)</v>
          </cell>
        </row>
        <row r="585">
          <cell r="D585" t="str">
            <v>ECOSAMPA Operação Geral</v>
          </cell>
          <cell r="E585">
            <v>43617</v>
          </cell>
          <cell r="F585">
            <v>3050.22</v>
          </cell>
          <cell r="G585" t="str">
            <v>Em Atividade Normal</v>
          </cell>
          <cell r="H585">
            <v>44990</v>
          </cell>
          <cell r="I585">
            <v>34529</v>
          </cell>
          <cell r="J585" t="str">
            <v>420.971.988-99</v>
          </cell>
          <cell r="K585" t="str">
            <v>236.34287.25.6</v>
          </cell>
          <cell r="L585" t="str">
            <v>Salário Mensal</v>
          </cell>
          <cell r="M585" t="str">
            <v>Empregado (CLT)</v>
          </cell>
        </row>
        <row r="586">
          <cell r="D586" t="str">
            <v>ECOSAMPA Campo Limpo</v>
          </cell>
          <cell r="E586">
            <v>43617</v>
          </cell>
          <cell r="F586">
            <v>1603.99</v>
          </cell>
          <cell r="G586" t="str">
            <v>Gozando Férias</v>
          </cell>
          <cell r="H586">
            <v>45180</v>
          </cell>
          <cell r="I586">
            <v>29777</v>
          </cell>
          <cell r="J586" t="str">
            <v>338.247.538-39</v>
          </cell>
          <cell r="K586" t="str">
            <v>132.90841.85.4</v>
          </cell>
          <cell r="L586" t="str">
            <v>Salário Mensal</v>
          </cell>
          <cell r="M586" t="str">
            <v>Empregado (CLT)</v>
          </cell>
        </row>
        <row r="587">
          <cell r="D587" t="str">
            <v>ECOSAMPA Capela do Socorro</v>
          </cell>
          <cell r="E587">
            <v>43617</v>
          </cell>
          <cell r="F587">
            <v>1523.89</v>
          </cell>
          <cell r="G587" t="str">
            <v>Demitido em Meses Anteriores</v>
          </cell>
          <cell r="H587">
            <v>44039</v>
          </cell>
          <cell r="I587">
            <v>34285</v>
          </cell>
          <cell r="J587" t="str">
            <v>407.336.088-41</v>
          </cell>
          <cell r="K587" t="str">
            <v>209.79560.03.3</v>
          </cell>
          <cell r="L587" t="str">
            <v>Salário Mensal</v>
          </cell>
          <cell r="M587" t="str">
            <v>Empregado (CLT)</v>
          </cell>
        </row>
        <row r="588">
          <cell r="D588" t="str">
            <v>ECOSAMPA Santo Amaro</v>
          </cell>
          <cell r="E588">
            <v>43617</v>
          </cell>
          <cell r="F588">
            <v>1281.23</v>
          </cell>
          <cell r="G588" t="str">
            <v>Demitido em Meses Anteriores</v>
          </cell>
          <cell r="H588">
            <v>43808</v>
          </cell>
          <cell r="I588">
            <v>20983</v>
          </cell>
          <cell r="J588" t="str">
            <v>419.513.524-91</v>
          </cell>
          <cell r="K588" t="str">
            <v>124.32725.98.2</v>
          </cell>
          <cell r="L588" t="str">
            <v>Salário Mensal</v>
          </cell>
          <cell r="M588" t="str">
            <v>Empregado (CLT)</v>
          </cell>
        </row>
        <row r="589">
          <cell r="D589" t="str">
            <v>ECOSAMPA Operação Geral</v>
          </cell>
          <cell r="E589">
            <v>43617</v>
          </cell>
          <cell r="F589">
            <v>3050.22</v>
          </cell>
          <cell r="G589" t="str">
            <v>Em Atividade Normal</v>
          </cell>
          <cell r="H589">
            <v>45149</v>
          </cell>
          <cell r="I589">
            <v>29588</v>
          </cell>
          <cell r="J589" t="str">
            <v>296.695.548-10</v>
          </cell>
          <cell r="K589" t="str">
            <v>127.88653.07.9</v>
          </cell>
          <cell r="L589" t="str">
            <v>Salário Mensal</v>
          </cell>
          <cell r="M589" t="str">
            <v>Empregado (CLT)</v>
          </cell>
        </row>
        <row r="590">
          <cell r="D590" t="str">
            <v>ECOSAMPA Operação Geral</v>
          </cell>
          <cell r="E590">
            <v>43617</v>
          </cell>
          <cell r="F590">
            <v>2509.54</v>
          </cell>
          <cell r="G590" t="str">
            <v>Demitido em Meses Anteriores</v>
          </cell>
          <cell r="H590">
            <v>44361</v>
          </cell>
          <cell r="I590">
            <v>25099</v>
          </cell>
          <cell r="J590" t="str">
            <v>554.652.855-91</v>
          </cell>
          <cell r="K590" t="str">
            <v>124.03032.93.1</v>
          </cell>
          <cell r="L590" t="str">
            <v>Salário Mensal</v>
          </cell>
          <cell r="M590" t="str">
            <v>Empregado (CLT)</v>
          </cell>
        </row>
        <row r="591">
          <cell r="D591" t="str">
            <v>ECOSAMPA Santo Amaro</v>
          </cell>
          <cell r="E591">
            <v>43619</v>
          </cell>
          <cell r="F591">
            <v>1603.99</v>
          </cell>
          <cell r="G591" t="str">
            <v>Em Atividade Normal</v>
          </cell>
          <cell r="H591">
            <v>45056</v>
          </cell>
          <cell r="I591">
            <v>28641</v>
          </cell>
          <cell r="J591" t="str">
            <v>305.800.768-06</v>
          </cell>
          <cell r="K591" t="str">
            <v>130.68976.77.3</v>
          </cell>
          <cell r="L591" t="str">
            <v>Salário Mensal</v>
          </cell>
          <cell r="M591" t="str">
            <v>Empregado (CLT)</v>
          </cell>
        </row>
        <row r="592">
          <cell r="D592" t="str">
            <v>ECOSAMPA Campo Limpo</v>
          </cell>
          <cell r="E592">
            <v>43617</v>
          </cell>
          <cell r="F592">
            <v>1907.79</v>
          </cell>
          <cell r="G592" t="str">
            <v>Em Atividade Normal</v>
          </cell>
          <cell r="H592">
            <v>45177</v>
          </cell>
          <cell r="I592">
            <v>29320</v>
          </cell>
          <cell r="J592" t="str">
            <v>297.028.778-14</v>
          </cell>
          <cell r="K592" t="str">
            <v>128.70055.89.9</v>
          </cell>
          <cell r="L592" t="str">
            <v>Salário Mensal</v>
          </cell>
          <cell r="M592" t="str">
            <v>Empregado (CLT)</v>
          </cell>
        </row>
        <row r="593">
          <cell r="D593" t="str">
            <v>ECOSAMPA Operação Geral</v>
          </cell>
          <cell r="E593">
            <v>43811</v>
          </cell>
          <cell r="F593">
            <v>1281.23</v>
          </cell>
          <cell r="G593" t="str">
            <v>Demitido em Meses Anteriores</v>
          </cell>
          <cell r="H593">
            <v>43871</v>
          </cell>
          <cell r="I593">
            <v>24199</v>
          </cell>
          <cell r="J593" t="str">
            <v>084.792.698-20</v>
          </cell>
          <cell r="K593" t="str">
            <v>122.35997.44.0</v>
          </cell>
          <cell r="L593" t="str">
            <v>Salário Mensal</v>
          </cell>
          <cell r="M593" t="str">
            <v>Empregado (CLT)</v>
          </cell>
        </row>
        <row r="594">
          <cell r="D594" t="str">
            <v>ECOSAMPA Operação Geral</v>
          </cell>
          <cell r="E594">
            <v>43617</v>
          </cell>
          <cell r="F594">
            <v>3050.22</v>
          </cell>
          <cell r="G594" t="str">
            <v>Em Atividade Normal</v>
          </cell>
          <cell r="H594">
            <v>45023</v>
          </cell>
          <cell r="I594">
            <v>28325</v>
          </cell>
          <cell r="J594" t="str">
            <v>026.717.474-89</v>
          </cell>
          <cell r="K594" t="str">
            <v>128.24623.93.6</v>
          </cell>
          <cell r="L594" t="str">
            <v>Salário Mensal</v>
          </cell>
          <cell r="M594" t="str">
            <v>Empregado (CLT)</v>
          </cell>
        </row>
        <row r="595">
          <cell r="D595" t="str">
            <v>ECOSAMPA Operação Geral</v>
          </cell>
          <cell r="E595">
            <v>43617</v>
          </cell>
          <cell r="F595">
            <v>3050.22</v>
          </cell>
          <cell r="G595" t="str">
            <v>Gozando Férias</v>
          </cell>
          <cell r="H595">
            <v>45180</v>
          </cell>
          <cell r="I595">
            <v>31252</v>
          </cell>
          <cell r="J595" t="str">
            <v>346.421.548-25</v>
          </cell>
          <cell r="K595" t="str">
            <v>134.34562.93.0</v>
          </cell>
          <cell r="L595" t="str">
            <v>Salário Mensal</v>
          </cell>
          <cell r="M595" t="str">
            <v>Empregado (CLT)</v>
          </cell>
        </row>
        <row r="596">
          <cell r="D596" t="str">
            <v>ECOSAMPA Operação Geral</v>
          </cell>
          <cell r="E596">
            <v>43617</v>
          </cell>
          <cell r="F596">
            <v>1281.23</v>
          </cell>
          <cell r="G596" t="str">
            <v>Demitido em Meses Anteriores</v>
          </cell>
          <cell r="H596">
            <v>44053</v>
          </cell>
          <cell r="I596">
            <v>25152</v>
          </cell>
          <cell r="J596" t="str">
            <v>128.703.388-13</v>
          </cell>
          <cell r="K596" t="str">
            <v>123.64785.74.1</v>
          </cell>
          <cell r="L596" t="str">
            <v>Salário Mensal</v>
          </cell>
          <cell r="M596" t="str">
            <v>Empregado (CLT)</v>
          </cell>
        </row>
        <row r="597">
          <cell r="D597" t="str">
            <v>ECOSAMPA Capela do Socorro</v>
          </cell>
          <cell r="E597">
            <v>43617</v>
          </cell>
          <cell r="F597">
            <v>1603.99</v>
          </cell>
          <cell r="G597" t="str">
            <v>Gozando Férias</v>
          </cell>
          <cell r="H597">
            <v>45180</v>
          </cell>
          <cell r="I597">
            <v>27023</v>
          </cell>
          <cell r="J597" t="str">
            <v>958.616.025-49</v>
          </cell>
          <cell r="K597" t="str">
            <v>126.51688.07.1</v>
          </cell>
          <cell r="L597" t="str">
            <v>Salário Mensal</v>
          </cell>
          <cell r="M597" t="str">
            <v>Empregado (CLT)</v>
          </cell>
        </row>
        <row r="598">
          <cell r="D598" t="str">
            <v>ECOSAMPA Santo Amaro</v>
          </cell>
          <cell r="E598">
            <v>44725</v>
          </cell>
          <cell r="F598">
            <v>1464.83</v>
          </cell>
          <cell r="G598" t="str">
            <v>Demitido em Meses Anteriores</v>
          </cell>
          <cell r="H598">
            <v>44834</v>
          </cell>
          <cell r="I598">
            <v>24068</v>
          </cell>
          <cell r="J598" t="str">
            <v>088.304.868-09</v>
          </cell>
          <cell r="K598" t="str">
            <v>122.14169.90.5</v>
          </cell>
          <cell r="L598" t="str">
            <v>Salário Mensal</v>
          </cell>
          <cell r="M598" t="str">
            <v>Empregado (CLT)</v>
          </cell>
        </row>
        <row r="599">
          <cell r="D599" t="str">
            <v>ECOSAMPA Capela do Socorro</v>
          </cell>
          <cell r="E599">
            <v>43617</v>
          </cell>
          <cell r="F599">
            <v>1603.99</v>
          </cell>
          <cell r="G599" t="str">
            <v>Gozando Férias</v>
          </cell>
          <cell r="H599">
            <v>45180</v>
          </cell>
          <cell r="I599">
            <v>26704</v>
          </cell>
          <cell r="J599" t="str">
            <v>164.162.118-40</v>
          </cell>
          <cell r="K599" t="str">
            <v>124.02053.22.6</v>
          </cell>
          <cell r="L599" t="str">
            <v>Salário Mensal</v>
          </cell>
          <cell r="M599" t="str">
            <v>Empregado (CLT)</v>
          </cell>
        </row>
        <row r="600">
          <cell r="D600" t="str">
            <v>ECOSAMPA Operação Geral</v>
          </cell>
          <cell r="E600">
            <v>43617</v>
          </cell>
          <cell r="F600">
            <v>3050.22</v>
          </cell>
          <cell r="G600" t="str">
            <v>Em Atividade Normal</v>
          </cell>
          <cell r="H600">
            <v>44960</v>
          </cell>
          <cell r="I600">
            <v>27798</v>
          </cell>
          <cell r="J600" t="str">
            <v>021.473.584-28</v>
          </cell>
          <cell r="K600" t="str">
            <v>125.47147.08.6</v>
          </cell>
          <cell r="L600" t="str">
            <v>Salário Mensal</v>
          </cell>
          <cell r="M600" t="str">
            <v>Empregado (CLT)</v>
          </cell>
        </row>
        <row r="601">
          <cell r="D601" t="str">
            <v>ECOSAMPA Santo Amaro</v>
          </cell>
          <cell r="E601">
            <v>43617</v>
          </cell>
          <cell r="F601">
            <v>1603.99</v>
          </cell>
          <cell r="G601" t="str">
            <v>Em Atividade Normal</v>
          </cell>
          <cell r="H601">
            <v>45056</v>
          </cell>
          <cell r="I601">
            <v>28186</v>
          </cell>
          <cell r="J601" t="str">
            <v>189.659.758-08</v>
          </cell>
          <cell r="K601" t="str">
            <v>125.80507.93.2</v>
          </cell>
          <cell r="L601" t="str">
            <v>Salário Mensal</v>
          </cell>
          <cell r="M601" t="str">
            <v>Empregado (CLT)</v>
          </cell>
        </row>
        <row r="602">
          <cell r="D602" t="str">
            <v>ECOSAMPA Operação Geral</v>
          </cell>
          <cell r="E602">
            <v>43617</v>
          </cell>
          <cell r="F602">
            <v>3050.22</v>
          </cell>
          <cell r="G602" t="str">
            <v>Em Atividade Normal</v>
          </cell>
          <cell r="H602">
            <v>45096</v>
          </cell>
          <cell r="I602">
            <v>24110</v>
          </cell>
          <cell r="J602" t="str">
            <v>083.951.468-92</v>
          </cell>
          <cell r="K602" t="str">
            <v>120.20656.93.2</v>
          </cell>
          <cell r="L602" t="str">
            <v>Salário Mensal</v>
          </cell>
          <cell r="M602" t="str">
            <v>Empregado (CLT)</v>
          </cell>
        </row>
        <row r="603">
          <cell r="D603" t="str">
            <v>ECOSAMPA Operação Geral</v>
          </cell>
          <cell r="E603">
            <v>44725</v>
          </cell>
          <cell r="F603">
            <v>3050.22</v>
          </cell>
          <cell r="G603" t="str">
            <v>Em Atividade Normal</v>
          </cell>
          <cell r="H603">
            <v>44725</v>
          </cell>
          <cell r="I603">
            <v>31317</v>
          </cell>
          <cell r="J603" t="str">
            <v>361.370.708-08</v>
          </cell>
          <cell r="K603" t="str">
            <v>134.42035.93.6</v>
          </cell>
          <cell r="L603" t="str">
            <v>Salário Mensal</v>
          </cell>
          <cell r="M603" t="str">
            <v>Empregado (CLT)</v>
          </cell>
        </row>
        <row r="604">
          <cell r="D604" t="str">
            <v>ECOSAMPA Operação Geral</v>
          </cell>
          <cell r="E604">
            <v>44018</v>
          </cell>
          <cell r="F604">
            <v>1603.99</v>
          </cell>
          <cell r="G604" t="str">
            <v>Em Atividade Normal</v>
          </cell>
          <cell r="H604">
            <v>44806</v>
          </cell>
          <cell r="I604">
            <v>28474</v>
          </cell>
          <cell r="J604" t="str">
            <v>274.060.268-54</v>
          </cell>
          <cell r="K604" t="str">
            <v>201.15141.95.7</v>
          </cell>
          <cell r="L604" t="str">
            <v>Salário Mensal</v>
          </cell>
          <cell r="M604" t="str">
            <v>Empregado (CLT)</v>
          </cell>
        </row>
        <row r="605">
          <cell r="D605" t="str">
            <v>ECOSAMPA Santo Amaro</v>
          </cell>
          <cell r="E605">
            <v>43617</v>
          </cell>
          <cell r="F605">
            <v>1603.99</v>
          </cell>
          <cell r="G605" t="str">
            <v>Em Atividade Normal</v>
          </cell>
          <cell r="H605">
            <v>44930</v>
          </cell>
          <cell r="I605">
            <v>26104</v>
          </cell>
          <cell r="J605" t="str">
            <v>602.720.665-91</v>
          </cell>
          <cell r="K605" t="str">
            <v>131.17444.85.7</v>
          </cell>
          <cell r="L605" t="str">
            <v>Salário Mensal</v>
          </cell>
          <cell r="M605" t="str">
            <v>Empregado (CLT)</v>
          </cell>
        </row>
        <row r="606">
          <cell r="D606" t="str">
            <v>ECOSAMPA M'Boi Mirim</v>
          </cell>
          <cell r="E606">
            <v>43617</v>
          </cell>
          <cell r="F606">
            <v>1603.99</v>
          </cell>
          <cell r="G606" t="str">
            <v>Demitido em Meses Anteriores</v>
          </cell>
          <cell r="H606">
            <v>45026</v>
          </cell>
          <cell r="I606">
            <v>35007</v>
          </cell>
          <cell r="J606" t="str">
            <v>450.807.598-36</v>
          </cell>
          <cell r="K606" t="str">
            <v>140.13050.39.7</v>
          </cell>
          <cell r="L606" t="str">
            <v>Salário Mensal</v>
          </cell>
          <cell r="M606" t="str">
            <v>Empregado (CLT)</v>
          </cell>
        </row>
        <row r="607">
          <cell r="D607" t="str">
            <v>ECOSAMPA Operação Geral</v>
          </cell>
          <cell r="E607">
            <v>43916</v>
          </cell>
          <cell r="F607">
            <v>2436.4499999999998</v>
          </cell>
          <cell r="G607" t="str">
            <v>Demitido em Meses Anteriores</v>
          </cell>
          <cell r="H607">
            <v>43975</v>
          </cell>
          <cell r="I607">
            <v>24752</v>
          </cell>
          <cell r="J607" t="str">
            <v>107.513.268-10</v>
          </cell>
          <cell r="K607" t="str">
            <v>112.42455.09.9</v>
          </cell>
          <cell r="L607" t="str">
            <v>Salário Mensal</v>
          </cell>
          <cell r="M607" t="str">
            <v>Empregado (CLT)</v>
          </cell>
        </row>
        <row r="608">
          <cell r="D608" t="str">
            <v>ECOSAMPA Operação Geral</v>
          </cell>
          <cell r="E608">
            <v>43617</v>
          </cell>
          <cell r="F608">
            <v>1523.89</v>
          </cell>
          <cell r="G608" t="str">
            <v>Demitido em Meses Anteriores</v>
          </cell>
          <cell r="H608">
            <v>43974</v>
          </cell>
          <cell r="I608">
            <v>29046</v>
          </cell>
          <cell r="J608" t="str">
            <v>270.307.148-57</v>
          </cell>
          <cell r="K608" t="str">
            <v>128.07806.89.0</v>
          </cell>
          <cell r="L608" t="str">
            <v>Salário Mensal</v>
          </cell>
          <cell r="M608" t="str">
            <v>Empregado (CLT)</v>
          </cell>
        </row>
        <row r="609">
          <cell r="D609" t="str">
            <v>ECOSAMPA Santo Amaro</v>
          </cell>
          <cell r="E609">
            <v>43811</v>
          </cell>
          <cell r="F609">
            <v>1319.67</v>
          </cell>
          <cell r="G609" t="str">
            <v>Demitido em Meses Anteriores</v>
          </cell>
          <cell r="H609">
            <v>44235</v>
          </cell>
          <cell r="I609">
            <v>27253</v>
          </cell>
          <cell r="J609" t="str">
            <v>756.908.455-15</v>
          </cell>
          <cell r="K609" t="str">
            <v>125.14978.95.7</v>
          </cell>
          <cell r="L609" t="str">
            <v>Salário Mensal</v>
          </cell>
          <cell r="M609" t="str">
            <v>Empregado (CLT)</v>
          </cell>
        </row>
        <row r="610">
          <cell r="D610" t="str">
            <v>ECOSAMPA Operação Geral</v>
          </cell>
          <cell r="E610">
            <v>44508</v>
          </cell>
          <cell r="F610">
            <v>3050.22</v>
          </cell>
          <cell r="G610" t="str">
            <v>Em Atividade Normal</v>
          </cell>
          <cell r="H610">
            <v>44993</v>
          </cell>
          <cell r="I610">
            <v>28740</v>
          </cell>
          <cell r="J610" t="str">
            <v>277.895.638-74</v>
          </cell>
          <cell r="K610" t="str">
            <v>133.60229.81.8</v>
          </cell>
          <cell r="L610" t="str">
            <v>Salário Mensal</v>
          </cell>
          <cell r="M610" t="str">
            <v>Empregado (CLT)</v>
          </cell>
        </row>
        <row r="611">
          <cell r="D611" t="str">
            <v>ECOSAMPA Operação Geral</v>
          </cell>
          <cell r="E611">
            <v>43917</v>
          </cell>
          <cell r="F611">
            <v>1603.99</v>
          </cell>
          <cell r="G611" t="str">
            <v>Em Atividade Normal</v>
          </cell>
          <cell r="H611">
            <v>45086</v>
          </cell>
          <cell r="I611">
            <v>25311</v>
          </cell>
          <cell r="J611" t="str">
            <v>538.423.914-04</v>
          </cell>
          <cell r="K611" t="str">
            <v>122.89888.83.6</v>
          </cell>
          <cell r="L611" t="str">
            <v>Salário Mensal</v>
          </cell>
          <cell r="M611" t="str">
            <v>Empregado (CLT)</v>
          </cell>
        </row>
        <row r="612">
          <cell r="D612" t="str">
            <v>ECOSAMPA Santo Amaro</v>
          </cell>
          <cell r="E612">
            <v>43617</v>
          </cell>
          <cell r="F612">
            <v>1603.99</v>
          </cell>
          <cell r="G612" t="str">
            <v>Em Atividade Normal</v>
          </cell>
          <cell r="H612">
            <v>44960</v>
          </cell>
          <cell r="I612">
            <v>26670</v>
          </cell>
          <cell r="J612" t="str">
            <v>166.065.928-01</v>
          </cell>
          <cell r="K612" t="str">
            <v>124.02175.89.5</v>
          </cell>
          <cell r="L612" t="str">
            <v>Salário Mensal</v>
          </cell>
          <cell r="M612" t="str">
            <v>Empregado (CLT)</v>
          </cell>
        </row>
        <row r="613">
          <cell r="D613" t="str">
            <v>ECOSAMPA Capela do Socorro</v>
          </cell>
          <cell r="E613">
            <v>44018</v>
          </cell>
          <cell r="F613">
            <v>1603.99</v>
          </cell>
          <cell r="G613" t="str">
            <v>Em Atividade Normal</v>
          </cell>
          <cell r="H613">
            <v>45086</v>
          </cell>
          <cell r="I613">
            <v>26584</v>
          </cell>
          <cell r="J613" t="str">
            <v>895.643.085-34</v>
          </cell>
          <cell r="K613" t="str">
            <v>125.46529.82.1</v>
          </cell>
          <cell r="L613" t="str">
            <v>Salário Mensal</v>
          </cell>
          <cell r="M613" t="str">
            <v>Empregado (CLT)</v>
          </cell>
        </row>
        <row r="614">
          <cell r="D614" t="str">
            <v>ECOSAMPA Operação Geral</v>
          </cell>
          <cell r="E614">
            <v>43617</v>
          </cell>
          <cell r="F614">
            <v>5277.68</v>
          </cell>
          <cell r="G614" t="str">
            <v>Em Atividade Normal</v>
          </cell>
          <cell r="H614">
            <v>44937</v>
          </cell>
          <cell r="I614">
            <v>26822</v>
          </cell>
          <cell r="J614" t="str">
            <v>676.810.345-87</v>
          </cell>
          <cell r="K614" t="str">
            <v>124.75108.75.6</v>
          </cell>
          <cell r="L614" t="str">
            <v>Salário Mensal</v>
          </cell>
          <cell r="M614" t="str">
            <v>Empregado (CLT)</v>
          </cell>
        </row>
        <row r="615">
          <cell r="D615" t="str">
            <v>ECOSAMPA Operação Geral</v>
          </cell>
          <cell r="E615">
            <v>44725</v>
          </cell>
          <cell r="F615">
            <v>1464.83</v>
          </cell>
          <cell r="G615" t="str">
            <v>Demitido em Meses Anteriores</v>
          </cell>
          <cell r="H615">
            <v>44762</v>
          </cell>
          <cell r="I615">
            <v>29734</v>
          </cell>
          <cell r="J615" t="str">
            <v>297.889.338-90</v>
          </cell>
          <cell r="K615" t="str">
            <v>128.15669.93.7</v>
          </cell>
          <cell r="L615" t="str">
            <v>Salário Mensal</v>
          </cell>
          <cell r="M615" t="str">
            <v>Empregado (CLT)</v>
          </cell>
        </row>
        <row r="616">
          <cell r="D616" t="str">
            <v>ECOSAMPA Santo Amaro</v>
          </cell>
          <cell r="E616">
            <v>43619</v>
          </cell>
          <cell r="F616">
            <v>2147.5500000000002</v>
          </cell>
          <cell r="G616" t="str">
            <v>Demitido em Meses Anteriores</v>
          </cell>
          <cell r="H616">
            <v>44306</v>
          </cell>
          <cell r="I616">
            <v>29308</v>
          </cell>
          <cell r="J616" t="str">
            <v>289.123.398-00</v>
          </cell>
          <cell r="K616" t="str">
            <v>127.57916.89.2</v>
          </cell>
          <cell r="L616" t="str">
            <v>Salário Mensal</v>
          </cell>
          <cell r="M616" t="str">
            <v>Empregado (CLT)</v>
          </cell>
        </row>
        <row r="617">
          <cell r="D617" t="str">
            <v>ECOSAMPA Santo Amaro</v>
          </cell>
          <cell r="E617">
            <v>43617</v>
          </cell>
          <cell r="F617">
            <v>1319.67</v>
          </cell>
          <cell r="G617" t="str">
            <v>Demitido em Meses Anteriores</v>
          </cell>
          <cell r="H617">
            <v>44263</v>
          </cell>
          <cell r="I617">
            <v>26679</v>
          </cell>
          <cell r="J617" t="str">
            <v>825.395.704-10</v>
          </cell>
          <cell r="K617" t="str">
            <v>125.85973.23.0</v>
          </cell>
          <cell r="L617" t="str">
            <v>Salário Mensal</v>
          </cell>
          <cell r="M617" t="str">
            <v>Empregado (CLT)</v>
          </cell>
        </row>
        <row r="618">
          <cell r="D618" t="str">
            <v>ECOSAMPA Parelheiros</v>
          </cell>
          <cell r="E618">
            <v>43617</v>
          </cell>
          <cell r="F618">
            <v>1603.99</v>
          </cell>
          <cell r="G618" t="str">
            <v>Em Atividade Normal</v>
          </cell>
          <cell r="H618">
            <v>45023</v>
          </cell>
          <cell r="I618">
            <v>26217</v>
          </cell>
          <cell r="J618" t="str">
            <v>547.386.365-53</v>
          </cell>
          <cell r="K618" t="str">
            <v>124.79418.60.1</v>
          </cell>
          <cell r="L618" t="str">
            <v>Salário Mensal</v>
          </cell>
          <cell r="M618" t="str">
            <v>Empregado (CLT)</v>
          </cell>
        </row>
        <row r="619">
          <cell r="D619" t="str">
            <v>ECOSAMPA Operação Geral</v>
          </cell>
          <cell r="E619">
            <v>45131</v>
          </cell>
          <cell r="F619">
            <v>3050.22</v>
          </cell>
          <cell r="G619" t="str">
            <v>Em Atividade Normal</v>
          </cell>
          <cell r="H619">
            <v>45131</v>
          </cell>
          <cell r="I619">
            <v>26910</v>
          </cell>
          <cell r="J619" t="str">
            <v>164.161.928-70</v>
          </cell>
          <cell r="K619" t="str">
            <v>124.00585.24.7</v>
          </cell>
          <cell r="L619" t="str">
            <v>Salário Mensal</v>
          </cell>
          <cell r="M619" t="str">
            <v>Empregado (CLT)</v>
          </cell>
        </row>
        <row r="620">
          <cell r="D620" t="str">
            <v>ECOSAMPA Operação Geral</v>
          </cell>
          <cell r="E620">
            <v>43617</v>
          </cell>
          <cell r="F620">
            <v>1907.79</v>
          </cell>
          <cell r="G620" t="str">
            <v>Em Atividade Normal</v>
          </cell>
          <cell r="H620">
            <v>45056</v>
          </cell>
          <cell r="I620">
            <v>27938</v>
          </cell>
          <cell r="J620" t="str">
            <v>251.713.198-80</v>
          </cell>
          <cell r="K620" t="str">
            <v>125.49664.70.3</v>
          </cell>
          <cell r="L620" t="str">
            <v>Salário Mensal</v>
          </cell>
          <cell r="M620" t="str">
            <v>Empregado (CLT)</v>
          </cell>
        </row>
        <row r="621">
          <cell r="D621" t="str">
            <v>ECOSAMPA Operação Geral</v>
          </cell>
          <cell r="E621">
            <v>43617</v>
          </cell>
          <cell r="F621">
            <v>1319.67</v>
          </cell>
          <cell r="G621" t="str">
            <v>Demitido em Meses Anteriores</v>
          </cell>
          <cell r="H621">
            <v>44443</v>
          </cell>
          <cell r="I621">
            <v>27404</v>
          </cell>
          <cell r="J621" t="str">
            <v>247.480.038-71</v>
          </cell>
          <cell r="K621" t="str">
            <v>124.38793.08.4</v>
          </cell>
          <cell r="L621" t="str">
            <v>Salário Mensal</v>
          </cell>
          <cell r="M621" t="str">
            <v>Empregado (CLT)</v>
          </cell>
        </row>
        <row r="622">
          <cell r="D622" t="str">
            <v>ECOSAMPA Santo Amaro</v>
          </cell>
          <cell r="E622">
            <v>43617</v>
          </cell>
          <cell r="F622">
            <v>1603.99</v>
          </cell>
          <cell r="G622" t="str">
            <v>Em Atividade Normal</v>
          </cell>
          <cell r="H622">
            <v>45023</v>
          </cell>
          <cell r="I622">
            <v>23184</v>
          </cell>
          <cell r="J622" t="str">
            <v>128.127.398-86</v>
          </cell>
          <cell r="K622" t="str">
            <v>121.12541.81.3</v>
          </cell>
          <cell r="L622" t="str">
            <v>Salário Mensal</v>
          </cell>
          <cell r="M622" t="str">
            <v>Empregado (CLT)</v>
          </cell>
        </row>
        <row r="623">
          <cell r="D623" t="str">
            <v>ECOSAMPA Parelheiros</v>
          </cell>
          <cell r="E623">
            <v>43617</v>
          </cell>
          <cell r="F623">
            <v>1603.99</v>
          </cell>
          <cell r="G623" t="str">
            <v>Em Atividade Normal</v>
          </cell>
          <cell r="H623">
            <v>44930</v>
          </cell>
          <cell r="I623">
            <v>30880</v>
          </cell>
          <cell r="J623" t="str">
            <v>379.230.508-99</v>
          </cell>
          <cell r="K623" t="str">
            <v>132.76694.89.0</v>
          </cell>
          <cell r="L623" t="str">
            <v>Salário Mensal</v>
          </cell>
          <cell r="M623" t="str">
            <v>Empregado (CLT)</v>
          </cell>
        </row>
        <row r="624">
          <cell r="D624" t="str">
            <v>ECOSAMPA Parelheiros</v>
          </cell>
          <cell r="E624">
            <v>43617</v>
          </cell>
          <cell r="F624">
            <v>1603.99</v>
          </cell>
          <cell r="G624" t="str">
            <v>Acidente do Trabalho</v>
          </cell>
          <cell r="H624">
            <v>44114</v>
          </cell>
          <cell r="I624">
            <v>32634</v>
          </cell>
          <cell r="J624" t="str">
            <v>377.744.998-90</v>
          </cell>
          <cell r="K624" t="str">
            <v>210.71942.21.4</v>
          </cell>
          <cell r="L624" t="str">
            <v>Salário Mensal</v>
          </cell>
          <cell r="M624" t="str">
            <v>Empregado (CLT)</v>
          </cell>
        </row>
        <row r="625">
          <cell r="D625" t="str">
            <v>ECOSAMPA M'Boi Mirim</v>
          </cell>
          <cell r="E625">
            <v>43617</v>
          </cell>
          <cell r="F625">
            <v>1603.99</v>
          </cell>
          <cell r="G625" t="str">
            <v>Gozando Férias</v>
          </cell>
          <cell r="H625">
            <v>45180</v>
          </cell>
          <cell r="I625">
            <v>24105</v>
          </cell>
          <cell r="J625" t="str">
            <v>088.295.228-56</v>
          </cell>
          <cell r="K625" t="str">
            <v>121.69096.76.2</v>
          </cell>
          <cell r="L625" t="str">
            <v>Salário Mensal</v>
          </cell>
          <cell r="M625" t="str">
            <v>Empregado (CLT)</v>
          </cell>
        </row>
        <row r="626">
          <cell r="D626" t="str">
            <v>ECOSAMPA Capela do Socorro</v>
          </cell>
          <cell r="E626">
            <v>43621</v>
          </cell>
          <cell r="F626">
            <v>1319.67</v>
          </cell>
          <cell r="G626" t="str">
            <v>Demitido em Meses Anteriores</v>
          </cell>
          <cell r="H626">
            <v>44200</v>
          </cell>
          <cell r="I626">
            <v>30434</v>
          </cell>
          <cell r="J626" t="str">
            <v>341.983.568-07</v>
          </cell>
          <cell r="K626" t="str">
            <v>133.46402.89.3</v>
          </cell>
          <cell r="L626" t="str">
            <v>Salário Mensal</v>
          </cell>
          <cell r="M626" t="str">
            <v>Empregado (CLT)</v>
          </cell>
        </row>
        <row r="627">
          <cell r="D627" t="str">
            <v>ECOSAMPA Parelheiros</v>
          </cell>
          <cell r="E627">
            <v>43617</v>
          </cell>
          <cell r="F627">
            <v>1464.83</v>
          </cell>
          <cell r="G627" t="str">
            <v>Demitido em Meses Anteriores</v>
          </cell>
          <cell r="H627">
            <v>44694</v>
          </cell>
          <cell r="I627">
            <v>25967</v>
          </cell>
          <cell r="J627" t="str">
            <v>164.879.898-51</v>
          </cell>
          <cell r="K627" t="str">
            <v>124.67479.32.5</v>
          </cell>
          <cell r="L627" t="str">
            <v>Salário Mensal</v>
          </cell>
          <cell r="M627" t="str">
            <v>Empregado (CLT)</v>
          </cell>
        </row>
        <row r="628">
          <cell r="D628" t="str">
            <v>ECOSAMPA M'Boi Mirim</v>
          </cell>
          <cell r="E628">
            <v>43617</v>
          </cell>
          <cell r="F628">
            <v>1231.95</v>
          </cell>
          <cell r="G628" t="str">
            <v>Demitido em Meses Anteriores</v>
          </cell>
          <cell r="H628">
            <v>43704</v>
          </cell>
          <cell r="I628">
            <v>22939</v>
          </cell>
          <cell r="J628" t="str">
            <v>170.916.028-46</v>
          </cell>
          <cell r="K628" t="str">
            <v>123.83987.54.0</v>
          </cell>
          <cell r="L628" t="str">
            <v>Salário Mensal</v>
          </cell>
          <cell r="M628" t="str">
            <v>Empregado (CLT)</v>
          </cell>
        </row>
        <row r="629">
          <cell r="D629" t="str">
            <v>ECOSAMPA Operação Geral</v>
          </cell>
          <cell r="E629">
            <v>43617</v>
          </cell>
          <cell r="F629">
            <v>3050.22</v>
          </cell>
          <cell r="G629" t="str">
            <v>Em Atividade Normal</v>
          </cell>
          <cell r="H629">
            <v>44993</v>
          </cell>
          <cell r="I629">
            <v>30062</v>
          </cell>
          <cell r="J629" t="str">
            <v>216.555.478-01</v>
          </cell>
          <cell r="K629" t="str">
            <v>129.57167.89.3</v>
          </cell>
          <cell r="L629" t="str">
            <v>Salário Mensal</v>
          </cell>
          <cell r="M629" t="str">
            <v>Empregado (CLT)</v>
          </cell>
        </row>
        <row r="630">
          <cell r="D630" t="str">
            <v>ECOSAMPA Capela do Socorro</v>
          </cell>
          <cell r="E630">
            <v>43617</v>
          </cell>
          <cell r="F630">
            <v>1603.99</v>
          </cell>
          <cell r="G630" t="str">
            <v>Gozando Férias</v>
          </cell>
          <cell r="H630">
            <v>45180</v>
          </cell>
          <cell r="I630">
            <v>21778</v>
          </cell>
          <cell r="J630" t="str">
            <v>044.352.928-07</v>
          </cell>
          <cell r="K630" t="str">
            <v>108.91212.31.8</v>
          </cell>
          <cell r="L630" t="str">
            <v>Salário Mensal</v>
          </cell>
          <cell r="M630" t="str">
            <v>Empregado (CLT)</v>
          </cell>
        </row>
        <row r="631">
          <cell r="D631" t="str">
            <v>ECOSAMPA Campo Limpo</v>
          </cell>
          <cell r="E631">
            <v>43617</v>
          </cell>
          <cell r="F631">
            <v>1603.99</v>
          </cell>
          <cell r="G631" t="str">
            <v>Em Atividade Normal</v>
          </cell>
          <cell r="H631">
            <v>44989</v>
          </cell>
          <cell r="I631">
            <v>27203</v>
          </cell>
          <cell r="J631" t="str">
            <v>274.288.978-74</v>
          </cell>
          <cell r="K631" t="str">
            <v>131.39567.89.7</v>
          </cell>
          <cell r="L631" t="str">
            <v>Salário Mensal</v>
          </cell>
          <cell r="M631" t="str">
            <v>Empregado (CLT)</v>
          </cell>
        </row>
        <row r="632">
          <cell r="D632" t="str">
            <v>ECOSAMPA Capela do Socorro</v>
          </cell>
          <cell r="E632">
            <v>43728</v>
          </cell>
          <cell r="F632">
            <v>1603.99</v>
          </cell>
          <cell r="G632" t="str">
            <v>Em Atividade Normal</v>
          </cell>
          <cell r="H632">
            <v>44960</v>
          </cell>
          <cell r="I632">
            <v>29075</v>
          </cell>
          <cell r="J632" t="str">
            <v>215.040.728-04</v>
          </cell>
          <cell r="K632" t="str">
            <v>127.25055.77.8</v>
          </cell>
          <cell r="L632" t="str">
            <v>Salário Mensal</v>
          </cell>
          <cell r="M632" t="str">
            <v>Empregado (CLT)</v>
          </cell>
        </row>
        <row r="633">
          <cell r="D633" t="str">
            <v>ECOSAMPA Santo Amaro</v>
          </cell>
          <cell r="E633">
            <v>43617</v>
          </cell>
          <cell r="F633">
            <v>1603.99</v>
          </cell>
          <cell r="G633" t="str">
            <v>Em Atividade Normal</v>
          </cell>
          <cell r="H633">
            <v>45056</v>
          </cell>
          <cell r="I633">
            <v>28217</v>
          </cell>
          <cell r="J633" t="str">
            <v>227.047.118-01</v>
          </cell>
          <cell r="K633" t="str">
            <v>130.33364.89.5</v>
          </cell>
          <cell r="L633" t="str">
            <v>Salário Mensal</v>
          </cell>
          <cell r="M633" t="str">
            <v>Empregado (CLT)</v>
          </cell>
        </row>
        <row r="634">
          <cell r="D634" t="str">
            <v>ECOSAMPA Santo Amaro</v>
          </cell>
          <cell r="E634">
            <v>44308</v>
          </cell>
          <cell r="F634">
            <v>1603.99</v>
          </cell>
          <cell r="G634" t="str">
            <v>Em Atividade Normal</v>
          </cell>
          <cell r="H634">
            <v>45042</v>
          </cell>
          <cell r="I634">
            <v>24396</v>
          </cell>
          <cell r="J634" t="str">
            <v>066.672.298-63</v>
          </cell>
          <cell r="K634" t="str">
            <v>121.51266.93.3</v>
          </cell>
          <cell r="L634" t="str">
            <v>Salário Mensal</v>
          </cell>
          <cell r="M634" t="str">
            <v>Empregado (CLT)</v>
          </cell>
        </row>
        <row r="635">
          <cell r="D635" t="str">
            <v>ECOSAMPA M'Boi Mirim</v>
          </cell>
          <cell r="E635">
            <v>43617</v>
          </cell>
          <cell r="F635">
            <v>1603.99</v>
          </cell>
          <cell r="G635" t="str">
            <v>Em Atividade Normal</v>
          </cell>
          <cell r="H635">
            <v>44835</v>
          </cell>
          <cell r="I635">
            <v>29331</v>
          </cell>
          <cell r="J635" t="str">
            <v>304.107.238-60</v>
          </cell>
          <cell r="K635" t="str">
            <v>129.40542.85.8</v>
          </cell>
          <cell r="L635" t="str">
            <v>Salário Mensal</v>
          </cell>
          <cell r="M635" t="str">
            <v>Empregado (CLT)</v>
          </cell>
        </row>
        <row r="636">
          <cell r="D636" t="str">
            <v>ECOSAMPA Santo Amaro</v>
          </cell>
          <cell r="E636">
            <v>43617</v>
          </cell>
          <cell r="F636">
            <v>1603.99</v>
          </cell>
          <cell r="G636" t="str">
            <v>Em Atividade Normal</v>
          </cell>
          <cell r="H636">
            <v>44867</v>
          </cell>
          <cell r="I636">
            <v>25764</v>
          </cell>
          <cell r="J636" t="str">
            <v>711.693.424-34</v>
          </cell>
          <cell r="K636" t="str">
            <v>124.10790.70.6</v>
          </cell>
          <cell r="L636" t="str">
            <v>Salário Mensal</v>
          </cell>
          <cell r="M636" t="str">
            <v>Empregado (CLT)</v>
          </cell>
        </row>
        <row r="637">
          <cell r="D637" t="str">
            <v>ECOSAMPA Campo Limpo</v>
          </cell>
          <cell r="E637">
            <v>43617</v>
          </cell>
          <cell r="F637">
            <v>1603.99</v>
          </cell>
          <cell r="G637" t="str">
            <v>Em Atividade Normal</v>
          </cell>
          <cell r="H637">
            <v>45149</v>
          </cell>
          <cell r="I637">
            <v>36242</v>
          </cell>
          <cell r="J637" t="str">
            <v>553.482.668-17</v>
          </cell>
          <cell r="K637" t="str">
            <v>206.14100.28.8</v>
          </cell>
          <cell r="L637" t="str">
            <v>Salário Mensal</v>
          </cell>
          <cell r="M637" t="str">
            <v>Empregado (CLT)</v>
          </cell>
        </row>
        <row r="638">
          <cell r="D638" t="str">
            <v>ECOSAMPA Operação Geral</v>
          </cell>
          <cell r="E638">
            <v>43617</v>
          </cell>
          <cell r="F638">
            <v>2444.37</v>
          </cell>
          <cell r="G638" t="str">
            <v>Em Atividade Normal</v>
          </cell>
          <cell r="H638">
            <v>44867</v>
          </cell>
          <cell r="I638">
            <v>29874</v>
          </cell>
          <cell r="J638" t="str">
            <v>313.823.928-50</v>
          </cell>
          <cell r="K638" t="str">
            <v>130.50301.93.6</v>
          </cell>
          <cell r="L638" t="str">
            <v>Salário Mensal</v>
          </cell>
          <cell r="M638" t="str">
            <v>Empregado (CLT)</v>
          </cell>
        </row>
        <row r="639">
          <cell r="D639" t="str">
            <v>ECOSAMPA Santo Amaro</v>
          </cell>
          <cell r="E639">
            <v>43617</v>
          </cell>
          <cell r="F639">
            <v>1603.99</v>
          </cell>
          <cell r="G639" t="str">
            <v>Gozando Férias</v>
          </cell>
          <cell r="H639">
            <v>45180</v>
          </cell>
          <cell r="I639">
            <v>23709</v>
          </cell>
          <cell r="J639" t="str">
            <v>056.932.488-28</v>
          </cell>
          <cell r="K639" t="str">
            <v>108.74689.12.8</v>
          </cell>
          <cell r="L639" t="str">
            <v>Salário Mensal</v>
          </cell>
          <cell r="M639" t="str">
            <v>Empregado (CLT)</v>
          </cell>
        </row>
        <row r="640">
          <cell r="D640" t="str">
            <v>ECOSAMPA Operação Geral</v>
          </cell>
          <cell r="E640">
            <v>43617</v>
          </cell>
          <cell r="F640">
            <v>3222.08</v>
          </cell>
          <cell r="G640" t="str">
            <v>Em Atividade Normal</v>
          </cell>
          <cell r="H640">
            <v>44867</v>
          </cell>
          <cell r="I640">
            <v>30090</v>
          </cell>
          <cell r="J640" t="str">
            <v>225.037.008-70</v>
          </cell>
          <cell r="K640" t="str">
            <v>129.87240.85.8</v>
          </cell>
          <cell r="L640" t="str">
            <v>Salário Mensal</v>
          </cell>
          <cell r="M640" t="str">
            <v>Empregado (CLT)</v>
          </cell>
        </row>
        <row r="641">
          <cell r="D641" t="str">
            <v>ECOSAMPA Santo Amaro</v>
          </cell>
          <cell r="E641">
            <v>43617</v>
          </cell>
          <cell r="F641">
            <v>1603.99</v>
          </cell>
          <cell r="G641" t="str">
            <v>Em Atividade Normal</v>
          </cell>
          <cell r="H641">
            <v>44993</v>
          </cell>
          <cell r="I641">
            <v>22049</v>
          </cell>
          <cell r="J641" t="str">
            <v>045.569.758-24</v>
          </cell>
          <cell r="K641" t="str">
            <v>106.73478.61.8</v>
          </cell>
          <cell r="L641" t="str">
            <v>Salário Mensal</v>
          </cell>
          <cell r="M641" t="str">
            <v>Empregado (CLT)</v>
          </cell>
        </row>
        <row r="642">
          <cell r="D642" t="str">
            <v>ECOSAMPA Santo Amaro</v>
          </cell>
          <cell r="E642">
            <v>43617</v>
          </cell>
          <cell r="F642">
            <v>1603.99</v>
          </cell>
          <cell r="G642" t="str">
            <v>Gozando Férias</v>
          </cell>
          <cell r="H642">
            <v>45180</v>
          </cell>
          <cell r="I642">
            <v>28957</v>
          </cell>
          <cell r="J642" t="str">
            <v>280.090.188-80</v>
          </cell>
          <cell r="K642" t="str">
            <v>131.11978.93.0</v>
          </cell>
          <cell r="L642" t="str">
            <v>Salário Mensal</v>
          </cell>
          <cell r="M642" t="str">
            <v>Empregado (CLT)</v>
          </cell>
        </row>
        <row r="643">
          <cell r="D643" t="str">
            <v>ECOSAMPA Parelheiros</v>
          </cell>
          <cell r="E643">
            <v>43874</v>
          </cell>
          <cell r="F643">
            <v>1907.79</v>
          </cell>
          <cell r="G643" t="str">
            <v>Em Atividade Normal</v>
          </cell>
          <cell r="H643">
            <v>45086</v>
          </cell>
          <cell r="I643">
            <v>30696</v>
          </cell>
          <cell r="J643" t="str">
            <v>236.567.738-07</v>
          </cell>
          <cell r="K643" t="str">
            <v>161.14439.08.3</v>
          </cell>
          <cell r="L643" t="str">
            <v>Salário Mensal</v>
          </cell>
          <cell r="M643" t="str">
            <v>Empregado (CLT)</v>
          </cell>
        </row>
        <row r="644">
          <cell r="D644" t="str">
            <v>ECOSAMPA Santo Amaro</v>
          </cell>
          <cell r="E644">
            <v>43617</v>
          </cell>
          <cell r="F644">
            <v>1603.99</v>
          </cell>
          <cell r="G644" t="str">
            <v>Em Atividade Normal</v>
          </cell>
          <cell r="H644">
            <v>45149</v>
          </cell>
          <cell r="I644">
            <v>27945</v>
          </cell>
          <cell r="J644" t="str">
            <v>007.088.715-26</v>
          </cell>
          <cell r="K644" t="str">
            <v>127.13313.06.8</v>
          </cell>
          <cell r="L644" t="str">
            <v>Salário Mensal</v>
          </cell>
          <cell r="M644" t="str">
            <v>Empregado (CLT)</v>
          </cell>
        </row>
        <row r="645">
          <cell r="D645" t="str">
            <v>ECOSAMPA Santo Amaro</v>
          </cell>
          <cell r="E645">
            <v>43617</v>
          </cell>
          <cell r="F645">
            <v>1603.99</v>
          </cell>
          <cell r="G645" t="str">
            <v>Em Atividade Normal</v>
          </cell>
          <cell r="H645">
            <v>44960</v>
          </cell>
          <cell r="I645">
            <v>25463</v>
          </cell>
          <cell r="J645" t="str">
            <v>682.625.824-20</v>
          </cell>
          <cell r="K645" t="str">
            <v>123.74110.35.6</v>
          </cell>
          <cell r="L645" t="str">
            <v>Salário Mensal</v>
          </cell>
          <cell r="M645" t="str">
            <v>Empregado (CLT)</v>
          </cell>
        </row>
        <row r="646">
          <cell r="D646" t="str">
            <v>ECOSAMPA Operação Geral</v>
          </cell>
          <cell r="E646">
            <v>43617</v>
          </cell>
          <cell r="F646">
            <v>2342.7399999999998</v>
          </cell>
          <cell r="G646" t="str">
            <v>Demitido em Meses Anteriores</v>
          </cell>
          <cell r="H646">
            <v>43704</v>
          </cell>
          <cell r="I646">
            <v>27183</v>
          </cell>
          <cell r="J646" t="str">
            <v>800.388.324-53</v>
          </cell>
          <cell r="K646" t="str">
            <v>123.77187.33.3</v>
          </cell>
          <cell r="L646" t="str">
            <v>Salário Mensal</v>
          </cell>
          <cell r="M646" t="str">
            <v>Empregado (CLT)</v>
          </cell>
        </row>
        <row r="647">
          <cell r="D647" t="str">
            <v>ECOSAMPA Capela do Socorro</v>
          </cell>
          <cell r="E647">
            <v>43617</v>
          </cell>
          <cell r="F647">
            <v>1603.99</v>
          </cell>
          <cell r="G647" t="str">
            <v>Gozando Férias</v>
          </cell>
          <cell r="H647">
            <v>45180</v>
          </cell>
          <cell r="I647">
            <v>24329</v>
          </cell>
          <cell r="J647" t="str">
            <v>153.486.338-95</v>
          </cell>
          <cell r="K647" t="str">
            <v>124.31479.00.7</v>
          </cell>
          <cell r="L647" t="str">
            <v>Salário Mensal</v>
          </cell>
          <cell r="M647" t="str">
            <v>Empregado (CLT)</v>
          </cell>
        </row>
        <row r="648">
          <cell r="D648" t="str">
            <v>ECOSAMPA Operação Geral</v>
          </cell>
          <cell r="E648">
            <v>44972</v>
          </cell>
          <cell r="F648">
            <v>3050.22</v>
          </cell>
          <cell r="G648" t="str">
            <v>Demitido em Meses Anteriores</v>
          </cell>
          <cell r="H648">
            <v>44986</v>
          </cell>
          <cell r="I648">
            <v>26223</v>
          </cell>
          <cell r="J648" t="str">
            <v>260.909.068-40</v>
          </cell>
          <cell r="K648" t="str">
            <v>125.20200.97.0</v>
          </cell>
          <cell r="L648" t="str">
            <v>Salário Mensal</v>
          </cell>
          <cell r="M648" t="str">
            <v>Empregado (CLT)</v>
          </cell>
        </row>
        <row r="649">
          <cell r="D649" t="str">
            <v>ECOSAMPA Operação Geral</v>
          </cell>
          <cell r="E649">
            <v>44967</v>
          </cell>
          <cell r="F649">
            <v>1603.99</v>
          </cell>
          <cell r="G649" t="str">
            <v>Demitido em Meses Anteriores</v>
          </cell>
          <cell r="H649">
            <v>44981</v>
          </cell>
          <cell r="I649">
            <v>31602</v>
          </cell>
          <cell r="J649" t="str">
            <v>349.900.648-01</v>
          </cell>
          <cell r="K649" t="str">
            <v>201.72345.72.8</v>
          </cell>
          <cell r="L649" t="str">
            <v>Salário Mensal</v>
          </cell>
          <cell r="M649" t="str">
            <v>Empregado (CLT)</v>
          </cell>
        </row>
        <row r="650">
          <cell r="D650" t="str">
            <v>ECOSAMPA Capela do Socorro</v>
          </cell>
          <cell r="E650">
            <v>43617</v>
          </cell>
          <cell r="F650">
            <v>1603.99</v>
          </cell>
          <cell r="G650" t="str">
            <v>Em Atividade Normal</v>
          </cell>
          <cell r="H650">
            <v>44960</v>
          </cell>
          <cell r="I650">
            <v>26915</v>
          </cell>
          <cell r="J650" t="str">
            <v>182.528.318-42</v>
          </cell>
          <cell r="K650" t="str">
            <v>124.88600.85.9</v>
          </cell>
          <cell r="L650" t="str">
            <v>Salário Mensal</v>
          </cell>
          <cell r="M650" t="str">
            <v>Empregado (CLT)</v>
          </cell>
        </row>
        <row r="651">
          <cell r="D651" t="str">
            <v>ECOSAMPA Campo Limpo</v>
          </cell>
          <cell r="E651">
            <v>43874</v>
          </cell>
          <cell r="F651">
            <v>1603.99</v>
          </cell>
          <cell r="G651" t="str">
            <v>Demitido em Meses Anteriores</v>
          </cell>
          <cell r="H651">
            <v>45152</v>
          </cell>
          <cell r="I651">
            <v>27559</v>
          </cell>
          <cell r="J651" t="str">
            <v>195.870.298-60</v>
          </cell>
          <cell r="K651" t="str">
            <v>125.06039.50.5</v>
          </cell>
          <cell r="L651" t="str">
            <v>Salário Mensal</v>
          </cell>
          <cell r="M651" t="str">
            <v>Empregado (CLT)</v>
          </cell>
        </row>
        <row r="652">
          <cell r="D652" t="str">
            <v>ECOSAMPA Operação Geral</v>
          </cell>
          <cell r="E652">
            <v>43811</v>
          </cell>
          <cell r="F652">
            <v>1281.23</v>
          </cell>
          <cell r="G652" t="str">
            <v>Demitido em Meses Anteriores</v>
          </cell>
          <cell r="H652">
            <v>43857</v>
          </cell>
          <cell r="I652">
            <v>29624</v>
          </cell>
          <cell r="J652" t="str">
            <v>307.938.448-27</v>
          </cell>
          <cell r="K652" t="str">
            <v>133.45599.81.2</v>
          </cell>
          <cell r="L652" t="str">
            <v>Salário Mensal</v>
          </cell>
          <cell r="M652" t="str">
            <v>Empregado (CLT)</v>
          </cell>
        </row>
        <row r="653">
          <cell r="D653" t="str">
            <v>ECOSAMPA Operação Geral</v>
          </cell>
          <cell r="E653">
            <v>43804</v>
          </cell>
          <cell r="F653">
            <v>2650.94</v>
          </cell>
          <cell r="G653" t="str">
            <v>Demitido em Meses Anteriores</v>
          </cell>
          <cell r="H653">
            <v>44119</v>
          </cell>
          <cell r="I653">
            <v>21675</v>
          </cell>
          <cell r="J653" t="str">
            <v>012.538.428-92</v>
          </cell>
          <cell r="K653" t="str">
            <v>105.57044.15.1</v>
          </cell>
          <cell r="L653" t="str">
            <v>Salário Mensal</v>
          </cell>
          <cell r="M653" t="str">
            <v>Empregado (CLT)</v>
          </cell>
        </row>
        <row r="654">
          <cell r="D654" t="str">
            <v>ECOSAMPA Santo Amaro</v>
          </cell>
          <cell r="E654">
            <v>43617</v>
          </cell>
          <cell r="F654">
            <v>1907.79</v>
          </cell>
          <cell r="G654" t="str">
            <v>Em Atividade Normal</v>
          </cell>
          <cell r="H654">
            <v>45149</v>
          </cell>
          <cell r="I654">
            <v>31518</v>
          </cell>
          <cell r="J654" t="str">
            <v>362.774.568-06</v>
          </cell>
          <cell r="K654" t="str">
            <v>206.88302.24.0</v>
          </cell>
          <cell r="L654" t="str">
            <v>Salário Mensal</v>
          </cell>
          <cell r="M654" t="str">
            <v>Empregado (CLT)</v>
          </cell>
        </row>
        <row r="655">
          <cell r="D655" t="str">
            <v>ECOSAMPA Campo Limpo</v>
          </cell>
          <cell r="E655">
            <v>43617</v>
          </cell>
          <cell r="F655">
            <v>1603.99</v>
          </cell>
          <cell r="G655" t="str">
            <v>Em Atividade Normal</v>
          </cell>
          <cell r="H655">
            <v>45000</v>
          </cell>
          <cell r="I655">
            <v>30033</v>
          </cell>
          <cell r="J655" t="str">
            <v>313.494.018-38</v>
          </cell>
          <cell r="K655" t="str">
            <v>127.64244.81.0</v>
          </cell>
          <cell r="L655" t="str">
            <v>Salário Mensal</v>
          </cell>
          <cell r="M655" t="str">
            <v>Empregado (CLT)</v>
          </cell>
        </row>
        <row r="656">
          <cell r="D656" t="str">
            <v>ECOSAMPA Campo Limpo</v>
          </cell>
          <cell r="E656">
            <v>43617</v>
          </cell>
          <cell r="F656">
            <v>1603.99</v>
          </cell>
          <cell r="G656" t="str">
            <v>Em Atividade Normal</v>
          </cell>
          <cell r="H656">
            <v>44588</v>
          </cell>
          <cell r="I656">
            <v>29105</v>
          </cell>
          <cell r="J656" t="str">
            <v>214.080.588-71</v>
          </cell>
          <cell r="K656" t="str">
            <v>129.26152.81.9</v>
          </cell>
          <cell r="L656" t="str">
            <v>Salário Mensal</v>
          </cell>
          <cell r="M656" t="str">
            <v>Empregado (CLT)</v>
          </cell>
        </row>
        <row r="657">
          <cell r="D657" t="str">
            <v>ECOSAMPA Operação Geral</v>
          </cell>
          <cell r="E657">
            <v>44273</v>
          </cell>
          <cell r="F657">
            <v>1464.83</v>
          </cell>
          <cell r="G657" t="str">
            <v>Demitido em Meses Anteriores</v>
          </cell>
          <cell r="H657">
            <v>44575</v>
          </cell>
          <cell r="I657">
            <v>33464</v>
          </cell>
          <cell r="J657" t="str">
            <v>392.555.698-21</v>
          </cell>
          <cell r="K657" t="str">
            <v>160.00167.03.3</v>
          </cell>
          <cell r="L657" t="str">
            <v>Salário Mensal</v>
          </cell>
          <cell r="M657" t="str">
            <v>Empregado (CLT)</v>
          </cell>
        </row>
        <row r="658">
          <cell r="D658" t="str">
            <v>ECOSAMPA Santo Amaro</v>
          </cell>
          <cell r="E658">
            <v>44791</v>
          </cell>
          <cell r="F658">
            <v>1603.99</v>
          </cell>
          <cell r="G658" t="str">
            <v>Demitido em Meses Anteriores</v>
          </cell>
          <cell r="H658">
            <v>45146</v>
          </cell>
          <cell r="I658">
            <v>32964</v>
          </cell>
          <cell r="J658" t="str">
            <v>375.831.058-03</v>
          </cell>
          <cell r="K658" t="str">
            <v>204.92257.98.6</v>
          </cell>
          <cell r="L658" t="str">
            <v>Salário Mensal</v>
          </cell>
          <cell r="M658" t="str">
            <v>Empregado (CLT)</v>
          </cell>
        </row>
        <row r="659">
          <cell r="D659" t="str">
            <v>ECOSAMPA Operação Geral</v>
          </cell>
          <cell r="E659">
            <v>43813</v>
          </cell>
          <cell r="F659">
            <v>3050.22</v>
          </cell>
          <cell r="G659" t="str">
            <v>Em Atividade Normal</v>
          </cell>
          <cell r="H659">
            <v>45023</v>
          </cell>
          <cell r="I659">
            <v>22756</v>
          </cell>
          <cell r="J659" t="str">
            <v>034.039.568-06</v>
          </cell>
          <cell r="K659" t="str">
            <v>120.56804.30.3</v>
          </cell>
          <cell r="L659" t="str">
            <v>Salário Mensal</v>
          </cell>
          <cell r="M659" t="str">
            <v>Empregado (CLT)</v>
          </cell>
        </row>
        <row r="660">
          <cell r="D660" t="str">
            <v>ECOSAMPA Campo Limpo</v>
          </cell>
          <cell r="E660">
            <v>43617</v>
          </cell>
          <cell r="F660">
            <v>1603.99</v>
          </cell>
          <cell r="G660" t="str">
            <v>Em Atividade Normal</v>
          </cell>
          <cell r="H660">
            <v>44960</v>
          </cell>
          <cell r="I660">
            <v>35334</v>
          </cell>
          <cell r="J660" t="str">
            <v>445.133.668-69</v>
          </cell>
          <cell r="K660" t="str">
            <v>154.46668.88.3</v>
          </cell>
          <cell r="L660" t="str">
            <v>Salário Mensal</v>
          </cell>
          <cell r="M660" t="str">
            <v>Empregado (CLT)</v>
          </cell>
        </row>
        <row r="661">
          <cell r="D661" t="str">
            <v>ECOSAMPA Capela do Socorro</v>
          </cell>
          <cell r="E661">
            <v>45061</v>
          </cell>
          <cell r="F661">
            <v>1603.99</v>
          </cell>
          <cell r="G661" t="str">
            <v>Demitido em Meses Anteriores</v>
          </cell>
          <cell r="H661">
            <v>45169</v>
          </cell>
          <cell r="I661">
            <v>31464</v>
          </cell>
          <cell r="J661" t="str">
            <v>330.984.168-58</v>
          </cell>
          <cell r="K661" t="str">
            <v>209.79206.97.3</v>
          </cell>
          <cell r="L661" t="str">
            <v>Salário Mensal</v>
          </cell>
          <cell r="M661" t="str">
            <v>Empregado (CLT)</v>
          </cell>
        </row>
        <row r="662">
          <cell r="D662" t="str">
            <v>ECOSAMPA Operação Geral</v>
          </cell>
          <cell r="E662">
            <v>43617</v>
          </cell>
          <cell r="F662">
            <v>3050.22</v>
          </cell>
          <cell r="G662" t="str">
            <v>Em Atividade Normal</v>
          </cell>
          <cell r="H662">
            <v>44898</v>
          </cell>
          <cell r="I662">
            <v>29685</v>
          </cell>
          <cell r="J662" t="str">
            <v>298.055.688-22</v>
          </cell>
          <cell r="K662" t="str">
            <v>126.51585.77.9</v>
          </cell>
          <cell r="L662" t="str">
            <v>Salário Mensal</v>
          </cell>
          <cell r="M662" t="str">
            <v>Empregado (CLT)</v>
          </cell>
        </row>
        <row r="663">
          <cell r="D663" t="str">
            <v>ECOSAMPA Operação Geral</v>
          </cell>
          <cell r="E663">
            <v>44018</v>
          </cell>
          <cell r="F663">
            <v>1281.23</v>
          </cell>
          <cell r="G663" t="str">
            <v>Demitido em Meses Anteriores</v>
          </cell>
          <cell r="H663">
            <v>44047</v>
          </cell>
          <cell r="I663">
            <v>30328</v>
          </cell>
          <cell r="J663" t="str">
            <v>225.350.648-63</v>
          </cell>
          <cell r="K663" t="str">
            <v>130.64312.81.1</v>
          </cell>
          <cell r="L663" t="str">
            <v>Salário Mensal</v>
          </cell>
          <cell r="M663" t="str">
            <v>Empregado (CLT)</v>
          </cell>
        </row>
        <row r="664">
          <cell r="D664" t="str">
            <v>ECOSAMPA Operação Geral</v>
          </cell>
          <cell r="E664">
            <v>44967</v>
          </cell>
          <cell r="F664">
            <v>1603.99</v>
          </cell>
          <cell r="G664" t="str">
            <v>Em Atividade Normal</v>
          </cell>
          <cell r="H664">
            <v>44967</v>
          </cell>
          <cell r="I664">
            <v>33254</v>
          </cell>
          <cell r="J664" t="str">
            <v>233.343.028-14</v>
          </cell>
          <cell r="K664" t="str">
            <v>210.71654.24.3</v>
          </cell>
          <cell r="L664" t="str">
            <v>Salário Mensal</v>
          </cell>
          <cell r="M664" t="str">
            <v>Empregado (CLT)</v>
          </cell>
        </row>
        <row r="665">
          <cell r="D665" t="str">
            <v>ECOSAMPA Santo Amaro</v>
          </cell>
          <cell r="E665">
            <v>43617</v>
          </cell>
          <cell r="F665">
            <v>1231.95</v>
          </cell>
          <cell r="G665" t="str">
            <v>Demitido em Meses Anteriores</v>
          </cell>
          <cell r="H665">
            <v>43704</v>
          </cell>
          <cell r="I665">
            <v>31822</v>
          </cell>
          <cell r="J665" t="str">
            <v>374.736.788-76</v>
          </cell>
          <cell r="K665" t="str">
            <v>136.13186.93.3</v>
          </cell>
          <cell r="L665" t="str">
            <v>Salário Mensal</v>
          </cell>
          <cell r="M665" t="str">
            <v>Empregado (CLT)</v>
          </cell>
        </row>
        <row r="666">
          <cell r="D666" t="str">
            <v>ECOSAMPA Campo Limpo</v>
          </cell>
          <cell r="E666">
            <v>44725</v>
          </cell>
          <cell r="F666">
            <v>1603.99</v>
          </cell>
          <cell r="G666" t="str">
            <v>Demitido em Meses Anteriores</v>
          </cell>
          <cell r="H666">
            <v>45006</v>
          </cell>
          <cell r="I666">
            <v>31692</v>
          </cell>
          <cell r="J666" t="str">
            <v>363.551.578-75</v>
          </cell>
          <cell r="K666" t="str">
            <v>161.12491.19.3</v>
          </cell>
          <cell r="L666" t="str">
            <v>Salário Mensal</v>
          </cell>
          <cell r="M666" t="str">
            <v>Empregado (CLT)</v>
          </cell>
        </row>
        <row r="667">
          <cell r="D667" t="str">
            <v>ECOSAMPA Santo Amaro</v>
          </cell>
          <cell r="E667">
            <v>43617</v>
          </cell>
          <cell r="F667">
            <v>1281.23</v>
          </cell>
          <cell r="G667" t="str">
            <v>Demitido em Meses Anteriores</v>
          </cell>
          <cell r="H667">
            <v>43808</v>
          </cell>
          <cell r="I667">
            <v>24842</v>
          </cell>
          <cell r="J667" t="str">
            <v>146.880.248-86</v>
          </cell>
          <cell r="K667" t="str">
            <v>125.01125.61.6</v>
          </cell>
          <cell r="L667" t="str">
            <v>Salário Mensal</v>
          </cell>
          <cell r="M667" t="str">
            <v>Empregado (CLT)</v>
          </cell>
        </row>
        <row r="668">
          <cell r="D668" t="str">
            <v>ECOSAMPA Santo Amaro</v>
          </cell>
          <cell r="E668">
            <v>43617</v>
          </cell>
          <cell r="F668">
            <v>1319.67</v>
          </cell>
          <cell r="G668" t="str">
            <v>Demitido em Meses Anteriores</v>
          </cell>
          <cell r="H668">
            <v>44426</v>
          </cell>
          <cell r="I668">
            <v>32302</v>
          </cell>
          <cell r="J668" t="str">
            <v>365.945.088-06</v>
          </cell>
          <cell r="K668" t="str">
            <v>135.90528.89.2</v>
          </cell>
          <cell r="L668" t="str">
            <v>Salário Mensal</v>
          </cell>
          <cell r="M668" t="str">
            <v>Empregado (CLT)</v>
          </cell>
        </row>
        <row r="669">
          <cell r="D669" t="str">
            <v>ECOSAMPA Parelheiros</v>
          </cell>
          <cell r="E669">
            <v>44308</v>
          </cell>
          <cell r="F669">
            <v>1603.99</v>
          </cell>
          <cell r="G669" t="str">
            <v>Demitido em Meses Anteriores</v>
          </cell>
          <cell r="H669">
            <v>44844</v>
          </cell>
          <cell r="I669">
            <v>29995</v>
          </cell>
          <cell r="J669" t="str">
            <v>297.661.268-44</v>
          </cell>
          <cell r="K669" t="str">
            <v>128.91264.85.3</v>
          </cell>
          <cell r="L669" t="str">
            <v>Salário Mensal</v>
          </cell>
          <cell r="M669" t="str">
            <v>Empregado (CLT)</v>
          </cell>
        </row>
        <row r="670">
          <cell r="D670" t="str">
            <v>ECOSAMPA Campo Limpo</v>
          </cell>
          <cell r="E670">
            <v>43617</v>
          </cell>
          <cell r="F670">
            <v>1281.23</v>
          </cell>
          <cell r="G670" t="str">
            <v>Demitido em Meses Anteriores</v>
          </cell>
          <cell r="H670">
            <v>43895</v>
          </cell>
          <cell r="I670">
            <v>34582</v>
          </cell>
          <cell r="J670" t="str">
            <v>361.133.698-03</v>
          </cell>
          <cell r="K670" t="str">
            <v>161.39968.69.1</v>
          </cell>
          <cell r="L670" t="str">
            <v>Salário Mensal</v>
          </cell>
          <cell r="M670" t="str">
            <v>Empregado (CLT)</v>
          </cell>
        </row>
        <row r="671">
          <cell r="D671" t="str">
            <v>ECOSAMPA Santo Amaro</v>
          </cell>
          <cell r="E671">
            <v>43617</v>
          </cell>
          <cell r="F671">
            <v>1319.67</v>
          </cell>
          <cell r="G671" t="str">
            <v>Demitido em Meses Anteriores</v>
          </cell>
          <cell r="H671">
            <v>44263</v>
          </cell>
          <cell r="I671">
            <v>20289</v>
          </cell>
          <cell r="J671" t="str">
            <v>031.054.838-10</v>
          </cell>
          <cell r="K671" t="str">
            <v>106.19043.39.0</v>
          </cell>
          <cell r="L671" t="str">
            <v>Salário Mensal</v>
          </cell>
          <cell r="M671" t="str">
            <v>Empregado (CLT)</v>
          </cell>
        </row>
        <row r="672">
          <cell r="D672" t="str">
            <v>ECOSAMPA Capela do Socorro</v>
          </cell>
          <cell r="E672">
            <v>43617</v>
          </cell>
          <cell r="F672">
            <v>1907.79</v>
          </cell>
          <cell r="G672" t="str">
            <v>Em Atividade Normal</v>
          </cell>
          <cell r="H672">
            <v>45149</v>
          </cell>
          <cell r="I672">
            <v>22291</v>
          </cell>
          <cell r="J672" t="str">
            <v>013.760.628-10</v>
          </cell>
          <cell r="K672" t="str">
            <v>107.71371.05.2</v>
          </cell>
          <cell r="L672" t="str">
            <v>Salário Mensal</v>
          </cell>
          <cell r="M672" t="str">
            <v>Empregado (CLT)</v>
          </cell>
        </row>
        <row r="673">
          <cell r="D673" t="str">
            <v>ECOSAMPA Operação Geral</v>
          </cell>
          <cell r="E673">
            <v>43617</v>
          </cell>
          <cell r="F673">
            <v>2785.59</v>
          </cell>
          <cell r="G673" t="str">
            <v>Demitido em Meses Anteriores</v>
          </cell>
          <cell r="H673">
            <v>44477</v>
          </cell>
          <cell r="I673">
            <v>23877</v>
          </cell>
          <cell r="J673" t="str">
            <v>195.775.498-29</v>
          </cell>
          <cell r="K673" t="str">
            <v>121.18192.76.4</v>
          </cell>
          <cell r="L673" t="str">
            <v>Salário Mensal</v>
          </cell>
          <cell r="M673" t="str">
            <v>Empregado (CLT)</v>
          </cell>
        </row>
        <row r="674">
          <cell r="D674" t="str">
            <v>ECOSAMPA Operação Geral</v>
          </cell>
          <cell r="E674">
            <v>43617</v>
          </cell>
          <cell r="F674">
            <v>3050.22</v>
          </cell>
          <cell r="G674" t="str">
            <v>Em Atividade Normal</v>
          </cell>
          <cell r="H674">
            <v>44930</v>
          </cell>
          <cell r="I674">
            <v>31904</v>
          </cell>
          <cell r="J674" t="str">
            <v>352.876.208-02</v>
          </cell>
          <cell r="K674" t="str">
            <v>207.24541.76.9</v>
          </cell>
          <cell r="L674" t="str">
            <v>Salário Mensal</v>
          </cell>
          <cell r="M674" t="str">
            <v>Empregado (CLT)</v>
          </cell>
        </row>
        <row r="675">
          <cell r="D675" t="str">
            <v>ECOSAMPA Campo Limpo</v>
          </cell>
          <cell r="E675">
            <v>43617</v>
          </cell>
          <cell r="F675">
            <v>1603.99</v>
          </cell>
          <cell r="G675" t="str">
            <v>Em Atividade Normal</v>
          </cell>
          <cell r="H675">
            <v>44898</v>
          </cell>
          <cell r="I675">
            <v>23827</v>
          </cell>
          <cell r="J675" t="str">
            <v>431.916.064-91</v>
          </cell>
          <cell r="K675" t="str">
            <v>120.21349.29.4</v>
          </cell>
          <cell r="L675" t="str">
            <v>Salário Mensal</v>
          </cell>
          <cell r="M675" t="str">
            <v>Empregado (CLT)</v>
          </cell>
        </row>
        <row r="676">
          <cell r="D676" t="str">
            <v>ECOSAMPA Campo Limpo</v>
          </cell>
          <cell r="E676">
            <v>43617</v>
          </cell>
          <cell r="F676">
            <v>1603.99</v>
          </cell>
          <cell r="G676" t="str">
            <v>Demitido em Meses Anteriores</v>
          </cell>
          <cell r="H676">
            <v>44966</v>
          </cell>
          <cell r="I676">
            <v>24690</v>
          </cell>
          <cell r="J676" t="str">
            <v>529.949.105-00</v>
          </cell>
          <cell r="K676" t="str">
            <v>123.77531.99.9</v>
          </cell>
          <cell r="L676" t="str">
            <v>Salário Mensal</v>
          </cell>
          <cell r="M676" t="str">
            <v>Empregado (CLT)</v>
          </cell>
        </row>
        <row r="677">
          <cell r="D677" t="str">
            <v>ECOSAMPA Capela do Socorro</v>
          </cell>
          <cell r="E677">
            <v>43617</v>
          </cell>
          <cell r="F677">
            <v>1603.99</v>
          </cell>
          <cell r="G677" t="str">
            <v>Em Atividade Normal</v>
          </cell>
          <cell r="H677">
            <v>44960</v>
          </cell>
          <cell r="I677">
            <v>27973</v>
          </cell>
          <cell r="J677" t="str">
            <v>026.566.774-75</v>
          </cell>
          <cell r="K677" t="str">
            <v>124.94116.41.6</v>
          </cell>
          <cell r="L677" t="str">
            <v>Salário Mensal</v>
          </cell>
          <cell r="M677" t="str">
            <v>Empregado (CLT)</v>
          </cell>
        </row>
        <row r="678">
          <cell r="D678" t="str">
            <v>ECOSAMPA Capela do Socorro</v>
          </cell>
          <cell r="E678">
            <v>43617</v>
          </cell>
          <cell r="F678">
            <v>1603.99</v>
          </cell>
          <cell r="G678" t="str">
            <v>Em Atividade Normal</v>
          </cell>
          <cell r="H678">
            <v>45119</v>
          </cell>
          <cell r="I678">
            <v>20493</v>
          </cell>
          <cell r="J678" t="str">
            <v>013.918.758-85</v>
          </cell>
          <cell r="K678" t="str">
            <v>120.16258.68.5</v>
          </cell>
          <cell r="L678" t="str">
            <v>Salário Mensal</v>
          </cell>
          <cell r="M678" t="str">
            <v>Empregado (CLT)</v>
          </cell>
        </row>
        <row r="679">
          <cell r="D679" t="str">
            <v>ECOSAMPA Campo Limpo</v>
          </cell>
          <cell r="E679">
            <v>43617</v>
          </cell>
          <cell r="F679">
            <v>1281.23</v>
          </cell>
          <cell r="G679" t="str">
            <v>Demitido em Meses Anteriores</v>
          </cell>
          <cell r="H679">
            <v>43808</v>
          </cell>
          <cell r="I679">
            <v>20875</v>
          </cell>
          <cell r="J679" t="str">
            <v>112.504.958-81</v>
          </cell>
          <cell r="K679" t="str">
            <v>106.87190.20.4</v>
          </cell>
          <cell r="L679" t="str">
            <v>Salário Mensal</v>
          </cell>
          <cell r="M679" t="str">
            <v>Empregado (CLT)</v>
          </cell>
        </row>
        <row r="680">
          <cell r="D680" t="str">
            <v>ECOSAMPA Capela do Socorro</v>
          </cell>
          <cell r="E680">
            <v>43617</v>
          </cell>
          <cell r="F680">
            <v>1603.99</v>
          </cell>
          <cell r="G680" t="str">
            <v>Em Atividade Normal</v>
          </cell>
          <cell r="H680">
            <v>44898</v>
          </cell>
          <cell r="I680">
            <v>25935</v>
          </cell>
          <cell r="J680" t="str">
            <v>150.916.938-58</v>
          </cell>
          <cell r="K680" t="str">
            <v>125.15784.15.3</v>
          </cell>
          <cell r="L680" t="str">
            <v>Salário Mensal</v>
          </cell>
          <cell r="M680" t="str">
            <v>Empregado (CLT)</v>
          </cell>
        </row>
        <row r="681">
          <cell r="D681" t="str">
            <v>ECOSAMPA M'Boi Mirim</v>
          </cell>
          <cell r="E681">
            <v>43617</v>
          </cell>
          <cell r="F681">
            <v>1603.99</v>
          </cell>
          <cell r="G681" t="str">
            <v>Gozando Férias</v>
          </cell>
          <cell r="H681">
            <v>45180</v>
          </cell>
          <cell r="I681">
            <v>26268</v>
          </cell>
          <cell r="J681" t="str">
            <v>175.808.478-25</v>
          </cell>
          <cell r="K681" t="str">
            <v>123.24534.96.9</v>
          </cell>
          <cell r="L681" t="str">
            <v>Salário Mensal</v>
          </cell>
          <cell r="M681" t="str">
            <v>Empregado (CLT)</v>
          </cell>
        </row>
        <row r="682">
          <cell r="D682" t="str">
            <v>ECOSAMPA Operação Geral</v>
          </cell>
          <cell r="E682">
            <v>43617</v>
          </cell>
          <cell r="F682">
            <v>2999.88</v>
          </cell>
          <cell r="G682" t="str">
            <v>Em Atividade Normal</v>
          </cell>
          <cell r="H682">
            <v>45156</v>
          </cell>
          <cell r="I682">
            <v>29271</v>
          </cell>
          <cell r="J682" t="str">
            <v>001.040.963-73</v>
          </cell>
          <cell r="K682" t="str">
            <v>160.84865.93.4</v>
          </cell>
          <cell r="L682" t="str">
            <v>Salário Mensal</v>
          </cell>
          <cell r="M682" t="str">
            <v>Empregado (CLT)</v>
          </cell>
        </row>
        <row r="683">
          <cell r="D683" t="str">
            <v>ECOSAMPA M'Boi Mirim</v>
          </cell>
          <cell r="E683">
            <v>43617</v>
          </cell>
          <cell r="F683">
            <v>1603.99</v>
          </cell>
          <cell r="G683" t="str">
            <v>Gozando Férias</v>
          </cell>
          <cell r="H683">
            <v>45180</v>
          </cell>
          <cell r="I683">
            <v>29475</v>
          </cell>
          <cell r="J683" t="str">
            <v>314.387.488-09</v>
          </cell>
          <cell r="K683" t="str">
            <v>130.68316.85.4</v>
          </cell>
          <cell r="L683" t="str">
            <v>Salário Mensal</v>
          </cell>
          <cell r="M683" t="str">
            <v>Empregado (CLT)</v>
          </cell>
        </row>
        <row r="684">
          <cell r="D684" t="str">
            <v>ECOSAMPA Operação Geral</v>
          </cell>
          <cell r="E684">
            <v>43916</v>
          </cell>
          <cell r="F684">
            <v>1319.67</v>
          </cell>
          <cell r="G684" t="str">
            <v>Demitido em Meses Anteriores</v>
          </cell>
          <cell r="H684">
            <v>44204</v>
          </cell>
          <cell r="I684">
            <v>35867</v>
          </cell>
          <cell r="J684" t="str">
            <v>466.596.868-35</v>
          </cell>
          <cell r="K684" t="str">
            <v>206.22312.89.2</v>
          </cell>
          <cell r="L684" t="str">
            <v>Salário Mensal</v>
          </cell>
          <cell r="M684" t="str">
            <v>Empregado (CLT)</v>
          </cell>
        </row>
        <row r="685">
          <cell r="D685" t="str">
            <v>ECOSAMPA Capela do Socorro</v>
          </cell>
          <cell r="E685">
            <v>43617</v>
          </cell>
          <cell r="F685">
            <v>1603.99</v>
          </cell>
          <cell r="G685" t="str">
            <v>Em Atividade Normal</v>
          </cell>
          <cell r="H685">
            <v>45149</v>
          </cell>
          <cell r="I685">
            <v>22186</v>
          </cell>
          <cell r="J685" t="str">
            <v>320.416.244-34</v>
          </cell>
          <cell r="K685" t="str">
            <v>120.40622.70.7</v>
          </cell>
          <cell r="L685" t="str">
            <v>Salário Mensal</v>
          </cell>
          <cell r="M685" t="str">
            <v>Empregado (CLT)</v>
          </cell>
        </row>
        <row r="686">
          <cell r="D686" t="str">
            <v>ECOSAMPA Pensionistas</v>
          </cell>
          <cell r="E686">
            <v>45100</v>
          </cell>
          <cell r="F686">
            <v>0.01</v>
          </cell>
          <cell r="G686" t="str">
            <v>Em Atividade Normal</v>
          </cell>
          <cell r="H686">
            <v>45100</v>
          </cell>
          <cell r="J686" t="str">
            <v>352.195.008-56</v>
          </cell>
          <cell r="L686" t="str">
            <v>Nenhuma</v>
          </cell>
          <cell r="M686" t="str">
            <v>Pensionista</v>
          </cell>
        </row>
        <row r="687">
          <cell r="D687" t="str">
            <v>ECOSAMPA Campo Limpo</v>
          </cell>
          <cell r="E687">
            <v>45061</v>
          </cell>
          <cell r="F687">
            <v>1603.99</v>
          </cell>
          <cell r="G687" t="str">
            <v>Em Atividade Normal</v>
          </cell>
          <cell r="H687">
            <v>45061</v>
          </cell>
          <cell r="I687">
            <v>30956</v>
          </cell>
          <cell r="J687" t="str">
            <v>318.220.698-23</v>
          </cell>
          <cell r="K687" t="str">
            <v>201.57577.03.6</v>
          </cell>
          <cell r="L687" t="str">
            <v>Salário Mensal</v>
          </cell>
          <cell r="M687" t="str">
            <v>Empregado (CLT)</v>
          </cell>
        </row>
        <row r="688">
          <cell r="D688" t="str">
            <v>ECOSAMPA Operação Geral</v>
          </cell>
          <cell r="E688">
            <v>43624</v>
          </cell>
          <cell r="F688">
            <v>3050.22</v>
          </cell>
          <cell r="G688" t="str">
            <v>Em Atividade Normal</v>
          </cell>
          <cell r="H688">
            <v>44898</v>
          </cell>
          <cell r="I688">
            <v>30199</v>
          </cell>
          <cell r="J688" t="str">
            <v>225.567.228-60</v>
          </cell>
          <cell r="K688" t="str">
            <v>207.31377.00.6</v>
          </cell>
          <cell r="L688" t="str">
            <v>Salário Mensal</v>
          </cell>
          <cell r="M688" t="str">
            <v>Empregado (CLT)</v>
          </cell>
        </row>
        <row r="689">
          <cell r="D689" t="str">
            <v>ECOSAMPA Operação Geral</v>
          </cell>
          <cell r="E689">
            <v>44967</v>
          </cell>
          <cell r="F689">
            <v>1603.99</v>
          </cell>
          <cell r="G689" t="str">
            <v>Em Atividade Normal</v>
          </cell>
          <cell r="H689">
            <v>44967</v>
          </cell>
          <cell r="I689">
            <v>27239</v>
          </cell>
          <cell r="J689" t="str">
            <v>154.303.348-20</v>
          </cell>
          <cell r="K689" t="str">
            <v>170.43176.86.5</v>
          </cell>
          <cell r="L689" t="str">
            <v>Salário Mensal</v>
          </cell>
          <cell r="M689" t="str">
            <v>Empregado (CLT)</v>
          </cell>
        </row>
        <row r="690">
          <cell r="D690" t="str">
            <v>ECOSAMPA Campo Limpo</v>
          </cell>
          <cell r="E690">
            <v>43617</v>
          </cell>
          <cell r="F690">
            <v>1464.83</v>
          </cell>
          <cell r="G690" t="str">
            <v>Demitido em Meses Anteriores</v>
          </cell>
          <cell r="H690">
            <v>44694</v>
          </cell>
          <cell r="I690">
            <v>31800</v>
          </cell>
          <cell r="J690" t="str">
            <v>370.163.218-94</v>
          </cell>
          <cell r="K690" t="str">
            <v>134.60202.93.8</v>
          </cell>
          <cell r="L690" t="str">
            <v>Salário Mensal</v>
          </cell>
          <cell r="M690" t="str">
            <v>Empregado (CLT)</v>
          </cell>
        </row>
        <row r="691">
          <cell r="D691" t="str">
            <v>ECOSAMPA Pensionistas</v>
          </cell>
          <cell r="E691">
            <v>43710</v>
          </cell>
          <cell r="F691">
            <v>0.01</v>
          </cell>
          <cell r="G691" t="str">
            <v>Em Atividade Normal</v>
          </cell>
          <cell r="H691">
            <v>43710</v>
          </cell>
          <cell r="J691" t="str">
            <v>260.913.878-47</v>
          </cell>
          <cell r="L691" t="str">
            <v>Nenhuma</v>
          </cell>
          <cell r="M691" t="str">
            <v>Pensionista</v>
          </cell>
        </row>
        <row r="692">
          <cell r="D692" t="str">
            <v>ECOSAMPA M'Boi Mirim</v>
          </cell>
          <cell r="E692">
            <v>43619</v>
          </cell>
          <cell r="F692">
            <v>1603.99</v>
          </cell>
          <cell r="G692" t="str">
            <v>Em Atividade Normal</v>
          </cell>
          <cell r="H692">
            <v>45056</v>
          </cell>
          <cell r="I692">
            <v>29230</v>
          </cell>
          <cell r="J692" t="str">
            <v>267.953.608-81</v>
          </cell>
          <cell r="K692" t="str">
            <v>129.99000.77.6</v>
          </cell>
          <cell r="L692" t="str">
            <v>Salário Mensal</v>
          </cell>
          <cell r="M692" t="str">
            <v>Empregado (CLT)</v>
          </cell>
        </row>
        <row r="693">
          <cell r="D693" t="str">
            <v>ECOSAMPA Operação Geral</v>
          </cell>
          <cell r="E693">
            <v>44967</v>
          </cell>
          <cell r="F693">
            <v>1603.99</v>
          </cell>
          <cell r="G693" t="str">
            <v>Demitido em Meses Anteriores</v>
          </cell>
          <cell r="H693">
            <v>44981</v>
          </cell>
          <cell r="I693">
            <v>30103</v>
          </cell>
          <cell r="J693" t="str">
            <v>393.813.278-74</v>
          </cell>
          <cell r="K693" t="str">
            <v>212.56991.42.4</v>
          </cell>
          <cell r="L693" t="str">
            <v>Salário Mensal</v>
          </cell>
          <cell r="M693" t="str">
            <v>Empregado (CLT)</v>
          </cell>
        </row>
        <row r="694">
          <cell r="D694" t="str">
            <v>ECOSAMPA Parelheiros</v>
          </cell>
          <cell r="E694">
            <v>43617</v>
          </cell>
          <cell r="F694">
            <v>1603.99</v>
          </cell>
          <cell r="G694" t="str">
            <v>Em Atividade Normal</v>
          </cell>
          <cell r="H694">
            <v>45177</v>
          </cell>
          <cell r="I694">
            <v>23856</v>
          </cell>
          <cell r="J694" t="str">
            <v>470.403.944-72</v>
          </cell>
          <cell r="K694" t="str">
            <v>124.49306.27.9</v>
          </cell>
          <cell r="L694" t="str">
            <v>Salário Mensal</v>
          </cell>
          <cell r="M694" t="str">
            <v>Empregado (CLT)</v>
          </cell>
        </row>
        <row r="695">
          <cell r="D695" t="str">
            <v>ECOSAMPA Santo Amaro</v>
          </cell>
          <cell r="E695">
            <v>44567</v>
          </cell>
          <cell r="F695">
            <v>1464.83</v>
          </cell>
          <cell r="G695" t="str">
            <v>Demitido em Meses Anteriores</v>
          </cell>
          <cell r="H695">
            <v>44718</v>
          </cell>
          <cell r="I695">
            <v>36889</v>
          </cell>
          <cell r="J695" t="str">
            <v>456.907.438-36</v>
          </cell>
          <cell r="K695" t="str">
            <v>207.23866.25.7</v>
          </cell>
          <cell r="L695" t="str">
            <v>Salário Mensal</v>
          </cell>
          <cell r="M695" t="str">
            <v>Empregado (CLT)</v>
          </cell>
        </row>
        <row r="696">
          <cell r="D696" t="str">
            <v>ECOSAMPA Santo Amaro</v>
          </cell>
          <cell r="E696">
            <v>43617</v>
          </cell>
          <cell r="F696">
            <v>1603.99</v>
          </cell>
          <cell r="G696" t="str">
            <v>Em Atividade Normal</v>
          </cell>
          <cell r="H696">
            <v>45177</v>
          </cell>
          <cell r="I696">
            <v>19910</v>
          </cell>
          <cell r="J696" t="str">
            <v>055.179.268-00</v>
          </cell>
          <cell r="K696" t="str">
            <v>106.18894.99.0</v>
          </cell>
          <cell r="L696" t="str">
            <v>Salário Mensal</v>
          </cell>
          <cell r="M696" t="str">
            <v>Empregado (CLT)</v>
          </cell>
        </row>
        <row r="697">
          <cell r="D697" t="str">
            <v>ECOSAMPA Santo Amaro</v>
          </cell>
          <cell r="E697">
            <v>43617</v>
          </cell>
          <cell r="F697">
            <v>1231.95</v>
          </cell>
          <cell r="G697" t="str">
            <v>Demitido em Meses Anteriores</v>
          </cell>
          <cell r="H697">
            <v>43704</v>
          </cell>
          <cell r="I697">
            <v>28032</v>
          </cell>
          <cell r="J697" t="str">
            <v>281.301.508-32</v>
          </cell>
          <cell r="K697" t="str">
            <v>124.70221.42.2</v>
          </cell>
          <cell r="L697" t="str">
            <v>Salário Mensal</v>
          </cell>
          <cell r="M697" t="str">
            <v>Empregado (CLT)</v>
          </cell>
        </row>
        <row r="698">
          <cell r="D698" t="str">
            <v>ECOSAMPA Parelheiros</v>
          </cell>
          <cell r="E698">
            <v>43617</v>
          </cell>
          <cell r="F698">
            <v>1523.89</v>
          </cell>
          <cell r="G698" t="str">
            <v>Demitido em Meses Anteriores</v>
          </cell>
          <cell r="H698">
            <v>43801</v>
          </cell>
          <cell r="I698">
            <v>23656</v>
          </cell>
          <cell r="J698" t="str">
            <v>420.678.714-04</v>
          </cell>
          <cell r="K698" t="str">
            <v>121.57346.07.6</v>
          </cell>
          <cell r="L698" t="str">
            <v>Salário Mensal</v>
          </cell>
          <cell r="M698" t="str">
            <v>Empregado (CLT)</v>
          </cell>
        </row>
        <row r="699">
          <cell r="D699" t="str">
            <v>ECOSAMPA Operação Geral</v>
          </cell>
          <cell r="E699">
            <v>43682</v>
          </cell>
          <cell r="F699">
            <v>2600</v>
          </cell>
          <cell r="G699" t="str">
            <v>Demitido em Meses Anteriores</v>
          </cell>
          <cell r="H699">
            <v>43973</v>
          </cell>
          <cell r="I699">
            <v>26899</v>
          </cell>
          <cell r="J699" t="str">
            <v>157.761.768-16</v>
          </cell>
          <cell r="K699" t="str">
            <v>124.25800.91.5</v>
          </cell>
          <cell r="L699" t="str">
            <v>Salário Mensal</v>
          </cell>
          <cell r="M699" t="str">
            <v>Empregado (CLT)</v>
          </cell>
        </row>
        <row r="700">
          <cell r="D700" t="str">
            <v>ECOSAMPA Santo Amaro</v>
          </cell>
          <cell r="E700">
            <v>43617</v>
          </cell>
          <cell r="F700">
            <v>1231.95</v>
          </cell>
          <cell r="G700" t="str">
            <v>Demitido em Meses Anteriores</v>
          </cell>
          <cell r="H700">
            <v>43704</v>
          </cell>
          <cell r="I700">
            <v>24219</v>
          </cell>
          <cell r="J700" t="str">
            <v>380.257.525-34</v>
          </cell>
          <cell r="K700" t="str">
            <v>122.26942.13.2</v>
          </cell>
          <cell r="L700" t="str">
            <v>Salário Mensal</v>
          </cell>
          <cell r="M700" t="str">
            <v>Empregado (CLT)</v>
          </cell>
        </row>
        <row r="701">
          <cell r="D701" t="str">
            <v>ECOSAMPA Operação Geral</v>
          </cell>
          <cell r="E701">
            <v>44872</v>
          </cell>
          <cell r="F701">
            <v>3050.22</v>
          </cell>
          <cell r="G701" t="str">
            <v>Demitido em Meses Anteriores</v>
          </cell>
          <cell r="H701">
            <v>45041</v>
          </cell>
          <cell r="I701">
            <v>21892</v>
          </cell>
          <cell r="J701" t="str">
            <v>010.423.048-74</v>
          </cell>
          <cell r="K701" t="str">
            <v>108.53390.29.8</v>
          </cell>
          <cell r="L701" t="str">
            <v>Salário Mensal</v>
          </cell>
          <cell r="M701" t="str">
            <v>Empregado (CLT)</v>
          </cell>
        </row>
        <row r="702">
          <cell r="D702" t="str">
            <v>ECOSAMPA Santo Amaro</v>
          </cell>
          <cell r="E702">
            <v>43874</v>
          </cell>
          <cell r="F702">
            <v>1603.99</v>
          </cell>
          <cell r="G702" t="str">
            <v>Em Atividade Normal</v>
          </cell>
          <cell r="H702">
            <v>45177</v>
          </cell>
          <cell r="I702">
            <v>28188</v>
          </cell>
          <cell r="J702" t="str">
            <v>302.287.988-17</v>
          </cell>
          <cell r="K702" t="str">
            <v>129.45549.81.8</v>
          </cell>
          <cell r="L702" t="str">
            <v>Salário Mensal</v>
          </cell>
          <cell r="M702" t="str">
            <v>Empregado (CLT)</v>
          </cell>
        </row>
        <row r="703">
          <cell r="D703" t="str">
            <v>ECOSAMPA Pensionistas</v>
          </cell>
          <cell r="E703">
            <v>43880</v>
          </cell>
          <cell r="F703">
            <v>0.01</v>
          </cell>
          <cell r="G703" t="str">
            <v>Em Atividade Normal</v>
          </cell>
          <cell r="H703">
            <v>43880</v>
          </cell>
          <cell r="J703" t="str">
            <v>248.797.248-31</v>
          </cell>
          <cell r="L703" t="str">
            <v>Nenhuma</v>
          </cell>
          <cell r="M703" t="str">
            <v>Pensionista</v>
          </cell>
        </row>
        <row r="704">
          <cell r="D704" t="str">
            <v>ECOSAMPA Operação Geral</v>
          </cell>
          <cell r="E704">
            <v>43811</v>
          </cell>
          <cell r="F704">
            <v>2072.08</v>
          </cell>
          <cell r="G704" t="str">
            <v>Em Atividade Normal</v>
          </cell>
          <cell r="H704">
            <v>44835</v>
          </cell>
          <cell r="I704">
            <v>31869</v>
          </cell>
          <cell r="J704" t="str">
            <v>360.144.408-95</v>
          </cell>
          <cell r="K704" t="str">
            <v>206.57635.45.0</v>
          </cell>
          <cell r="L704" t="str">
            <v>Salário Mensal</v>
          </cell>
          <cell r="M704" t="str">
            <v>Empregado (CLT)</v>
          </cell>
        </row>
        <row r="705">
          <cell r="D705" t="str">
            <v>ECOSAMPA Capela do Socorro</v>
          </cell>
          <cell r="E705">
            <v>43617</v>
          </cell>
          <cell r="F705">
            <v>1603.99</v>
          </cell>
          <cell r="G705" t="str">
            <v>Demitido em Meses Anteriores</v>
          </cell>
          <cell r="H705">
            <v>45026</v>
          </cell>
          <cell r="I705">
            <v>29413</v>
          </cell>
          <cell r="J705" t="str">
            <v>281.520.018-05</v>
          </cell>
          <cell r="K705" t="str">
            <v>131.42495.85.0</v>
          </cell>
          <cell r="L705" t="str">
            <v>Salário Mensal</v>
          </cell>
          <cell r="M705" t="str">
            <v>Empregado (CLT)</v>
          </cell>
        </row>
        <row r="706">
          <cell r="D706" t="str">
            <v>ECOSAMPA M'Boi Mirim</v>
          </cell>
          <cell r="E706">
            <v>43617</v>
          </cell>
          <cell r="F706">
            <v>1603.99</v>
          </cell>
          <cell r="G706" t="str">
            <v>Em Atividade Normal</v>
          </cell>
          <cell r="H706">
            <v>45056</v>
          </cell>
          <cell r="I706">
            <v>27613</v>
          </cell>
          <cell r="J706" t="str">
            <v>261.701.478-90</v>
          </cell>
          <cell r="K706" t="str">
            <v>125.46987.62.5</v>
          </cell>
          <cell r="L706" t="str">
            <v>Salário Mensal</v>
          </cell>
          <cell r="M706" t="str">
            <v>Empregado (CLT)</v>
          </cell>
        </row>
        <row r="707">
          <cell r="D707" t="str">
            <v>ECOSAMPA M'Boi Mirim</v>
          </cell>
          <cell r="E707">
            <v>44567</v>
          </cell>
          <cell r="F707">
            <v>1603.99</v>
          </cell>
          <cell r="G707" t="str">
            <v>Em Atividade Normal</v>
          </cell>
          <cell r="H707">
            <v>45119</v>
          </cell>
          <cell r="I707">
            <v>30134</v>
          </cell>
          <cell r="J707" t="str">
            <v>297.980.798-25</v>
          </cell>
          <cell r="K707" t="str">
            <v>201.66128.14.1</v>
          </cell>
          <cell r="L707" t="str">
            <v>Salário Mensal</v>
          </cell>
          <cell r="M707" t="str">
            <v>Empregado (CLT)</v>
          </cell>
        </row>
        <row r="708">
          <cell r="D708" t="str">
            <v>ECOSAMPA Operação Geral</v>
          </cell>
          <cell r="E708">
            <v>43916</v>
          </cell>
          <cell r="F708">
            <v>1603.99</v>
          </cell>
          <cell r="G708" t="str">
            <v>Demitido em Meses Anteriores</v>
          </cell>
          <cell r="H708">
            <v>45062</v>
          </cell>
          <cell r="I708">
            <v>37038</v>
          </cell>
          <cell r="J708" t="str">
            <v>460.896.728-23</v>
          </cell>
          <cell r="K708" t="str">
            <v>161.35054.72.5</v>
          </cell>
          <cell r="L708" t="str">
            <v>Salário Mensal</v>
          </cell>
          <cell r="M708" t="str">
            <v>Empregado (CLT)</v>
          </cell>
        </row>
        <row r="709">
          <cell r="D709" t="str">
            <v>ECOSAMPA Operação Geral</v>
          </cell>
          <cell r="E709">
            <v>43617</v>
          </cell>
          <cell r="F709">
            <v>3050.22</v>
          </cell>
          <cell r="G709" t="str">
            <v>Em Atividade Normal</v>
          </cell>
          <cell r="H709">
            <v>44960</v>
          </cell>
          <cell r="I709">
            <v>29901</v>
          </cell>
          <cell r="J709" t="str">
            <v>020.454.885-35</v>
          </cell>
          <cell r="K709" t="str">
            <v>160.94735.90.1</v>
          </cell>
          <cell r="L709" t="str">
            <v>Salário Mensal</v>
          </cell>
          <cell r="M709" t="str">
            <v>Empregado (CLT)</v>
          </cell>
        </row>
        <row r="710">
          <cell r="D710" t="str">
            <v>ECOSAMPA Parelheiros</v>
          </cell>
          <cell r="E710">
            <v>43617</v>
          </cell>
          <cell r="F710">
            <v>1281.23</v>
          </cell>
          <cell r="G710" t="str">
            <v>Demitido em Meses Anteriores</v>
          </cell>
          <cell r="H710">
            <v>43802</v>
          </cell>
          <cell r="I710">
            <v>22620</v>
          </cell>
          <cell r="J710" t="str">
            <v>047.070.418-76</v>
          </cell>
          <cell r="K710" t="str">
            <v>120.09674.73.3</v>
          </cell>
          <cell r="L710" t="str">
            <v>Salário Mensal</v>
          </cell>
          <cell r="M710" t="str">
            <v>Empregado (CLT)</v>
          </cell>
        </row>
        <row r="711">
          <cell r="D711" t="str">
            <v>ECOSAMPA Parelheiros</v>
          </cell>
          <cell r="E711">
            <v>43617</v>
          </cell>
          <cell r="F711">
            <v>1603.99</v>
          </cell>
          <cell r="G711" t="str">
            <v>Demitido em Meses Anteriores</v>
          </cell>
          <cell r="H711">
            <v>45061</v>
          </cell>
          <cell r="I711">
            <v>26216</v>
          </cell>
          <cell r="J711" t="str">
            <v>777.697.834-53</v>
          </cell>
          <cell r="K711" t="str">
            <v>212.52598.81.7</v>
          </cell>
          <cell r="L711" t="str">
            <v>Salário Mensal</v>
          </cell>
          <cell r="M711" t="str">
            <v>Empregado (CLT)</v>
          </cell>
        </row>
        <row r="712">
          <cell r="D712" t="str">
            <v>ECOSAMPA Santo Amaro</v>
          </cell>
          <cell r="E712">
            <v>43617</v>
          </cell>
          <cell r="F712">
            <v>1603.99</v>
          </cell>
          <cell r="G712" t="str">
            <v>Em Atividade Normal</v>
          </cell>
          <cell r="H712">
            <v>45023</v>
          </cell>
          <cell r="I712">
            <v>28973</v>
          </cell>
          <cell r="J712" t="str">
            <v>264.571.128-62</v>
          </cell>
          <cell r="K712" t="str">
            <v>125.55412.69.9</v>
          </cell>
          <cell r="L712" t="str">
            <v>Salário Mensal</v>
          </cell>
          <cell r="M712" t="str">
            <v>Empregado (CLT)</v>
          </cell>
        </row>
        <row r="713">
          <cell r="D713" t="str">
            <v>ECOSAMPA Operação Geral</v>
          </cell>
          <cell r="E713">
            <v>43617</v>
          </cell>
          <cell r="F713">
            <v>3050.22</v>
          </cell>
          <cell r="G713" t="str">
            <v>Em Atividade Normal</v>
          </cell>
          <cell r="H713">
            <v>45149</v>
          </cell>
          <cell r="I713">
            <v>21885</v>
          </cell>
          <cell r="J713" t="str">
            <v>032.392.448-45</v>
          </cell>
          <cell r="K713" t="str">
            <v>106.09274.83.7</v>
          </cell>
          <cell r="L713" t="str">
            <v>Salário Mensal</v>
          </cell>
          <cell r="M713" t="str">
            <v>Empregado (CLT)</v>
          </cell>
        </row>
        <row r="714">
          <cell r="D714" t="str">
            <v>ECOSAMPA Santo Amaro</v>
          </cell>
          <cell r="E714">
            <v>43617</v>
          </cell>
          <cell r="F714">
            <v>1603.99</v>
          </cell>
          <cell r="G714" t="str">
            <v>Em Atividade Normal</v>
          </cell>
          <cell r="H714">
            <v>45086</v>
          </cell>
          <cell r="I714">
            <v>21384</v>
          </cell>
          <cell r="J714" t="str">
            <v>010.190.328-63</v>
          </cell>
          <cell r="K714" t="str">
            <v>108.32482.62.2</v>
          </cell>
          <cell r="L714" t="str">
            <v>Salário Mensal</v>
          </cell>
          <cell r="M714" t="str">
            <v>Empregado (CLT)</v>
          </cell>
        </row>
        <row r="715">
          <cell r="D715" t="str">
            <v>ECOSAMPA Santo Amaro</v>
          </cell>
          <cell r="E715">
            <v>43617</v>
          </cell>
          <cell r="F715">
            <v>1603.99</v>
          </cell>
          <cell r="G715" t="str">
            <v>Em Atividade Normal</v>
          </cell>
          <cell r="H715">
            <v>44776</v>
          </cell>
          <cell r="I715">
            <v>24749</v>
          </cell>
          <cell r="J715" t="str">
            <v>135.155.758-04</v>
          </cell>
          <cell r="K715" t="str">
            <v>123.59541.37.6</v>
          </cell>
          <cell r="L715" t="str">
            <v>Salário Mensal</v>
          </cell>
          <cell r="M715" t="str">
            <v>Empregado (CLT)</v>
          </cell>
        </row>
        <row r="716">
          <cell r="D716" t="str">
            <v>ECOSAMPA M'Boi Mirim</v>
          </cell>
          <cell r="E716">
            <v>43617</v>
          </cell>
          <cell r="F716">
            <v>3222.08</v>
          </cell>
          <cell r="G716" t="str">
            <v>Em Atividade Normal</v>
          </cell>
          <cell r="H716">
            <v>45149</v>
          </cell>
          <cell r="I716">
            <v>30855</v>
          </cell>
          <cell r="J716" t="str">
            <v>384.356.708-56</v>
          </cell>
          <cell r="K716" t="str">
            <v>135.37797.77.9</v>
          </cell>
          <cell r="L716" t="str">
            <v>Salário Mensal</v>
          </cell>
          <cell r="M716" t="str">
            <v>Empregado (CLT)</v>
          </cell>
        </row>
        <row r="717">
          <cell r="D717" t="str">
            <v>ECOSAMPA Santo Amaro</v>
          </cell>
          <cell r="E717">
            <v>43617</v>
          </cell>
          <cell r="F717">
            <v>1603.99</v>
          </cell>
          <cell r="G717" t="str">
            <v>Demitido em Meses Anteriores</v>
          </cell>
          <cell r="H717">
            <v>44936</v>
          </cell>
          <cell r="I717">
            <v>33564</v>
          </cell>
          <cell r="J717" t="str">
            <v>412.797.658-60</v>
          </cell>
          <cell r="K717" t="str">
            <v>204.28937.95.5</v>
          </cell>
          <cell r="L717" t="str">
            <v>Salário Mensal</v>
          </cell>
          <cell r="M717" t="str">
            <v>Empregado (CLT)</v>
          </cell>
        </row>
        <row r="718">
          <cell r="D718" t="str">
            <v>ECOSAMPA Operação Geral</v>
          </cell>
          <cell r="E718">
            <v>44972</v>
          </cell>
          <cell r="F718">
            <v>1603.99</v>
          </cell>
          <cell r="G718" t="str">
            <v>Demitido em Meses Anteriores</v>
          </cell>
          <cell r="H718">
            <v>44986</v>
          </cell>
          <cell r="I718">
            <v>35184</v>
          </cell>
          <cell r="J718" t="str">
            <v>429.382.238-03</v>
          </cell>
          <cell r="K718" t="str">
            <v>212.65091.53.8</v>
          </cell>
          <cell r="L718" t="str">
            <v>Salário Mensal</v>
          </cell>
          <cell r="M718" t="str">
            <v>Empregado (CLT)</v>
          </cell>
        </row>
        <row r="719">
          <cell r="D719" t="str">
            <v>ECOSAMPA Operação Geral</v>
          </cell>
          <cell r="E719">
            <v>43916</v>
          </cell>
          <cell r="F719">
            <v>2610.2399999999998</v>
          </cell>
          <cell r="G719" t="str">
            <v>Em Atividade Normal</v>
          </cell>
          <cell r="H719">
            <v>44930</v>
          </cell>
          <cell r="I719">
            <v>34059</v>
          </cell>
          <cell r="J719" t="str">
            <v>414.837.698-79</v>
          </cell>
          <cell r="K719" t="str">
            <v>161.14199.88.0</v>
          </cell>
          <cell r="L719" t="str">
            <v>Salário Mensal</v>
          </cell>
          <cell r="M719" t="str">
            <v>Empregado (CLT)</v>
          </cell>
        </row>
        <row r="720">
          <cell r="D720" t="str">
            <v>ECOSAMPA Santo Amaro</v>
          </cell>
          <cell r="E720">
            <v>44725</v>
          </cell>
          <cell r="F720">
            <v>1603.99</v>
          </cell>
          <cell r="G720" t="str">
            <v>Demitido no Mês</v>
          </cell>
          <cell r="H720">
            <v>45194</v>
          </cell>
          <cell r="I720">
            <v>37820</v>
          </cell>
          <cell r="J720" t="str">
            <v>528.609.688-30</v>
          </cell>
          <cell r="K720" t="str">
            <v>137.06534.69.9</v>
          </cell>
          <cell r="L720" t="str">
            <v>Salário Mensal</v>
          </cell>
          <cell r="M720" t="str">
            <v>Empregado (CLT)</v>
          </cell>
        </row>
        <row r="721">
          <cell r="D721" t="str">
            <v>ECOSAMPA Santo Amaro</v>
          </cell>
          <cell r="E721">
            <v>45180</v>
          </cell>
          <cell r="F721">
            <v>1603.99</v>
          </cell>
          <cell r="G721" t="str">
            <v>Em Atividade Normal</v>
          </cell>
          <cell r="H721">
            <v>45180</v>
          </cell>
          <cell r="I721">
            <v>25580</v>
          </cell>
          <cell r="J721" t="str">
            <v>544.406.535-53</v>
          </cell>
          <cell r="K721" t="str">
            <v>116.90921.18.2</v>
          </cell>
          <cell r="L721" t="str">
            <v>Salário Mensal</v>
          </cell>
          <cell r="M721" t="str">
            <v>Empregado (CLT)</v>
          </cell>
        </row>
        <row r="722">
          <cell r="D722" t="str">
            <v>ECOSAMPA Santo Amaro</v>
          </cell>
          <cell r="E722">
            <v>43811</v>
          </cell>
          <cell r="F722">
            <v>1603.99</v>
          </cell>
          <cell r="G722" t="str">
            <v>Em Atividade Normal</v>
          </cell>
          <cell r="H722">
            <v>45177</v>
          </cell>
          <cell r="I722">
            <v>24957</v>
          </cell>
          <cell r="J722" t="str">
            <v>330.427.723-49</v>
          </cell>
          <cell r="K722" t="str">
            <v>123.35949.47.2</v>
          </cell>
          <cell r="L722" t="str">
            <v>Salário Mensal</v>
          </cell>
          <cell r="M722" t="str">
            <v>Empregado (CLT)</v>
          </cell>
        </row>
        <row r="723">
          <cell r="D723" t="str">
            <v>ECOSAMPA Operação Geral</v>
          </cell>
          <cell r="E723">
            <v>43617</v>
          </cell>
          <cell r="F723">
            <v>1952.99</v>
          </cell>
          <cell r="G723" t="str">
            <v>Em Atividade Normal</v>
          </cell>
          <cell r="H723">
            <v>45028</v>
          </cell>
          <cell r="I723">
            <v>34786</v>
          </cell>
          <cell r="J723" t="str">
            <v>427.411.698-02</v>
          </cell>
          <cell r="K723" t="str">
            <v>207.23866.26.5</v>
          </cell>
          <cell r="L723" t="str">
            <v>Salário Mensal</v>
          </cell>
          <cell r="M723" t="str">
            <v>Empregado (CLT)</v>
          </cell>
        </row>
        <row r="724">
          <cell r="D724" t="str">
            <v>ECOSAMPA Capela do Socorro</v>
          </cell>
          <cell r="E724">
            <v>43617</v>
          </cell>
          <cell r="F724">
            <v>1281.23</v>
          </cell>
          <cell r="G724" t="str">
            <v>Demitido em Meses Anteriores</v>
          </cell>
          <cell r="H724">
            <v>44070</v>
          </cell>
          <cell r="I724">
            <v>35477</v>
          </cell>
          <cell r="J724" t="str">
            <v>442.963.848-99</v>
          </cell>
          <cell r="K724" t="str">
            <v>201.40124.21.1</v>
          </cell>
          <cell r="L724" t="str">
            <v>Salário Mensal</v>
          </cell>
          <cell r="M724" t="str">
            <v>Empregado (CLT)</v>
          </cell>
        </row>
        <row r="725">
          <cell r="D725" t="str">
            <v>ECOSAMPA Operação Geral</v>
          </cell>
          <cell r="E725">
            <v>45117</v>
          </cell>
          <cell r="F725">
            <v>1603.99</v>
          </cell>
          <cell r="G725" t="str">
            <v>Em Atividade Normal</v>
          </cell>
          <cell r="H725">
            <v>45117</v>
          </cell>
          <cell r="I725">
            <v>35408</v>
          </cell>
          <cell r="J725" t="str">
            <v>473.901.128-08</v>
          </cell>
          <cell r="K725" t="str">
            <v>212.80635.78.0</v>
          </cell>
          <cell r="L725" t="str">
            <v>Salário Mensal</v>
          </cell>
          <cell r="M725" t="str">
            <v>Empregado (CLT)</v>
          </cell>
        </row>
        <row r="726">
          <cell r="D726" t="str">
            <v>ECOSAMPA Operação Geral</v>
          </cell>
          <cell r="E726">
            <v>43617</v>
          </cell>
          <cell r="F726">
            <v>3050.22</v>
          </cell>
          <cell r="G726" t="str">
            <v>Em Atividade Normal</v>
          </cell>
          <cell r="H726">
            <v>44835</v>
          </cell>
          <cell r="I726">
            <v>30342</v>
          </cell>
          <cell r="J726" t="str">
            <v>327.294.208-43</v>
          </cell>
          <cell r="K726" t="str">
            <v>131.87212.77.7</v>
          </cell>
          <cell r="L726" t="str">
            <v>Salário Mensal</v>
          </cell>
          <cell r="M726" t="str">
            <v>Empregado (CLT)</v>
          </cell>
        </row>
        <row r="727">
          <cell r="D727" t="str">
            <v>ECOSAMPA M'Boi Mirim</v>
          </cell>
          <cell r="E727">
            <v>43817</v>
          </cell>
          <cell r="F727">
            <v>1603.99</v>
          </cell>
          <cell r="G727" t="str">
            <v>Em Atividade Normal</v>
          </cell>
          <cell r="H727">
            <v>44867</v>
          </cell>
          <cell r="I727">
            <v>27664</v>
          </cell>
          <cell r="J727" t="str">
            <v>256.211.758-16</v>
          </cell>
          <cell r="K727" t="str">
            <v>209.59983.40.0</v>
          </cell>
          <cell r="L727" t="str">
            <v>Salário Mensal</v>
          </cell>
          <cell r="M727" t="str">
            <v>Empregado (CLT)</v>
          </cell>
        </row>
        <row r="728">
          <cell r="D728" t="str">
            <v>ECOSAMPA M'Boi Mirim</v>
          </cell>
          <cell r="E728">
            <v>44018</v>
          </cell>
          <cell r="F728">
            <v>1319.67</v>
          </cell>
          <cell r="G728" t="str">
            <v>Demitido em Meses Anteriores</v>
          </cell>
          <cell r="H728">
            <v>44244</v>
          </cell>
          <cell r="I728">
            <v>30656</v>
          </cell>
          <cell r="J728" t="str">
            <v>226.925.818-57</v>
          </cell>
          <cell r="K728" t="str">
            <v>201.15351.27.7</v>
          </cell>
          <cell r="L728" t="str">
            <v>Salário Mensal</v>
          </cell>
          <cell r="M728" t="str">
            <v>Empregado (CLT)</v>
          </cell>
        </row>
        <row r="729">
          <cell r="D729" t="str">
            <v>ECOSAMPA Operação Geral</v>
          </cell>
          <cell r="E729">
            <v>43617</v>
          </cell>
          <cell r="F729">
            <v>3050.22</v>
          </cell>
          <cell r="G729" t="str">
            <v>Em Atividade Normal</v>
          </cell>
          <cell r="H729">
            <v>44898</v>
          </cell>
          <cell r="I729">
            <v>30635</v>
          </cell>
          <cell r="J729" t="str">
            <v>326.489.738-50</v>
          </cell>
          <cell r="K729" t="str">
            <v>132.05230.85.9</v>
          </cell>
          <cell r="L729" t="str">
            <v>Salário Mensal</v>
          </cell>
          <cell r="M729" t="str">
            <v>Empregado (CLT)</v>
          </cell>
        </row>
        <row r="730">
          <cell r="D730" t="str">
            <v>ECOSAMPA Santo Amaro</v>
          </cell>
          <cell r="E730">
            <v>43617</v>
          </cell>
          <cell r="F730">
            <v>1603.99</v>
          </cell>
          <cell r="G730" t="str">
            <v>Em Atividade Normal</v>
          </cell>
          <cell r="H730">
            <v>44989</v>
          </cell>
          <cell r="I730">
            <v>30999</v>
          </cell>
          <cell r="J730" t="str">
            <v>336.552.038-45</v>
          </cell>
          <cell r="K730" t="str">
            <v>130.28567.85.6</v>
          </cell>
          <cell r="L730" t="str">
            <v>Salário Mensal</v>
          </cell>
          <cell r="M730" t="str">
            <v>Empregado (CLT)</v>
          </cell>
        </row>
        <row r="731">
          <cell r="D731" t="str">
            <v>ECOSAMPA Campo Limpo</v>
          </cell>
          <cell r="E731">
            <v>43617</v>
          </cell>
          <cell r="F731">
            <v>1603.99</v>
          </cell>
          <cell r="G731" t="str">
            <v>Demitido em Meses Anteriores</v>
          </cell>
          <cell r="H731">
            <v>44903</v>
          </cell>
          <cell r="I731">
            <v>30955</v>
          </cell>
          <cell r="J731" t="str">
            <v>239.896.518-03</v>
          </cell>
          <cell r="K731" t="str">
            <v>143.03736.91.7</v>
          </cell>
          <cell r="L731" t="str">
            <v>Salário Mensal</v>
          </cell>
          <cell r="M731" t="str">
            <v>Empregado (CLT)</v>
          </cell>
        </row>
        <row r="732">
          <cell r="D732" t="str">
            <v>ECOSAMPA Operação Geral</v>
          </cell>
          <cell r="E732">
            <v>43930</v>
          </cell>
          <cell r="F732">
            <v>1319.67</v>
          </cell>
          <cell r="G732" t="str">
            <v>Demitido em Meses Anteriores</v>
          </cell>
          <cell r="H732">
            <v>44207</v>
          </cell>
          <cell r="I732">
            <v>33690</v>
          </cell>
          <cell r="J732" t="str">
            <v>430.231.958-54</v>
          </cell>
          <cell r="K732" t="str">
            <v>201.71874.67.0</v>
          </cell>
          <cell r="L732" t="str">
            <v>Salário Mensal</v>
          </cell>
          <cell r="M732" t="str">
            <v>Empregado (CLT)</v>
          </cell>
        </row>
        <row r="733">
          <cell r="D733" t="str">
            <v>ECOSAMPA Operação Geral</v>
          </cell>
          <cell r="E733">
            <v>43617</v>
          </cell>
          <cell r="F733">
            <v>1907.79</v>
          </cell>
          <cell r="G733" t="str">
            <v>Em Atividade Normal</v>
          </cell>
          <cell r="H733">
            <v>44898</v>
          </cell>
          <cell r="I733">
            <v>29735</v>
          </cell>
          <cell r="J733" t="str">
            <v>050.388.094-99</v>
          </cell>
          <cell r="K733" t="str">
            <v>130.03102.45.0</v>
          </cell>
          <cell r="L733" t="str">
            <v>Salário Mensal</v>
          </cell>
          <cell r="M733" t="str">
            <v>Empregado (CLT)</v>
          </cell>
        </row>
        <row r="734">
          <cell r="D734" t="str">
            <v>ECOSAMPA Santo Amaro</v>
          </cell>
          <cell r="E734">
            <v>43617</v>
          </cell>
          <cell r="F734">
            <v>1603.99</v>
          </cell>
          <cell r="G734" t="str">
            <v>Em Atividade Normal</v>
          </cell>
          <cell r="H734">
            <v>44930</v>
          </cell>
          <cell r="I734">
            <v>30006</v>
          </cell>
          <cell r="J734" t="str">
            <v>397.917.238-42</v>
          </cell>
          <cell r="K734" t="str">
            <v>201.15181.19.3</v>
          </cell>
          <cell r="L734" t="str">
            <v>Salário Mensal</v>
          </cell>
          <cell r="M734" t="str">
            <v>Empregado (CLT)</v>
          </cell>
        </row>
        <row r="735">
          <cell r="D735" t="str">
            <v>ECOSAMPA Capela do Socorro</v>
          </cell>
          <cell r="E735">
            <v>43617</v>
          </cell>
          <cell r="F735">
            <v>1603.99</v>
          </cell>
          <cell r="G735" t="str">
            <v>Em Atividade Normal</v>
          </cell>
          <cell r="H735">
            <v>45056</v>
          </cell>
          <cell r="I735">
            <v>31440</v>
          </cell>
          <cell r="J735" t="str">
            <v>351.662.778-64</v>
          </cell>
          <cell r="K735" t="str">
            <v>209.79796.34.7</v>
          </cell>
          <cell r="L735" t="str">
            <v>Salário Mensal</v>
          </cell>
          <cell r="M735" t="str">
            <v>Empregado (CLT)</v>
          </cell>
        </row>
        <row r="736">
          <cell r="D736" t="str">
            <v>ECOSAMPA Operação Geral</v>
          </cell>
          <cell r="E736">
            <v>43804</v>
          </cell>
          <cell r="F736">
            <v>1603.99</v>
          </cell>
          <cell r="G736" t="str">
            <v>Em Atividade Normal</v>
          </cell>
          <cell r="H736">
            <v>45149</v>
          </cell>
          <cell r="I736">
            <v>30060</v>
          </cell>
          <cell r="J736" t="str">
            <v>930.877.053-49</v>
          </cell>
          <cell r="K736" t="str">
            <v>160.39912.25.2</v>
          </cell>
          <cell r="L736" t="str">
            <v>Salário Mensal</v>
          </cell>
          <cell r="M736" t="str">
            <v>Empregado (CLT)</v>
          </cell>
        </row>
        <row r="737">
          <cell r="D737" t="str">
            <v>ECOSAMPA Operação Geral</v>
          </cell>
          <cell r="E737">
            <v>44018</v>
          </cell>
          <cell r="F737">
            <v>1464.83</v>
          </cell>
          <cell r="G737" t="str">
            <v>Demitido em Meses Anteriores</v>
          </cell>
          <cell r="H737">
            <v>44743</v>
          </cell>
          <cell r="I737">
            <v>34832</v>
          </cell>
          <cell r="J737" t="str">
            <v>461.911.398-02</v>
          </cell>
          <cell r="K737" t="str">
            <v>151.60478.84.5</v>
          </cell>
          <cell r="L737" t="str">
            <v>Salário Mensal</v>
          </cell>
          <cell r="M737" t="str">
            <v>Empregado (CLT)</v>
          </cell>
        </row>
        <row r="738">
          <cell r="D738" t="str">
            <v>ECOSAMPA M'Boi Mirim</v>
          </cell>
          <cell r="E738">
            <v>44368</v>
          </cell>
          <cell r="F738">
            <v>1603.99</v>
          </cell>
          <cell r="G738" t="str">
            <v>Em Atividade Normal</v>
          </cell>
          <cell r="H738">
            <v>45177</v>
          </cell>
          <cell r="I738">
            <v>37196</v>
          </cell>
          <cell r="J738" t="str">
            <v>140.463.107-07</v>
          </cell>
          <cell r="K738" t="str">
            <v>201.15207.05.2</v>
          </cell>
          <cell r="L738" t="str">
            <v>Salário Mensal</v>
          </cell>
          <cell r="M738" t="str">
            <v>Empregado (CLT)</v>
          </cell>
        </row>
        <row r="739">
          <cell r="D739" t="str">
            <v>ECOSAMPA Pensionistas</v>
          </cell>
          <cell r="E739">
            <v>44456</v>
          </cell>
          <cell r="F739">
            <v>0.01</v>
          </cell>
          <cell r="G739" t="str">
            <v>Em Atividade Normal</v>
          </cell>
          <cell r="H739">
            <v>44456</v>
          </cell>
          <cell r="J739" t="str">
            <v>375.960.768-31</v>
          </cell>
          <cell r="L739" t="str">
            <v>Nenhuma</v>
          </cell>
          <cell r="M739" t="str">
            <v>Pensionista</v>
          </cell>
        </row>
        <row r="740">
          <cell r="D740" t="str">
            <v>ECOSAMPA Operação Geral</v>
          </cell>
          <cell r="E740">
            <v>43617</v>
          </cell>
          <cell r="F740">
            <v>1952.99</v>
          </cell>
          <cell r="G740" t="str">
            <v>Em Atividade Normal</v>
          </cell>
          <cell r="H740">
            <v>44898</v>
          </cell>
          <cell r="I740">
            <v>31986</v>
          </cell>
          <cell r="J740" t="str">
            <v>345.577.058-47</v>
          </cell>
          <cell r="K740" t="str">
            <v>132.61466.89.7</v>
          </cell>
          <cell r="L740" t="str">
            <v>Salário Mensal</v>
          </cell>
          <cell r="M740" t="str">
            <v>Empregado (CLT)</v>
          </cell>
        </row>
        <row r="741">
          <cell r="D741" t="str">
            <v>ECOSAMPA Santo Amaro</v>
          </cell>
          <cell r="E741">
            <v>43874</v>
          </cell>
          <cell r="F741">
            <v>1603.99</v>
          </cell>
          <cell r="G741" t="str">
            <v>Demitido em Meses Anteriores</v>
          </cell>
          <cell r="H741">
            <v>45026</v>
          </cell>
          <cell r="I741">
            <v>31226</v>
          </cell>
          <cell r="J741" t="str">
            <v>413.792.718-94</v>
          </cell>
          <cell r="K741" t="str">
            <v>138.26038.81.8</v>
          </cell>
          <cell r="L741" t="str">
            <v>Salário Mensal</v>
          </cell>
          <cell r="M741" t="str">
            <v>Empregado (CLT)</v>
          </cell>
        </row>
        <row r="742">
          <cell r="D742" t="str">
            <v>ECOSAMPA Santo Amaro</v>
          </cell>
          <cell r="E742">
            <v>43874</v>
          </cell>
          <cell r="F742">
            <v>1603.99</v>
          </cell>
          <cell r="G742" t="str">
            <v>Em Atividade Normal</v>
          </cell>
          <cell r="H742">
            <v>44898</v>
          </cell>
          <cell r="I742">
            <v>32100</v>
          </cell>
          <cell r="J742" t="str">
            <v>355.047.698-17</v>
          </cell>
          <cell r="K742" t="str">
            <v>206.86060.87.8</v>
          </cell>
          <cell r="L742" t="str">
            <v>Salário Mensal</v>
          </cell>
          <cell r="M742" t="str">
            <v>Empregado (CLT)</v>
          </cell>
        </row>
        <row r="743">
          <cell r="D743" t="str">
            <v>ECOSAMPA Santo Amaro</v>
          </cell>
          <cell r="E743">
            <v>44725</v>
          </cell>
          <cell r="F743">
            <v>1603.99</v>
          </cell>
          <cell r="G743" t="str">
            <v>Gozando Férias</v>
          </cell>
          <cell r="H743">
            <v>45180</v>
          </cell>
          <cell r="I743">
            <v>30319</v>
          </cell>
          <cell r="J743" t="str">
            <v>330.713.168-01</v>
          </cell>
          <cell r="K743" t="str">
            <v>201.63774.58.1</v>
          </cell>
          <cell r="L743" t="str">
            <v>Salário Mensal</v>
          </cell>
          <cell r="M743" t="str">
            <v>Empregado (CLT)</v>
          </cell>
        </row>
        <row r="744">
          <cell r="D744" t="str">
            <v>ECOSAMPA M'Boi Mirim</v>
          </cell>
          <cell r="E744">
            <v>43906</v>
          </cell>
          <cell r="F744">
            <v>1704.78</v>
          </cell>
          <cell r="G744" t="str">
            <v>Demitido em Meses Anteriores</v>
          </cell>
          <cell r="H744">
            <v>44147</v>
          </cell>
          <cell r="I744">
            <v>28217</v>
          </cell>
          <cell r="J744" t="str">
            <v>189.656.028-82</v>
          </cell>
          <cell r="K744" t="str">
            <v>124.87919.05.3</v>
          </cell>
          <cell r="L744" t="str">
            <v>Salário Mensal</v>
          </cell>
          <cell r="M744" t="str">
            <v>Empregado (CLT)</v>
          </cell>
        </row>
        <row r="745">
          <cell r="D745" t="str">
            <v>ECOSAMPA Santo Amaro</v>
          </cell>
          <cell r="E745">
            <v>43617</v>
          </cell>
          <cell r="F745">
            <v>1281.23</v>
          </cell>
          <cell r="G745" t="str">
            <v>Demitido em Meses Anteriores</v>
          </cell>
          <cell r="H745">
            <v>43895</v>
          </cell>
          <cell r="I745">
            <v>31688</v>
          </cell>
          <cell r="J745" t="str">
            <v>018.091.165-11</v>
          </cell>
          <cell r="K745" t="str">
            <v>160.53176.14.2</v>
          </cell>
          <cell r="L745" t="str">
            <v>Salário Mensal</v>
          </cell>
          <cell r="M745" t="str">
            <v>Empregado (CLT)</v>
          </cell>
        </row>
        <row r="746">
          <cell r="D746" t="str">
            <v>ECOSAMPA Campo Limpo</v>
          </cell>
          <cell r="E746">
            <v>43617</v>
          </cell>
          <cell r="F746">
            <v>1464.83</v>
          </cell>
          <cell r="G746" t="str">
            <v>Demitido em Meses Anteriores</v>
          </cell>
          <cell r="H746">
            <v>44505</v>
          </cell>
          <cell r="I746">
            <v>35885</v>
          </cell>
          <cell r="J746" t="str">
            <v>230.685.708-32</v>
          </cell>
          <cell r="K746" t="str">
            <v>203.22394.48.6</v>
          </cell>
          <cell r="L746" t="str">
            <v>Salário Mensal</v>
          </cell>
          <cell r="M746" t="str">
            <v>Empregado (CLT)</v>
          </cell>
        </row>
        <row r="747">
          <cell r="D747" t="str">
            <v>ECOSAMPA M'Boi Mirim</v>
          </cell>
          <cell r="E747">
            <v>43617</v>
          </cell>
          <cell r="F747">
            <v>1464.83</v>
          </cell>
          <cell r="G747" t="str">
            <v>Demitido em Meses Anteriores</v>
          </cell>
          <cell r="H747">
            <v>44827</v>
          </cell>
          <cell r="I747">
            <v>26573</v>
          </cell>
          <cell r="J747" t="str">
            <v>181.224.878-40</v>
          </cell>
          <cell r="K747" t="str">
            <v>124.87620.94.5</v>
          </cell>
          <cell r="L747" t="str">
            <v>Salário Mensal</v>
          </cell>
          <cell r="M747" t="str">
            <v>Empregado (CLT)</v>
          </cell>
        </row>
        <row r="748">
          <cell r="D748" t="str">
            <v>ECOSAMPA Santo Amaro</v>
          </cell>
          <cell r="E748">
            <v>43617</v>
          </cell>
          <cell r="F748">
            <v>1907.79</v>
          </cell>
          <cell r="G748" t="str">
            <v>Em Atividade Normal</v>
          </cell>
          <cell r="H748">
            <v>45119</v>
          </cell>
          <cell r="I748">
            <v>32951</v>
          </cell>
          <cell r="J748" t="str">
            <v>405.935.308-61</v>
          </cell>
          <cell r="K748" t="str">
            <v>204.28921.24.2</v>
          </cell>
          <cell r="L748" t="str">
            <v>Salário Mensal</v>
          </cell>
          <cell r="M748" t="str">
            <v>Empregado (CLT)</v>
          </cell>
        </row>
        <row r="749">
          <cell r="D749" t="str">
            <v>ECOSAMPA Operação Geral</v>
          </cell>
          <cell r="E749">
            <v>43623</v>
          </cell>
          <cell r="F749">
            <v>4947.5600000000004</v>
          </cell>
          <cell r="G749" t="str">
            <v>Em Atividade Normal</v>
          </cell>
          <cell r="H749">
            <v>45177</v>
          </cell>
          <cell r="I749">
            <v>35237</v>
          </cell>
          <cell r="J749" t="str">
            <v>459.650.958-13</v>
          </cell>
          <cell r="K749" t="str">
            <v>161.07043.89.7</v>
          </cell>
          <cell r="L749" t="str">
            <v>Salário Mensal</v>
          </cell>
          <cell r="M749" t="str">
            <v>Empregado (CLT)</v>
          </cell>
        </row>
        <row r="750">
          <cell r="D750" t="str">
            <v>ECOSAMPA M'Boi Mirim</v>
          </cell>
          <cell r="E750">
            <v>43617</v>
          </cell>
          <cell r="F750">
            <v>1603.99</v>
          </cell>
          <cell r="G750" t="str">
            <v>Em Atividade Normal</v>
          </cell>
          <cell r="H750">
            <v>44806</v>
          </cell>
          <cell r="I750">
            <v>32690</v>
          </cell>
          <cell r="J750" t="str">
            <v>094.322.834-45</v>
          </cell>
          <cell r="K750" t="str">
            <v>160.12486.33.3</v>
          </cell>
          <cell r="L750" t="str">
            <v>Salário Mensal</v>
          </cell>
          <cell r="M750" t="str">
            <v>Empregado (CLT)</v>
          </cell>
        </row>
        <row r="751">
          <cell r="D751" t="str">
            <v>ECOSAMPA Operação Geral</v>
          </cell>
          <cell r="E751">
            <v>43617</v>
          </cell>
          <cell r="F751">
            <v>3050.22</v>
          </cell>
          <cell r="G751" t="str">
            <v>Em Atividade Normal</v>
          </cell>
          <cell r="H751">
            <v>44930</v>
          </cell>
          <cell r="I751">
            <v>25419</v>
          </cell>
          <cell r="J751" t="str">
            <v>686.912.974-68</v>
          </cell>
          <cell r="K751" t="str">
            <v>123.66104.37.7</v>
          </cell>
          <cell r="L751" t="str">
            <v>Salário Mensal</v>
          </cell>
          <cell r="M751" t="str">
            <v>Empregado (CLT)</v>
          </cell>
        </row>
        <row r="752">
          <cell r="D752" t="str">
            <v>ECOSAMPA Campo Limpo</v>
          </cell>
          <cell r="E752">
            <v>43617</v>
          </cell>
          <cell r="F752">
            <v>1603.99</v>
          </cell>
          <cell r="G752" t="str">
            <v>Em Atividade Normal</v>
          </cell>
          <cell r="H752">
            <v>44835</v>
          </cell>
          <cell r="I752">
            <v>31725</v>
          </cell>
          <cell r="J752" t="str">
            <v>048.381.715-52</v>
          </cell>
          <cell r="K752" t="str">
            <v>161.07977.82.2</v>
          </cell>
          <cell r="L752" t="str">
            <v>Salário Mensal</v>
          </cell>
          <cell r="M752" t="str">
            <v>Empregado (CLT)</v>
          </cell>
        </row>
        <row r="753">
          <cell r="D753" t="str">
            <v>ECOSAMPA Capela do Socorro</v>
          </cell>
          <cell r="E753">
            <v>43617</v>
          </cell>
          <cell r="F753">
            <v>1907.79</v>
          </cell>
          <cell r="G753" t="str">
            <v>Em Atividade Normal</v>
          </cell>
          <cell r="H753">
            <v>45177</v>
          </cell>
          <cell r="I753">
            <v>25251</v>
          </cell>
          <cell r="J753" t="str">
            <v>118.574.168-21</v>
          </cell>
          <cell r="K753" t="str">
            <v>123.83998.25.9</v>
          </cell>
          <cell r="L753" t="str">
            <v>Salário Mensal</v>
          </cell>
          <cell r="M753" t="str">
            <v>Empregado (CLT)</v>
          </cell>
        </row>
        <row r="754">
          <cell r="D754" t="str">
            <v>ECOSAMPA Operação Geral</v>
          </cell>
          <cell r="E754">
            <v>43617</v>
          </cell>
          <cell r="F754">
            <v>3050.22</v>
          </cell>
          <cell r="G754" t="str">
            <v>Em Atividade Normal</v>
          </cell>
          <cell r="H754">
            <v>44930</v>
          </cell>
          <cell r="I754">
            <v>26549</v>
          </cell>
          <cell r="J754" t="str">
            <v>126.026.228-69</v>
          </cell>
          <cell r="K754" t="str">
            <v>123.66966.95.6</v>
          </cell>
          <cell r="L754" t="str">
            <v>Salário Mensal</v>
          </cell>
          <cell r="M754" t="str">
            <v>Empregado (CLT)</v>
          </cell>
        </row>
        <row r="755">
          <cell r="D755" t="str">
            <v>ECOSAMPA Santo Amaro</v>
          </cell>
          <cell r="E755">
            <v>43617</v>
          </cell>
          <cell r="F755">
            <v>1603.99</v>
          </cell>
          <cell r="G755" t="str">
            <v>Em Atividade Normal</v>
          </cell>
          <cell r="H755">
            <v>45023</v>
          </cell>
          <cell r="I755">
            <v>23959</v>
          </cell>
          <cell r="J755" t="str">
            <v>116.446.438-80</v>
          </cell>
          <cell r="K755" t="str">
            <v>123.31968.34.0</v>
          </cell>
          <cell r="L755" t="str">
            <v>Salário Mensal</v>
          </cell>
          <cell r="M755" t="str">
            <v>Empregado (CLT)</v>
          </cell>
        </row>
        <row r="756">
          <cell r="D756" t="str">
            <v>ECOSAMPA Campo Limpo</v>
          </cell>
          <cell r="E756">
            <v>43617</v>
          </cell>
          <cell r="F756">
            <v>1603.99</v>
          </cell>
          <cell r="G756" t="str">
            <v>Em Atividade Normal</v>
          </cell>
          <cell r="H756">
            <v>45086</v>
          </cell>
          <cell r="I756">
            <v>23691</v>
          </cell>
          <cell r="J756" t="str">
            <v>089.873.958-63</v>
          </cell>
          <cell r="K756" t="str">
            <v>120.12712.17.9</v>
          </cell>
          <cell r="L756" t="str">
            <v>Salário Mensal</v>
          </cell>
          <cell r="M756" t="str">
            <v>Empregado (CLT)</v>
          </cell>
        </row>
        <row r="757">
          <cell r="D757" t="str">
            <v>ECOSAMPA Operação Geral</v>
          </cell>
          <cell r="E757">
            <v>43617</v>
          </cell>
          <cell r="F757">
            <v>2942.54</v>
          </cell>
          <cell r="G757" t="str">
            <v>Demitido em Meses Anteriores</v>
          </cell>
          <cell r="H757">
            <v>44631</v>
          </cell>
          <cell r="I757">
            <v>27422</v>
          </cell>
          <cell r="J757" t="str">
            <v>167.042.878-84</v>
          </cell>
          <cell r="K757" t="str">
            <v>123.58251.69.2</v>
          </cell>
          <cell r="L757" t="str">
            <v>Salário Mensal</v>
          </cell>
          <cell r="M757" t="str">
            <v>Empregado (CLT)</v>
          </cell>
        </row>
        <row r="758">
          <cell r="D758" t="str">
            <v>ECOSAMPA M'Boi Mirim</v>
          </cell>
          <cell r="E758">
            <v>43617</v>
          </cell>
          <cell r="F758">
            <v>1231.95</v>
          </cell>
          <cell r="G758" t="str">
            <v>Demitido em Meses Anteriores</v>
          </cell>
          <cell r="H758">
            <v>43703</v>
          </cell>
          <cell r="I758">
            <v>22029</v>
          </cell>
          <cell r="J758" t="str">
            <v>263.121.598-25</v>
          </cell>
          <cell r="K758" t="str">
            <v>106.68090.85.2</v>
          </cell>
          <cell r="L758" t="str">
            <v>Salário Mensal</v>
          </cell>
          <cell r="M758" t="str">
            <v>Empregado (CLT)</v>
          </cell>
        </row>
        <row r="759">
          <cell r="D759" t="str">
            <v>ECOSAMPA Campo Limpo</v>
          </cell>
          <cell r="E759">
            <v>43617</v>
          </cell>
          <cell r="F759">
            <v>1603.99</v>
          </cell>
          <cell r="G759" t="str">
            <v>Em Atividade Normal</v>
          </cell>
          <cell r="H759">
            <v>45023</v>
          </cell>
          <cell r="I759">
            <v>24965</v>
          </cell>
          <cell r="J759" t="str">
            <v>128.097.198-37</v>
          </cell>
          <cell r="K759" t="str">
            <v>123.50771.88.3</v>
          </cell>
          <cell r="L759" t="str">
            <v>Salário Mensal</v>
          </cell>
          <cell r="M759" t="str">
            <v>Empregado (CLT)</v>
          </cell>
        </row>
        <row r="760">
          <cell r="D760" t="str">
            <v>ECOSAMPA Operação Geral</v>
          </cell>
          <cell r="E760">
            <v>43617</v>
          </cell>
          <cell r="F760">
            <v>1907.79</v>
          </cell>
          <cell r="G760" t="str">
            <v>Gozando Férias</v>
          </cell>
          <cell r="H760">
            <v>45180</v>
          </cell>
          <cell r="I760">
            <v>32028</v>
          </cell>
          <cell r="J760" t="str">
            <v>372.672.178-93</v>
          </cell>
          <cell r="K760" t="str">
            <v>135.08225.89.4</v>
          </cell>
          <cell r="L760" t="str">
            <v>Salário Mensal</v>
          </cell>
          <cell r="M760" t="str">
            <v>Empregado (CLT)</v>
          </cell>
        </row>
        <row r="761">
          <cell r="D761" t="str">
            <v>ECOSAMPA Operação Geral</v>
          </cell>
          <cell r="E761">
            <v>43617</v>
          </cell>
          <cell r="F761">
            <v>3050.22</v>
          </cell>
          <cell r="G761" t="str">
            <v>Gozando Férias</v>
          </cell>
          <cell r="H761">
            <v>45180</v>
          </cell>
          <cell r="I761">
            <v>25823</v>
          </cell>
          <cell r="J761" t="str">
            <v>719.342.434-34</v>
          </cell>
          <cell r="K761" t="str">
            <v>123.57523.88.5</v>
          </cell>
          <cell r="L761" t="str">
            <v>Salário Mensal</v>
          </cell>
          <cell r="M761" t="str">
            <v>Empregado (CLT)</v>
          </cell>
        </row>
        <row r="762">
          <cell r="D762" t="str">
            <v>ECOSAMPA Capela do Socorro</v>
          </cell>
          <cell r="E762">
            <v>43617</v>
          </cell>
          <cell r="F762">
            <v>3222.08</v>
          </cell>
          <cell r="G762" t="str">
            <v>Em Atividade Normal</v>
          </cell>
          <cell r="H762">
            <v>44960</v>
          </cell>
          <cell r="I762">
            <v>29960</v>
          </cell>
          <cell r="J762" t="str">
            <v>296.083.448-83</v>
          </cell>
          <cell r="K762" t="str">
            <v>130.34901.93.2</v>
          </cell>
          <cell r="L762" t="str">
            <v>Salário Mensal</v>
          </cell>
          <cell r="M762" t="str">
            <v>Empregado (CLT)</v>
          </cell>
        </row>
        <row r="763">
          <cell r="D763" t="str">
            <v>ECOSAMPA Operação Geral</v>
          </cell>
          <cell r="E763">
            <v>43617</v>
          </cell>
          <cell r="F763">
            <v>1907.79</v>
          </cell>
          <cell r="G763" t="str">
            <v>Em Atividade Normal</v>
          </cell>
          <cell r="H763">
            <v>45023</v>
          </cell>
          <cell r="I763">
            <v>25719</v>
          </cell>
          <cell r="J763" t="str">
            <v>761.818.206-04</v>
          </cell>
          <cell r="K763" t="str">
            <v>124.10351.23.0</v>
          </cell>
          <cell r="L763" t="str">
            <v>Salário Mensal</v>
          </cell>
          <cell r="M763" t="str">
            <v>Empregado (CLT)</v>
          </cell>
        </row>
        <row r="764">
          <cell r="D764" t="str">
            <v>ECOSAMPA Capela do Socorro</v>
          </cell>
          <cell r="E764">
            <v>43617</v>
          </cell>
          <cell r="F764">
            <v>1603.99</v>
          </cell>
          <cell r="G764" t="str">
            <v>Em Atividade Normal</v>
          </cell>
          <cell r="H764">
            <v>45119</v>
          </cell>
          <cell r="I764">
            <v>19885</v>
          </cell>
          <cell r="J764" t="str">
            <v>012.227.708-22</v>
          </cell>
          <cell r="K764" t="str">
            <v>106.09570.76.2</v>
          </cell>
          <cell r="L764" t="str">
            <v>Salário Mensal</v>
          </cell>
          <cell r="M764" t="str">
            <v>Empregado (CLT)</v>
          </cell>
        </row>
        <row r="765">
          <cell r="D765" t="str">
            <v>ECOSAMPA Operação Geral</v>
          </cell>
          <cell r="E765">
            <v>43617</v>
          </cell>
          <cell r="F765">
            <v>1523.89</v>
          </cell>
          <cell r="G765" t="str">
            <v>Demitido em Meses Anteriores</v>
          </cell>
          <cell r="H765">
            <v>43974</v>
          </cell>
          <cell r="I765">
            <v>24822</v>
          </cell>
          <cell r="J765" t="str">
            <v>126.908.978-14</v>
          </cell>
          <cell r="K765" t="str">
            <v>123.23423.81.0</v>
          </cell>
          <cell r="L765" t="str">
            <v>Salário Mensal</v>
          </cell>
          <cell r="M765" t="str">
            <v>Empregado (CLT)</v>
          </cell>
        </row>
        <row r="766">
          <cell r="D766" t="str">
            <v>ECOSAMPA Capela do Socorro</v>
          </cell>
          <cell r="E766">
            <v>43617</v>
          </cell>
          <cell r="F766">
            <v>1603.99</v>
          </cell>
          <cell r="G766" t="str">
            <v>Em Atividade Normal</v>
          </cell>
          <cell r="H766">
            <v>45023</v>
          </cell>
          <cell r="I766">
            <v>35697</v>
          </cell>
          <cell r="J766" t="str">
            <v>454.445.768-80</v>
          </cell>
          <cell r="K766" t="str">
            <v>204.85270.57.3</v>
          </cell>
          <cell r="L766" t="str">
            <v>Salário Mensal</v>
          </cell>
          <cell r="M766" t="str">
            <v>Empregado (CLT)</v>
          </cell>
        </row>
        <row r="767">
          <cell r="D767" t="str">
            <v>ECOSAMPA Parelheiros</v>
          </cell>
          <cell r="E767">
            <v>43617</v>
          </cell>
          <cell r="F767">
            <v>1231.95</v>
          </cell>
          <cell r="G767" t="str">
            <v>Demitido em Meses Anteriores</v>
          </cell>
          <cell r="H767">
            <v>43704</v>
          </cell>
          <cell r="I767">
            <v>30598</v>
          </cell>
          <cell r="J767" t="str">
            <v>322.341.068-69</v>
          </cell>
          <cell r="K767" t="str">
            <v>136.90865.77.7</v>
          </cell>
          <cell r="L767" t="str">
            <v>Salário Mensal</v>
          </cell>
          <cell r="M767" t="str">
            <v>Empregado (CLT)</v>
          </cell>
        </row>
        <row r="768">
          <cell r="D768" t="str">
            <v>ECOSAMPA Campo Limpo</v>
          </cell>
          <cell r="E768">
            <v>44207</v>
          </cell>
          <cell r="F768">
            <v>1603.99</v>
          </cell>
          <cell r="G768" t="str">
            <v>Em Atividade Normal</v>
          </cell>
          <cell r="H768">
            <v>45056</v>
          </cell>
          <cell r="I768">
            <v>32956</v>
          </cell>
          <cell r="J768" t="str">
            <v>386.750.408-30</v>
          </cell>
          <cell r="K768" t="str">
            <v>210.71811.33.0</v>
          </cell>
          <cell r="L768" t="str">
            <v>Salário Mensal</v>
          </cell>
          <cell r="M768" t="str">
            <v>Empregado (CLT)</v>
          </cell>
        </row>
        <row r="769">
          <cell r="D769" t="str">
            <v>ECOSAMPA Operação Geral</v>
          </cell>
          <cell r="E769">
            <v>43917</v>
          </cell>
          <cell r="F769">
            <v>1603.99</v>
          </cell>
          <cell r="G769" t="str">
            <v>Demitido em Meses Anteriores</v>
          </cell>
          <cell r="H769">
            <v>44844</v>
          </cell>
          <cell r="I769">
            <v>29434</v>
          </cell>
          <cell r="J769" t="str">
            <v>340.009.268-10</v>
          </cell>
          <cell r="K769" t="str">
            <v>134.44048.93.8</v>
          </cell>
          <cell r="L769" t="str">
            <v>Salário Mensal</v>
          </cell>
          <cell r="M769" t="str">
            <v>Empregado (CLT)</v>
          </cell>
        </row>
        <row r="770">
          <cell r="D770" t="str">
            <v>ECOSAMPA Parelheiros</v>
          </cell>
          <cell r="E770">
            <v>43617</v>
          </cell>
          <cell r="F770">
            <v>1231.95</v>
          </cell>
          <cell r="G770" t="str">
            <v>Demitido em Meses Anteriores</v>
          </cell>
          <cell r="H770">
            <v>43670</v>
          </cell>
          <cell r="I770">
            <v>32041</v>
          </cell>
          <cell r="J770" t="str">
            <v>377.943.068-17</v>
          </cell>
          <cell r="K770" t="str">
            <v>130.07763.24.9</v>
          </cell>
          <cell r="L770" t="str">
            <v>Salário Mensal</v>
          </cell>
          <cell r="M770" t="str">
            <v>Empregado (CLT)</v>
          </cell>
        </row>
        <row r="771">
          <cell r="D771" t="str">
            <v>ECOSAMPA M'Boi Mirim</v>
          </cell>
          <cell r="E771">
            <v>44972</v>
          </cell>
          <cell r="F771">
            <v>1603.99</v>
          </cell>
          <cell r="G771" t="str">
            <v>Em Atividade Normal</v>
          </cell>
          <cell r="H771">
            <v>44972</v>
          </cell>
          <cell r="I771">
            <v>36967</v>
          </cell>
          <cell r="J771" t="str">
            <v>497.098.378-00</v>
          </cell>
          <cell r="K771" t="str">
            <v>161.35073.54.1</v>
          </cell>
          <cell r="L771" t="str">
            <v>Salário Mensal</v>
          </cell>
          <cell r="M771" t="str">
            <v>Empregado (CLT)</v>
          </cell>
        </row>
        <row r="772">
          <cell r="D772" t="str">
            <v>ECOSAMPA Santo Amaro</v>
          </cell>
          <cell r="E772">
            <v>43617</v>
          </cell>
          <cell r="F772">
            <v>1603.99</v>
          </cell>
          <cell r="G772" t="str">
            <v>Em Atividade Normal</v>
          </cell>
          <cell r="H772">
            <v>44806</v>
          </cell>
          <cell r="I772">
            <v>27765</v>
          </cell>
          <cell r="J772" t="str">
            <v>196.733.398-05</v>
          </cell>
          <cell r="K772" t="str">
            <v>126.18881.77.1</v>
          </cell>
          <cell r="L772" t="str">
            <v>Salário Mensal</v>
          </cell>
          <cell r="M772" t="str">
            <v>Empregado (CLT)</v>
          </cell>
        </row>
        <row r="773">
          <cell r="D773" t="str">
            <v>ECOSAMPA Operação Geral</v>
          </cell>
          <cell r="E773">
            <v>43619</v>
          </cell>
          <cell r="F773">
            <v>2503.6</v>
          </cell>
          <cell r="G773" t="str">
            <v>Demitido em Meses Anteriores</v>
          </cell>
          <cell r="H773">
            <v>44469</v>
          </cell>
          <cell r="I773">
            <v>31713</v>
          </cell>
          <cell r="J773" t="str">
            <v>338.402.988-73</v>
          </cell>
          <cell r="K773" t="str">
            <v>210.22338.73.2</v>
          </cell>
          <cell r="L773" t="str">
            <v>Salário Mensal</v>
          </cell>
          <cell r="M773" t="str">
            <v>Empregado (CLT)</v>
          </cell>
        </row>
        <row r="774">
          <cell r="D774" t="str">
            <v>ECOSAMPA Operação Geral</v>
          </cell>
          <cell r="E774">
            <v>43990</v>
          </cell>
          <cell r="F774">
            <v>2972.58</v>
          </cell>
          <cell r="G774" t="str">
            <v>Demitido em Meses Anteriores</v>
          </cell>
          <cell r="H774">
            <v>44674</v>
          </cell>
          <cell r="I774">
            <v>30380</v>
          </cell>
          <cell r="J774" t="str">
            <v>313.260.768-17</v>
          </cell>
          <cell r="K774" t="str">
            <v>131.89131.85.5</v>
          </cell>
          <cell r="L774" t="str">
            <v>Salário Mensal</v>
          </cell>
          <cell r="M774" t="str">
            <v>Empregado (CLT)</v>
          </cell>
        </row>
        <row r="775">
          <cell r="D775" t="str">
            <v>ECOSAMPA Operação Geral</v>
          </cell>
          <cell r="E775">
            <v>44522</v>
          </cell>
          <cell r="F775">
            <v>4551.87</v>
          </cell>
          <cell r="G775" t="str">
            <v>Em Atividade Normal</v>
          </cell>
          <cell r="H775">
            <v>44937</v>
          </cell>
          <cell r="I775">
            <v>29465</v>
          </cell>
          <cell r="J775" t="str">
            <v>312.971.988-16</v>
          </cell>
          <cell r="K775" t="str">
            <v>130.91215.81.3</v>
          </cell>
          <cell r="L775" t="str">
            <v>Salário Mensal</v>
          </cell>
          <cell r="M775" t="str">
            <v>Empregado (CLT)</v>
          </cell>
        </row>
        <row r="776">
          <cell r="D776" t="str">
            <v>ECOSAMPA Santo Amaro</v>
          </cell>
          <cell r="E776">
            <v>43817</v>
          </cell>
          <cell r="F776">
            <v>6154.04</v>
          </cell>
          <cell r="G776" t="str">
            <v>Em Atividade Normal</v>
          </cell>
          <cell r="H776">
            <v>44867</v>
          </cell>
          <cell r="I776">
            <v>28999</v>
          </cell>
          <cell r="J776" t="str">
            <v>275.493.188-08</v>
          </cell>
          <cell r="K776" t="str">
            <v>132.39266.77.5</v>
          </cell>
          <cell r="L776" t="str">
            <v>Salário Mensal</v>
          </cell>
          <cell r="M776" t="str">
            <v>Empregado (CLT)</v>
          </cell>
        </row>
        <row r="777">
          <cell r="D777" t="str">
            <v>ECOSAMPA M'Boi Mirim</v>
          </cell>
          <cell r="E777">
            <v>43617</v>
          </cell>
          <cell r="F777">
            <v>1464.83</v>
          </cell>
          <cell r="G777" t="str">
            <v>Demitido em Meses Anteriores</v>
          </cell>
          <cell r="H777">
            <v>44694</v>
          </cell>
          <cell r="I777">
            <v>31706</v>
          </cell>
          <cell r="J777" t="str">
            <v>367.091.288-65</v>
          </cell>
          <cell r="K777" t="str">
            <v>203.66148.20.0</v>
          </cell>
          <cell r="L777" t="str">
            <v>Salário Mensal</v>
          </cell>
          <cell r="M777" t="str">
            <v>Empregado (CLT)</v>
          </cell>
        </row>
        <row r="778">
          <cell r="D778" t="str">
            <v>ECOSAMPA Capela do Socorro</v>
          </cell>
          <cell r="E778">
            <v>43617</v>
          </cell>
          <cell r="F778">
            <v>1603.99</v>
          </cell>
          <cell r="G778" t="str">
            <v>Em Atividade Normal</v>
          </cell>
          <cell r="H778">
            <v>44867</v>
          </cell>
          <cell r="I778">
            <v>30407</v>
          </cell>
          <cell r="J778" t="str">
            <v>224.534.378-60</v>
          </cell>
          <cell r="K778" t="str">
            <v>209.89935.13.7</v>
          </cell>
          <cell r="L778" t="str">
            <v>Salário Mensal</v>
          </cell>
          <cell r="M778" t="str">
            <v>Empregado (CLT)</v>
          </cell>
        </row>
        <row r="779">
          <cell r="D779" t="str">
            <v>ECOSAMPA M'Boi Mirim</v>
          </cell>
          <cell r="E779">
            <v>44725</v>
          </cell>
          <cell r="F779">
            <v>1603.99</v>
          </cell>
          <cell r="G779" t="str">
            <v>Em Atividade Normal</v>
          </cell>
          <cell r="H779">
            <v>44725</v>
          </cell>
          <cell r="I779">
            <v>28951</v>
          </cell>
          <cell r="J779" t="str">
            <v>288.342.038-60</v>
          </cell>
          <cell r="K779" t="str">
            <v>127.74218.85.5</v>
          </cell>
          <cell r="L779" t="str">
            <v>Salário Mensal</v>
          </cell>
          <cell r="M779" t="str">
            <v>Empregado (CLT)</v>
          </cell>
        </row>
        <row r="780">
          <cell r="D780" t="str">
            <v>ECOSAMPA M'Boi Mirim</v>
          </cell>
          <cell r="E780">
            <v>43874</v>
          </cell>
          <cell r="F780">
            <v>1464.83</v>
          </cell>
          <cell r="G780" t="str">
            <v>Demitido em Meses Anteriores</v>
          </cell>
          <cell r="H780">
            <v>44599</v>
          </cell>
          <cell r="I780">
            <v>33808</v>
          </cell>
          <cell r="J780" t="str">
            <v>097.212.964-22</v>
          </cell>
          <cell r="K780" t="str">
            <v>161.60239.26.1</v>
          </cell>
          <cell r="L780" t="str">
            <v>Salário Mensal</v>
          </cell>
          <cell r="M780" t="str">
            <v>Empregado (CLT)</v>
          </cell>
        </row>
        <row r="781">
          <cell r="D781" t="str">
            <v>ECOSAMPA Parelheiros</v>
          </cell>
          <cell r="E781">
            <v>43617</v>
          </cell>
          <cell r="F781">
            <v>3222.08</v>
          </cell>
          <cell r="G781" t="str">
            <v>Em Atividade Normal</v>
          </cell>
          <cell r="H781">
            <v>45056</v>
          </cell>
          <cell r="I781">
            <v>30684</v>
          </cell>
          <cell r="J781" t="str">
            <v>308.233.258-73</v>
          </cell>
          <cell r="K781" t="str">
            <v>129.85594.93.8</v>
          </cell>
          <cell r="L781" t="str">
            <v>Salário Mensal</v>
          </cell>
          <cell r="M781" t="str">
            <v>Empregado (CLT)</v>
          </cell>
        </row>
        <row r="782">
          <cell r="D782" t="str">
            <v>ECOSAMPA Campo Limpo</v>
          </cell>
          <cell r="E782">
            <v>43617</v>
          </cell>
          <cell r="F782">
            <v>1464.83</v>
          </cell>
          <cell r="G782" t="str">
            <v>Demitido em Meses Anteriores</v>
          </cell>
          <cell r="H782">
            <v>44645</v>
          </cell>
          <cell r="I782">
            <v>30658</v>
          </cell>
          <cell r="J782" t="str">
            <v>316.346.338-06</v>
          </cell>
          <cell r="K782" t="str">
            <v>131.84892.77.7</v>
          </cell>
          <cell r="L782" t="str">
            <v>Salário Mensal</v>
          </cell>
          <cell r="M782" t="str">
            <v>Empregado (CLT)</v>
          </cell>
        </row>
        <row r="783">
          <cell r="D783" t="str">
            <v>ECOSAMPA Capela do Socorro</v>
          </cell>
          <cell r="E783">
            <v>43617</v>
          </cell>
          <cell r="F783">
            <v>1603.99</v>
          </cell>
          <cell r="G783" t="str">
            <v>Em Atividade Normal</v>
          </cell>
          <cell r="H783">
            <v>44835</v>
          </cell>
          <cell r="I783">
            <v>28230</v>
          </cell>
          <cell r="J783" t="str">
            <v>248.559.598-47</v>
          </cell>
          <cell r="K783" t="str">
            <v>125.06037.28.6</v>
          </cell>
          <cell r="L783" t="str">
            <v>Salário Mensal</v>
          </cell>
          <cell r="M783" t="str">
            <v>Empregado (CLT)</v>
          </cell>
        </row>
        <row r="784">
          <cell r="D784" t="str">
            <v>ECOSAMPA Campo Limpo</v>
          </cell>
          <cell r="E784">
            <v>44046</v>
          </cell>
          <cell r="F784">
            <v>1603.99</v>
          </cell>
          <cell r="G784" t="str">
            <v>Demitido em Meses Anteriores</v>
          </cell>
          <cell r="H784">
            <v>44851</v>
          </cell>
          <cell r="I784">
            <v>30965</v>
          </cell>
          <cell r="J784" t="str">
            <v>340.894.398-25</v>
          </cell>
          <cell r="K784" t="str">
            <v>136.18283.81.3</v>
          </cell>
          <cell r="L784" t="str">
            <v>Salário Mensal</v>
          </cell>
          <cell r="M784" t="str">
            <v>Empregado (CLT)</v>
          </cell>
        </row>
        <row r="785">
          <cell r="D785" t="str">
            <v>ECOSAMPA Campo Limpo</v>
          </cell>
          <cell r="E785">
            <v>43874</v>
          </cell>
          <cell r="F785">
            <v>1603.99</v>
          </cell>
          <cell r="G785" t="str">
            <v>Em Atividade Normal</v>
          </cell>
          <cell r="H785">
            <v>45149</v>
          </cell>
          <cell r="I785">
            <v>30188</v>
          </cell>
          <cell r="J785" t="str">
            <v>298.061.028-35</v>
          </cell>
          <cell r="K785" t="str">
            <v>128.80408.89.1</v>
          </cell>
          <cell r="L785" t="str">
            <v>Salário Mensal</v>
          </cell>
          <cell r="M785" t="str">
            <v>Empregado (CLT)</v>
          </cell>
        </row>
        <row r="786">
          <cell r="D786" t="str">
            <v>ECOSAMPA Santo Amaro</v>
          </cell>
          <cell r="E786">
            <v>43804</v>
          </cell>
          <cell r="F786">
            <v>1603.99</v>
          </cell>
          <cell r="G786" t="str">
            <v>Em Atividade Normal</v>
          </cell>
          <cell r="H786">
            <v>45119</v>
          </cell>
          <cell r="I786">
            <v>29715</v>
          </cell>
          <cell r="J786" t="str">
            <v>006.783.225-38</v>
          </cell>
          <cell r="K786" t="str">
            <v>209.84877.43.0</v>
          </cell>
          <cell r="L786" t="str">
            <v>Salário Mensal</v>
          </cell>
          <cell r="M786" t="str">
            <v>Empregado (CLT)</v>
          </cell>
        </row>
        <row r="787">
          <cell r="D787" t="str">
            <v>ECOSAMPA Capela do Socorro</v>
          </cell>
          <cell r="E787">
            <v>43906</v>
          </cell>
          <cell r="F787">
            <v>1704.78</v>
          </cell>
          <cell r="G787" t="str">
            <v>Demitido em Meses Anteriores</v>
          </cell>
          <cell r="H787">
            <v>44109</v>
          </cell>
          <cell r="I787">
            <v>26799</v>
          </cell>
          <cell r="J787" t="str">
            <v>165.972.018-41</v>
          </cell>
          <cell r="K787" t="str">
            <v>124.59609.85.1</v>
          </cell>
          <cell r="L787" t="str">
            <v>Salário Mensal</v>
          </cell>
          <cell r="M787" t="str">
            <v>Empregado (CLT)</v>
          </cell>
        </row>
        <row r="788">
          <cell r="D788" t="str">
            <v>ECOSAMPA Operação Geral</v>
          </cell>
          <cell r="E788">
            <v>43620</v>
          </cell>
          <cell r="F788">
            <v>3050.22</v>
          </cell>
          <cell r="G788" t="str">
            <v>Em Atividade Normal</v>
          </cell>
          <cell r="H788">
            <v>45177</v>
          </cell>
          <cell r="I788">
            <v>27745</v>
          </cell>
          <cell r="J788" t="str">
            <v>971.128.874-53</v>
          </cell>
          <cell r="K788" t="str">
            <v>127.36948.77.9</v>
          </cell>
          <cell r="L788" t="str">
            <v>Salário Mensal</v>
          </cell>
          <cell r="M788" t="str">
            <v>Empregado (CLT)</v>
          </cell>
        </row>
        <row r="789">
          <cell r="D789" t="str">
            <v>ECOSAMPA Operação Geral</v>
          </cell>
          <cell r="E789">
            <v>43619</v>
          </cell>
          <cell r="F789">
            <v>6541.55</v>
          </cell>
          <cell r="G789" t="str">
            <v>Em Atividade Normal</v>
          </cell>
          <cell r="H789">
            <v>44901</v>
          </cell>
          <cell r="I789">
            <v>29266</v>
          </cell>
          <cell r="J789" t="str">
            <v>285.615.888-96</v>
          </cell>
          <cell r="K789" t="str">
            <v>130.49413.93.9</v>
          </cell>
          <cell r="L789" t="str">
            <v>Salário Mensal</v>
          </cell>
          <cell r="M789" t="str">
            <v>Empregado (CLT)</v>
          </cell>
        </row>
        <row r="790">
          <cell r="D790" t="str">
            <v>ECOSAMPA M'Boi Mirim</v>
          </cell>
          <cell r="E790">
            <v>43617</v>
          </cell>
          <cell r="F790">
            <v>1464.83</v>
          </cell>
          <cell r="G790" t="str">
            <v>Demitido em Meses Anteriores</v>
          </cell>
          <cell r="H790">
            <v>44725</v>
          </cell>
          <cell r="I790">
            <v>33127</v>
          </cell>
          <cell r="J790" t="str">
            <v>380.939.808-06</v>
          </cell>
          <cell r="K790" t="str">
            <v>206.86906.97.1</v>
          </cell>
          <cell r="L790" t="str">
            <v>Salário Mensal</v>
          </cell>
          <cell r="M790" t="str">
            <v>Empregado (CLT)</v>
          </cell>
        </row>
        <row r="791">
          <cell r="D791" t="str">
            <v>ECOSAMPA Operação Geral</v>
          </cell>
          <cell r="E791">
            <v>43617</v>
          </cell>
          <cell r="F791">
            <v>3050.22</v>
          </cell>
          <cell r="G791" t="str">
            <v>Gozando Férias</v>
          </cell>
          <cell r="H791">
            <v>45180</v>
          </cell>
          <cell r="I791">
            <v>33090</v>
          </cell>
          <cell r="J791" t="str">
            <v>230.817.898-18</v>
          </cell>
          <cell r="K791" t="str">
            <v>204.30146.02.1</v>
          </cell>
          <cell r="L791" t="str">
            <v>Salário Mensal</v>
          </cell>
          <cell r="M791" t="str">
            <v>Empregado (CLT)</v>
          </cell>
        </row>
        <row r="792">
          <cell r="D792" t="str">
            <v>ECOSAMPA Capela do Socorro</v>
          </cell>
          <cell r="E792">
            <v>43617</v>
          </cell>
          <cell r="F792">
            <v>1603.99</v>
          </cell>
          <cell r="G792" t="str">
            <v>Demitido em Meses Anteriores</v>
          </cell>
          <cell r="H792">
            <v>45084</v>
          </cell>
          <cell r="I792">
            <v>29795</v>
          </cell>
          <cell r="J792" t="str">
            <v>222.645.108-03</v>
          </cell>
          <cell r="K792" t="str">
            <v>130.48457.89.4</v>
          </cell>
          <cell r="L792" t="str">
            <v>Salário Mensal</v>
          </cell>
          <cell r="M792" t="str">
            <v>Empregado (CLT)</v>
          </cell>
        </row>
        <row r="793">
          <cell r="D793" t="str">
            <v>ECOSAMPA M'Boi Mirim</v>
          </cell>
          <cell r="E793">
            <v>43617</v>
          </cell>
          <cell r="F793">
            <v>1603.99</v>
          </cell>
          <cell r="G793" t="str">
            <v>Gozando Férias</v>
          </cell>
          <cell r="H793">
            <v>45180</v>
          </cell>
          <cell r="I793">
            <v>29200</v>
          </cell>
          <cell r="J793" t="str">
            <v>289.329.558-40</v>
          </cell>
          <cell r="K793" t="str">
            <v>130.35793.81.5</v>
          </cell>
          <cell r="L793" t="str">
            <v>Salário Mensal</v>
          </cell>
          <cell r="M793" t="str">
            <v>Empregado (CLT)</v>
          </cell>
        </row>
        <row r="794">
          <cell r="D794" t="str">
            <v>ECOSAMPA Capela do Socorro</v>
          </cell>
          <cell r="E794">
            <v>43617</v>
          </cell>
          <cell r="F794">
            <v>1319.67</v>
          </cell>
          <cell r="G794" t="str">
            <v>Demitido em Meses Anteriores</v>
          </cell>
          <cell r="H794">
            <v>44237</v>
          </cell>
          <cell r="I794">
            <v>29503</v>
          </cell>
          <cell r="J794" t="str">
            <v>303.114.998-05</v>
          </cell>
          <cell r="K794" t="str">
            <v>130.92985.81.7</v>
          </cell>
          <cell r="L794" t="str">
            <v>Salário Mensal</v>
          </cell>
          <cell r="M794" t="str">
            <v>Empregado (CLT)</v>
          </cell>
        </row>
        <row r="795">
          <cell r="D795" t="str">
            <v>ECOSAMPA Santo Amaro</v>
          </cell>
          <cell r="E795">
            <v>44273</v>
          </cell>
          <cell r="F795">
            <v>1319.67</v>
          </cell>
          <cell r="G795" t="str">
            <v>Demitido em Meses Anteriores</v>
          </cell>
          <cell r="H795">
            <v>44361</v>
          </cell>
          <cell r="I795">
            <v>25655</v>
          </cell>
          <cell r="J795" t="str">
            <v>142.727.468-12</v>
          </cell>
          <cell r="K795" t="str">
            <v>123.44557.81.6</v>
          </cell>
          <cell r="L795" t="str">
            <v>Salário Mensal</v>
          </cell>
          <cell r="M795" t="str">
            <v>Empregado (CLT)</v>
          </cell>
        </row>
        <row r="796">
          <cell r="D796" t="str">
            <v>ECOSAMPA Santo Amaro</v>
          </cell>
          <cell r="E796">
            <v>43874</v>
          </cell>
          <cell r="F796">
            <v>1603.99</v>
          </cell>
          <cell r="G796" t="str">
            <v>Demitido no Mês</v>
          </cell>
          <cell r="H796">
            <v>45198</v>
          </cell>
          <cell r="I796">
            <v>28012</v>
          </cell>
          <cell r="J796" t="str">
            <v>054.955.699-03</v>
          </cell>
          <cell r="K796" t="str">
            <v>203.82083.52.5</v>
          </cell>
          <cell r="L796" t="str">
            <v>Salário Mensal</v>
          </cell>
          <cell r="M796" t="str">
            <v>Empregado (CLT)</v>
          </cell>
        </row>
        <row r="797">
          <cell r="D797" t="str">
            <v>ECOSAMPA Santo Amaro</v>
          </cell>
          <cell r="E797">
            <v>43617</v>
          </cell>
          <cell r="F797">
            <v>3222.08</v>
          </cell>
          <cell r="G797" t="str">
            <v>Em Atividade Normal</v>
          </cell>
          <cell r="H797">
            <v>45119</v>
          </cell>
          <cell r="I797">
            <v>30672</v>
          </cell>
          <cell r="J797" t="str">
            <v>324.991.238-77</v>
          </cell>
          <cell r="K797" t="str">
            <v>131.94305.93.9</v>
          </cell>
          <cell r="L797" t="str">
            <v>Salário Mensal</v>
          </cell>
          <cell r="M797" t="str">
            <v>Empregado (CLT)</v>
          </cell>
        </row>
        <row r="798">
          <cell r="D798" t="str">
            <v>ECOSAMPA Santo Amaro</v>
          </cell>
          <cell r="E798">
            <v>43617</v>
          </cell>
          <cell r="F798">
            <v>1231.95</v>
          </cell>
          <cell r="G798" t="str">
            <v>Demitido em Meses Anteriores</v>
          </cell>
          <cell r="H798">
            <v>43703</v>
          </cell>
          <cell r="I798">
            <v>35202</v>
          </cell>
          <cell r="J798" t="str">
            <v>474.519.538-90</v>
          </cell>
          <cell r="K798" t="str">
            <v>140.18567.39.8</v>
          </cell>
          <cell r="L798" t="str">
            <v>Salário Mensal</v>
          </cell>
          <cell r="M798" t="str">
            <v>Empregado (CLT)</v>
          </cell>
        </row>
        <row r="799">
          <cell r="D799" t="str">
            <v>ECOSAMPA Operação Geral</v>
          </cell>
          <cell r="E799">
            <v>43811</v>
          </cell>
          <cell r="F799">
            <v>2282.9499999999998</v>
          </cell>
          <cell r="G799" t="str">
            <v>Em Atividade Normal</v>
          </cell>
          <cell r="H799">
            <v>45086</v>
          </cell>
          <cell r="I799">
            <v>32155</v>
          </cell>
          <cell r="J799" t="str">
            <v>031.231.645-35</v>
          </cell>
          <cell r="K799" t="str">
            <v>160.12595.29.9</v>
          </cell>
          <cell r="L799" t="str">
            <v>Salário Mensal</v>
          </cell>
          <cell r="M799" t="str">
            <v>Empregado (CLT)</v>
          </cell>
        </row>
        <row r="800">
          <cell r="D800" t="str">
            <v>ECOSAMPA Operação Geral</v>
          </cell>
          <cell r="E800">
            <v>43617</v>
          </cell>
          <cell r="F800">
            <v>3050.22</v>
          </cell>
          <cell r="G800" t="str">
            <v>Em Atividade Normal</v>
          </cell>
          <cell r="H800">
            <v>44930</v>
          </cell>
          <cell r="I800">
            <v>29740</v>
          </cell>
          <cell r="J800" t="str">
            <v>296.084.358-46</v>
          </cell>
          <cell r="K800" t="str">
            <v>128.82023.81.4</v>
          </cell>
          <cell r="L800" t="str">
            <v>Salário Mensal</v>
          </cell>
          <cell r="M800" t="str">
            <v>Empregado (CLT)</v>
          </cell>
        </row>
        <row r="801">
          <cell r="D801" t="str">
            <v>ECOSAMPA Parelheiros</v>
          </cell>
          <cell r="E801">
            <v>45180</v>
          </cell>
          <cell r="F801">
            <v>1603.99</v>
          </cell>
          <cell r="G801" t="str">
            <v>Em Atividade Normal</v>
          </cell>
          <cell r="H801">
            <v>45180</v>
          </cell>
          <cell r="I801">
            <v>31744</v>
          </cell>
          <cell r="J801" t="str">
            <v>368.178.988-62</v>
          </cell>
          <cell r="K801" t="str">
            <v>137.45013.77.7</v>
          </cell>
          <cell r="L801" t="str">
            <v>Salário Mensal</v>
          </cell>
          <cell r="M801" t="str">
            <v>Empregado (CLT)</v>
          </cell>
        </row>
        <row r="802">
          <cell r="D802" t="str">
            <v>ECOSAMPA Operação Geral</v>
          </cell>
          <cell r="E802">
            <v>43617</v>
          </cell>
          <cell r="F802">
            <v>3050.22</v>
          </cell>
          <cell r="G802" t="str">
            <v>Em Atividade Normal</v>
          </cell>
          <cell r="H802">
            <v>44806</v>
          </cell>
          <cell r="I802">
            <v>32544</v>
          </cell>
          <cell r="J802" t="str">
            <v>087.390.524-51</v>
          </cell>
          <cell r="K802" t="str">
            <v>137.87785.89.1</v>
          </cell>
          <cell r="L802" t="str">
            <v>Salário Mensal</v>
          </cell>
          <cell r="M802" t="str">
            <v>Empregado (CLT)</v>
          </cell>
        </row>
        <row r="803">
          <cell r="D803" t="str">
            <v>ECOSAMPA Santo Amaro</v>
          </cell>
          <cell r="E803">
            <v>43918</v>
          </cell>
          <cell r="F803">
            <v>1319.67</v>
          </cell>
          <cell r="G803" t="str">
            <v>Demitido em Meses Anteriores</v>
          </cell>
          <cell r="H803">
            <v>44141</v>
          </cell>
          <cell r="I803">
            <v>33024</v>
          </cell>
          <cell r="J803" t="str">
            <v>394.337.718-00</v>
          </cell>
          <cell r="K803" t="str">
            <v>201.57577.43.5</v>
          </cell>
          <cell r="L803" t="str">
            <v>Salário Mensal</v>
          </cell>
          <cell r="M803" t="str">
            <v>Empregado (CLT)</v>
          </cell>
        </row>
        <row r="804">
          <cell r="D804" t="str">
            <v>ECOSAMPA Campo Limpo</v>
          </cell>
          <cell r="E804">
            <v>43617</v>
          </cell>
          <cell r="F804">
            <v>1603.99</v>
          </cell>
          <cell r="G804" t="str">
            <v>Em Atividade Normal</v>
          </cell>
          <cell r="H804">
            <v>45023</v>
          </cell>
          <cell r="I804">
            <v>26269</v>
          </cell>
          <cell r="J804" t="str">
            <v>114.495.288-30</v>
          </cell>
          <cell r="K804" t="str">
            <v>124.08984.86.8</v>
          </cell>
          <cell r="L804" t="str">
            <v>Salário Mensal</v>
          </cell>
          <cell r="M804" t="str">
            <v>Empregado (CLT)</v>
          </cell>
        </row>
        <row r="805">
          <cell r="D805" t="str">
            <v>ECOSAMPA Santo Amaro</v>
          </cell>
          <cell r="E805">
            <v>43617</v>
          </cell>
          <cell r="F805">
            <v>1603.99</v>
          </cell>
          <cell r="G805" t="str">
            <v>Em Atividade Normal</v>
          </cell>
          <cell r="H805">
            <v>44993</v>
          </cell>
          <cell r="I805">
            <v>29866</v>
          </cell>
          <cell r="J805" t="str">
            <v>227.050.458-56</v>
          </cell>
          <cell r="K805" t="str">
            <v>130.36448.85.2</v>
          </cell>
          <cell r="L805" t="str">
            <v>Salário Mensal</v>
          </cell>
          <cell r="M805" t="str">
            <v>Empregado (CLT)</v>
          </cell>
        </row>
        <row r="806">
          <cell r="D806" t="str">
            <v>ECOSAMPA Parelheiros</v>
          </cell>
          <cell r="E806">
            <v>43617</v>
          </cell>
          <cell r="F806">
            <v>1603.99</v>
          </cell>
          <cell r="G806" t="str">
            <v>Em Atividade Normal</v>
          </cell>
          <cell r="H806">
            <v>45023</v>
          </cell>
          <cell r="I806">
            <v>26886</v>
          </cell>
          <cell r="J806" t="str">
            <v>115.020.008-14</v>
          </cell>
          <cell r="K806" t="str">
            <v>123.08612.05.5</v>
          </cell>
          <cell r="L806" t="str">
            <v>Salário Mensal</v>
          </cell>
          <cell r="M806" t="str">
            <v>Empregado (CLT)</v>
          </cell>
        </row>
        <row r="807">
          <cell r="D807" t="str">
            <v>ECOSAMPA Operação Geral</v>
          </cell>
          <cell r="E807">
            <v>43617</v>
          </cell>
          <cell r="F807">
            <v>2342.7399999999998</v>
          </cell>
          <cell r="G807" t="str">
            <v>Demitido em Meses Anteriores</v>
          </cell>
          <cell r="H807">
            <v>43721</v>
          </cell>
          <cell r="I807">
            <v>30698</v>
          </cell>
          <cell r="J807" t="str">
            <v>326.148.048-35</v>
          </cell>
          <cell r="K807" t="str">
            <v>128.69600.14.5</v>
          </cell>
          <cell r="L807" t="str">
            <v>Salário Mensal</v>
          </cell>
          <cell r="M807" t="str">
            <v>Empregado (CLT)</v>
          </cell>
        </row>
        <row r="808">
          <cell r="D808" t="str">
            <v>ECOSAMPA Operação Geral</v>
          </cell>
          <cell r="E808">
            <v>43739</v>
          </cell>
          <cell r="F808">
            <v>3999.84</v>
          </cell>
          <cell r="G808" t="str">
            <v>Em Atividade Normal</v>
          </cell>
          <cell r="H808">
            <v>45023</v>
          </cell>
          <cell r="I808">
            <v>28184</v>
          </cell>
          <cell r="J808" t="str">
            <v>260.099.478-55</v>
          </cell>
          <cell r="K808" t="str">
            <v>125.43872.81.9</v>
          </cell>
          <cell r="L808" t="str">
            <v>Salário Mensal</v>
          </cell>
          <cell r="M808" t="str">
            <v>Empregado (CLT)</v>
          </cell>
        </row>
        <row r="809">
          <cell r="D809" t="str">
            <v>ECOSAMPA Santo Amaro</v>
          </cell>
          <cell r="E809">
            <v>43617</v>
          </cell>
          <cell r="F809">
            <v>1603.99</v>
          </cell>
          <cell r="G809" t="str">
            <v>Gozando Férias</v>
          </cell>
          <cell r="H809">
            <v>45180</v>
          </cell>
          <cell r="I809">
            <v>26720</v>
          </cell>
          <cell r="J809" t="str">
            <v>136.171.368-26</v>
          </cell>
          <cell r="K809" t="str">
            <v>123.75322.29.2</v>
          </cell>
          <cell r="L809" t="str">
            <v>Salário Mensal</v>
          </cell>
          <cell r="M809" t="str">
            <v>Empregado (CLT)</v>
          </cell>
        </row>
        <row r="810">
          <cell r="D810" t="str">
            <v>ECOSAMPA Operação Geral</v>
          </cell>
          <cell r="E810">
            <v>43617</v>
          </cell>
          <cell r="F810">
            <v>3222.08</v>
          </cell>
          <cell r="G810" t="str">
            <v>Em Atividade Normal</v>
          </cell>
          <cell r="H810">
            <v>44960</v>
          </cell>
          <cell r="I810">
            <v>33818</v>
          </cell>
          <cell r="J810" t="str">
            <v>418.010.748-10</v>
          </cell>
          <cell r="K810" t="str">
            <v>160.10859.33.7</v>
          </cell>
          <cell r="L810" t="str">
            <v>Salário Mensal</v>
          </cell>
          <cell r="M810" t="str">
            <v>Empregado (CLT)</v>
          </cell>
        </row>
        <row r="811">
          <cell r="D811" t="str">
            <v>ECOSAMPA Capela do Socorro</v>
          </cell>
          <cell r="E811">
            <v>43817</v>
          </cell>
          <cell r="F811">
            <v>1603.99</v>
          </cell>
          <cell r="G811" t="str">
            <v>Demitido em Meses Anteriores</v>
          </cell>
          <cell r="H811">
            <v>45091</v>
          </cell>
          <cell r="I811">
            <v>32376</v>
          </cell>
          <cell r="J811" t="str">
            <v>396.216.128-70</v>
          </cell>
          <cell r="K811" t="str">
            <v>162.50812.59.9</v>
          </cell>
          <cell r="L811" t="str">
            <v>Salário Mensal</v>
          </cell>
          <cell r="M811" t="str">
            <v>Empregado (CLT)</v>
          </cell>
        </row>
        <row r="812">
          <cell r="D812" t="str">
            <v>ECOSAMPA M'Boi Mirim</v>
          </cell>
          <cell r="E812">
            <v>43874</v>
          </cell>
          <cell r="F812">
            <v>1464.83</v>
          </cell>
          <cell r="G812" t="str">
            <v>Demitido em Meses Anteriores</v>
          </cell>
          <cell r="H812">
            <v>44623</v>
          </cell>
          <cell r="I812">
            <v>30454</v>
          </cell>
          <cell r="J812" t="str">
            <v>220.472.018-61</v>
          </cell>
          <cell r="K812" t="str">
            <v>131.65235.81.2</v>
          </cell>
          <cell r="L812" t="str">
            <v>Salário Mensal</v>
          </cell>
          <cell r="M812" t="str">
            <v>Empregado (CLT)</v>
          </cell>
        </row>
        <row r="813">
          <cell r="D813" t="str">
            <v>ECOSAMPA Capela do Socorro</v>
          </cell>
          <cell r="E813">
            <v>45040</v>
          </cell>
          <cell r="F813">
            <v>1603.99</v>
          </cell>
          <cell r="G813" t="str">
            <v>Em Atividade Normal</v>
          </cell>
          <cell r="H813">
            <v>45040</v>
          </cell>
          <cell r="I813">
            <v>28179</v>
          </cell>
          <cell r="J813" t="str">
            <v>261.136.528-82</v>
          </cell>
          <cell r="K813" t="str">
            <v>126.28575.77.0</v>
          </cell>
          <cell r="L813" t="str">
            <v>Salário Mensal</v>
          </cell>
          <cell r="M813" t="str">
            <v>Empregado (CLT)</v>
          </cell>
        </row>
        <row r="814">
          <cell r="D814" t="str">
            <v>ECOSAMPA Operação Geral</v>
          </cell>
          <cell r="E814">
            <v>44967</v>
          </cell>
          <cell r="F814">
            <v>1603.99</v>
          </cell>
          <cell r="G814" t="str">
            <v>Demitido em Meses Anteriores</v>
          </cell>
          <cell r="H814">
            <v>44981</v>
          </cell>
          <cell r="I814">
            <v>29483</v>
          </cell>
          <cell r="J814" t="str">
            <v>281.126.178-80</v>
          </cell>
          <cell r="K814" t="str">
            <v>127.24457.85.6</v>
          </cell>
          <cell r="L814" t="str">
            <v>Salário Mensal</v>
          </cell>
          <cell r="M814" t="str">
            <v>Empregado (CLT)</v>
          </cell>
        </row>
        <row r="815">
          <cell r="D815" t="str">
            <v>ECOSAMPA Operação Geral</v>
          </cell>
          <cell r="E815">
            <v>43617</v>
          </cell>
          <cell r="F815">
            <v>1907.79</v>
          </cell>
          <cell r="G815" t="str">
            <v>Em Atividade Normal</v>
          </cell>
          <cell r="H815">
            <v>45149</v>
          </cell>
          <cell r="I815">
            <v>33473</v>
          </cell>
          <cell r="J815" t="str">
            <v>443.469.688-21</v>
          </cell>
          <cell r="K815" t="str">
            <v>212.09511.40.3</v>
          </cell>
          <cell r="L815" t="str">
            <v>Salário Mensal</v>
          </cell>
          <cell r="M815" t="str">
            <v>Empregado (CLT)</v>
          </cell>
        </row>
        <row r="816">
          <cell r="D816" t="str">
            <v>ECOSAMPA Santo Amaro</v>
          </cell>
          <cell r="E816">
            <v>44837</v>
          </cell>
          <cell r="F816">
            <v>1603.99</v>
          </cell>
          <cell r="G816" t="str">
            <v>Demitido em Meses Anteriores</v>
          </cell>
          <cell r="H816">
            <v>44883</v>
          </cell>
          <cell r="I816">
            <v>33915</v>
          </cell>
          <cell r="J816" t="str">
            <v>417.759.038-00</v>
          </cell>
          <cell r="K816" t="str">
            <v>167.44837.57.6</v>
          </cell>
          <cell r="L816" t="str">
            <v>Salário Mensal</v>
          </cell>
          <cell r="M816" t="str">
            <v>Empregado (CLT)</v>
          </cell>
        </row>
        <row r="817">
          <cell r="D817" t="str">
            <v>ECOSAMPA Santo Amaro</v>
          </cell>
          <cell r="E817">
            <v>43836</v>
          </cell>
          <cell r="F817">
            <v>1603.99</v>
          </cell>
          <cell r="G817" t="str">
            <v>Em Atividade Normal</v>
          </cell>
          <cell r="H817">
            <v>45119</v>
          </cell>
          <cell r="I817">
            <v>35263</v>
          </cell>
          <cell r="J817" t="str">
            <v>456.992.158-24</v>
          </cell>
          <cell r="K817" t="str">
            <v>162.68216.55.6</v>
          </cell>
          <cell r="L817" t="str">
            <v>Salário Mensal</v>
          </cell>
          <cell r="M817" t="str">
            <v>Empregado (CLT)</v>
          </cell>
        </row>
        <row r="818">
          <cell r="D818" t="str">
            <v>ECOSAMPA Santo Amaro</v>
          </cell>
          <cell r="E818">
            <v>43617</v>
          </cell>
          <cell r="F818">
            <v>1603.99</v>
          </cell>
          <cell r="G818" t="str">
            <v>Em Atividade Normal</v>
          </cell>
          <cell r="H818">
            <v>44806</v>
          </cell>
          <cell r="I818">
            <v>23758</v>
          </cell>
          <cell r="J818" t="str">
            <v>116.258.128-09</v>
          </cell>
          <cell r="K818" t="str">
            <v>122.08191.10.4</v>
          </cell>
          <cell r="L818" t="str">
            <v>Salário Mensal</v>
          </cell>
          <cell r="M818" t="str">
            <v>Empregado (CLT)</v>
          </cell>
        </row>
        <row r="819">
          <cell r="D819" t="str">
            <v>ECOSAMPA Operação Geral</v>
          </cell>
          <cell r="E819">
            <v>43617</v>
          </cell>
          <cell r="F819">
            <v>4202.05</v>
          </cell>
          <cell r="G819" t="str">
            <v>Em Atividade Normal</v>
          </cell>
          <cell r="H819">
            <v>44898</v>
          </cell>
          <cell r="I819">
            <v>26307</v>
          </cell>
          <cell r="J819" t="str">
            <v>191.842.608-23</v>
          </cell>
          <cell r="K819" t="str">
            <v>125.55186.33.8</v>
          </cell>
          <cell r="L819" t="str">
            <v>Salário Mensal</v>
          </cell>
          <cell r="M819" t="str">
            <v>Empregado (CLT)</v>
          </cell>
        </row>
        <row r="820">
          <cell r="D820" t="str">
            <v>ECOSAMPA Operação Geral</v>
          </cell>
          <cell r="E820">
            <v>43617</v>
          </cell>
          <cell r="F820">
            <v>3050.22</v>
          </cell>
          <cell r="G820" t="str">
            <v>Gozando Férias</v>
          </cell>
          <cell r="H820">
            <v>45180</v>
          </cell>
          <cell r="I820">
            <v>30568</v>
          </cell>
          <cell r="J820" t="str">
            <v>073.363.526-18</v>
          </cell>
          <cell r="K820" t="str">
            <v>135.93954.93.0</v>
          </cell>
          <cell r="L820" t="str">
            <v>Salário Mensal</v>
          </cell>
          <cell r="M820" t="str">
            <v>Empregado (CLT)</v>
          </cell>
        </row>
        <row r="821">
          <cell r="D821" t="str">
            <v>ECOSAMPA Santo Amaro</v>
          </cell>
          <cell r="E821">
            <v>43916</v>
          </cell>
          <cell r="F821">
            <v>1281.23</v>
          </cell>
          <cell r="G821" t="str">
            <v>Demitido em Meses Anteriores</v>
          </cell>
          <cell r="H821">
            <v>43921</v>
          </cell>
          <cell r="I821">
            <v>33093</v>
          </cell>
          <cell r="J821" t="str">
            <v>401.025.858-65</v>
          </cell>
          <cell r="K821" t="str">
            <v>209.79629.85.8</v>
          </cell>
          <cell r="L821" t="str">
            <v>Salário Mensal</v>
          </cell>
          <cell r="M821" t="str">
            <v>Empregado (CLT)</v>
          </cell>
        </row>
        <row r="822">
          <cell r="D822" t="str">
            <v>ECOSAMPA Operação Geral</v>
          </cell>
          <cell r="E822">
            <v>43916</v>
          </cell>
          <cell r="F822">
            <v>1603.99</v>
          </cell>
          <cell r="G822" t="str">
            <v>Em Atividade Normal</v>
          </cell>
          <cell r="H822">
            <v>45086</v>
          </cell>
          <cell r="I822">
            <v>34284</v>
          </cell>
          <cell r="J822" t="str">
            <v>464.509.248-02</v>
          </cell>
          <cell r="K822" t="str">
            <v>139.16026.93.2</v>
          </cell>
          <cell r="L822" t="str">
            <v>Salário Mensal</v>
          </cell>
          <cell r="M822" t="str">
            <v>Empregado (CLT)</v>
          </cell>
        </row>
        <row r="823">
          <cell r="D823" t="str">
            <v>ECOSAMPA Capela do Socorro</v>
          </cell>
          <cell r="E823">
            <v>44018</v>
          </cell>
          <cell r="F823">
            <v>1603.99</v>
          </cell>
          <cell r="G823" t="str">
            <v>Em Atividade Normal</v>
          </cell>
          <cell r="H823">
            <v>45086</v>
          </cell>
          <cell r="I823">
            <v>34303</v>
          </cell>
          <cell r="J823" t="str">
            <v>428.304.628-07</v>
          </cell>
          <cell r="K823" t="str">
            <v>162.09097.44.9</v>
          </cell>
          <cell r="L823" t="str">
            <v>Salário Mensal</v>
          </cell>
          <cell r="M823" t="str">
            <v>Empregado (CLT)</v>
          </cell>
        </row>
        <row r="824">
          <cell r="D824" t="str">
            <v>ECOSAMPA Capela do Socorro</v>
          </cell>
          <cell r="E824">
            <v>44368</v>
          </cell>
          <cell r="F824">
            <v>1464.83</v>
          </cell>
          <cell r="G824" t="str">
            <v>Demitido em Meses Anteriores</v>
          </cell>
          <cell r="H824">
            <v>44631</v>
          </cell>
          <cell r="I824">
            <v>35624</v>
          </cell>
          <cell r="J824" t="str">
            <v>472.111.048-05</v>
          </cell>
          <cell r="K824" t="str">
            <v>237.15263.12.8</v>
          </cell>
          <cell r="L824" t="str">
            <v>Salário Mensal</v>
          </cell>
          <cell r="M824" t="str">
            <v>Empregado (CLT)</v>
          </cell>
        </row>
        <row r="825">
          <cell r="D825" t="str">
            <v>ECOSAMPA Operação Geral</v>
          </cell>
          <cell r="E825">
            <v>44048</v>
          </cell>
          <cell r="F825">
            <v>1603.99</v>
          </cell>
          <cell r="G825" t="str">
            <v>Gozando Férias</v>
          </cell>
          <cell r="H825">
            <v>45180</v>
          </cell>
          <cell r="I825">
            <v>34925</v>
          </cell>
          <cell r="J825" t="str">
            <v>455.381.538-94</v>
          </cell>
          <cell r="K825" t="str">
            <v>163.06580.88.4</v>
          </cell>
          <cell r="L825" t="str">
            <v>Salário Mensal</v>
          </cell>
          <cell r="M825" t="str">
            <v>Empregado (CLT)</v>
          </cell>
        </row>
        <row r="826">
          <cell r="D826" t="str">
            <v>ECOSAMPA Operação Geral</v>
          </cell>
          <cell r="E826">
            <v>43916</v>
          </cell>
          <cell r="F826">
            <v>1319.67</v>
          </cell>
          <cell r="G826" t="str">
            <v>Demitido em Meses Anteriores</v>
          </cell>
          <cell r="H826">
            <v>44302</v>
          </cell>
          <cell r="I826">
            <v>36102</v>
          </cell>
          <cell r="J826" t="str">
            <v>462.273.808-22</v>
          </cell>
          <cell r="K826" t="str">
            <v>236.58119.38.8</v>
          </cell>
          <cell r="L826" t="str">
            <v>Salário Mensal</v>
          </cell>
          <cell r="M826" t="str">
            <v>Empregado (CLT)</v>
          </cell>
        </row>
        <row r="827">
          <cell r="D827" t="str">
            <v>ECOSAMPA Capela do Socorro</v>
          </cell>
          <cell r="E827">
            <v>44368</v>
          </cell>
          <cell r="F827">
            <v>1603.99</v>
          </cell>
          <cell r="G827" t="str">
            <v>Demitido em Meses Anteriores</v>
          </cell>
          <cell r="H827">
            <v>44844</v>
          </cell>
          <cell r="I827">
            <v>36426</v>
          </cell>
          <cell r="J827" t="str">
            <v>437.619.998-28</v>
          </cell>
          <cell r="K827" t="str">
            <v>156.77023.10.1</v>
          </cell>
          <cell r="L827" t="str">
            <v>Salário Mensal</v>
          </cell>
          <cell r="M827" t="str">
            <v>Empregado (CLT)</v>
          </cell>
        </row>
        <row r="828">
          <cell r="D828" t="str">
            <v>ECOSAMPA Santo Amaro</v>
          </cell>
          <cell r="E828">
            <v>44046</v>
          </cell>
          <cell r="F828">
            <v>1603.99</v>
          </cell>
          <cell r="G828" t="str">
            <v>Em Atividade Normal</v>
          </cell>
          <cell r="H828">
            <v>44867</v>
          </cell>
          <cell r="I828">
            <v>32536</v>
          </cell>
          <cell r="J828" t="str">
            <v>233.227.898-29</v>
          </cell>
          <cell r="K828" t="str">
            <v>212.46825.71.8</v>
          </cell>
          <cell r="L828" t="str">
            <v>Salário Mensal</v>
          </cell>
          <cell r="M828" t="str">
            <v>Empregado (CLT)</v>
          </cell>
        </row>
        <row r="829">
          <cell r="D829" t="str">
            <v>ECOSAMPA Operação Geral</v>
          </cell>
          <cell r="E829">
            <v>45022</v>
          </cell>
          <cell r="F829">
            <v>1603.99</v>
          </cell>
          <cell r="G829" t="str">
            <v>Demitido em Meses Anteriores</v>
          </cell>
          <cell r="H829">
            <v>45027</v>
          </cell>
          <cell r="I829">
            <v>37006</v>
          </cell>
          <cell r="J829" t="str">
            <v>463.223.148-74</v>
          </cell>
          <cell r="K829" t="str">
            <v>213.12891.11.6</v>
          </cell>
          <cell r="L829" t="str">
            <v>Salário Mensal</v>
          </cell>
          <cell r="M829" t="str">
            <v>Empregado (CLT)</v>
          </cell>
        </row>
        <row r="830">
          <cell r="D830" t="str">
            <v>ECOSAMPA Capela do Socorro</v>
          </cell>
          <cell r="E830">
            <v>43874</v>
          </cell>
          <cell r="F830">
            <v>1603.99</v>
          </cell>
          <cell r="G830" t="str">
            <v>Em Atividade Normal</v>
          </cell>
          <cell r="H830">
            <v>45086</v>
          </cell>
          <cell r="I830">
            <v>34528</v>
          </cell>
          <cell r="J830" t="str">
            <v>235.274.448-23</v>
          </cell>
          <cell r="K830" t="str">
            <v>210.14644.55.2</v>
          </cell>
          <cell r="L830" t="str">
            <v>Salário Mensal</v>
          </cell>
          <cell r="M830" t="str">
            <v>Empregado (CLT)</v>
          </cell>
        </row>
        <row r="831">
          <cell r="D831" t="str">
            <v>ECOSAMPA Operação Geral</v>
          </cell>
          <cell r="E831">
            <v>43906</v>
          </cell>
          <cell r="F831">
            <v>3001.31</v>
          </cell>
          <cell r="G831" t="str">
            <v>Demitido em Meses Anteriores</v>
          </cell>
          <cell r="H831">
            <v>44641</v>
          </cell>
          <cell r="I831">
            <v>33518</v>
          </cell>
          <cell r="J831" t="str">
            <v>393.585.878-73</v>
          </cell>
          <cell r="K831" t="str">
            <v>204.30219.25.8</v>
          </cell>
          <cell r="L831" t="str">
            <v>Salário Mensal</v>
          </cell>
          <cell r="M831" t="str">
            <v>Empregado (CLT)</v>
          </cell>
        </row>
        <row r="832">
          <cell r="D832" t="str">
            <v>ECOSAMPA Campo Limpo</v>
          </cell>
          <cell r="E832">
            <v>44725</v>
          </cell>
          <cell r="F832">
            <v>1603.99</v>
          </cell>
          <cell r="G832" t="str">
            <v>Em Atividade Normal</v>
          </cell>
          <cell r="H832">
            <v>44725</v>
          </cell>
          <cell r="I832">
            <v>34638</v>
          </cell>
          <cell r="J832" t="str">
            <v>447.938.488-00</v>
          </cell>
          <cell r="K832" t="str">
            <v>213.08823.60.8</v>
          </cell>
          <cell r="L832" t="str">
            <v>Salário Mensal</v>
          </cell>
          <cell r="M832" t="str">
            <v>Empregado (CLT)</v>
          </cell>
        </row>
        <row r="833">
          <cell r="D833" t="str">
            <v>ECOSAMPA M'Boi Mirim</v>
          </cell>
          <cell r="E833">
            <v>43617</v>
          </cell>
          <cell r="F833">
            <v>3222.08</v>
          </cell>
          <cell r="G833" t="str">
            <v>Em Atividade Normal</v>
          </cell>
          <cell r="H833">
            <v>44930</v>
          </cell>
          <cell r="I833">
            <v>30756</v>
          </cell>
          <cell r="J833" t="str">
            <v>322.067.418-65</v>
          </cell>
          <cell r="K833" t="str">
            <v>131.55220.85.5</v>
          </cell>
          <cell r="L833" t="str">
            <v>Salário Mensal</v>
          </cell>
          <cell r="M833" t="str">
            <v>Empregado (CLT)</v>
          </cell>
        </row>
        <row r="834">
          <cell r="D834" t="str">
            <v>ECOSAMPA Santo Amaro</v>
          </cell>
          <cell r="E834">
            <v>43811</v>
          </cell>
          <cell r="F834">
            <v>1603.99</v>
          </cell>
          <cell r="G834" t="str">
            <v>Em Atividade Normal</v>
          </cell>
          <cell r="H834">
            <v>45198</v>
          </cell>
          <cell r="I834">
            <v>34985</v>
          </cell>
          <cell r="J834" t="str">
            <v>438.592.608-55</v>
          </cell>
          <cell r="K834" t="str">
            <v>209.79779.35.3</v>
          </cell>
          <cell r="L834" t="str">
            <v>Salário Mensal</v>
          </cell>
          <cell r="M834" t="str">
            <v>Empregado (CLT)</v>
          </cell>
        </row>
        <row r="835">
          <cell r="D835" t="str">
            <v>ECOSAMPA Santo Amaro</v>
          </cell>
          <cell r="E835">
            <v>44154</v>
          </cell>
          <cell r="F835">
            <v>1603.99</v>
          </cell>
          <cell r="G835" t="str">
            <v>Em Atividade Normal</v>
          </cell>
          <cell r="H835">
            <v>45086</v>
          </cell>
          <cell r="I835">
            <v>33752</v>
          </cell>
          <cell r="J835" t="str">
            <v>419.300.578-06</v>
          </cell>
          <cell r="K835" t="str">
            <v>268.89153.17.9</v>
          </cell>
          <cell r="L835" t="str">
            <v>Salário Mensal</v>
          </cell>
          <cell r="M835" t="str">
            <v>Empregado (CLT)</v>
          </cell>
        </row>
        <row r="836">
          <cell r="D836" t="str">
            <v>ECOSAMPA Operação Geral</v>
          </cell>
          <cell r="E836">
            <v>44967</v>
          </cell>
          <cell r="F836">
            <v>1603.99</v>
          </cell>
          <cell r="G836" t="str">
            <v>Demitido em Meses Anteriores</v>
          </cell>
          <cell r="H836">
            <v>44981</v>
          </cell>
          <cell r="I836">
            <v>37693</v>
          </cell>
          <cell r="J836" t="str">
            <v>238.811.468-30</v>
          </cell>
          <cell r="K836" t="str">
            <v>210.14779.99.7</v>
          </cell>
          <cell r="L836" t="str">
            <v>Salário Mensal</v>
          </cell>
          <cell r="M836" t="str">
            <v>Empregado (CLT)</v>
          </cell>
        </row>
        <row r="837">
          <cell r="D837" t="str">
            <v>ECOSAMPA Pensionistas</v>
          </cell>
          <cell r="E837">
            <v>43800</v>
          </cell>
          <cell r="F837">
            <v>0.01</v>
          </cell>
          <cell r="G837" t="str">
            <v>Em Atividade Normal</v>
          </cell>
          <cell r="H837">
            <v>43800</v>
          </cell>
          <cell r="J837" t="str">
            <v>381.711.278-51</v>
          </cell>
          <cell r="L837" t="str">
            <v>Nenhuma</v>
          </cell>
          <cell r="M837" t="str">
            <v>Pensionista</v>
          </cell>
        </row>
        <row r="838">
          <cell r="D838" t="str">
            <v>ECOSAMPA Capela do Socorro</v>
          </cell>
          <cell r="E838">
            <v>43617</v>
          </cell>
          <cell r="F838">
            <v>1603.99</v>
          </cell>
          <cell r="G838" t="str">
            <v>Em Atividade Normal</v>
          </cell>
          <cell r="H838">
            <v>45056</v>
          </cell>
          <cell r="I838">
            <v>29621</v>
          </cell>
          <cell r="J838" t="str">
            <v>322.885.438-84</v>
          </cell>
          <cell r="K838" t="str">
            <v>133.33709.77.4</v>
          </cell>
          <cell r="L838" t="str">
            <v>Salário Mensal</v>
          </cell>
          <cell r="M838" t="str">
            <v>Empregado (CLT)</v>
          </cell>
        </row>
        <row r="839">
          <cell r="D839" t="str">
            <v>ECOSAMPA Operação Geral</v>
          </cell>
          <cell r="E839">
            <v>43617</v>
          </cell>
          <cell r="F839">
            <v>1907.79</v>
          </cell>
          <cell r="G839" t="str">
            <v>Em Atividade Normal</v>
          </cell>
          <cell r="H839">
            <v>44960</v>
          </cell>
          <cell r="I839">
            <v>29865</v>
          </cell>
          <cell r="J839" t="str">
            <v>233.787.878-30</v>
          </cell>
          <cell r="K839" t="str">
            <v>163.38795.46.0</v>
          </cell>
          <cell r="L839" t="str">
            <v>Salário Mensal</v>
          </cell>
          <cell r="M839" t="str">
            <v>Empregado (CLT)</v>
          </cell>
        </row>
        <row r="840">
          <cell r="D840" t="str">
            <v>ECOSAMPA Capela do Socorro</v>
          </cell>
          <cell r="E840">
            <v>43617</v>
          </cell>
          <cell r="F840">
            <v>1464.83</v>
          </cell>
          <cell r="G840" t="str">
            <v>Demitido em Meses Anteriores</v>
          </cell>
          <cell r="H840">
            <v>44719</v>
          </cell>
          <cell r="I840">
            <v>28683</v>
          </cell>
          <cell r="J840" t="str">
            <v>935.367.555-34</v>
          </cell>
          <cell r="K840" t="str">
            <v>126.26828.08.6</v>
          </cell>
          <cell r="L840" t="str">
            <v>Salário Mensal</v>
          </cell>
          <cell r="M840" t="str">
            <v>Empregado (CLT)</v>
          </cell>
        </row>
        <row r="841">
          <cell r="D841" t="str">
            <v>ECOSAMPA Santo Amaro</v>
          </cell>
          <cell r="E841">
            <v>43617</v>
          </cell>
          <cell r="F841">
            <v>1319.67</v>
          </cell>
          <cell r="G841" t="str">
            <v>Demitido em Meses Anteriores</v>
          </cell>
          <cell r="H841">
            <v>44140</v>
          </cell>
          <cell r="I841">
            <v>32883</v>
          </cell>
          <cell r="J841" t="str">
            <v>387.506.838-61</v>
          </cell>
          <cell r="K841" t="str">
            <v>209.78947.50.3</v>
          </cell>
          <cell r="L841" t="str">
            <v>Salário Mensal</v>
          </cell>
          <cell r="M841" t="str">
            <v>Empregado (CLT)</v>
          </cell>
        </row>
        <row r="842">
          <cell r="D842" t="str">
            <v>ECOSAMPA Parelheiros</v>
          </cell>
          <cell r="E842">
            <v>43617</v>
          </cell>
          <cell r="F842">
            <v>1603.99</v>
          </cell>
          <cell r="G842" t="str">
            <v>Em Atividade Normal</v>
          </cell>
          <cell r="H842">
            <v>45056</v>
          </cell>
          <cell r="I842">
            <v>35789</v>
          </cell>
          <cell r="J842" t="str">
            <v>511.997.808-80</v>
          </cell>
          <cell r="K842" t="str">
            <v>201.52580.63.2</v>
          </cell>
          <cell r="L842" t="str">
            <v>Salário Mensal</v>
          </cell>
          <cell r="M842" t="str">
            <v>Empregado (CLT)</v>
          </cell>
        </row>
        <row r="843">
          <cell r="D843" t="str">
            <v>ECOSAMPA Santo Amaro</v>
          </cell>
          <cell r="E843">
            <v>43874</v>
          </cell>
          <cell r="F843">
            <v>1603.99</v>
          </cell>
          <cell r="G843" t="str">
            <v>Demitido em Meses Anteriores</v>
          </cell>
          <cell r="H843">
            <v>44844</v>
          </cell>
          <cell r="I843">
            <v>33824</v>
          </cell>
          <cell r="J843" t="str">
            <v>347.550.508-80</v>
          </cell>
          <cell r="K843" t="str">
            <v>207.24992.42.6</v>
          </cell>
          <cell r="L843" t="str">
            <v>Salário Mensal</v>
          </cell>
          <cell r="M843" t="str">
            <v>Empregado (CLT)</v>
          </cell>
        </row>
        <row r="844">
          <cell r="D844" t="str">
            <v>ECOSAMPA Operação Geral</v>
          </cell>
          <cell r="E844">
            <v>44370</v>
          </cell>
          <cell r="F844">
            <v>2245.94</v>
          </cell>
          <cell r="G844" t="str">
            <v>Em Atividade Normal</v>
          </cell>
          <cell r="H844">
            <v>44806</v>
          </cell>
          <cell r="I844">
            <v>35623</v>
          </cell>
          <cell r="J844" t="str">
            <v>433.582.278-20</v>
          </cell>
          <cell r="K844" t="str">
            <v>204.34854.07.1</v>
          </cell>
          <cell r="L844" t="str">
            <v>Salário Mensal</v>
          </cell>
          <cell r="M844" t="str">
            <v>Empregado (CLT)</v>
          </cell>
        </row>
        <row r="845">
          <cell r="D845" t="str">
            <v>ECOSAMPA Operação Geral</v>
          </cell>
          <cell r="E845">
            <v>43619</v>
          </cell>
          <cell r="F845">
            <v>3292.51</v>
          </cell>
          <cell r="G845" t="str">
            <v>Em Atividade Normal</v>
          </cell>
          <cell r="H845">
            <v>44898</v>
          </cell>
          <cell r="I845">
            <v>31399</v>
          </cell>
          <cell r="J845" t="str">
            <v>360.559.958-32</v>
          </cell>
          <cell r="K845" t="str">
            <v>133.44883.85.1</v>
          </cell>
          <cell r="L845" t="str">
            <v>Salário Mensal</v>
          </cell>
          <cell r="M845" t="str">
            <v>Empregado (CLT)</v>
          </cell>
        </row>
        <row r="846">
          <cell r="D846" t="str">
            <v>ECOSAMPA Operação Geral</v>
          </cell>
          <cell r="E846">
            <v>43874</v>
          </cell>
          <cell r="F846">
            <v>3050.22</v>
          </cell>
          <cell r="G846" t="str">
            <v>Em Atividade Normal</v>
          </cell>
          <cell r="H846">
            <v>45056</v>
          </cell>
          <cell r="I846">
            <v>29824</v>
          </cell>
          <cell r="J846" t="str">
            <v>224.260.968-88</v>
          </cell>
          <cell r="K846" t="str">
            <v>126.21488.77.5</v>
          </cell>
          <cell r="L846" t="str">
            <v>Salário Mensal</v>
          </cell>
          <cell r="M846" t="str">
            <v>Empregado (CLT)</v>
          </cell>
        </row>
        <row r="847">
          <cell r="D847" t="str">
            <v>ECOSAMPA Operação Geral</v>
          </cell>
          <cell r="E847">
            <v>43617</v>
          </cell>
          <cell r="F847">
            <v>2509.54</v>
          </cell>
          <cell r="G847" t="str">
            <v>Demitido em Meses Anteriores</v>
          </cell>
          <cell r="H847">
            <v>44336</v>
          </cell>
          <cell r="I847">
            <v>29188</v>
          </cell>
          <cell r="J847" t="str">
            <v>268.666.048-18</v>
          </cell>
          <cell r="K847" t="str">
            <v>128.02360.85.1</v>
          </cell>
          <cell r="L847" t="str">
            <v>Salário Mensal</v>
          </cell>
          <cell r="M847" t="str">
            <v>Empregado (CLT)</v>
          </cell>
        </row>
        <row r="848">
          <cell r="D848" t="str">
            <v>ECOSAMPA Capela do Socorro</v>
          </cell>
          <cell r="E848">
            <v>45180</v>
          </cell>
          <cell r="F848">
            <v>1603.99</v>
          </cell>
          <cell r="G848" t="str">
            <v>Em Atividade Normal</v>
          </cell>
          <cell r="H848">
            <v>45180</v>
          </cell>
          <cell r="I848">
            <v>32279</v>
          </cell>
          <cell r="J848" t="str">
            <v>372.195.328-22</v>
          </cell>
          <cell r="K848" t="str">
            <v>134.05364.89.1</v>
          </cell>
          <cell r="L848" t="str">
            <v>Salário Mensal</v>
          </cell>
          <cell r="M848" t="str">
            <v>Empregado (CLT)</v>
          </cell>
        </row>
        <row r="849">
          <cell r="D849" t="str">
            <v>ECOSAMPA Campo Limpo</v>
          </cell>
          <cell r="E849">
            <v>43617</v>
          </cell>
          <cell r="F849">
            <v>3222.08</v>
          </cell>
          <cell r="G849" t="str">
            <v>Em Atividade Normal</v>
          </cell>
          <cell r="H849">
            <v>45149</v>
          </cell>
          <cell r="I849">
            <v>30474</v>
          </cell>
          <cell r="J849" t="str">
            <v>226.765.438-57</v>
          </cell>
          <cell r="K849" t="str">
            <v>128.99058.85.3</v>
          </cell>
          <cell r="L849" t="str">
            <v>Salário Mensal</v>
          </cell>
          <cell r="M849" t="str">
            <v>Empregado (CLT)</v>
          </cell>
        </row>
        <row r="850">
          <cell r="D850" t="str">
            <v>ECOSAMPA M'Boi Mirim</v>
          </cell>
          <cell r="E850">
            <v>44048</v>
          </cell>
          <cell r="F850">
            <v>1603.99</v>
          </cell>
          <cell r="G850" t="str">
            <v>Em Atividade Normal</v>
          </cell>
          <cell r="H850">
            <v>45086</v>
          </cell>
          <cell r="I850">
            <v>29673</v>
          </cell>
          <cell r="J850" t="str">
            <v>043.036.064-99</v>
          </cell>
          <cell r="K850" t="str">
            <v>129.56426.45.3</v>
          </cell>
          <cell r="L850" t="str">
            <v>Salário Mensal</v>
          </cell>
          <cell r="M850" t="str">
            <v>Empregado (CLT)</v>
          </cell>
        </row>
        <row r="851">
          <cell r="D851" t="str">
            <v>ECOSAMPA Santo Amaro</v>
          </cell>
          <cell r="E851">
            <v>43617</v>
          </cell>
          <cell r="F851">
            <v>1319.67</v>
          </cell>
          <cell r="G851" t="str">
            <v>Demitido em Meses Anteriores</v>
          </cell>
          <cell r="H851">
            <v>44321</v>
          </cell>
          <cell r="I851">
            <v>32448</v>
          </cell>
          <cell r="J851" t="str">
            <v>361.492.358-40</v>
          </cell>
          <cell r="K851" t="str">
            <v>162.19768.86.9</v>
          </cell>
          <cell r="L851" t="str">
            <v>Salário Mensal</v>
          </cell>
          <cell r="M851" t="str">
            <v>Empregado (CLT)</v>
          </cell>
        </row>
        <row r="852">
          <cell r="D852" t="str">
            <v>ECOSAMPA Santo Amaro</v>
          </cell>
          <cell r="E852">
            <v>45061</v>
          </cell>
          <cell r="F852">
            <v>1603.99</v>
          </cell>
          <cell r="G852" t="str">
            <v>Em Atividade Normal</v>
          </cell>
          <cell r="H852">
            <v>45061</v>
          </cell>
          <cell r="I852">
            <v>26038</v>
          </cell>
          <cell r="J852" t="str">
            <v>143.370.438-29</v>
          </cell>
          <cell r="K852" t="str">
            <v>124.00664.43.0</v>
          </cell>
          <cell r="L852" t="str">
            <v>Salário Mensal</v>
          </cell>
          <cell r="M852" t="str">
            <v>Empregado (CLT)</v>
          </cell>
        </row>
        <row r="853">
          <cell r="D853" t="str">
            <v>ECOSAMPA Operação Geral</v>
          </cell>
          <cell r="E853">
            <v>43617</v>
          </cell>
          <cell r="F853">
            <v>3050.22</v>
          </cell>
          <cell r="G853" t="str">
            <v>Em Atividade Normal</v>
          </cell>
          <cell r="H853">
            <v>45119</v>
          </cell>
          <cell r="I853">
            <v>31933</v>
          </cell>
          <cell r="J853" t="str">
            <v>363.964.328-38</v>
          </cell>
          <cell r="K853" t="str">
            <v>136.26342.81.5</v>
          </cell>
          <cell r="L853" t="str">
            <v>Salário Mensal</v>
          </cell>
          <cell r="M853" t="str">
            <v>Empregado (CLT)</v>
          </cell>
        </row>
        <row r="854">
          <cell r="D854" t="str">
            <v>ECOSAMPA Operação Geral</v>
          </cell>
          <cell r="E854">
            <v>43617</v>
          </cell>
          <cell r="F854">
            <v>1907.79</v>
          </cell>
          <cell r="G854" t="str">
            <v>Em Atividade Normal</v>
          </cell>
          <cell r="H854">
            <v>44898</v>
          </cell>
          <cell r="I854">
            <v>26929</v>
          </cell>
          <cell r="J854" t="str">
            <v>179.586.208-45</v>
          </cell>
          <cell r="K854" t="str">
            <v>124.85483.22.3</v>
          </cell>
          <cell r="L854" t="str">
            <v>Salário Mensal</v>
          </cell>
          <cell r="M854" t="str">
            <v>Empregado (CLT)</v>
          </cell>
        </row>
        <row r="855">
          <cell r="D855" t="str">
            <v>ECOSAMPA Capela do Socorro</v>
          </cell>
          <cell r="E855">
            <v>43617</v>
          </cell>
          <cell r="F855">
            <v>1603.99</v>
          </cell>
          <cell r="G855" t="str">
            <v>Em Atividade Normal</v>
          </cell>
          <cell r="H855">
            <v>44993</v>
          </cell>
          <cell r="I855">
            <v>30075</v>
          </cell>
          <cell r="J855" t="str">
            <v>042.672.704-57</v>
          </cell>
          <cell r="K855" t="str">
            <v>127.66955.44.7</v>
          </cell>
          <cell r="L855" t="str">
            <v>Salário Mensal</v>
          </cell>
          <cell r="M855" t="str">
            <v>Empregado (CLT)</v>
          </cell>
        </row>
        <row r="856">
          <cell r="D856" t="str">
            <v>ECOSAMPA Capela do Socorro</v>
          </cell>
          <cell r="E856">
            <v>43617</v>
          </cell>
          <cell r="F856">
            <v>1603.99</v>
          </cell>
          <cell r="G856" t="str">
            <v>Em Atividade Normal</v>
          </cell>
          <cell r="H856">
            <v>45119</v>
          </cell>
          <cell r="I856">
            <v>21741</v>
          </cell>
          <cell r="J856" t="str">
            <v>184.647.358-63</v>
          </cell>
          <cell r="K856" t="str">
            <v>124.72640.25.2</v>
          </cell>
          <cell r="L856" t="str">
            <v>Salário Mensal</v>
          </cell>
          <cell r="M856" t="str">
            <v>Empregado (CLT)</v>
          </cell>
        </row>
        <row r="857">
          <cell r="D857" t="str">
            <v>ECOSAMPA Santo Amaro</v>
          </cell>
          <cell r="E857">
            <v>43617</v>
          </cell>
          <cell r="F857">
            <v>1281.23</v>
          </cell>
          <cell r="G857" t="str">
            <v>Demitido em Meses Anteriores</v>
          </cell>
          <cell r="H857">
            <v>44033</v>
          </cell>
          <cell r="I857">
            <v>21030</v>
          </cell>
          <cell r="J857" t="str">
            <v>009.481.178-42</v>
          </cell>
          <cell r="K857" t="str">
            <v>107.83617.00.0</v>
          </cell>
          <cell r="L857" t="str">
            <v>Salário Mensal</v>
          </cell>
          <cell r="M857" t="str">
            <v>Empregado (CLT)</v>
          </cell>
        </row>
        <row r="858">
          <cell r="D858" t="str">
            <v>ECOSAMPA Operação Geral</v>
          </cell>
          <cell r="E858">
            <v>44967</v>
          </cell>
          <cell r="F858">
            <v>1603.99</v>
          </cell>
          <cell r="G858" t="str">
            <v>Demitido em Meses Anteriores</v>
          </cell>
          <cell r="H858">
            <v>44981</v>
          </cell>
          <cell r="I858">
            <v>30718</v>
          </cell>
          <cell r="J858" t="str">
            <v>332.584.408-16</v>
          </cell>
          <cell r="K858" t="str">
            <v>206.88302.44.5</v>
          </cell>
          <cell r="L858" t="str">
            <v>Salário Mensal</v>
          </cell>
          <cell r="M858" t="str">
            <v>Empregado (CLT)</v>
          </cell>
        </row>
        <row r="859">
          <cell r="D859" t="str">
            <v>ECOSAMPA Santo Amaro</v>
          </cell>
          <cell r="E859">
            <v>43617</v>
          </cell>
          <cell r="F859">
            <v>1603.99</v>
          </cell>
          <cell r="G859" t="str">
            <v>Em Atividade Normal</v>
          </cell>
          <cell r="H859">
            <v>44835</v>
          </cell>
          <cell r="I859">
            <v>23752</v>
          </cell>
          <cell r="J859" t="str">
            <v>246.441.488-30</v>
          </cell>
          <cell r="K859" t="str">
            <v>124.98896.93.9</v>
          </cell>
          <cell r="L859" t="str">
            <v>Salário Mensal</v>
          </cell>
          <cell r="M859" t="str">
            <v>Empregado (CLT)</v>
          </cell>
        </row>
        <row r="860">
          <cell r="D860" t="str">
            <v>ECOSAMPA Campo Limpo</v>
          </cell>
          <cell r="E860">
            <v>43617</v>
          </cell>
          <cell r="F860">
            <v>1603.99</v>
          </cell>
          <cell r="G860" t="str">
            <v>Em Atividade Normal</v>
          </cell>
          <cell r="H860">
            <v>45119</v>
          </cell>
          <cell r="I860">
            <v>21973</v>
          </cell>
          <cell r="J860" t="str">
            <v>075.507.798-99</v>
          </cell>
          <cell r="K860" t="str">
            <v>121.66961.81.0</v>
          </cell>
          <cell r="L860" t="str">
            <v>Salário Mensal</v>
          </cell>
          <cell r="M860" t="str">
            <v>Empregado (CLT)</v>
          </cell>
        </row>
        <row r="861">
          <cell r="D861" t="str">
            <v>ECOSAMPA Capela do Socorro</v>
          </cell>
          <cell r="E861">
            <v>43617</v>
          </cell>
          <cell r="F861">
            <v>1603.99</v>
          </cell>
          <cell r="G861" t="str">
            <v>Em Atividade Normal</v>
          </cell>
          <cell r="H861">
            <v>44993</v>
          </cell>
          <cell r="I861">
            <v>24018</v>
          </cell>
          <cell r="J861" t="str">
            <v>025.050.644-07</v>
          </cell>
          <cell r="K861" t="str">
            <v>124.04474.24.5</v>
          </cell>
          <cell r="L861" t="str">
            <v>Salário Mensal</v>
          </cell>
          <cell r="M861" t="str">
            <v>Empregado (CLT)</v>
          </cell>
        </row>
        <row r="862">
          <cell r="D862" t="str">
            <v>ECOSAMPA Capela do Socorro</v>
          </cell>
          <cell r="E862">
            <v>43617</v>
          </cell>
          <cell r="F862">
            <v>1319.67</v>
          </cell>
          <cell r="G862" t="str">
            <v>Demitido em Meses Anteriores</v>
          </cell>
          <cell r="H862">
            <v>44140</v>
          </cell>
          <cell r="I862">
            <v>22656</v>
          </cell>
          <cell r="J862" t="str">
            <v>288.956.788-50</v>
          </cell>
          <cell r="K862" t="str">
            <v>122.06255.62.8</v>
          </cell>
          <cell r="L862" t="str">
            <v>Salário Mensal</v>
          </cell>
          <cell r="M862" t="str">
            <v>Empregado (CLT)</v>
          </cell>
        </row>
        <row r="863">
          <cell r="D863" t="str">
            <v>ECOSAMPA Operação Geral</v>
          </cell>
          <cell r="E863">
            <v>43916</v>
          </cell>
          <cell r="F863">
            <v>3050.22</v>
          </cell>
          <cell r="G863" t="str">
            <v>Em Atividade Normal</v>
          </cell>
          <cell r="H863">
            <v>45086</v>
          </cell>
          <cell r="I863">
            <v>23887</v>
          </cell>
          <cell r="J863" t="str">
            <v>166.202.068-67</v>
          </cell>
          <cell r="K863" t="str">
            <v>123.23724.79.9</v>
          </cell>
          <cell r="L863" t="str">
            <v>Salário Mensal</v>
          </cell>
          <cell r="M863" t="str">
            <v>Empregado (CLT)</v>
          </cell>
        </row>
        <row r="864">
          <cell r="D864" t="str">
            <v>ECOSAMPA M'Boi Mirim</v>
          </cell>
          <cell r="E864">
            <v>43804</v>
          </cell>
          <cell r="F864">
            <v>1603.99</v>
          </cell>
          <cell r="G864" t="str">
            <v>Demitido em Meses Anteriores</v>
          </cell>
          <cell r="H864">
            <v>45069</v>
          </cell>
          <cell r="I864">
            <v>30193</v>
          </cell>
          <cell r="J864" t="str">
            <v>214.675.118-54</v>
          </cell>
          <cell r="K864" t="str">
            <v>127.06731.89.5</v>
          </cell>
          <cell r="L864" t="str">
            <v>Salário Mensal</v>
          </cell>
          <cell r="M864" t="str">
            <v>Empregado (CLT)</v>
          </cell>
        </row>
        <row r="865">
          <cell r="D865" t="str">
            <v>ECOSAMPA Operação Geral</v>
          </cell>
          <cell r="E865">
            <v>43620</v>
          </cell>
          <cell r="F865">
            <v>3050.22</v>
          </cell>
          <cell r="G865" t="str">
            <v>Em Atividade Normal</v>
          </cell>
          <cell r="H865">
            <v>44867</v>
          </cell>
          <cell r="I865">
            <v>25654</v>
          </cell>
          <cell r="J865" t="str">
            <v>113.843.058-74</v>
          </cell>
          <cell r="K865" t="str">
            <v>123.07595.07.6</v>
          </cell>
          <cell r="L865" t="str">
            <v>Salário Mensal</v>
          </cell>
          <cell r="M865" t="str">
            <v>Empregado (CLT)</v>
          </cell>
        </row>
        <row r="866">
          <cell r="D866" t="str">
            <v>ECOSAMPA Santo Amaro</v>
          </cell>
          <cell r="E866">
            <v>43617</v>
          </cell>
          <cell r="F866">
            <v>1603.99</v>
          </cell>
          <cell r="G866" t="str">
            <v>Em Atividade Normal</v>
          </cell>
          <cell r="H866">
            <v>44835</v>
          </cell>
          <cell r="I866">
            <v>26086</v>
          </cell>
          <cell r="J866" t="str">
            <v>184.742.708-12</v>
          </cell>
          <cell r="K866" t="str">
            <v>124.64698.12.3</v>
          </cell>
          <cell r="L866" t="str">
            <v>Salário Mensal</v>
          </cell>
          <cell r="M866" t="str">
            <v>Empregado (CLT)</v>
          </cell>
        </row>
        <row r="867">
          <cell r="D867" t="str">
            <v>ECOSAMPA Santo Amaro</v>
          </cell>
          <cell r="E867">
            <v>43617</v>
          </cell>
          <cell r="F867">
            <v>1603.99</v>
          </cell>
          <cell r="G867" t="str">
            <v>Em Atividade Normal</v>
          </cell>
          <cell r="H867">
            <v>45149</v>
          </cell>
          <cell r="I867">
            <v>28606</v>
          </cell>
          <cell r="J867" t="str">
            <v>771.218.213-20</v>
          </cell>
          <cell r="K867" t="str">
            <v>126.62539.60.9</v>
          </cell>
          <cell r="L867" t="str">
            <v>Salário Mensal</v>
          </cell>
          <cell r="M867" t="str">
            <v>Empregado (CLT)</v>
          </cell>
        </row>
        <row r="868">
          <cell r="D868" t="str">
            <v>ECOSAMPA Santo Amaro</v>
          </cell>
          <cell r="E868">
            <v>43617</v>
          </cell>
          <cell r="F868">
            <v>1603.99</v>
          </cell>
          <cell r="G868" t="str">
            <v>Em Atividade Normal</v>
          </cell>
          <cell r="H868">
            <v>44867</v>
          </cell>
          <cell r="I868">
            <v>27318</v>
          </cell>
          <cell r="J868" t="str">
            <v>271.877.638-24</v>
          </cell>
          <cell r="K868" t="str">
            <v>134.66068.85.0</v>
          </cell>
          <cell r="L868" t="str">
            <v>Salário Mensal</v>
          </cell>
          <cell r="M868" t="str">
            <v>Empregado (CLT)</v>
          </cell>
        </row>
        <row r="869">
          <cell r="D869" t="str">
            <v>ECOSAMPA Campo Limpo</v>
          </cell>
          <cell r="E869">
            <v>43617</v>
          </cell>
          <cell r="F869">
            <v>1464.83</v>
          </cell>
          <cell r="G869" t="str">
            <v>Demitido em Meses Anteriores</v>
          </cell>
          <cell r="H869">
            <v>44694</v>
          </cell>
          <cell r="I869">
            <v>29728</v>
          </cell>
          <cell r="J869" t="str">
            <v>850.279.875-87</v>
          </cell>
          <cell r="K869" t="str">
            <v>130.09862.05.8</v>
          </cell>
          <cell r="L869" t="str">
            <v>Salário Mensal</v>
          </cell>
          <cell r="M869" t="str">
            <v>Empregado (CLT)</v>
          </cell>
        </row>
        <row r="870">
          <cell r="D870" t="str">
            <v>ECOSAMPA Operação Geral</v>
          </cell>
          <cell r="E870">
            <v>44725</v>
          </cell>
          <cell r="F870">
            <v>3050.22</v>
          </cell>
          <cell r="G870" t="str">
            <v>Em Atividade Normal</v>
          </cell>
          <cell r="H870">
            <v>44725</v>
          </cell>
          <cell r="I870">
            <v>26908</v>
          </cell>
          <cell r="J870" t="str">
            <v>148.112.858-24</v>
          </cell>
          <cell r="K870" t="str">
            <v>123.74444.69.6</v>
          </cell>
          <cell r="L870" t="str">
            <v>Salário Mensal</v>
          </cell>
          <cell r="M870" t="str">
            <v>Empregado (CLT)</v>
          </cell>
        </row>
        <row r="871">
          <cell r="D871" t="str">
            <v>ECOSAMPA Operação Geral</v>
          </cell>
          <cell r="E871">
            <v>43874</v>
          </cell>
          <cell r="F871">
            <v>3050.22</v>
          </cell>
          <cell r="G871" t="str">
            <v>Em Atividade Normal</v>
          </cell>
          <cell r="H871">
            <v>45023</v>
          </cell>
          <cell r="I871">
            <v>33556</v>
          </cell>
          <cell r="J871" t="str">
            <v>380.217.878-56</v>
          </cell>
          <cell r="K871" t="str">
            <v>210.69109.23.3</v>
          </cell>
          <cell r="L871" t="str">
            <v>Salário Mensal</v>
          </cell>
          <cell r="M871" t="str">
            <v>Empregado (CLT)</v>
          </cell>
        </row>
        <row r="872">
          <cell r="D872" t="str">
            <v>ECOSAMPA Capela do Socorro</v>
          </cell>
          <cell r="E872">
            <v>43617</v>
          </cell>
          <cell r="F872">
            <v>1281.23</v>
          </cell>
          <cell r="G872" t="str">
            <v>Demitido em Meses Anteriores</v>
          </cell>
          <cell r="H872">
            <v>43774</v>
          </cell>
          <cell r="I872">
            <v>35797</v>
          </cell>
          <cell r="J872" t="str">
            <v>464.548.818-06</v>
          </cell>
          <cell r="K872" t="str">
            <v>201.15656.24.8</v>
          </cell>
          <cell r="L872" t="str">
            <v>Salário Mensal</v>
          </cell>
          <cell r="M872" t="str">
            <v>Empregado (CLT)</v>
          </cell>
        </row>
        <row r="873">
          <cell r="D873" t="str">
            <v>ECOSAMPA Campo Limpo</v>
          </cell>
          <cell r="E873">
            <v>43617</v>
          </cell>
          <cell r="F873">
            <v>1603.99</v>
          </cell>
          <cell r="G873" t="str">
            <v>Demitido em Meses Anteriores</v>
          </cell>
          <cell r="H873">
            <v>45064</v>
          </cell>
          <cell r="I873">
            <v>22750</v>
          </cell>
          <cell r="J873" t="str">
            <v>042.486.048-17</v>
          </cell>
          <cell r="K873" t="str">
            <v>108.04842.88.1</v>
          </cell>
          <cell r="L873" t="str">
            <v>Salário Mensal</v>
          </cell>
          <cell r="M873" t="str">
            <v>Empregado (CLT)</v>
          </cell>
        </row>
        <row r="874">
          <cell r="D874" t="str">
            <v>ECOSAMPA Parelheiros</v>
          </cell>
          <cell r="E874">
            <v>43617</v>
          </cell>
          <cell r="F874">
            <v>1281.23</v>
          </cell>
          <cell r="G874" t="str">
            <v>Demitido em Meses Anteriores</v>
          </cell>
          <cell r="H874">
            <v>43808</v>
          </cell>
          <cell r="I874">
            <v>35325</v>
          </cell>
          <cell r="J874" t="str">
            <v>478.323.168-02</v>
          </cell>
          <cell r="K874" t="str">
            <v>267.94442.05.0</v>
          </cell>
          <cell r="L874" t="str">
            <v>Salário Mensal</v>
          </cell>
          <cell r="M874" t="str">
            <v>Empregado (CLT)</v>
          </cell>
        </row>
        <row r="875">
          <cell r="D875" t="str">
            <v>ECOSAMPA Campo Limpo</v>
          </cell>
          <cell r="E875">
            <v>43617</v>
          </cell>
          <cell r="F875">
            <v>1319.67</v>
          </cell>
          <cell r="G875" t="str">
            <v>Demitido em Meses Anteriores</v>
          </cell>
          <cell r="H875">
            <v>44263</v>
          </cell>
          <cell r="I875">
            <v>31268</v>
          </cell>
          <cell r="J875" t="str">
            <v>235.960.538-03</v>
          </cell>
          <cell r="K875" t="str">
            <v>206.88267.41.0</v>
          </cell>
          <cell r="L875" t="str">
            <v>Salário Mensal</v>
          </cell>
          <cell r="M875" t="str">
            <v>Empregado (CLT)</v>
          </cell>
        </row>
        <row r="876">
          <cell r="D876" t="str">
            <v>ECOSAMPA Operação Geral</v>
          </cell>
          <cell r="E876">
            <v>43617</v>
          </cell>
          <cell r="F876">
            <v>1523.89</v>
          </cell>
          <cell r="G876" t="str">
            <v>Demitido em Meses Anteriores</v>
          </cell>
          <cell r="H876">
            <v>43991</v>
          </cell>
          <cell r="I876">
            <v>22539</v>
          </cell>
          <cell r="J876" t="str">
            <v>033.334.468-55</v>
          </cell>
          <cell r="K876" t="str">
            <v>120.41805.70.8</v>
          </cell>
          <cell r="L876" t="str">
            <v>Salário Mensal</v>
          </cell>
          <cell r="M876" t="str">
            <v>Empregado (CLT)</v>
          </cell>
        </row>
        <row r="877">
          <cell r="D877" t="str">
            <v>ECOSAMPA Operação Geral</v>
          </cell>
          <cell r="E877">
            <v>43617</v>
          </cell>
          <cell r="F877">
            <v>3050.22</v>
          </cell>
          <cell r="G877" t="str">
            <v>Em Atividade Normal</v>
          </cell>
          <cell r="H877">
            <v>44930</v>
          </cell>
          <cell r="I877">
            <v>24919</v>
          </cell>
          <cell r="J877" t="str">
            <v>106.497.128-89</v>
          </cell>
          <cell r="K877" t="str">
            <v>122.98477.29.0</v>
          </cell>
          <cell r="L877" t="str">
            <v>Salário Mensal</v>
          </cell>
          <cell r="M877" t="str">
            <v>Empregado (CLT)</v>
          </cell>
        </row>
        <row r="878">
          <cell r="D878" t="str">
            <v>ECOSAMPA Operação Geral</v>
          </cell>
          <cell r="E878">
            <v>43617</v>
          </cell>
          <cell r="F878">
            <v>1907.79</v>
          </cell>
          <cell r="G878" t="str">
            <v>Em Atividade Normal</v>
          </cell>
          <cell r="H878">
            <v>45177</v>
          </cell>
          <cell r="I878">
            <v>35256</v>
          </cell>
          <cell r="J878" t="str">
            <v>463.217.948-56</v>
          </cell>
          <cell r="K878" t="str">
            <v>201.52691.07.8</v>
          </cell>
          <cell r="L878" t="str">
            <v>Salário Mensal</v>
          </cell>
          <cell r="M878" t="str">
            <v>Empregado (CLT)</v>
          </cell>
        </row>
        <row r="879">
          <cell r="D879" t="str">
            <v>ECOSAMPA Santo Amaro</v>
          </cell>
          <cell r="E879">
            <v>43617</v>
          </cell>
          <cell r="F879">
            <v>1281.23</v>
          </cell>
          <cell r="G879" t="str">
            <v>Demitido em Meses Anteriores</v>
          </cell>
          <cell r="H879">
            <v>43895</v>
          </cell>
          <cell r="I879">
            <v>22253</v>
          </cell>
          <cell r="J879" t="str">
            <v>360.702.383-20</v>
          </cell>
          <cell r="K879" t="str">
            <v>121.03129.38.7</v>
          </cell>
          <cell r="L879" t="str">
            <v>Salário Mensal</v>
          </cell>
          <cell r="M879" t="str">
            <v>Empregado (CLT)</v>
          </cell>
        </row>
        <row r="880">
          <cell r="D880" t="str">
            <v>ECOSAMPA Capela do Socorro</v>
          </cell>
          <cell r="E880">
            <v>43617</v>
          </cell>
          <cell r="F880">
            <v>1281.23</v>
          </cell>
          <cell r="G880" t="str">
            <v>Demitido em Meses Anteriores</v>
          </cell>
          <cell r="H880">
            <v>44029</v>
          </cell>
          <cell r="I880">
            <v>19572</v>
          </cell>
          <cell r="J880" t="str">
            <v>114.534.668-51</v>
          </cell>
          <cell r="K880" t="str">
            <v>108.32879.53.0</v>
          </cell>
          <cell r="L880" t="str">
            <v>Salário Mensal</v>
          </cell>
          <cell r="M880" t="str">
            <v>Empregado (CLT)</v>
          </cell>
        </row>
        <row r="881">
          <cell r="D881" t="str">
            <v>ECOSAMPA Campo Limpo</v>
          </cell>
          <cell r="E881">
            <v>43617</v>
          </cell>
          <cell r="F881">
            <v>1281.23</v>
          </cell>
          <cell r="G881" t="str">
            <v>Demitido em Meses Anteriores</v>
          </cell>
          <cell r="H881">
            <v>43808</v>
          </cell>
          <cell r="I881">
            <v>35035</v>
          </cell>
          <cell r="J881" t="str">
            <v>450.255.278-05</v>
          </cell>
          <cell r="K881" t="str">
            <v>140.68752.45.8</v>
          </cell>
          <cell r="L881" t="str">
            <v>Salário Mensal</v>
          </cell>
          <cell r="M881" t="str">
            <v>Empregado (CLT)</v>
          </cell>
        </row>
        <row r="882">
          <cell r="D882" t="str">
            <v>ECOSAMPA M'Boi Mirim</v>
          </cell>
          <cell r="E882">
            <v>44791</v>
          </cell>
          <cell r="F882">
            <v>1603.99</v>
          </cell>
          <cell r="G882" t="str">
            <v>Em Atividade Normal</v>
          </cell>
          <cell r="H882">
            <v>44791</v>
          </cell>
          <cell r="I882">
            <v>33241</v>
          </cell>
          <cell r="J882" t="str">
            <v>233.746.358-30</v>
          </cell>
          <cell r="K882" t="str">
            <v>212.89604.82.9</v>
          </cell>
          <cell r="L882" t="str">
            <v>Salário Mensal</v>
          </cell>
          <cell r="M882" t="str">
            <v>Empregado (CLT)</v>
          </cell>
        </row>
        <row r="883">
          <cell r="D883" t="str">
            <v>ECOSAMPA Campo Limpo</v>
          </cell>
          <cell r="E883">
            <v>43617</v>
          </cell>
          <cell r="F883">
            <v>1281.23</v>
          </cell>
          <cell r="G883" t="str">
            <v>Demitido em Meses Anteriores</v>
          </cell>
          <cell r="H883">
            <v>43808</v>
          </cell>
          <cell r="I883">
            <v>20511</v>
          </cell>
          <cell r="J883" t="str">
            <v>063.201.668-00</v>
          </cell>
          <cell r="K883" t="str">
            <v>106.71697.13.4</v>
          </cell>
          <cell r="L883" t="str">
            <v>Salário Mensal</v>
          </cell>
          <cell r="M883" t="str">
            <v>Empregado (CLT)</v>
          </cell>
        </row>
        <row r="884">
          <cell r="D884" t="str">
            <v>ECOSAMPA Operação Geral</v>
          </cell>
          <cell r="E884">
            <v>43617</v>
          </cell>
          <cell r="F884">
            <v>1603.99</v>
          </cell>
          <cell r="G884" t="str">
            <v>Em Atividade Normal</v>
          </cell>
          <cell r="H884">
            <v>45119</v>
          </cell>
          <cell r="I884">
            <v>31534</v>
          </cell>
          <cell r="J884" t="str">
            <v>228.292.428-23</v>
          </cell>
          <cell r="K884" t="str">
            <v>201.15661.59.4</v>
          </cell>
          <cell r="L884" t="str">
            <v>Salário Mensal</v>
          </cell>
          <cell r="M884" t="str">
            <v>Empregado (CLT)</v>
          </cell>
        </row>
        <row r="885">
          <cell r="D885" t="str">
            <v>ECOSAMPA Santo Amaro</v>
          </cell>
          <cell r="E885">
            <v>43617</v>
          </cell>
          <cell r="F885">
            <v>3222.08</v>
          </cell>
          <cell r="G885" t="str">
            <v>Gozando Férias</v>
          </cell>
          <cell r="H885">
            <v>45173</v>
          </cell>
          <cell r="I885">
            <v>34034</v>
          </cell>
          <cell r="J885" t="str">
            <v>099.044.464-31</v>
          </cell>
          <cell r="K885" t="str">
            <v>201.58710.65.1</v>
          </cell>
          <cell r="L885" t="str">
            <v>Salário Mensal</v>
          </cell>
          <cell r="M885" t="str">
            <v>Empregado (CLT)</v>
          </cell>
        </row>
        <row r="886">
          <cell r="D886" t="str">
            <v>ECOSAMPA Santo Amaro</v>
          </cell>
          <cell r="E886">
            <v>43617</v>
          </cell>
          <cell r="F886">
            <v>1603.99</v>
          </cell>
          <cell r="G886" t="str">
            <v>Em Atividade Normal</v>
          </cell>
          <cell r="H886">
            <v>44898</v>
          </cell>
          <cell r="I886">
            <v>30653</v>
          </cell>
          <cell r="J886" t="str">
            <v>223.772.628-05</v>
          </cell>
          <cell r="K886" t="str">
            <v>133.32439.77.3</v>
          </cell>
          <cell r="L886" t="str">
            <v>Salário Mensal</v>
          </cell>
          <cell r="M886" t="str">
            <v>Empregado (CLT)</v>
          </cell>
        </row>
        <row r="887">
          <cell r="D887" t="str">
            <v>ECOSAMPA Capela do Socorro</v>
          </cell>
          <cell r="E887">
            <v>44046</v>
          </cell>
          <cell r="F887">
            <v>1319.67</v>
          </cell>
          <cell r="G887" t="str">
            <v>Demitido em Meses Anteriores</v>
          </cell>
          <cell r="H887">
            <v>44109</v>
          </cell>
          <cell r="I887">
            <v>36807</v>
          </cell>
          <cell r="J887" t="str">
            <v>497.432.618-00</v>
          </cell>
          <cell r="K887" t="str">
            <v>162.50826.57.3</v>
          </cell>
          <cell r="L887" t="str">
            <v>Salário Mensal</v>
          </cell>
          <cell r="M887" t="str">
            <v>Empregado (CLT)</v>
          </cell>
        </row>
        <row r="888">
          <cell r="D888" t="str">
            <v>ECOSAMPA Capela do Socorro</v>
          </cell>
          <cell r="E888">
            <v>44522</v>
          </cell>
          <cell r="F888">
            <v>1603.99</v>
          </cell>
          <cell r="G888" t="str">
            <v>Em Atividade Normal</v>
          </cell>
          <cell r="H888">
            <v>45086</v>
          </cell>
          <cell r="I888">
            <v>37221</v>
          </cell>
          <cell r="J888" t="str">
            <v>466.874.178-78</v>
          </cell>
          <cell r="K888" t="str">
            <v>206.62339.81.3</v>
          </cell>
          <cell r="L888" t="str">
            <v>Salário Mensal</v>
          </cell>
          <cell r="M888" t="str">
            <v>Empregado (CLT)</v>
          </cell>
        </row>
        <row r="889">
          <cell r="D889" t="str">
            <v>ECOSAMPA Capela do Socorro</v>
          </cell>
          <cell r="E889">
            <v>43617</v>
          </cell>
          <cell r="F889">
            <v>1603.99</v>
          </cell>
          <cell r="G889" t="str">
            <v>Em Atividade Normal</v>
          </cell>
          <cell r="H889">
            <v>45056</v>
          </cell>
          <cell r="I889">
            <v>35406</v>
          </cell>
          <cell r="J889" t="str">
            <v>463.944.068-56</v>
          </cell>
          <cell r="K889" t="str">
            <v>220.00147.91.6</v>
          </cell>
          <cell r="L889" t="str">
            <v>Salário Mensal</v>
          </cell>
          <cell r="M889" t="str">
            <v>Empregado (CLT)</v>
          </cell>
        </row>
        <row r="890">
          <cell r="D890" t="str">
            <v>ECOSAMPA Santo Amaro</v>
          </cell>
          <cell r="E890">
            <v>44308</v>
          </cell>
          <cell r="F890">
            <v>1603.99</v>
          </cell>
          <cell r="G890" t="str">
            <v>Em Atividade Normal</v>
          </cell>
          <cell r="H890">
            <v>44993</v>
          </cell>
          <cell r="I890">
            <v>32251</v>
          </cell>
          <cell r="J890" t="str">
            <v>357.492.648-07</v>
          </cell>
          <cell r="K890" t="str">
            <v>161.75032.02.1</v>
          </cell>
          <cell r="L890" t="str">
            <v>Salário Mensal</v>
          </cell>
          <cell r="M890" t="str">
            <v>Empregado (CLT)</v>
          </cell>
        </row>
        <row r="891">
          <cell r="D891" t="str">
            <v>ECOSAMPA Operação Geral</v>
          </cell>
          <cell r="E891">
            <v>44018</v>
          </cell>
          <cell r="F891">
            <v>1603.99</v>
          </cell>
          <cell r="G891" t="str">
            <v>Demitido em Meses Anteriores</v>
          </cell>
          <cell r="H891">
            <v>45064</v>
          </cell>
          <cell r="I891">
            <v>35580</v>
          </cell>
          <cell r="J891" t="str">
            <v>471.222.128-31</v>
          </cell>
          <cell r="K891" t="str">
            <v>201.15785.99.4</v>
          </cell>
          <cell r="L891" t="str">
            <v>Salário Mensal</v>
          </cell>
          <cell r="M891" t="str">
            <v>Empregado (CLT)</v>
          </cell>
        </row>
        <row r="892">
          <cell r="D892" t="str">
            <v>ECOSAMPA Campo Limpo</v>
          </cell>
          <cell r="E892">
            <v>43617</v>
          </cell>
          <cell r="F892">
            <v>2573.73</v>
          </cell>
          <cell r="G892" t="str">
            <v>Demitido em Meses Anteriores</v>
          </cell>
          <cell r="H892">
            <v>43895</v>
          </cell>
          <cell r="I892">
            <v>35180</v>
          </cell>
          <cell r="J892" t="str">
            <v>474.580.688-41</v>
          </cell>
          <cell r="K892" t="str">
            <v>207.81563.11.3</v>
          </cell>
          <cell r="L892" t="str">
            <v>Salário Mensal</v>
          </cell>
          <cell r="M892" t="str">
            <v>Empregado (CLT)</v>
          </cell>
        </row>
        <row r="893">
          <cell r="D893" t="str">
            <v>ECOSAMPA Parelheiros</v>
          </cell>
          <cell r="E893">
            <v>43617</v>
          </cell>
          <cell r="F893">
            <v>1281.23</v>
          </cell>
          <cell r="G893" t="str">
            <v>Demitido em Meses Anteriores</v>
          </cell>
          <cell r="H893">
            <v>43810</v>
          </cell>
          <cell r="I893">
            <v>34586</v>
          </cell>
          <cell r="J893" t="str">
            <v>452.399.188-05</v>
          </cell>
          <cell r="K893" t="str">
            <v>163.06614.70.3</v>
          </cell>
          <cell r="L893" t="str">
            <v>Salário Mensal</v>
          </cell>
          <cell r="M893" t="str">
            <v>Empregado (CLT)</v>
          </cell>
        </row>
        <row r="894">
          <cell r="D894" t="str">
            <v>ECOSAMPA Santo Amaro</v>
          </cell>
          <cell r="E894">
            <v>44207</v>
          </cell>
          <cell r="F894">
            <v>1603.99</v>
          </cell>
          <cell r="G894" t="str">
            <v>Em Atividade Normal</v>
          </cell>
          <cell r="H894">
            <v>44898</v>
          </cell>
          <cell r="I894">
            <v>37369</v>
          </cell>
          <cell r="J894" t="str">
            <v>497.591.108-65</v>
          </cell>
          <cell r="K894" t="str">
            <v>125.87819.90.5</v>
          </cell>
          <cell r="L894" t="str">
            <v>Salário Mensal</v>
          </cell>
          <cell r="M894" t="str">
            <v>Empregado (CLT)</v>
          </cell>
        </row>
        <row r="895">
          <cell r="D895" t="str">
            <v>ECOSAMPA Capela do Socorro</v>
          </cell>
          <cell r="E895">
            <v>43617</v>
          </cell>
          <cell r="F895">
            <v>1319.67</v>
          </cell>
          <cell r="G895" t="str">
            <v>Demitido em Meses Anteriores</v>
          </cell>
          <cell r="H895">
            <v>44361</v>
          </cell>
          <cell r="I895">
            <v>35940</v>
          </cell>
          <cell r="J895" t="str">
            <v>479.111.918-59</v>
          </cell>
          <cell r="K895" t="str">
            <v>210.73140.72.7</v>
          </cell>
          <cell r="L895" t="str">
            <v>Salário Mensal</v>
          </cell>
          <cell r="M895" t="str">
            <v>Empregado (CLT)</v>
          </cell>
        </row>
        <row r="896">
          <cell r="D896" t="str">
            <v>ECOSAMPA Campo Limpo</v>
          </cell>
          <cell r="E896">
            <v>44900</v>
          </cell>
          <cell r="F896">
            <v>1603.99</v>
          </cell>
          <cell r="G896" t="str">
            <v>Demitido em Meses Anteriores</v>
          </cell>
          <cell r="H896">
            <v>44923</v>
          </cell>
          <cell r="I896">
            <v>36536</v>
          </cell>
          <cell r="J896" t="str">
            <v>447.963.948-93</v>
          </cell>
          <cell r="K896" t="str">
            <v>203.91123.22.4</v>
          </cell>
          <cell r="L896" t="str">
            <v>Salário Mensal</v>
          </cell>
          <cell r="M896" t="str">
            <v>Empregado (CLT)</v>
          </cell>
        </row>
        <row r="897">
          <cell r="D897" t="str">
            <v>ECOSAMPA Santo Amaro</v>
          </cell>
          <cell r="E897">
            <v>44725</v>
          </cell>
          <cell r="F897">
            <v>1603.99</v>
          </cell>
          <cell r="G897" t="str">
            <v>Em Atividade Normal</v>
          </cell>
          <cell r="H897">
            <v>44725</v>
          </cell>
          <cell r="I897">
            <v>37585</v>
          </cell>
          <cell r="J897" t="str">
            <v>900.077.258-33</v>
          </cell>
          <cell r="K897" t="str">
            <v>152.92375.00.8</v>
          </cell>
          <cell r="L897" t="str">
            <v>Salário Mensal</v>
          </cell>
          <cell r="M897" t="str">
            <v>Empregado (CLT)</v>
          </cell>
        </row>
        <row r="898">
          <cell r="D898" t="str">
            <v>ECOSAMPA Santo Amaro</v>
          </cell>
          <cell r="E898">
            <v>43617</v>
          </cell>
          <cell r="F898">
            <v>1603.99</v>
          </cell>
          <cell r="G898" t="str">
            <v>Em Atividade Normal</v>
          </cell>
          <cell r="H898">
            <v>44930</v>
          </cell>
          <cell r="I898">
            <v>35205</v>
          </cell>
          <cell r="J898" t="str">
            <v>437.789.758-62</v>
          </cell>
          <cell r="K898" t="str">
            <v>204.31616.11.0</v>
          </cell>
          <cell r="L898" t="str">
            <v>Salário Mensal</v>
          </cell>
          <cell r="M898" t="str">
            <v>Empregado (CLT)</v>
          </cell>
        </row>
        <row r="899">
          <cell r="D899" t="str">
            <v>ECOSAMPA M'Boi Mirim</v>
          </cell>
          <cell r="E899">
            <v>44522</v>
          </cell>
          <cell r="F899">
            <v>1603.99</v>
          </cell>
          <cell r="G899" t="str">
            <v>Em Atividade Normal</v>
          </cell>
          <cell r="H899">
            <v>45086</v>
          </cell>
          <cell r="I899">
            <v>35826</v>
          </cell>
          <cell r="J899" t="str">
            <v>477.005.238-35</v>
          </cell>
          <cell r="K899" t="str">
            <v>131.60141.90.9</v>
          </cell>
          <cell r="L899" t="str">
            <v>Salário Mensal</v>
          </cell>
          <cell r="M899" t="str">
            <v>Empregado (CLT)</v>
          </cell>
        </row>
        <row r="900">
          <cell r="D900" t="str">
            <v>ECOSAMPA Santo Amaro</v>
          </cell>
          <cell r="E900">
            <v>43804</v>
          </cell>
          <cell r="F900">
            <v>1603.99</v>
          </cell>
          <cell r="G900" t="str">
            <v>Em Atividade Normal</v>
          </cell>
          <cell r="H900">
            <v>45149</v>
          </cell>
          <cell r="I900">
            <v>35266</v>
          </cell>
          <cell r="J900" t="str">
            <v>470.391.478-66</v>
          </cell>
          <cell r="K900" t="str">
            <v>209.74137.87.6</v>
          </cell>
          <cell r="L900" t="str">
            <v>Salário Mensal</v>
          </cell>
          <cell r="M900" t="str">
            <v>Empregado (CLT)</v>
          </cell>
        </row>
        <row r="901">
          <cell r="D901" t="str">
            <v>ECOSAMPA Santo Amaro</v>
          </cell>
          <cell r="E901">
            <v>43813</v>
          </cell>
          <cell r="F901">
            <v>1319.67</v>
          </cell>
          <cell r="G901" t="str">
            <v>Demitido em Meses Anteriores</v>
          </cell>
          <cell r="H901">
            <v>44211</v>
          </cell>
          <cell r="I901">
            <v>30816</v>
          </cell>
          <cell r="J901" t="str">
            <v>374.660.828-74</v>
          </cell>
          <cell r="K901" t="str">
            <v>203.64388.90.5</v>
          </cell>
          <cell r="L901" t="str">
            <v>Salário Mensal</v>
          </cell>
          <cell r="M901" t="str">
            <v>Empregado (CLT)</v>
          </cell>
        </row>
        <row r="902">
          <cell r="D902" t="str">
            <v>ECOSAMPA Operação Geral</v>
          </cell>
          <cell r="E902">
            <v>43617</v>
          </cell>
          <cell r="F902">
            <v>3050.22</v>
          </cell>
          <cell r="G902" t="str">
            <v>Em Atividade Normal</v>
          </cell>
          <cell r="H902">
            <v>44930</v>
          </cell>
          <cell r="I902">
            <v>28861</v>
          </cell>
          <cell r="J902" t="str">
            <v>823.843.201-49</v>
          </cell>
          <cell r="K902" t="str">
            <v>128.13140.81.5</v>
          </cell>
          <cell r="L902" t="str">
            <v>Salário Mensal</v>
          </cell>
          <cell r="M902" t="str">
            <v>Empregado (CLT)</v>
          </cell>
        </row>
        <row r="903">
          <cell r="D903" t="str">
            <v>ECOSAMPA Campo Limpo</v>
          </cell>
          <cell r="E903">
            <v>43617</v>
          </cell>
          <cell r="F903">
            <v>1319.67</v>
          </cell>
          <cell r="G903" t="str">
            <v>Demitido em Meses Anteriores</v>
          </cell>
          <cell r="H903">
            <v>44323</v>
          </cell>
          <cell r="I903">
            <v>30250</v>
          </cell>
          <cell r="J903" t="str">
            <v>341.335.388-89</v>
          </cell>
          <cell r="K903" t="str">
            <v>162.33435.01.4</v>
          </cell>
          <cell r="L903" t="str">
            <v>Salário Mensal</v>
          </cell>
          <cell r="M903" t="str">
            <v>Empregado (CLT)</v>
          </cell>
        </row>
        <row r="904">
          <cell r="D904" t="str">
            <v>ECOSAMPA M'Boi Mirim</v>
          </cell>
          <cell r="E904">
            <v>43617</v>
          </cell>
          <cell r="F904">
            <v>1603.99</v>
          </cell>
          <cell r="G904" t="str">
            <v>Em Atividade Normal</v>
          </cell>
          <cell r="H904">
            <v>45119</v>
          </cell>
          <cell r="I904">
            <v>21248</v>
          </cell>
          <cell r="J904" t="str">
            <v>423.107.506-97</v>
          </cell>
          <cell r="K904" t="str">
            <v>108.34783.10.7</v>
          </cell>
          <cell r="L904" t="str">
            <v>Salário Mensal</v>
          </cell>
          <cell r="M904" t="str">
            <v>Empregado (CLT)</v>
          </cell>
        </row>
        <row r="905">
          <cell r="D905" t="str">
            <v>ECOSAMPA Operação Geral</v>
          </cell>
          <cell r="E905">
            <v>43617</v>
          </cell>
          <cell r="F905">
            <v>1907.79</v>
          </cell>
          <cell r="G905" t="str">
            <v>Em Atividade Normal</v>
          </cell>
          <cell r="H905">
            <v>44776</v>
          </cell>
          <cell r="I905">
            <v>23927</v>
          </cell>
          <cell r="J905" t="str">
            <v>477.360.384-49</v>
          </cell>
          <cell r="K905" t="str">
            <v>121.44209.20.2</v>
          </cell>
          <cell r="L905" t="str">
            <v>Salário Mensal</v>
          </cell>
          <cell r="M905" t="str">
            <v>Empregado (CLT)</v>
          </cell>
        </row>
        <row r="906">
          <cell r="D906" t="str">
            <v>ECOSAMPA Operação Geral</v>
          </cell>
          <cell r="E906">
            <v>43617</v>
          </cell>
          <cell r="F906">
            <v>2785.59</v>
          </cell>
          <cell r="G906" t="str">
            <v>Demitido em Meses Anteriores</v>
          </cell>
          <cell r="H906">
            <v>44505</v>
          </cell>
          <cell r="I906">
            <v>29780</v>
          </cell>
          <cell r="J906" t="str">
            <v>287.663.218-75</v>
          </cell>
          <cell r="K906" t="str">
            <v>129.62660.85.3</v>
          </cell>
          <cell r="L906" t="str">
            <v>Salário Mensal</v>
          </cell>
          <cell r="M906" t="str">
            <v>Empregado (CLT)</v>
          </cell>
        </row>
        <row r="907">
          <cell r="D907" t="str">
            <v>ECOSAMPA Santo Amaro</v>
          </cell>
          <cell r="E907">
            <v>43617</v>
          </cell>
          <cell r="F907">
            <v>1464.83</v>
          </cell>
          <cell r="G907" t="str">
            <v>Demitido em Meses Anteriores</v>
          </cell>
          <cell r="H907">
            <v>44599</v>
          </cell>
          <cell r="I907">
            <v>26665</v>
          </cell>
          <cell r="J907" t="str">
            <v>282.377.528-56</v>
          </cell>
          <cell r="K907" t="str">
            <v>123.21600.22.7</v>
          </cell>
          <cell r="L907" t="str">
            <v>Salário Mensal</v>
          </cell>
          <cell r="M907" t="str">
            <v>Empregado (CLT)</v>
          </cell>
        </row>
        <row r="908">
          <cell r="D908" t="str">
            <v>ECOSAMPA Operação Geral</v>
          </cell>
          <cell r="E908">
            <v>43617</v>
          </cell>
          <cell r="F908">
            <v>1907.79</v>
          </cell>
          <cell r="G908" t="str">
            <v>Em Atividade Normal</v>
          </cell>
          <cell r="H908">
            <v>44930</v>
          </cell>
          <cell r="I908">
            <v>26524</v>
          </cell>
          <cell r="J908" t="str">
            <v>807.915.574-72</v>
          </cell>
          <cell r="K908" t="str">
            <v>122.16637.74.4</v>
          </cell>
          <cell r="L908" t="str">
            <v>Salário Mensal</v>
          </cell>
          <cell r="M908" t="str">
            <v>Empregado (CLT)</v>
          </cell>
        </row>
        <row r="909">
          <cell r="D909" t="str">
            <v>ECOSAMPA Campo Limpo</v>
          </cell>
          <cell r="E909">
            <v>43617</v>
          </cell>
          <cell r="F909">
            <v>1603.99</v>
          </cell>
          <cell r="G909" t="str">
            <v>Em Atividade Normal</v>
          </cell>
          <cell r="H909">
            <v>45177</v>
          </cell>
          <cell r="I909">
            <v>31521</v>
          </cell>
          <cell r="J909" t="str">
            <v>027.884.745-55</v>
          </cell>
          <cell r="K909" t="str">
            <v>161.77008.50.0</v>
          </cell>
          <cell r="L909" t="str">
            <v>Salário Mensal</v>
          </cell>
          <cell r="M909" t="str">
            <v>Empregado (CLT)</v>
          </cell>
        </row>
        <row r="910">
          <cell r="D910" t="str">
            <v>ECOSAMPA M'Boi Mirim</v>
          </cell>
          <cell r="E910">
            <v>43617</v>
          </cell>
          <cell r="F910">
            <v>1464.83</v>
          </cell>
          <cell r="G910" t="str">
            <v>Demitido em Meses Anteriores</v>
          </cell>
          <cell r="H910">
            <v>44599</v>
          </cell>
          <cell r="I910">
            <v>25138</v>
          </cell>
          <cell r="J910" t="str">
            <v>665.469.825-87</v>
          </cell>
          <cell r="K910" t="str">
            <v>124.65424.76.0</v>
          </cell>
          <cell r="L910" t="str">
            <v>Salário Mensal</v>
          </cell>
          <cell r="M910" t="str">
            <v>Empregado (CLT)</v>
          </cell>
        </row>
        <row r="911">
          <cell r="D911" t="str">
            <v>ECOSAMPA Santo Amaro</v>
          </cell>
          <cell r="E911">
            <v>43617</v>
          </cell>
          <cell r="F911">
            <v>1603.99</v>
          </cell>
          <cell r="G911" t="str">
            <v>Em Atividade Normal</v>
          </cell>
          <cell r="H911">
            <v>44898</v>
          </cell>
          <cell r="I911">
            <v>27995</v>
          </cell>
          <cell r="J911" t="str">
            <v>224.920.348-28</v>
          </cell>
          <cell r="K911" t="str">
            <v>130.20652.81.1</v>
          </cell>
          <cell r="L911" t="str">
            <v>Salário Mensal</v>
          </cell>
          <cell r="M911" t="str">
            <v>Empregado (CLT)</v>
          </cell>
        </row>
        <row r="912">
          <cell r="D912" t="str">
            <v>ECOSAMPA Santo Amaro</v>
          </cell>
          <cell r="E912">
            <v>43617</v>
          </cell>
          <cell r="F912">
            <v>1603.99</v>
          </cell>
          <cell r="G912" t="str">
            <v>Em Atividade Normal</v>
          </cell>
          <cell r="H912">
            <v>44867</v>
          </cell>
          <cell r="I912">
            <v>29674</v>
          </cell>
          <cell r="J912" t="str">
            <v>041.644.065-77</v>
          </cell>
          <cell r="K912" t="str">
            <v>136.74270.77.2</v>
          </cell>
          <cell r="L912" t="str">
            <v>Salário Mensal</v>
          </cell>
          <cell r="M912" t="str">
            <v>Empregado (CLT)</v>
          </cell>
        </row>
        <row r="913">
          <cell r="D913" t="str">
            <v>ECOSAMPA Campo Limpo</v>
          </cell>
          <cell r="E913">
            <v>43617</v>
          </cell>
          <cell r="F913">
            <v>1281.23</v>
          </cell>
          <cell r="G913" t="str">
            <v>Demitido em Meses Anteriores</v>
          </cell>
          <cell r="H913">
            <v>44029</v>
          </cell>
          <cell r="I913">
            <v>16659</v>
          </cell>
          <cell r="J913" t="str">
            <v>334.824.116-20</v>
          </cell>
          <cell r="K913" t="str">
            <v>108.55613.75.8</v>
          </cell>
          <cell r="L913" t="str">
            <v>Salário Mensal</v>
          </cell>
          <cell r="M913" t="str">
            <v>Empregado (CLT)</v>
          </cell>
        </row>
        <row r="914">
          <cell r="D914" t="str">
            <v>ECOSAMPA Capela do Socorro</v>
          </cell>
          <cell r="E914">
            <v>44273</v>
          </cell>
          <cell r="F914">
            <v>1603.99</v>
          </cell>
          <cell r="G914" t="str">
            <v>Em Atividade Normal</v>
          </cell>
          <cell r="H914">
            <v>45086</v>
          </cell>
          <cell r="I914">
            <v>25421</v>
          </cell>
          <cell r="J914" t="str">
            <v>100.357.778-42</v>
          </cell>
          <cell r="K914" t="str">
            <v>122.89430.40.6</v>
          </cell>
          <cell r="L914" t="str">
            <v>Salário Mensal</v>
          </cell>
          <cell r="M914" t="str">
            <v>Empregado (CLT)</v>
          </cell>
        </row>
        <row r="915">
          <cell r="D915" t="str">
            <v>ECOSAMPA Operação Geral</v>
          </cell>
          <cell r="E915">
            <v>43617</v>
          </cell>
          <cell r="F915">
            <v>1523.89</v>
          </cell>
          <cell r="G915" t="str">
            <v>Demitido em Meses Anteriores</v>
          </cell>
          <cell r="H915">
            <v>43974</v>
          </cell>
          <cell r="I915">
            <v>25297</v>
          </cell>
          <cell r="J915" t="str">
            <v>118.539.078-20</v>
          </cell>
          <cell r="K915" t="str">
            <v>122.90010.84.9</v>
          </cell>
          <cell r="L915" t="str">
            <v>Salário Mensal</v>
          </cell>
          <cell r="M915" t="str">
            <v>Empregado (CLT)</v>
          </cell>
        </row>
        <row r="916">
          <cell r="D916" t="str">
            <v>ECOSAMPA Capela do Socorro</v>
          </cell>
          <cell r="E916">
            <v>43617</v>
          </cell>
          <cell r="F916">
            <v>1603.99</v>
          </cell>
          <cell r="G916" t="str">
            <v>Em Atividade Normal</v>
          </cell>
          <cell r="H916">
            <v>44930</v>
          </cell>
          <cell r="I916">
            <v>24339</v>
          </cell>
          <cell r="J916" t="str">
            <v>129.805.978-05</v>
          </cell>
          <cell r="K916" t="str">
            <v>120.99036.11.1</v>
          </cell>
          <cell r="L916" t="str">
            <v>Salário Mensal</v>
          </cell>
          <cell r="M916" t="str">
            <v>Empregado (CLT)</v>
          </cell>
        </row>
        <row r="917">
          <cell r="D917" t="str">
            <v>ECOSAMPA Capela do Socorro</v>
          </cell>
          <cell r="E917">
            <v>43617</v>
          </cell>
          <cell r="F917">
            <v>1603.99</v>
          </cell>
          <cell r="G917" t="str">
            <v>Em Atividade Normal</v>
          </cell>
          <cell r="H917">
            <v>44898</v>
          </cell>
          <cell r="I917">
            <v>23858</v>
          </cell>
          <cell r="J917" t="str">
            <v>537.583.236-49</v>
          </cell>
          <cell r="K917" t="str">
            <v>121.78560.57.3</v>
          </cell>
          <cell r="L917" t="str">
            <v>Salário Mensal</v>
          </cell>
          <cell r="M917" t="str">
            <v>Empregado (CLT)</v>
          </cell>
        </row>
        <row r="918">
          <cell r="D918" t="str">
            <v>ECOSAMPA Parelheiros</v>
          </cell>
          <cell r="E918">
            <v>43617</v>
          </cell>
          <cell r="F918">
            <v>1603.99</v>
          </cell>
          <cell r="G918" t="str">
            <v>Em Atividade Normal</v>
          </cell>
          <cell r="H918">
            <v>44867</v>
          </cell>
          <cell r="I918">
            <v>23959</v>
          </cell>
          <cell r="J918" t="str">
            <v>073.532.308-94</v>
          </cell>
          <cell r="K918" t="str">
            <v>121.51332.40.5</v>
          </cell>
          <cell r="L918" t="str">
            <v>Salário Mensal</v>
          </cell>
          <cell r="M918" t="str">
            <v>Empregado (CLT)</v>
          </cell>
        </row>
        <row r="919">
          <cell r="D919" t="str">
            <v>ECOSAMPA Campo Limpo</v>
          </cell>
          <cell r="E919">
            <v>43617</v>
          </cell>
          <cell r="F919">
            <v>1603.99</v>
          </cell>
          <cell r="G919" t="str">
            <v>Em Atividade Normal</v>
          </cell>
          <cell r="H919">
            <v>45149</v>
          </cell>
          <cell r="I919">
            <v>24396</v>
          </cell>
          <cell r="J919" t="str">
            <v>614.739.956-04</v>
          </cell>
          <cell r="K919" t="str">
            <v>123.40983.14.4</v>
          </cell>
          <cell r="L919" t="str">
            <v>Salário Mensal</v>
          </cell>
          <cell r="M919" t="str">
            <v>Empregado (CLT)</v>
          </cell>
        </row>
        <row r="920">
          <cell r="D920" t="str">
            <v>ECOSAMPA Santo Amaro</v>
          </cell>
          <cell r="E920">
            <v>43617</v>
          </cell>
          <cell r="F920">
            <v>1603.99</v>
          </cell>
          <cell r="G920" t="str">
            <v>Em Atividade Normal</v>
          </cell>
          <cell r="H920">
            <v>45149</v>
          </cell>
          <cell r="I920">
            <v>22767</v>
          </cell>
          <cell r="J920" t="str">
            <v>085.896.808-86</v>
          </cell>
          <cell r="K920" t="str">
            <v>121.57172.50.7</v>
          </cell>
          <cell r="L920" t="str">
            <v>Salário Mensal</v>
          </cell>
          <cell r="M920" t="str">
            <v>Empregado (CLT)</v>
          </cell>
        </row>
        <row r="921">
          <cell r="D921" t="str">
            <v>ECOSAMPA Santo Amaro</v>
          </cell>
          <cell r="E921">
            <v>43617</v>
          </cell>
          <cell r="F921">
            <v>1319.67</v>
          </cell>
          <cell r="G921" t="str">
            <v>Demitido em Meses Anteriores</v>
          </cell>
          <cell r="H921">
            <v>44219</v>
          </cell>
          <cell r="I921">
            <v>21886</v>
          </cell>
          <cell r="J921" t="str">
            <v>042.700.688-09</v>
          </cell>
          <cell r="K921" t="str">
            <v>120.80608.86.1</v>
          </cell>
          <cell r="L921" t="str">
            <v>Salário Mensal</v>
          </cell>
          <cell r="M921" t="str">
            <v>Empregado (CLT)</v>
          </cell>
        </row>
        <row r="922">
          <cell r="D922" t="str">
            <v>ECOSAMPA Operação Geral</v>
          </cell>
          <cell r="E922">
            <v>44390</v>
          </cell>
          <cell r="F922">
            <v>2072.08</v>
          </cell>
          <cell r="G922" t="str">
            <v>Gozando Férias</v>
          </cell>
          <cell r="H922">
            <v>45180</v>
          </cell>
          <cell r="I922">
            <v>32108</v>
          </cell>
          <cell r="J922" t="str">
            <v>350.197.128-17</v>
          </cell>
          <cell r="K922" t="str">
            <v>161.81745.96.4</v>
          </cell>
          <cell r="L922" t="str">
            <v>Salário Mensal</v>
          </cell>
          <cell r="M922" t="str">
            <v>Empregado (CLT)</v>
          </cell>
        </row>
        <row r="923">
          <cell r="D923" t="str">
            <v>ECOSAMPA Operação Geral</v>
          </cell>
          <cell r="E923">
            <v>43617</v>
          </cell>
          <cell r="F923">
            <v>2785.59</v>
          </cell>
          <cell r="G923" t="str">
            <v>Demitido em Meses Anteriores</v>
          </cell>
          <cell r="H923">
            <v>44631</v>
          </cell>
          <cell r="I923">
            <v>25172</v>
          </cell>
          <cell r="J923" t="str">
            <v>128.739.208-31</v>
          </cell>
          <cell r="K923" t="str">
            <v>123.71864.19.8</v>
          </cell>
          <cell r="L923" t="str">
            <v>Salário Mensal</v>
          </cell>
          <cell r="M923" t="str">
            <v>Empregado (CLT)</v>
          </cell>
        </row>
        <row r="924">
          <cell r="D924" t="str">
            <v>ECOSAMPA Santo Amaro</v>
          </cell>
          <cell r="E924">
            <v>43617</v>
          </cell>
          <cell r="F924">
            <v>1603.99</v>
          </cell>
          <cell r="G924" t="str">
            <v>Em Atividade Normal</v>
          </cell>
          <cell r="H924">
            <v>45177</v>
          </cell>
          <cell r="I924">
            <v>22266</v>
          </cell>
          <cell r="J924" t="str">
            <v>033.061.448-78</v>
          </cell>
          <cell r="K924" t="str">
            <v>107.15916.30.8</v>
          </cell>
          <cell r="L924" t="str">
            <v>Salário Mensal</v>
          </cell>
          <cell r="M924" t="str">
            <v>Empregado (CLT)</v>
          </cell>
        </row>
        <row r="925">
          <cell r="D925" t="str">
            <v>ECOSAMPA Operação Geral</v>
          </cell>
          <cell r="E925">
            <v>43617</v>
          </cell>
          <cell r="F925">
            <v>1907.79</v>
          </cell>
          <cell r="G925" t="str">
            <v>Em Atividade Normal</v>
          </cell>
          <cell r="H925">
            <v>44744</v>
          </cell>
          <cell r="I925">
            <v>24172</v>
          </cell>
          <cell r="J925" t="str">
            <v>385.954.515-91</v>
          </cell>
          <cell r="K925" t="str">
            <v>122.02543.54.8</v>
          </cell>
          <cell r="L925" t="str">
            <v>Salário Mensal</v>
          </cell>
          <cell r="M925" t="str">
            <v>Empregado (CLT)</v>
          </cell>
        </row>
        <row r="926">
          <cell r="D926" t="str">
            <v>ECOSAMPA Santo Amaro</v>
          </cell>
          <cell r="E926">
            <v>43617</v>
          </cell>
          <cell r="F926">
            <v>1603.99</v>
          </cell>
          <cell r="G926" t="str">
            <v>Em Atividade Normal</v>
          </cell>
          <cell r="H926">
            <v>44867</v>
          </cell>
          <cell r="I926">
            <v>32400</v>
          </cell>
          <cell r="J926" t="str">
            <v>043.950.363-92</v>
          </cell>
          <cell r="K926" t="str">
            <v>162.30365.61.9</v>
          </cell>
          <cell r="L926" t="str">
            <v>Salário Mensal</v>
          </cell>
          <cell r="M926" t="str">
            <v>Empregado (CLT)</v>
          </cell>
        </row>
        <row r="927">
          <cell r="D927" t="str">
            <v>ECOSAMPA Santo Amaro</v>
          </cell>
          <cell r="E927">
            <v>43617</v>
          </cell>
          <cell r="F927">
            <v>1231.95</v>
          </cell>
          <cell r="G927" t="str">
            <v>Demitido em Meses Anteriores</v>
          </cell>
          <cell r="H927">
            <v>43648</v>
          </cell>
          <cell r="I927">
            <v>25413</v>
          </cell>
          <cell r="J927" t="str">
            <v>129.825.628-39</v>
          </cell>
          <cell r="K927" t="str">
            <v>121.86290.47.4</v>
          </cell>
          <cell r="L927" t="str">
            <v>Salário Mensal</v>
          </cell>
          <cell r="M927" t="str">
            <v>Empregado (CLT)</v>
          </cell>
        </row>
        <row r="928">
          <cell r="D928" t="str">
            <v>ECOSAMPA Operação Geral</v>
          </cell>
          <cell r="E928">
            <v>43617</v>
          </cell>
          <cell r="F928">
            <v>3050.22</v>
          </cell>
          <cell r="G928" t="str">
            <v>Em Atividade Normal</v>
          </cell>
          <cell r="H928">
            <v>44867</v>
          </cell>
          <cell r="I928">
            <v>30445</v>
          </cell>
          <cell r="J928" t="str">
            <v>223.558.168-40</v>
          </cell>
          <cell r="K928" t="str">
            <v>133.80603.19.7</v>
          </cell>
          <cell r="L928" t="str">
            <v>Salário Mensal</v>
          </cell>
          <cell r="M928" t="str">
            <v>Empregado (CLT)</v>
          </cell>
        </row>
        <row r="929">
          <cell r="D929" t="str">
            <v>ECOSAMPA M'Boi Mirim</v>
          </cell>
          <cell r="E929">
            <v>43617</v>
          </cell>
          <cell r="F929">
            <v>1603.99</v>
          </cell>
          <cell r="G929" t="str">
            <v>Em Atividade Normal</v>
          </cell>
          <cell r="H929">
            <v>44960</v>
          </cell>
          <cell r="I929">
            <v>25832</v>
          </cell>
          <cell r="J929" t="str">
            <v>184.637.858-32</v>
          </cell>
          <cell r="K929" t="str">
            <v>124.72641.44.5</v>
          </cell>
          <cell r="L929" t="str">
            <v>Salário Mensal</v>
          </cell>
          <cell r="M929" t="str">
            <v>Empregado (CLT)</v>
          </cell>
        </row>
        <row r="930">
          <cell r="D930" t="str">
            <v>ECOSAMPA Santo Amaro</v>
          </cell>
          <cell r="E930">
            <v>44567</v>
          </cell>
          <cell r="F930">
            <v>1603.99</v>
          </cell>
          <cell r="G930" t="str">
            <v>Em Atividade Normal</v>
          </cell>
          <cell r="H930">
            <v>44567</v>
          </cell>
          <cell r="I930">
            <v>27102</v>
          </cell>
          <cell r="J930" t="str">
            <v>186.714.948-61</v>
          </cell>
          <cell r="K930" t="str">
            <v>125.40013.74.2</v>
          </cell>
          <cell r="L930" t="str">
            <v>Salário Mensal</v>
          </cell>
          <cell r="M930" t="str">
            <v>Empregado (CLT)</v>
          </cell>
        </row>
        <row r="931">
          <cell r="D931" t="str">
            <v>ECOSAMPA M'Boi Mirim</v>
          </cell>
          <cell r="E931">
            <v>43617</v>
          </cell>
          <cell r="F931">
            <v>1603.99</v>
          </cell>
          <cell r="G931" t="str">
            <v>Em Atividade Normal</v>
          </cell>
          <cell r="H931">
            <v>44930</v>
          </cell>
          <cell r="I931">
            <v>23097</v>
          </cell>
          <cell r="J931" t="str">
            <v>316.401.335-34</v>
          </cell>
          <cell r="K931" t="str">
            <v>121.80332.92.2</v>
          </cell>
          <cell r="L931" t="str">
            <v>Salário Mensal</v>
          </cell>
          <cell r="M931" t="str">
            <v>Empregado (CLT)</v>
          </cell>
        </row>
        <row r="932">
          <cell r="D932" t="str">
            <v>ECOSAMPA M'Boi Mirim</v>
          </cell>
          <cell r="E932">
            <v>43617</v>
          </cell>
          <cell r="F932">
            <v>1603.99</v>
          </cell>
          <cell r="G932" t="str">
            <v>Em Atividade Normal</v>
          </cell>
          <cell r="H932">
            <v>44898</v>
          </cell>
          <cell r="I932">
            <v>28098</v>
          </cell>
          <cell r="J932" t="str">
            <v>184.705.588-54</v>
          </cell>
          <cell r="K932" t="str">
            <v>127.52476.81.9</v>
          </cell>
          <cell r="L932" t="str">
            <v>Salário Mensal</v>
          </cell>
          <cell r="M932" t="str">
            <v>Empregado (CLT)</v>
          </cell>
        </row>
        <row r="933">
          <cell r="D933" t="str">
            <v>ECOSAMPA Capela do Socorro</v>
          </cell>
          <cell r="E933">
            <v>43617</v>
          </cell>
          <cell r="F933">
            <v>1603.99</v>
          </cell>
          <cell r="G933" t="str">
            <v>Em Atividade Normal</v>
          </cell>
          <cell r="H933">
            <v>45056</v>
          </cell>
          <cell r="I933">
            <v>24599</v>
          </cell>
          <cell r="J933" t="str">
            <v>100.263.898-43</v>
          </cell>
          <cell r="K933" t="str">
            <v>122.48792.69.9</v>
          </cell>
          <cell r="L933" t="str">
            <v>Salário Mensal</v>
          </cell>
          <cell r="M933" t="str">
            <v>Empregado (CLT)</v>
          </cell>
        </row>
        <row r="934">
          <cell r="D934" t="str">
            <v>ECOSAMPA Santo Amaro</v>
          </cell>
          <cell r="E934">
            <v>43617</v>
          </cell>
          <cell r="F934">
            <v>1603.99</v>
          </cell>
          <cell r="G934" t="str">
            <v>Em Atividade Normal</v>
          </cell>
          <cell r="H934">
            <v>44898</v>
          </cell>
          <cell r="I934">
            <v>23508</v>
          </cell>
          <cell r="J934" t="str">
            <v>060.210.628-17</v>
          </cell>
          <cell r="K934" t="str">
            <v>121.41890.97.9</v>
          </cell>
          <cell r="L934" t="str">
            <v>Salário Mensal</v>
          </cell>
          <cell r="M934" t="str">
            <v>Empregado (CLT)</v>
          </cell>
        </row>
        <row r="935">
          <cell r="D935" t="str">
            <v>ECOSAMPA Capela do Socorro</v>
          </cell>
          <cell r="E935">
            <v>43617</v>
          </cell>
          <cell r="F935">
            <v>1603.99</v>
          </cell>
          <cell r="G935" t="str">
            <v>Em Atividade Normal</v>
          </cell>
          <cell r="H935">
            <v>44993</v>
          </cell>
          <cell r="I935">
            <v>29590</v>
          </cell>
          <cell r="J935" t="str">
            <v>299.732.898-54</v>
          </cell>
          <cell r="K935" t="str">
            <v>129.18699.93.6</v>
          </cell>
          <cell r="L935" t="str">
            <v>Salário Mensal</v>
          </cell>
          <cell r="M935" t="str">
            <v>Empregado (CLT)</v>
          </cell>
        </row>
        <row r="936">
          <cell r="D936" t="str">
            <v>ECOSAMPA M'Boi Mirim</v>
          </cell>
          <cell r="E936">
            <v>43617</v>
          </cell>
          <cell r="F936">
            <v>1231.95</v>
          </cell>
          <cell r="G936" t="str">
            <v>Demitido em Meses Anteriores</v>
          </cell>
          <cell r="H936">
            <v>43657</v>
          </cell>
          <cell r="I936">
            <v>24158</v>
          </cell>
          <cell r="J936" t="str">
            <v>476.618.285-53</v>
          </cell>
          <cell r="K936" t="str">
            <v>121.80238.84.5</v>
          </cell>
          <cell r="L936" t="str">
            <v>Salário Mensal</v>
          </cell>
          <cell r="M936" t="str">
            <v>Empregado (CLT)</v>
          </cell>
        </row>
        <row r="937">
          <cell r="D937" t="str">
            <v>ECOSAMPA Campo Limpo</v>
          </cell>
          <cell r="E937">
            <v>43617</v>
          </cell>
          <cell r="F937">
            <v>1603.99</v>
          </cell>
          <cell r="G937" t="str">
            <v>Gozando Férias</v>
          </cell>
          <cell r="H937">
            <v>45180</v>
          </cell>
          <cell r="I937">
            <v>29535</v>
          </cell>
          <cell r="J937" t="str">
            <v>011.565.974-98</v>
          </cell>
          <cell r="K937" t="str">
            <v>162.16992.94.6</v>
          </cell>
          <cell r="L937" t="str">
            <v>Salário Mensal</v>
          </cell>
          <cell r="M937" t="str">
            <v>Empregado (CLT)</v>
          </cell>
        </row>
        <row r="938">
          <cell r="D938" t="str">
            <v>ECOSAMPA M'Boi Mirim</v>
          </cell>
          <cell r="E938">
            <v>43617</v>
          </cell>
          <cell r="F938">
            <v>1603.99</v>
          </cell>
          <cell r="G938" t="str">
            <v>Em Atividade Normal</v>
          </cell>
          <cell r="H938">
            <v>44930</v>
          </cell>
          <cell r="I938">
            <v>27347</v>
          </cell>
          <cell r="J938" t="str">
            <v>258.417.918-00</v>
          </cell>
          <cell r="K938" t="str">
            <v>125.40005.35.9</v>
          </cell>
          <cell r="L938" t="str">
            <v>Salário Mensal</v>
          </cell>
          <cell r="M938" t="str">
            <v>Empregado (CLT)</v>
          </cell>
        </row>
        <row r="939">
          <cell r="D939" t="str">
            <v>ECOSAMPA Capela do Socorro</v>
          </cell>
          <cell r="E939">
            <v>43617</v>
          </cell>
          <cell r="F939">
            <v>1603.99</v>
          </cell>
          <cell r="G939" t="str">
            <v>Em Atividade Normal</v>
          </cell>
          <cell r="H939">
            <v>44867</v>
          </cell>
          <cell r="I939">
            <v>28217</v>
          </cell>
          <cell r="J939" t="str">
            <v>027.420.694-37</v>
          </cell>
          <cell r="K939" t="str">
            <v>162.62409.38.7</v>
          </cell>
          <cell r="L939" t="str">
            <v>Salário Mensal</v>
          </cell>
          <cell r="M939" t="str">
            <v>Empregado (CLT)</v>
          </cell>
        </row>
        <row r="940">
          <cell r="D940" t="str">
            <v>ECOSAMPA Operação Geral</v>
          </cell>
          <cell r="E940">
            <v>45131</v>
          </cell>
          <cell r="F940">
            <v>3050.22</v>
          </cell>
          <cell r="G940" t="str">
            <v>Em Atividade Normal</v>
          </cell>
          <cell r="H940">
            <v>45131</v>
          </cell>
          <cell r="I940">
            <v>27585</v>
          </cell>
          <cell r="J940" t="str">
            <v>278.663.318-47</v>
          </cell>
          <cell r="K940" t="str">
            <v>125.01563.99.0</v>
          </cell>
          <cell r="L940" t="str">
            <v>Salário Mensal</v>
          </cell>
          <cell r="M940" t="str">
            <v>Empregado (CLT)</v>
          </cell>
        </row>
        <row r="941">
          <cell r="D941" t="str">
            <v>ECOSAMPA Campo Limpo</v>
          </cell>
          <cell r="E941">
            <v>43617</v>
          </cell>
          <cell r="F941">
            <v>1603.99</v>
          </cell>
          <cell r="G941" t="str">
            <v>Em Atividade Normal</v>
          </cell>
          <cell r="H941">
            <v>44930</v>
          </cell>
          <cell r="I941">
            <v>24194</v>
          </cell>
          <cell r="J941" t="str">
            <v>085.243.058-27</v>
          </cell>
          <cell r="K941" t="str">
            <v>123.02804.14.9</v>
          </cell>
          <cell r="L941" t="str">
            <v>Salário Mensal</v>
          </cell>
          <cell r="M941" t="str">
            <v>Empregado (CLT)</v>
          </cell>
        </row>
        <row r="942">
          <cell r="D942" t="str">
            <v>ECOSAMPA Santo Amaro</v>
          </cell>
          <cell r="E942">
            <v>44328</v>
          </cell>
          <cell r="F942">
            <v>1603.99</v>
          </cell>
          <cell r="G942" t="str">
            <v>Auxílio-Doença</v>
          </cell>
          <cell r="H942">
            <v>45175</v>
          </cell>
          <cell r="I942">
            <v>24100</v>
          </cell>
          <cell r="J942" t="str">
            <v>381.108.225-68</v>
          </cell>
          <cell r="K942" t="str">
            <v>123.58149.76.6</v>
          </cell>
          <cell r="L942" t="str">
            <v>Salário Mensal</v>
          </cell>
          <cell r="M942" t="str">
            <v>Empregado (CLT)</v>
          </cell>
        </row>
        <row r="943">
          <cell r="D943" t="str">
            <v>ECOSAMPA Capela do Socorro</v>
          </cell>
          <cell r="E943">
            <v>45061</v>
          </cell>
          <cell r="F943">
            <v>1603.99</v>
          </cell>
          <cell r="G943" t="str">
            <v>Em Atividade Normal</v>
          </cell>
          <cell r="H943">
            <v>45061</v>
          </cell>
          <cell r="I943">
            <v>29814</v>
          </cell>
          <cell r="J943" t="str">
            <v>305.593.498-90</v>
          </cell>
          <cell r="K943" t="str">
            <v>238.48966.96.0</v>
          </cell>
          <cell r="L943" t="str">
            <v>Salário Mensal</v>
          </cell>
          <cell r="M943" t="str">
            <v>Empregado (CLT)</v>
          </cell>
        </row>
        <row r="944">
          <cell r="D944" t="str">
            <v>ECOSAMPA Parelheiros</v>
          </cell>
          <cell r="E944">
            <v>44328</v>
          </cell>
          <cell r="F944">
            <v>1603.99</v>
          </cell>
          <cell r="G944" t="str">
            <v>Demitido em Meses Anteriores</v>
          </cell>
          <cell r="H944">
            <v>44950</v>
          </cell>
          <cell r="I944">
            <v>26577</v>
          </cell>
          <cell r="J944" t="str">
            <v>148.883.818-60</v>
          </cell>
          <cell r="K944" t="str">
            <v>123.91005.24.7</v>
          </cell>
          <cell r="L944" t="str">
            <v>Salário Mensal</v>
          </cell>
          <cell r="M944" t="str">
            <v>Empregado (CLT)</v>
          </cell>
        </row>
        <row r="945">
          <cell r="D945" t="str">
            <v>ECOSAMPA Operação Geral</v>
          </cell>
          <cell r="E945">
            <v>43617</v>
          </cell>
          <cell r="F945">
            <v>1523.89</v>
          </cell>
          <cell r="G945" t="str">
            <v>Demitido em Meses Anteriores</v>
          </cell>
          <cell r="H945">
            <v>43991</v>
          </cell>
          <cell r="I945">
            <v>27771</v>
          </cell>
          <cell r="J945" t="str">
            <v>263.560.538-60</v>
          </cell>
          <cell r="K945" t="str">
            <v>125.57893.85.6</v>
          </cell>
          <cell r="L945" t="str">
            <v>Salário Mensal</v>
          </cell>
          <cell r="M945" t="str">
            <v>Empregado (CLT)</v>
          </cell>
        </row>
        <row r="946">
          <cell r="D946" t="str">
            <v>ECOSAMPA Santo Amaro</v>
          </cell>
          <cell r="E946">
            <v>43617</v>
          </cell>
          <cell r="F946">
            <v>1603.99</v>
          </cell>
          <cell r="G946" t="str">
            <v>Demitido em Meses Anteriores</v>
          </cell>
          <cell r="H946">
            <v>45065</v>
          </cell>
          <cell r="I946">
            <v>29445</v>
          </cell>
          <cell r="J946" t="str">
            <v>315.744.988-51</v>
          </cell>
          <cell r="K946" t="str">
            <v>128.49695.77.9</v>
          </cell>
          <cell r="L946" t="str">
            <v>Salário Mensal</v>
          </cell>
          <cell r="M946" t="str">
            <v>Empregado (CLT)</v>
          </cell>
        </row>
        <row r="947">
          <cell r="D947" t="str">
            <v>ECOSAMPA Operação Geral</v>
          </cell>
          <cell r="E947">
            <v>43617</v>
          </cell>
          <cell r="F947">
            <v>1907.79</v>
          </cell>
          <cell r="G947" t="str">
            <v>Em Atividade Normal</v>
          </cell>
          <cell r="H947">
            <v>44867</v>
          </cell>
          <cell r="I947">
            <v>28939</v>
          </cell>
          <cell r="J947" t="str">
            <v>285.393.408-01</v>
          </cell>
          <cell r="K947" t="str">
            <v>125.20056.70.5</v>
          </cell>
          <cell r="L947" t="str">
            <v>Salário Mensal</v>
          </cell>
          <cell r="M947" t="str">
            <v>Empregado (CLT)</v>
          </cell>
        </row>
        <row r="948">
          <cell r="D948" t="str">
            <v>ECOSAMPA Campo Limpo</v>
          </cell>
          <cell r="E948">
            <v>43617</v>
          </cell>
          <cell r="F948">
            <v>1319.67</v>
          </cell>
          <cell r="G948" t="str">
            <v>Demitido em Meses Anteriores</v>
          </cell>
          <cell r="H948">
            <v>44323</v>
          </cell>
          <cell r="I948">
            <v>23535</v>
          </cell>
          <cell r="J948" t="str">
            <v>447.933.164-68</v>
          </cell>
          <cell r="K948" t="str">
            <v>120.31654.75.8</v>
          </cell>
          <cell r="L948" t="str">
            <v>Salário Mensal</v>
          </cell>
          <cell r="M948" t="str">
            <v>Empregado (CLT)</v>
          </cell>
        </row>
        <row r="949">
          <cell r="D949" t="str">
            <v>ECOSAMPA M'Boi Mirim</v>
          </cell>
          <cell r="E949">
            <v>43617</v>
          </cell>
          <cell r="F949">
            <v>1231.95</v>
          </cell>
          <cell r="G949" t="str">
            <v>Demitido em Meses Anteriores</v>
          </cell>
          <cell r="H949">
            <v>43692</v>
          </cell>
          <cell r="I949">
            <v>24577</v>
          </cell>
          <cell r="J949" t="str">
            <v>065.236.998-70</v>
          </cell>
          <cell r="K949" t="str">
            <v>120.20756.42.2</v>
          </cell>
          <cell r="L949" t="str">
            <v>Salário Mensal</v>
          </cell>
          <cell r="M949" t="str">
            <v>Empregado (CLT)</v>
          </cell>
        </row>
        <row r="950">
          <cell r="D950" t="str">
            <v>ECOSAMPA Operação Geral</v>
          </cell>
          <cell r="E950">
            <v>43617</v>
          </cell>
          <cell r="F950">
            <v>1603.99</v>
          </cell>
          <cell r="G950" t="str">
            <v>Em Atividade Normal</v>
          </cell>
          <cell r="H950">
            <v>44960</v>
          </cell>
          <cell r="I950">
            <v>25457</v>
          </cell>
          <cell r="J950" t="str">
            <v>154.034.398-70</v>
          </cell>
          <cell r="K950" t="str">
            <v>162.35814.33.0</v>
          </cell>
          <cell r="L950" t="str">
            <v>Salário Mensal</v>
          </cell>
          <cell r="M950" t="str">
            <v>Empregado (CLT)</v>
          </cell>
        </row>
        <row r="951">
          <cell r="D951" t="str">
            <v>ECOSAMPA Santo Amaro</v>
          </cell>
          <cell r="E951">
            <v>43617</v>
          </cell>
          <cell r="F951">
            <v>1281.23</v>
          </cell>
          <cell r="G951" t="str">
            <v>Demitido em Meses Anteriores</v>
          </cell>
          <cell r="H951">
            <v>43895</v>
          </cell>
          <cell r="I951">
            <v>30095</v>
          </cell>
          <cell r="J951" t="str">
            <v>292.549.418-83</v>
          </cell>
          <cell r="K951" t="str">
            <v>132.09072.85.9</v>
          </cell>
          <cell r="L951" t="str">
            <v>Salário Mensal</v>
          </cell>
          <cell r="M951" t="str">
            <v>Empregado (CLT)</v>
          </cell>
        </row>
        <row r="952">
          <cell r="D952" t="str">
            <v>ECOSAMPA Campo Limpo</v>
          </cell>
          <cell r="E952">
            <v>43617</v>
          </cell>
          <cell r="F952">
            <v>1281.23</v>
          </cell>
          <cell r="G952" t="str">
            <v>Demitido em Meses Anteriores</v>
          </cell>
          <cell r="H952">
            <v>43808</v>
          </cell>
          <cell r="I952">
            <v>21736</v>
          </cell>
          <cell r="J952" t="str">
            <v>010.714.628-22</v>
          </cell>
          <cell r="K952" t="str">
            <v>107.20457.66.9</v>
          </cell>
          <cell r="L952" t="str">
            <v>Salário Mensal</v>
          </cell>
          <cell r="M952" t="str">
            <v>Empregado (CLT)</v>
          </cell>
        </row>
        <row r="953">
          <cell r="D953" t="str">
            <v>ECOSAMPA Santo Amaro</v>
          </cell>
          <cell r="E953">
            <v>43617</v>
          </cell>
          <cell r="F953">
            <v>1603.99</v>
          </cell>
          <cell r="G953" t="str">
            <v>Em Atividade Normal</v>
          </cell>
          <cell r="H953">
            <v>44898</v>
          </cell>
          <cell r="I953">
            <v>27816</v>
          </cell>
          <cell r="J953" t="str">
            <v>192.407.968-27</v>
          </cell>
          <cell r="K953" t="str">
            <v>162.63609.29.0</v>
          </cell>
          <cell r="L953" t="str">
            <v>Salário Mensal</v>
          </cell>
          <cell r="M953" t="str">
            <v>Empregado (CLT)</v>
          </cell>
        </row>
        <row r="954">
          <cell r="D954" t="str">
            <v>ECOSAMPA Campo Limpo</v>
          </cell>
          <cell r="E954">
            <v>43617</v>
          </cell>
          <cell r="F954">
            <v>1603.99</v>
          </cell>
          <cell r="G954" t="str">
            <v>Em Atividade Normal</v>
          </cell>
          <cell r="H954">
            <v>44930</v>
          </cell>
          <cell r="I954">
            <v>31957</v>
          </cell>
          <cell r="J954" t="str">
            <v>400.582.608-38</v>
          </cell>
          <cell r="K954" t="str">
            <v>204.37993.22.6</v>
          </cell>
          <cell r="L954" t="str">
            <v>Salário Mensal</v>
          </cell>
          <cell r="M954" t="str">
            <v>Empregado (CLT)</v>
          </cell>
        </row>
        <row r="955">
          <cell r="D955" t="str">
            <v>ECOSAMPA Pensionistas</v>
          </cell>
          <cell r="E955">
            <v>43843</v>
          </cell>
          <cell r="F955">
            <v>0.01</v>
          </cell>
          <cell r="G955" t="str">
            <v>Em Atividade Normal</v>
          </cell>
          <cell r="H955">
            <v>43843</v>
          </cell>
          <cell r="J955" t="str">
            <v>315.435.308-93</v>
          </cell>
          <cell r="L955" t="str">
            <v>Nenhuma</v>
          </cell>
          <cell r="M955" t="str">
            <v>Pensionista</v>
          </cell>
        </row>
        <row r="956">
          <cell r="D956" t="str">
            <v>ECOSAMPA Capela do Socorro</v>
          </cell>
          <cell r="E956">
            <v>43617</v>
          </cell>
          <cell r="F956">
            <v>1603.99</v>
          </cell>
          <cell r="G956" t="str">
            <v>Em Atividade Normal</v>
          </cell>
          <cell r="H956">
            <v>45023</v>
          </cell>
          <cell r="I956">
            <v>31524</v>
          </cell>
          <cell r="J956" t="str">
            <v>379.569.518-01</v>
          </cell>
          <cell r="K956" t="str">
            <v>207.80059.16.0</v>
          </cell>
          <cell r="L956" t="str">
            <v>Salário Mensal</v>
          </cell>
          <cell r="M956" t="str">
            <v>Empregado (CLT)</v>
          </cell>
        </row>
        <row r="957">
          <cell r="D957" t="str">
            <v>ECOSAMPA Operação Geral</v>
          </cell>
          <cell r="E957">
            <v>43617</v>
          </cell>
          <cell r="F957">
            <v>1281.23</v>
          </cell>
          <cell r="G957" t="str">
            <v>Demitido em Meses Anteriores</v>
          </cell>
          <cell r="H957">
            <v>43895</v>
          </cell>
          <cell r="I957">
            <v>34838</v>
          </cell>
          <cell r="J957" t="str">
            <v>067.745.445-76</v>
          </cell>
          <cell r="K957" t="str">
            <v>162.84788.38.0</v>
          </cell>
          <cell r="L957" t="str">
            <v>Salário Mensal</v>
          </cell>
          <cell r="M957" t="str">
            <v>Empregado (CLT)</v>
          </cell>
        </row>
        <row r="958">
          <cell r="D958" t="str">
            <v>ECOSAMPA Operação Geral</v>
          </cell>
          <cell r="E958">
            <v>43617</v>
          </cell>
          <cell r="F958">
            <v>3050.22</v>
          </cell>
          <cell r="G958" t="str">
            <v>Gozando Férias</v>
          </cell>
          <cell r="H958">
            <v>45180</v>
          </cell>
          <cell r="I958">
            <v>32553</v>
          </cell>
          <cell r="J958" t="str">
            <v>374.346.858-16</v>
          </cell>
          <cell r="K958" t="str">
            <v>201.15694.41.7</v>
          </cell>
          <cell r="L958" t="str">
            <v>Salário Mensal</v>
          </cell>
          <cell r="M958" t="str">
            <v>Empregado (CLT)</v>
          </cell>
        </row>
        <row r="959">
          <cell r="D959" t="str">
            <v>ECOSAMPA Santo Amaro</v>
          </cell>
          <cell r="E959">
            <v>44487</v>
          </cell>
          <cell r="F959">
            <v>1603.99</v>
          </cell>
          <cell r="G959" t="str">
            <v>Em Atividade Normal</v>
          </cell>
          <cell r="H959">
            <v>45119</v>
          </cell>
          <cell r="I959">
            <v>34174</v>
          </cell>
          <cell r="J959" t="str">
            <v>423.554.938-39</v>
          </cell>
          <cell r="K959" t="str">
            <v>201.26474.84.7</v>
          </cell>
          <cell r="L959" t="str">
            <v>Salário Mensal</v>
          </cell>
          <cell r="M959" t="str">
            <v>Empregado (CLT)</v>
          </cell>
        </row>
        <row r="960">
          <cell r="D960" t="str">
            <v>ECOSAMPA Parelheiros</v>
          </cell>
          <cell r="E960">
            <v>43617</v>
          </cell>
          <cell r="F960">
            <v>1603.99</v>
          </cell>
          <cell r="G960" t="str">
            <v>Em Atividade Normal</v>
          </cell>
          <cell r="H960">
            <v>45119</v>
          </cell>
          <cell r="I960">
            <v>21698</v>
          </cell>
          <cell r="J960" t="str">
            <v>044.347.808-24</v>
          </cell>
          <cell r="K960" t="str">
            <v>106.73207.79.7</v>
          </cell>
          <cell r="L960" t="str">
            <v>Salário Mensal</v>
          </cell>
          <cell r="M960" t="str">
            <v>Empregado (CLT)</v>
          </cell>
        </row>
        <row r="961">
          <cell r="D961" t="str">
            <v>ECOSAMPA Operação Geral</v>
          </cell>
          <cell r="E961">
            <v>43617</v>
          </cell>
          <cell r="F961">
            <v>1907.79</v>
          </cell>
          <cell r="G961" t="str">
            <v>Em Atividade Normal</v>
          </cell>
          <cell r="H961">
            <v>44867</v>
          </cell>
          <cell r="I961">
            <v>30870</v>
          </cell>
          <cell r="J961" t="str">
            <v>325.865.848-05</v>
          </cell>
          <cell r="K961" t="str">
            <v>209.78666.20.2</v>
          </cell>
          <cell r="L961" t="str">
            <v>Salário Mensal</v>
          </cell>
          <cell r="M961" t="str">
            <v>Empregado (CLT)</v>
          </cell>
        </row>
        <row r="962">
          <cell r="D962" t="str">
            <v>ECOSAMPA Santo Amaro</v>
          </cell>
          <cell r="E962">
            <v>43617</v>
          </cell>
          <cell r="F962">
            <v>1319.67</v>
          </cell>
          <cell r="G962" t="str">
            <v>Demitido em Meses Anteriores</v>
          </cell>
          <cell r="H962">
            <v>44140</v>
          </cell>
          <cell r="I962">
            <v>33938</v>
          </cell>
          <cell r="J962" t="str">
            <v>234.527.248-16</v>
          </cell>
          <cell r="K962" t="str">
            <v>139.10251.85.3</v>
          </cell>
          <cell r="L962" t="str">
            <v>Salário Mensal</v>
          </cell>
          <cell r="M962" t="str">
            <v>Empregado (CLT)</v>
          </cell>
        </row>
        <row r="963">
          <cell r="D963" t="str">
            <v>ECOSAMPA Capela do Socorro</v>
          </cell>
          <cell r="E963">
            <v>43817</v>
          </cell>
          <cell r="F963">
            <v>1603.99</v>
          </cell>
          <cell r="G963" t="str">
            <v>Em Atividade Normal</v>
          </cell>
          <cell r="H963">
            <v>45086</v>
          </cell>
          <cell r="I963">
            <v>36659</v>
          </cell>
          <cell r="J963" t="str">
            <v>452.791.858-33</v>
          </cell>
          <cell r="K963" t="str">
            <v>162.99777.67.3</v>
          </cell>
          <cell r="L963" t="str">
            <v>Salário Mensal</v>
          </cell>
          <cell r="M963" t="str">
            <v>Empregado (CLT)</v>
          </cell>
        </row>
        <row r="964">
          <cell r="D964" t="str">
            <v>ECOSAMPA M'Boi Mirim</v>
          </cell>
          <cell r="E964">
            <v>43617</v>
          </cell>
          <cell r="F964">
            <v>1603.99</v>
          </cell>
          <cell r="G964" t="str">
            <v>Em Atividade Normal</v>
          </cell>
          <cell r="H964">
            <v>44806</v>
          </cell>
          <cell r="I964">
            <v>24023</v>
          </cell>
          <cell r="J964" t="str">
            <v>153.244.218-12</v>
          </cell>
          <cell r="K964" t="str">
            <v>121.87147.81.0</v>
          </cell>
          <cell r="L964" t="str">
            <v>Salário Mensal</v>
          </cell>
          <cell r="M964" t="str">
            <v>Empregado (CLT)</v>
          </cell>
        </row>
        <row r="965">
          <cell r="D965" t="str">
            <v>ECOSAMPA M'Boi Mirim</v>
          </cell>
          <cell r="E965">
            <v>43728</v>
          </cell>
          <cell r="F965">
            <v>1603.99</v>
          </cell>
          <cell r="G965" t="str">
            <v>Em Atividade Normal</v>
          </cell>
          <cell r="H965">
            <v>45086</v>
          </cell>
          <cell r="I965">
            <v>36647</v>
          </cell>
          <cell r="J965" t="str">
            <v>526.933.478-07</v>
          </cell>
          <cell r="K965" t="str">
            <v>162.67729.96.7</v>
          </cell>
          <cell r="L965" t="str">
            <v>Salário Mensal</v>
          </cell>
          <cell r="M965" t="str">
            <v>Empregado (CLT)</v>
          </cell>
        </row>
        <row r="966">
          <cell r="D966" t="str">
            <v>ECOSAMPA Santo Amaro</v>
          </cell>
          <cell r="E966">
            <v>43874</v>
          </cell>
          <cell r="F966">
            <v>1464.83</v>
          </cell>
          <cell r="G966" t="str">
            <v>Demitido em Meses Anteriores</v>
          </cell>
          <cell r="H966">
            <v>44599</v>
          </cell>
          <cell r="I966">
            <v>32637</v>
          </cell>
          <cell r="J966" t="str">
            <v>335.193.648-67</v>
          </cell>
          <cell r="K966" t="str">
            <v>130.14894.25.6</v>
          </cell>
          <cell r="L966" t="str">
            <v>Salário Mensal</v>
          </cell>
          <cell r="M966" t="str">
            <v>Empregado (CLT)</v>
          </cell>
        </row>
        <row r="967">
          <cell r="D967" t="str">
            <v>ECOSAMPA Operação Geral</v>
          </cell>
          <cell r="E967">
            <v>44630</v>
          </cell>
          <cell r="F967">
            <v>1952.99</v>
          </cell>
          <cell r="G967" t="str">
            <v>Demitido em Meses Anteriores</v>
          </cell>
          <cell r="H967">
            <v>44907</v>
          </cell>
          <cell r="I967">
            <v>37292</v>
          </cell>
          <cell r="J967" t="str">
            <v>492.310.748-06</v>
          </cell>
          <cell r="K967" t="str">
            <v>203.85811.61.0</v>
          </cell>
          <cell r="L967" t="str">
            <v>Salário Mensal</v>
          </cell>
          <cell r="M967" t="str">
            <v>Empregado (CLT)</v>
          </cell>
        </row>
        <row r="968">
          <cell r="D968" t="str">
            <v>ECOSAMPA Campo Limpo</v>
          </cell>
          <cell r="E968">
            <v>44308</v>
          </cell>
          <cell r="F968">
            <v>1603.99</v>
          </cell>
          <cell r="G968" t="str">
            <v>Em Atividade Normal</v>
          </cell>
          <cell r="H968">
            <v>45177</v>
          </cell>
          <cell r="I968">
            <v>37227</v>
          </cell>
          <cell r="J968" t="str">
            <v>484.341.528-60</v>
          </cell>
          <cell r="K968" t="str">
            <v>204.30210.78.1</v>
          </cell>
          <cell r="L968" t="str">
            <v>Salário Mensal</v>
          </cell>
          <cell r="M968" t="str">
            <v>Empregado (CLT)</v>
          </cell>
        </row>
        <row r="969">
          <cell r="D969" t="str">
            <v>ECOSAMPA Campo Limpo</v>
          </cell>
          <cell r="E969">
            <v>44820</v>
          </cell>
          <cell r="F969">
            <v>1603.99</v>
          </cell>
          <cell r="G969" t="str">
            <v>Em Atividade Normal</v>
          </cell>
          <cell r="H969">
            <v>44820</v>
          </cell>
          <cell r="I969">
            <v>31862</v>
          </cell>
          <cell r="J969" t="str">
            <v>435.815.898-69</v>
          </cell>
          <cell r="K969" t="str">
            <v>209.38771.23.4</v>
          </cell>
          <cell r="L969" t="str">
            <v>Salário Mensal</v>
          </cell>
          <cell r="M969" t="str">
            <v>Empregado (CLT)</v>
          </cell>
        </row>
        <row r="970">
          <cell r="D970" t="str">
            <v>ECOSAMPA Santo Amaro</v>
          </cell>
          <cell r="E970">
            <v>44368</v>
          </cell>
          <cell r="F970">
            <v>1603.99</v>
          </cell>
          <cell r="G970" t="str">
            <v>Em Atividade Normal</v>
          </cell>
          <cell r="H970">
            <v>45173</v>
          </cell>
          <cell r="I970">
            <v>37538</v>
          </cell>
          <cell r="J970" t="str">
            <v>464.540.238-26</v>
          </cell>
          <cell r="K970" t="str">
            <v>163.06621.25.4</v>
          </cell>
          <cell r="L970" t="str">
            <v>Salário Mensal</v>
          </cell>
          <cell r="M970" t="str">
            <v>Empregado (CLT)</v>
          </cell>
        </row>
        <row r="971">
          <cell r="D971" t="str">
            <v>ECOSAMPA Santo Amaro</v>
          </cell>
          <cell r="E971">
            <v>43617</v>
          </cell>
          <cell r="F971">
            <v>6154.04</v>
          </cell>
          <cell r="G971" t="str">
            <v>Demitido em Meses Anteriores</v>
          </cell>
          <cell r="H971">
            <v>44953</v>
          </cell>
          <cell r="I971">
            <v>30535</v>
          </cell>
          <cell r="J971" t="str">
            <v>230.530.408-08</v>
          </cell>
          <cell r="K971" t="str">
            <v>132.58010.89.6</v>
          </cell>
          <cell r="L971" t="str">
            <v>Salário Mensal</v>
          </cell>
          <cell r="M971" t="str">
            <v>Empregado (CLT)</v>
          </cell>
        </row>
        <row r="972">
          <cell r="D972" t="str">
            <v>ECOSAMPA M'Boi Mirim</v>
          </cell>
          <cell r="E972">
            <v>43617</v>
          </cell>
          <cell r="F972">
            <v>1603.99</v>
          </cell>
          <cell r="G972" t="str">
            <v>Em Atividade Normal</v>
          </cell>
          <cell r="H972">
            <v>44993</v>
          </cell>
          <cell r="I972">
            <v>32060</v>
          </cell>
          <cell r="J972" t="str">
            <v>365.767.148-07</v>
          </cell>
          <cell r="K972" t="str">
            <v>203.92075.32.0</v>
          </cell>
          <cell r="L972" t="str">
            <v>Salário Mensal</v>
          </cell>
          <cell r="M972" t="str">
            <v>Empregado (CLT)</v>
          </cell>
        </row>
        <row r="973">
          <cell r="D973" t="str">
            <v>ECOSAMPA M'Boi Mirim</v>
          </cell>
          <cell r="E973">
            <v>43874</v>
          </cell>
          <cell r="F973">
            <v>1281.23</v>
          </cell>
          <cell r="G973" t="str">
            <v>Demitido em Meses Anteriores</v>
          </cell>
          <cell r="H973">
            <v>43888</v>
          </cell>
          <cell r="I973">
            <v>36978</v>
          </cell>
          <cell r="J973" t="str">
            <v>500.963.618-24</v>
          </cell>
          <cell r="K973" t="str">
            <v>163.24864.27.9</v>
          </cell>
          <cell r="L973" t="str">
            <v>Salário Mensal</v>
          </cell>
          <cell r="M973" t="str">
            <v>Empregado (CLT)</v>
          </cell>
        </row>
        <row r="974">
          <cell r="D974" t="str">
            <v>ECOSAMPA Operação Geral</v>
          </cell>
          <cell r="E974">
            <v>44487</v>
          </cell>
          <cell r="F974">
            <v>1603.99</v>
          </cell>
          <cell r="G974" t="str">
            <v>Em Atividade Normal</v>
          </cell>
          <cell r="H974">
            <v>44930</v>
          </cell>
          <cell r="I974">
            <v>36978</v>
          </cell>
          <cell r="J974" t="str">
            <v>500.963.618-24</v>
          </cell>
          <cell r="K974" t="str">
            <v>163.24864.27.9</v>
          </cell>
          <cell r="L974" t="str">
            <v>Salário Mensal</v>
          </cell>
          <cell r="M974" t="str">
            <v>Empregado (CLT)</v>
          </cell>
        </row>
        <row r="975">
          <cell r="D975" t="str">
            <v>ECOSAMPA Capela do Socorro</v>
          </cell>
          <cell r="E975">
            <v>43617</v>
          </cell>
          <cell r="F975">
            <v>1907.79</v>
          </cell>
          <cell r="G975" t="str">
            <v>Em Atividade Normal</v>
          </cell>
          <cell r="H975">
            <v>45056</v>
          </cell>
          <cell r="I975">
            <v>32961</v>
          </cell>
          <cell r="J975" t="str">
            <v>051.020.445-75</v>
          </cell>
          <cell r="K975" t="str">
            <v>143.99626.27.1</v>
          </cell>
          <cell r="L975" t="str">
            <v>Salário Mensal</v>
          </cell>
          <cell r="M975" t="str">
            <v>Empregado (CLT)</v>
          </cell>
        </row>
        <row r="976">
          <cell r="D976" t="str">
            <v>ECOSAMPA M'Boi Mirim</v>
          </cell>
          <cell r="E976">
            <v>44900</v>
          </cell>
          <cell r="F976">
            <v>1603.99</v>
          </cell>
          <cell r="G976" t="str">
            <v>Em Atividade Normal</v>
          </cell>
          <cell r="H976">
            <v>44900</v>
          </cell>
          <cell r="I976">
            <v>37181</v>
          </cell>
          <cell r="J976" t="str">
            <v>533.417.438-98</v>
          </cell>
          <cell r="K976" t="str">
            <v>156.31880.98.2</v>
          </cell>
          <cell r="L976" t="str">
            <v>Salário Mensal</v>
          </cell>
          <cell r="M976" t="str">
            <v>Empregado (CLT)</v>
          </cell>
        </row>
        <row r="977">
          <cell r="D977" t="str">
            <v>ECOSAMPA Operação Geral</v>
          </cell>
          <cell r="E977">
            <v>43619</v>
          </cell>
          <cell r="F977">
            <v>10712</v>
          </cell>
          <cell r="G977" t="str">
            <v>Demitido em Meses Anteriores</v>
          </cell>
          <cell r="H977">
            <v>44377</v>
          </cell>
          <cell r="I977">
            <v>31977</v>
          </cell>
          <cell r="J977" t="str">
            <v>373.156.228-61</v>
          </cell>
          <cell r="K977" t="str">
            <v>206.86754.33.0</v>
          </cell>
          <cell r="L977" t="str">
            <v>Salário Mensal</v>
          </cell>
          <cell r="M977" t="str">
            <v>Empregado (CLT)</v>
          </cell>
        </row>
        <row r="978">
          <cell r="D978" t="str">
            <v>ECOSAMPA PJ</v>
          </cell>
          <cell r="E978">
            <v>44370</v>
          </cell>
          <cell r="F978">
            <v>0.01</v>
          </cell>
          <cell r="G978" t="str">
            <v>Em Atividade Normal</v>
          </cell>
          <cell r="H978">
            <v>44370</v>
          </cell>
          <cell r="I978">
            <v>31977</v>
          </cell>
          <cell r="J978" t="str">
            <v>373.156.228-61</v>
          </cell>
          <cell r="K978" t="str">
            <v>206.86754.33.0</v>
          </cell>
          <cell r="L978" t="str">
            <v>Salário Mensal</v>
          </cell>
          <cell r="M978" t="str">
            <v>Pessoa Jurídica</v>
          </cell>
        </row>
        <row r="979">
          <cell r="D979" t="str">
            <v>ECOSAMPA Santo Amaro</v>
          </cell>
          <cell r="E979">
            <v>43617</v>
          </cell>
          <cell r="F979">
            <v>1281.23</v>
          </cell>
          <cell r="G979" t="str">
            <v>Demitido em Meses Anteriores</v>
          </cell>
          <cell r="H979">
            <v>43808</v>
          </cell>
          <cell r="I979">
            <v>30392</v>
          </cell>
          <cell r="J979" t="str">
            <v>234.760.428-71</v>
          </cell>
          <cell r="K979" t="str">
            <v>212.32057.03.9</v>
          </cell>
          <cell r="L979" t="str">
            <v>Salário Mensal</v>
          </cell>
          <cell r="M979" t="str">
            <v>Empregado (CLT)</v>
          </cell>
        </row>
        <row r="980">
          <cell r="D980" t="str">
            <v>ECOSAMPA Capela do Socorro</v>
          </cell>
          <cell r="E980">
            <v>43617</v>
          </cell>
          <cell r="F980">
            <v>1603.99</v>
          </cell>
          <cell r="G980" t="str">
            <v>Em Atividade Normal</v>
          </cell>
          <cell r="H980">
            <v>44930</v>
          </cell>
          <cell r="I980">
            <v>24651</v>
          </cell>
          <cell r="J980" t="str">
            <v>113.770.648-16</v>
          </cell>
          <cell r="K980" t="str">
            <v>122.93509.77.1</v>
          </cell>
          <cell r="L980" t="str">
            <v>Salário Mensal</v>
          </cell>
          <cell r="M980" t="str">
            <v>Empregado (CLT)</v>
          </cell>
        </row>
        <row r="981">
          <cell r="D981" t="str">
            <v>ECOSAMPA Campo Limpo</v>
          </cell>
          <cell r="E981">
            <v>43617</v>
          </cell>
          <cell r="F981">
            <v>4726.6400000000003</v>
          </cell>
          <cell r="G981" t="str">
            <v>Demitido em Meses Anteriores</v>
          </cell>
          <cell r="H981">
            <v>43696</v>
          </cell>
          <cell r="I981">
            <v>26119</v>
          </cell>
          <cell r="J981" t="str">
            <v>136.228.138-73</v>
          </cell>
          <cell r="K981" t="str">
            <v>122.29139.83.7</v>
          </cell>
          <cell r="L981" t="str">
            <v>Salário Mensal</v>
          </cell>
          <cell r="M981" t="str">
            <v>Empregado (CLT)</v>
          </cell>
        </row>
        <row r="982">
          <cell r="D982" t="str">
            <v>ECOSAMPA Santo Amaro</v>
          </cell>
          <cell r="E982">
            <v>43617</v>
          </cell>
          <cell r="F982">
            <v>1603.99</v>
          </cell>
          <cell r="G982" t="str">
            <v>Em Atividade Normal</v>
          </cell>
          <cell r="H982">
            <v>44930</v>
          </cell>
          <cell r="I982">
            <v>23435</v>
          </cell>
          <cell r="J982" t="str">
            <v>057.587.108-30</v>
          </cell>
          <cell r="K982" t="str">
            <v>120.25903.63.6</v>
          </cell>
          <cell r="L982" t="str">
            <v>Salário Mensal</v>
          </cell>
          <cell r="M982" t="str">
            <v>Empregado (CLT)</v>
          </cell>
        </row>
        <row r="983">
          <cell r="D983" t="str">
            <v>ECOSAMPA Operação Geral</v>
          </cell>
          <cell r="E983">
            <v>43874</v>
          </cell>
          <cell r="F983">
            <v>2436.4499999999998</v>
          </cell>
          <cell r="G983" t="str">
            <v>Demitido em Meses Anteriores</v>
          </cell>
          <cell r="H983">
            <v>43888</v>
          </cell>
          <cell r="I983">
            <v>24478</v>
          </cell>
          <cell r="J983" t="str">
            <v>267.396.698-64</v>
          </cell>
          <cell r="K983" t="str">
            <v>122.97588.88.9</v>
          </cell>
          <cell r="L983" t="str">
            <v>Salário Mensal</v>
          </cell>
          <cell r="M983" t="str">
            <v>Empregado (CLT)</v>
          </cell>
        </row>
        <row r="984">
          <cell r="D984" t="str">
            <v>ECOSAMPA Operação Geral</v>
          </cell>
          <cell r="E984">
            <v>43916</v>
          </cell>
          <cell r="F984">
            <v>3050.22</v>
          </cell>
          <cell r="G984" t="str">
            <v>Em Atividade Normal</v>
          </cell>
          <cell r="H984">
            <v>45086</v>
          </cell>
          <cell r="I984">
            <v>24478</v>
          </cell>
          <cell r="J984" t="str">
            <v>267.396.698-64</v>
          </cell>
          <cell r="K984" t="str">
            <v>122.97588.88.9</v>
          </cell>
          <cell r="L984" t="str">
            <v>Salário Mensal</v>
          </cell>
          <cell r="M984" t="str">
            <v>Empregado (CLT)</v>
          </cell>
        </row>
        <row r="985">
          <cell r="D985" t="str">
            <v>ECOSAMPA Capela do Socorro</v>
          </cell>
          <cell r="E985">
            <v>43617</v>
          </cell>
          <cell r="F985">
            <v>1603.99</v>
          </cell>
          <cell r="G985" t="str">
            <v>Em Atividade Normal</v>
          </cell>
          <cell r="H985">
            <v>45023</v>
          </cell>
          <cell r="I985">
            <v>25530</v>
          </cell>
          <cell r="J985" t="str">
            <v>172.579.838-79</v>
          </cell>
          <cell r="K985" t="str">
            <v>124.99209.76.5</v>
          </cell>
          <cell r="L985" t="str">
            <v>Salário Mensal</v>
          </cell>
          <cell r="M985" t="str">
            <v>Empregado (CLT)</v>
          </cell>
        </row>
        <row r="986">
          <cell r="D986" t="str">
            <v>ECOSAMPA Operação Geral</v>
          </cell>
          <cell r="E986">
            <v>43617</v>
          </cell>
          <cell r="F986">
            <v>3050.22</v>
          </cell>
          <cell r="G986" t="str">
            <v>Em Atividade Normal</v>
          </cell>
          <cell r="H986">
            <v>44867</v>
          </cell>
          <cell r="I986">
            <v>27772</v>
          </cell>
          <cell r="J986" t="str">
            <v>257.443.638-58</v>
          </cell>
          <cell r="K986" t="str">
            <v>135.58634.77.1</v>
          </cell>
          <cell r="L986" t="str">
            <v>Salário Mensal</v>
          </cell>
          <cell r="M986" t="str">
            <v>Empregado (CLT)</v>
          </cell>
        </row>
        <row r="987">
          <cell r="D987" t="str">
            <v>ECOSAMPA Campo Limpo</v>
          </cell>
          <cell r="E987">
            <v>43617</v>
          </cell>
          <cell r="F987">
            <v>2650.94</v>
          </cell>
          <cell r="G987" t="str">
            <v>Demitido em Meses Anteriores</v>
          </cell>
          <cell r="H987">
            <v>44232</v>
          </cell>
          <cell r="I987">
            <v>26903</v>
          </cell>
          <cell r="J987" t="str">
            <v>126.895.948-03</v>
          </cell>
          <cell r="K987" t="str">
            <v>123.63753.25.0</v>
          </cell>
          <cell r="L987" t="str">
            <v>Salário Mensal</v>
          </cell>
          <cell r="M987" t="str">
            <v>Empregado (CLT)</v>
          </cell>
        </row>
        <row r="988">
          <cell r="D988" t="str">
            <v>ECOSAMPA Pensionistas</v>
          </cell>
          <cell r="E988">
            <v>44040</v>
          </cell>
          <cell r="F988">
            <v>0.01</v>
          </cell>
          <cell r="G988" t="str">
            <v>Demitido em Meses Anteriores</v>
          </cell>
          <cell r="H988">
            <v>45091</v>
          </cell>
          <cell r="J988" t="str">
            <v>463.915.948-05</v>
          </cell>
          <cell r="L988" t="str">
            <v>Nenhuma</v>
          </cell>
          <cell r="M988" t="str">
            <v>Pensionista</v>
          </cell>
        </row>
        <row r="989">
          <cell r="D989" t="str">
            <v>ECOSAMPA Operação Geral</v>
          </cell>
          <cell r="E989">
            <v>43617</v>
          </cell>
          <cell r="F989">
            <v>3222.08</v>
          </cell>
          <cell r="G989" t="str">
            <v>Em Atividade Normal</v>
          </cell>
          <cell r="H989">
            <v>44776</v>
          </cell>
          <cell r="I989">
            <v>32972</v>
          </cell>
          <cell r="J989" t="str">
            <v>382.473.188-65</v>
          </cell>
          <cell r="K989" t="str">
            <v>210.71552.87.4</v>
          </cell>
          <cell r="L989" t="str">
            <v>Salário Mensal</v>
          </cell>
          <cell r="M989" t="str">
            <v>Empregado (CLT)</v>
          </cell>
        </row>
        <row r="990">
          <cell r="D990" t="str">
            <v>ECOSAMPA Operação Geral</v>
          </cell>
          <cell r="E990">
            <v>43617</v>
          </cell>
          <cell r="F990">
            <v>3050.22</v>
          </cell>
          <cell r="G990" t="str">
            <v>Em Atividade Normal</v>
          </cell>
          <cell r="H990">
            <v>44898</v>
          </cell>
          <cell r="I990">
            <v>30577</v>
          </cell>
          <cell r="J990" t="str">
            <v>324.920.388-23</v>
          </cell>
          <cell r="K990" t="str">
            <v>201.05404.77.7</v>
          </cell>
          <cell r="L990" t="str">
            <v>Salário Mensal</v>
          </cell>
          <cell r="M990" t="str">
            <v>Empregado (CLT)</v>
          </cell>
        </row>
        <row r="991">
          <cell r="D991" t="str">
            <v>ECOSAMPA Operação Geral</v>
          </cell>
          <cell r="E991">
            <v>44967</v>
          </cell>
          <cell r="F991">
            <v>1603.99</v>
          </cell>
          <cell r="G991" t="str">
            <v>Demitido em Meses Anteriores</v>
          </cell>
          <cell r="H991">
            <v>44981</v>
          </cell>
          <cell r="I991">
            <v>34151</v>
          </cell>
          <cell r="J991" t="str">
            <v>425.863.938-99</v>
          </cell>
          <cell r="K991" t="str">
            <v>213.93919.83.0</v>
          </cell>
          <cell r="L991" t="str">
            <v>Salário Mensal</v>
          </cell>
          <cell r="M991" t="str">
            <v>Empregado (CLT)</v>
          </cell>
        </row>
        <row r="992">
          <cell r="D992" t="str">
            <v>ECOSAMPA Operação Geral</v>
          </cell>
          <cell r="E992">
            <v>43617</v>
          </cell>
          <cell r="F992">
            <v>1464.83</v>
          </cell>
          <cell r="G992" t="str">
            <v>Demitido em Meses Anteriores</v>
          </cell>
          <cell r="H992">
            <v>44818</v>
          </cell>
          <cell r="I992">
            <v>36401</v>
          </cell>
          <cell r="J992" t="str">
            <v>487.762.888-62</v>
          </cell>
          <cell r="K992" t="str">
            <v>203.96021.79.9</v>
          </cell>
          <cell r="L992" t="str">
            <v>Salário Mensal</v>
          </cell>
          <cell r="M992" t="str">
            <v>Empregado (CLT)</v>
          </cell>
        </row>
        <row r="993">
          <cell r="D993" t="str">
            <v>ECOSAMPA Capela do Socorro</v>
          </cell>
          <cell r="E993">
            <v>44273</v>
          </cell>
          <cell r="F993">
            <v>1603.99</v>
          </cell>
          <cell r="G993" t="str">
            <v>Em Atividade Normal</v>
          </cell>
          <cell r="H993">
            <v>45086</v>
          </cell>
          <cell r="I993">
            <v>31002</v>
          </cell>
          <cell r="J993" t="str">
            <v>315.861.778-18</v>
          </cell>
          <cell r="K993" t="str">
            <v>206.88027.83.5</v>
          </cell>
          <cell r="L993" t="str">
            <v>Salário Mensal</v>
          </cell>
          <cell r="M993" t="str">
            <v>Empregado (CLT)</v>
          </cell>
        </row>
        <row r="994">
          <cell r="D994" t="str">
            <v>ECOSAMPA Operação Geral</v>
          </cell>
          <cell r="E994">
            <v>43617</v>
          </cell>
          <cell r="F994">
            <v>1523.89</v>
          </cell>
          <cell r="G994" t="str">
            <v>Demitido em Meses Anteriores</v>
          </cell>
          <cell r="H994">
            <v>43991</v>
          </cell>
          <cell r="I994">
            <v>26138</v>
          </cell>
          <cell r="J994" t="str">
            <v>125.567.298-64</v>
          </cell>
          <cell r="K994" t="str">
            <v>123.51011.15.7</v>
          </cell>
          <cell r="L994" t="str">
            <v>Salário Mensal</v>
          </cell>
          <cell r="M994" t="str">
            <v>Empregado (CLT)</v>
          </cell>
        </row>
        <row r="995">
          <cell r="D995" t="str">
            <v>ECOSAMPA Capela do Socorro</v>
          </cell>
          <cell r="E995">
            <v>43617</v>
          </cell>
          <cell r="F995">
            <v>1603.99</v>
          </cell>
          <cell r="G995" t="str">
            <v>Em Atividade Normal</v>
          </cell>
          <cell r="H995">
            <v>44960</v>
          </cell>
          <cell r="I995">
            <v>28071</v>
          </cell>
          <cell r="J995" t="str">
            <v>282.702.028-94</v>
          </cell>
          <cell r="K995" t="str">
            <v>134.21983.77.0</v>
          </cell>
          <cell r="L995" t="str">
            <v>Salário Mensal</v>
          </cell>
          <cell r="M995" t="str">
            <v>Empregado (CLT)</v>
          </cell>
        </row>
        <row r="996">
          <cell r="D996" t="str">
            <v>ECOSAMPA Campo Limpo</v>
          </cell>
          <cell r="E996">
            <v>44630</v>
          </cell>
          <cell r="F996">
            <v>1464.83</v>
          </cell>
          <cell r="G996" t="str">
            <v>Demitido em Meses Anteriores</v>
          </cell>
          <cell r="H996">
            <v>44775</v>
          </cell>
          <cell r="I996">
            <v>36139</v>
          </cell>
          <cell r="J996" t="str">
            <v>456.024.978-46</v>
          </cell>
          <cell r="K996" t="str">
            <v>147.03532.18.9</v>
          </cell>
          <cell r="L996" t="str">
            <v>Salário Mensal</v>
          </cell>
          <cell r="M996" t="str">
            <v>Empregado (CLT)</v>
          </cell>
        </row>
        <row r="997">
          <cell r="D997" t="str">
            <v>ECOSAMPA Parelheiros</v>
          </cell>
          <cell r="E997">
            <v>43617</v>
          </cell>
          <cell r="F997">
            <v>1603.99</v>
          </cell>
          <cell r="G997" t="str">
            <v>Em Atividade Normal</v>
          </cell>
          <cell r="H997">
            <v>45023</v>
          </cell>
          <cell r="I997">
            <v>35295</v>
          </cell>
          <cell r="J997" t="str">
            <v>483.941.678-88</v>
          </cell>
          <cell r="K997" t="str">
            <v>150.69497.25.5</v>
          </cell>
          <cell r="L997" t="str">
            <v>Salário Mensal</v>
          </cell>
          <cell r="M997" t="str">
            <v>Empregado (CLT)</v>
          </cell>
        </row>
        <row r="998">
          <cell r="D998" t="str">
            <v>ECOSAMPA Operação Geral</v>
          </cell>
          <cell r="E998">
            <v>43916</v>
          </cell>
          <cell r="F998">
            <v>1319.67</v>
          </cell>
          <cell r="G998" t="str">
            <v>Demitido em Meses Anteriores</v>
          </cell>
          <cell r="H998">
            <v>44140</v>
          </cell>
          <cell r="I998">
            <v>27355</v>
          </cell>
          <cell r="J998" t="str">
            <v>258.577.258-60</v>
          </cell>
          <cell r="K998" t="str">
            <v>125.46518.40.4</v>
          </cell>
          <cell r="L998" t="str">
            <v>Salário Mensal</v>
          </cell>
          <cell r="M998" t="str">
            <v>Empregado (CLT)</v>
          </cell>
        </row>
        <row r="999">
          <cell r="D999" t="str">
            <v>ECOSAMPA Campo Limpo</v>
          </cell>
          <cell r="E999">
            <v>43617</v>
          </cell>
          <cell r="F999">
            <v>1907.79</v>
          </cell>
          <cell r="G999" t="str">
            <v>Em Atividade Normal</v>
          </cell>
          <cell r="H999">
            <v>44835</v>
          </cell>
          <cell r="I999">
            <v>30716</v>
          </cell>
          <cell r="J999" t="str">
            <v>326.576.118-50</v>
          </cell>
          <cell r="K999" t="str">
            <v>131.84236.93.4</v>
          </cell>
          <cell r="L999" t="str">
            <v>Salário Mensal</v>
          </cell>
          <cell r="M999" t="str">
            <v>Empregado (CLT)</v>
          </cell>
        </row>
        <row r="1000">
          <cell r="D1000" t="str">
            <v>ECOSAMPA Santo Amaro</v>
          </cell>
          <cell r="E1000">
            <v>43617</v>
          </cell>
          <cell r="F1000">
            <v>1603.99</v>
          </cell>
          <cell r="G1000" t="str">
            <v>Demitido em Meses Anteriores</v>
          </cell>
          <cell r="H1000">
            <v>45009</v>
          </cell>
          <cell r="I1000">
            <v>35907</v>
          </cell>
          <cell r="J1000" t="str">
            <v>399.822.938-85</v>
          </cell>
          <cell r="K1000" t="str">
            <v>206.88027.49.5</v>
          </cell>
          <cell r="L1000" t="str">
            <v>Salário Mensal</v>
          </cell>
          <cell r="M1000" t="str">
            <v>Empregado (CLT)</v>
          </cell>
        </row>
        <row r="1001">
          <cell r="D1001" t="str">
            <v>ECOSAMPA Operação Geral</v>
          </cell>
          <cell r="E1001">
            <v>45117</v>
          </cell>
          <cell r="F1001">
            <v>1603.99</v>
          </cell>
          <cell r="G1001" t="str">
            <v>Em Atividade Normal</v>
          </cell>
          <cell r="H1001">
            <v>45117</v>
          </cell>
          <cell r="I1001">
            <v>35129</v>
          </cell>
          <cell r="J1001" t="str">
            <v>447.504.838-93</v>
          </cell>
          <cell r="K1001" t="str">
            <v>149.91222.14.8</v>
          </cell>
          <cell r="L1001" t="str">
            <v>Salário Mensal</v>
          </cell>
          <cell r="M1001" t="str">
            <v>Empregado (CLT)</v>
          </cell>
        </row>
        <row r="1002">
          <cell r="D1002" t="str">
            <v>ECOSAMPA Operação Geral</v>
          </cell>
          <cell r="E1002">
            <v>43918</v>
          </cell>
          <cell r="F1002">
            <v>3050.22</v>
          </cell>
          <cell r="G1002" t="str">
            <v>Demitido no Mês</v>
          </cell>
          <cell r="H1002">
            <v>45194</v>
          </cell>
          <cell r="I1002">
            <v>24496</v>
          </cell>
          <cell r="J1002" t="str">
            <v>129.813.928-75</v>
          </cell>
          <cell r="K1002" t="str">
            <v>122.93884.79.3</v>
          </cell>
          <cell r="L1002" t="str">
            <v>Salário Mensal</v>
          </cell>
          <cell r="M1002" t="str">
            <v>Empregado (CLT)</v>
          </cell>
        </row>
        <row r="1003">
          <cell r="D1003" t="str">
            <v>ECOSAMPA Campo Limpo</v>
          </cell>
          <cell r="E1003">
            <v>43617</v>
          </cell>
          <cell r="F1003">
            <v>1603.99</v>
          </cell>
          <cell r="G1003" t="str">
            <v>Em Atividade Normal</v>
          </cell>
          <cell r="H1003">
            <v>44898</v>
          </cell>
          <cell r="I1003">
            <v>27006</v>
          </cell>
          <cell r="J1003" t="str">
            <v>919.102.004-25</v>
          </cell>
          <cell r="K1003" t="str">
            <v>123.11438.09.5</v>
          </cell>
          <cell r="L1003" t="str">
            <v>Salário Mensal</v>
          </cell>
          <cell r="M1003" t="str">
            <v>Empregado (CLT)</v>
          </cell>
        </row>
        <row r="1004">
          <cell r="D1004" t="str">
            <v>ECOSAMPA Operação Geral</v>
          </cell>
          <cell r="E1004">
            <v>44791</v>
          </cell>
          <cell r="F1004">
            <v>3050.22</v>
          </cell>
          <cell r="G1004" t="str">
            <v>Em Atividade Normal</v>
          </cell>
          <cell r="H1004">
            <v>44791</v>
          </cell>
          <cell r="I1004">
            <v>30891</v>
          </cell>
          <cell r="J1004" t="str">
            <v>345.687.298-40</v>
          </cell>
          <cell r="K1004" t="str">
            <v>136.60957.93.2</v>
          </cell>
          <cell r="L1004" t="str">
            <v>Salário Mensal</v>
          </cell>
          <cell r="M1004" t="str">
            <v>Empregado (CLT)</v>
          </cell>
        </row>
        <row r="1005">
          <cell r="D1005" t="str">
            <v>ECOSAMPA Administração</v>
          </cell>
          <cell r="E1005">
            <v>45040</v>
          </cell>
          <cell r="F1005">
            <v>1320</v>
          </cell>
          <cell r="G1005" t="str">
            <v>Em Atividade Normal</v>
          </cell>
          <cell r="H1005">
            <v>45040</v>
          </cell>
          <cell r="I1005">
            <v>38254</v>
          </cell>
          <cell r="J1005" t="str">
            <v>539.667.628-03</v>
          </cell>
          <cell r="K1005" t="str">
            <v>220.16083.86.6</v>
          </cell>
          <cell r="L1005" t="str">
            <v>Salário Mensal</v>
          </cell>
          <cell r="M1005" t="str">
            <v>Menor Aprendiz</v>
          </cell>
        </row>
        <row r="1006">
          <cell r="D1006" t="str">
            <v>ECOSAMPA Operação Geral</v>
          </cell>
          <cell r="E1006">
            <v>44945</v>
          </cell>
          <cell r="F1006">
            <v>1603.99</v>
          </cell>
          <cell r="G1006" t="str">
            <v>Em Atividade Normal</v>
          </cell>
          <cell r="H1006">
            <v>44945</v>
          </cell>
          <cell r="I1006">
            <v>33888</v>
          </cell>
          <cell r="J1006" t="str">
            <v>425.040.518-40</v>
          </cell>
          <cell r="K1006" t="str">
            <v>204.91125.41.5</v>
          </cell>
          <cell r="L1006" t="str">
            <v>Salário Mensal</v>
          </cell>
          <cell r="M1006" t="str">
            <v>Empregado (CLT)</v>
          </cell>
        </row>
        <row r="1007">
          <cell r="D1007" t="str">
            <v>ECOSAMPA Operação Geral</v>
          </cell>
          <cell r="E1007">
            <v>44630</v>
          </cell>
          <cell r="F1007">
            <v>1603.99</v>
          </cell>
          <cell r="G1007" t="str">
            <v>Gozando Férias</v>
          </cell>
          <cell r="H1007">
            <v>45180</v>
          </cell>
          <cell r="I1007">
            <v>26735</v>
          </cell>
          <cell r="J1007" t="str">
            <v>267.773.168-17</v>
          </cell>
          <cell r="K1007" t="str">
            <v>124.87905.66.4</v>
          </cell>
          <cell r="L1007" t="str">
            <v>Salário Mensal</v>
          </cell>
          <cell r="M1007" t="str">
            <v>Empregado (CLT)</v>
          </cell>
        </row>
        <row r="1008">
          <cell r="D1008" t="str">
            <v>ECOSAMPA Capela do Socorro</v>
          </cell>
          <cell r="E1008">
            <v>43617</v>
          </cell>
          <cell r="F1008">
            <v>1319.67</v>
          </cell>
          <cell r="G1008" t="str">
            <v>Demitido em Meses Anteriores</v>
          </cell>
          <cell r="H1008">
            <v>44243</v>
          </cell>
          <cell r="I1008">
            <v>29844</v>
          </cell>
          <cell r="J1008" t="str">
            <v>223.344.378-08</v>
          </cell>
          <cell r="K1008" t="str">
            <v>130.74060.93.9</v>
          </cell>
          <cell r="L1008" t="str">
            <v>Salário Mensal</v>
          </cell>
          <cell r="M1008" t="str">
            <v>Empregado (CLT)</v>
          </cell>
        </row>
        <row r="1009">
          <cell r="D1009" t="str">
            <v>ECOSAMPA Capela do Socorro</v>
          </cell>
          <cell r="E1009">
            <v>43617</v>
          </cell>
          <cell r="F1009">
            <v>1603.99</v>
          </cell>
          <cell r="G1009" t="str">
            <v>Em Atividade Normal</v>
          </cell>
          <cell r="H1009">
            <v>44960</v>
          </cell>
          <cell r="I1009">
            <v>33518</v>
          </cell>
          <cell r="J1009" t="str">
            <v>058.398.933-07</v>
          </cell>
          <cell r="K1009" t="str">
            <v>131.53095.86.7</v>
          </cell>
          <cell r="L1009" t="str">
            <v>Salário Mensal</v>
          </cell>
          <cell r="M1009" t="str">
            <v>Empregado (CLT)</v>
          </cell>
        </row>
        <row r="1010">
          <cell r="D1010" t="str">
            <v>ECOSAMPA Santo Amaro</v>
          </cell>
          <cell r="E1010">
            <v>44048</v>
          </cell>
          <cell r="F1010">
            <v>1603.99</v>
          </cell>
          <cell r="G1010" t="str">
            <v>Demitido em Meses Anteriores</v>
          </cell>
          <cell r="H1010">
            <v>45026</v>
          </cell>
          <cell r="I1010">
            <v>35338</v>
          </cell>
          <cell r="J1010" t="str">
            <v>486.235.358-47</v>
          </cell>
          <cell r="K1010" t="str">
            <v>145.89099.88.4</v>
          </cell>
          <cell r="L1010" t="str">
            <v>Salário Mensal</v>
          </cell>
          <cell r="M1010" t="str">
            <v>Empregado (CLT)</v>
          </cell>
        </row>
        <row r="1011">
          <cell r="D1011" t="str">
            <v>ECOSAMPA Santo Amaro</v>
          </cell>
          <cell r="E1011">
            <v>43811</v>
          </cell>
          <cell r="F1011">
            <v>1281.23</v>
          </cell>
          <cell r="G1011" t="str">
            <v>Demitido em Meses Anteriores</v>
          </cell>
          <cell r="H1011">
            <v>44004</v>
          </cell>
          <cell r="I1011">
            <v>35680</v>
          </cell>
          <cell r="J1011" t="str">
            <v>475.829.708-88</v>
          </cell>
          <cell r="K1011" t="str">
            <v>201.17256.95.6</v>
          </cell>
          <cell r="L1011" t="str">
            <v>Salário Mensal</v>
          </cell>
          <cell r="M1011" t="str">
            <v>Empregado (CLT)</v>
          </cell>
        </row>
        <row r="1012">
          <cell r="D1012" t="str">
            <v>ECOSAMPA M'Boi Mirim</v>
          </cell>
          <cell r="E1012">
            <v>43617</v>
          </cell>
          <cell r="F1012">
            <v>1907.79</v>
          </cell>
          <cell r="G1012" t="str">
            <v>Demitido em Meses Anteriores</v>
          </cell>
          <cell r="H1012">
            <v>44903</v>
          </cell>
          <cell r="I1012">
            <v>32956</v>
          </cell>
          <cell r="J1012" t="str">
            <v>398.136.808-81</v>
          </cell>
          <cell r="K1012" t="str">
            <v>203.91059.10.0</v>
          </cell>
          <cell r="L1012" t="str">
            <v>Salário Mensal</v>
          </cell>
          <cell r="M1012" t="str">
            <v>Empregado (CLT)</v>
          </cell>
        </row>
        <row r="1013">
          <cell r="D1013" t="str">
            <v>ECOSAMPA Operação Geral</v>
          </cell>
          <cell r="E1013">
            <v>44945</v>
          </cell>
          <cell r="F1013">
            <v>1603.99</v>
          </cell>
          <cell r="G1013" t="str">
            <v>Em Atividade Normal</v>
          </cell>
          <cell r="H1013">
            <v>44945</v>
          </cell>
          <cell r="I1013">
            <v>33450</v>
          </cell>
          <cell r="J1013" t="str">
            <v>427.409.498-71</v>
          </cell>
          <cell r="K1013" t="str">
            <v>139.55987.09.3</v>
          </cell>
          <cell r="L1013" t="str">
            <v>Salário Mensal</v>
          </cell>
          <cell r="M1013" t="str">
            <v>Empregado (CLT)</v>
          </cell>
        </row>
        <row r="1014">
          <cell r="D1014" t="str">
            <v>ECOSAMPA Operação Geral</v>
          </cell>
          <cell r="E1014">
            <v>43617</v>
          </cell>
          <cell r="F1014">
            <v>3999.84</v>
          </cell>
          <cell r="G1014" t="str">
            <v>Em Atividade Normal</v>
          </cell>
          <cell r="H1014">
            <v>45149</v>
          </cell>
          <cell r="I1014">
            <v>30187</v>
          </cell>
          <cell r="J1014" t="str">
            <v>309.665.328-30</v>
          </cell>
          <cell r="K1014" t="str">
            <v>131.22633.89.1</v>
          </cell>
          <cell r="L1014" t="str">
            <v>Salário Mensal</v>
          </cell>
          <cell r="M1014" t="str">
            <v>Empregado (CLT)</v>
          </cell>
        </row>
        <row r="1015">
          <cell r="D1015" t="str">
            <v>ECOSAMPA Operação Geral</v>
          </cell>
          <cell r="E1015">
            <v>43916</v>
          </cell>
          <cell r="F1015">
            <v>1907.79</v>
          </cell>
          <cell r="G1015" t="str">
            <v>Em Atividade Normal</v>
          </cell>
          <cell r="H1015">
            <v>45086</v>
          </cell>
          <cell r="I1015">
            <v>35846</v>
          </cell>
          <cell r="J1015" t="str">
            <v>496.954.918-47</v>
          </cell>
          <cell r="K1015" t="str">
            <v>163.06643.80.0</v>
          </cell>
          <cell r="L1015" t="str">
            <v>Salário Mensal</v>
          </cell>
          <cell r="M1015" t="str">
            <v>Empregado (CLT)</v>
          </cell>
        </row>
        <row r="1016">
          <cell r="D1016" t="str">
            <v>ECOSAMPA Capela do Socorro</v>
          </cell>
          <cell r="E1016">
            <v>43874</v>
          </cell>
          <cell r="F1016">
            <v>1281.23</v>
          </cell>
          <cell r="G1016" t="str">
            <v>Demitido em Meses Anteriores</v>
          </cell>
          <cell r="H1016">
            <v>43888</v>
          </cell>
          <cell r="I1016">
            <v>34291</v>
          </cell>
          <cell r="J1016" t="str">
            <v>421.434.608-48</v>
          </cell>
          <cell r="K1016" t="str">
            <v>207.24933.58.6</v>
          </cell>
          <cell r="L1016" t="str">
            <v>Salário Mensal</v>
          </cell>
          <cell r="M1016" t="str">
            <v>Empregado (CLT)</v>
          </cell>
        </row>
        <row r="1017">
          <cell r="D1017" t="str">
            <v>ECOSAMPA Campo Limpo</v>
          </cell>
          <cell r="E1017">
            <v>43617</v>
          </cell>
          <cell r="F1017">
            <v>1603.99</v>
          </cell>
          <cell r="G1017" t="str">
            <v>Em Atividade Normal</v>
          </cell>
          <cell r="H1017">
            <v>44960</v>
          </cell>
          <cell r="I1017">
            <v>22503</v>
          </cell>
          <cell r="J1017" t="str">
            <v>257.018.398-93</v>
          </cell>
          <cell r="K1017" t="str">
            <v>126.03263.85.6</v>
          </cell>
          <cell r="L1017" t="str">
            <v>Salário Mensal</v>
          </cell>
          <cell r="M1017" t="str">
            <v>Empregado (CLT)</v>
          </cell>
        </row>
        <row r="1018">
          <cell r="D1018" t="str">
            <v>ECOSAMPA Operação Geral</v>
          </cell>
          <cell r="E1018">
            <v>43916</v>
          </cell>
          <cell r="F1018">
            <v>1603.99</v>
          </cell>
          <cell r="G1018" t="str">
            <v>Em Atividade Normal</v>
          </cell>
          <cell r="H1018">
            <v>45056</v>
          </cell>
          <cell r="I1018">
            <v>27138</v>
          </cell>
          <cell r="J1018" t="str">
            <v>118.089.588-61</v>
          </cell>
          <cell r="K1018" t="str">
            <v>123.72691.20.3</v>
          </cell>
          <cell r="L1018" t="str">
            <v>Salário Mensal</v>
          </cell>
          <cell r="M1018" t="str">
            <v>Empregado (CLT)</v>
          </cell>
        </row>
        <row r="1019">
          <cell r="D1019" t="str">
            <v>ECOSAMPA Parelheiros</v>
          </cell>
          <cell r="E1019">
            <v>43617</v>
          </cell>
          <cell r="F1019">
            <v>1603.99</v>
          </cell>
          <cell r="G1019" t="str">
            <v>Demitido em Meses Anteriores</v>
          </cell>
          <cell r="H1019">
            <v>45061</v>
          </cell>
          <cell r="I1019">
            <v>24195</v>
          </cell>
          <cell r="J1019" t="str">
            <v>574.792.914-34</v>
          </cell>
          <cell r="K1019" t="str">
            <v>123.31968.41.3</v>
          </cell>
          <cell r="L1019" t="str">
            <v>Salário Mensal</v>
          </cell>
          <cell r="M1019" t="str">
            <v>Empregado (CLT)</v>
          </cell>
        </row>
        <row r="1020">
          <cell r="D1020" t="str">
            <v>ECOSAMPA Capela do Socorro</v>
          </cell>
          <cell r="E1020">
            <v>44487</v>
          </cell>
          <cell r="F1020">
            <v>1603.99</v>
          </cell>
          <cell r="G1020" t="str">
            <v>Em Atividade Normal</v>
          </cell>
          <cell r="H1020">
            <v>44960</v>
          </cell>
          <cell r="I1020">
            <v>32491</v>
          </cell>
          <cell r="J1020" t="str">
            <v>387.721.418-59</v>
          </cell>
          <cell r="K1020" t="str">
            <v>135.84241.89.7</v>
          </cell>
          <cell r="L1020" t="str">
            <v>Salário Mensal</v>
          </cell>
          <cell r="M1020" t="str">
            <v>Empregado (CLT)</v>
          </cell>
        </row>
        <row r="1021">
          <cell r="D1021" t="str">
            <v>ECOSAMPA Capela do Socorro</v>
          </cell>
          <cell r="E1021">
            <v>43874</v>
          </cell>
          <cell r="F1021">
            <v>1319.67</v>
          </cell>
          <cell r="G1021" t="str">
            <v>Demitido em Meses Anteriores</v>
          </cell>
          <cell r="H1021">
            <v>44361</v>
          </cell>
          <cell r="I1021">
            <v>27739</v>
          </cell>
          <cell r="J1021" t="str">
            <v>709.173.105-00</v>
          </cell>
          <cell r="K1021" t="str">
            <v>127.51764.98.5</v>
          </cell>
          <cell r="L1021" t="str">
            <v>Salário Mensal</v>
          </cell>
          <cell r="M1021" t="str">
            <v>Empregado (CLT)</v>
          </cell>
        </row>
        <row r="1022">
          <cell r="D1022" t="str">
            <v>ECOSAMPA Operação Geral</v>
          </cell>
          <cell r="E1022">
            <v>43617</v>
          </cell>
          <cell r="F1022">
            <v>3050.22</v>
          </cell>
          <cell r="G1022" t="str">
            <v>Demitido no Mês</v>
          </cell>
          <cell r="H1022">
            <v>45190</v>
          </cell>
          <cell r="I1022">
            <v>30294</v>
          </cell>
          <cell r="J1022" t="str">
            <v>307.409.048-09</v>
          </cell>
          <cell r="K1022" t="str">
            <v>132.72395.77.5</v>
          </cell>
          <cell r="L1022" t="str">
            <v>Salário Mensal</v>
          </cell>
          <cell r="M1022" t="str">
            <v>Empregado (CLT)</v>
          </cell>
        </row>
        <row r="1023">
          <cell r="D1023" t="str">
            <v>ECOSAMPA Santo Amaro</v>
          </cell>
          <cell r="E1023">
            <v>44994</v>
          </cell>
          <cell r="F1023">
            <v>1603.99</v>
          </cell>
          <cell r="G1023" t="str">
            <v>Em Atividade Normal</v>
          </cell>
          <cell r="H1023">
            <v>44994</v>
          </cell>
          <cell r="I1023">
            <v>36811</v>
          </cell>
          <cell r="J1023" t="str">
            <v>041.421.465-05</v>
          </cell>
          <cell r="K1023" t="str">
            <v>162.13194.60.7</v>
          </cell>
          <cell r="L1023" t="str">
            <v>Salário Mensal</v>
          </cell>
          <cell r="M1023" t="str">
            <v>Empregado (CLT)</v>
          </cell>
        </row>
        <row r="1024">
          <cell r="D1024" t="str">
            <v>ECOSAMPA Operação Geral</v>
          </cell>
          <cell r="E1024">
            <v>43617</v>
          </cell>
          <cell r="F1024">
            <v>1907.79</v>
          </cell>
          <cell r="G1024" t="str">
            <v>Auxílio-Doença</v>
          </cell>
          <cell r="H1024">
            <v>45006</v>
          </cell>
          <cell r="I1024">
            <v>23115</v>
          </cell>
          <cell r="J1024" t="str">
            <v>343.603.015-53</v>
          </cell>
          <cell r="K1024" t="str">
            <v>124.67880.73.9</v>
          </cell>
          <cell r="L1024" t="str">
            <v>Salário Mensal</v>
          </cell>
          <cell r="M1024" t="str">
            <v>Empregado (CLT)</v>
          </cell>
        </row>
        <row r="1025">
          <cell r="D1025" t="str">
            <v>ECOSAMPA M'Boi Mirim</v>
          </cell>
          <cell r="E1025">
            <v>43617</v>
          </cell>
          <cell r="F1025">
            <v>1603.99</v>
          </cell>
          <cell r="G1025" t="str">
            <v>Em Atividade Normal</v>
          </cell>
          <cell r="H1025">
            <v>44898</v>
          </cell>
          <cell r="I1025">
            <v>26120</v>
          </cell>
          <cell r="J1025" t="str">
            <v>116.243.638-73</v>
          </cell>
          <cell r="K1025" t="str">
            <v>122.40457.17.3</v>
          </cell>
          <cell r="L1025" t="str">
            <v>Salário Mensal</v>
          </cell>
          <cell r="M1025" t="str">
            <v>Empregado (CLT)</v>
          </cell>
        </row>
        <row r="1026">
          <cell r="D1026" t="str">
            <v>ECOSAMPA M'Boi Mirim</v>
          </cell>
          <cell r="E1026">
            <v>43617</v>
          </cell>
          <cell r="F1026">
            <v>1281.23</v>
          </cell>
          <cell r="G1026" t="str">
            <v>Demitido em Meses Anteriores</v>
          </cell>
          <cell r="H1026">
            <v>43808</v>
          </cell>
          <cell r="I1026">
            <v>18432</v>
          </cell>
          <cell r="J1026" t="str">
            <v>655.163.708-68</v>
          </cell>
          <cell r="K1026" t="str">
            <v>105.54021.51.7</v>
          </cell>
          <cell r="L1026" t="str">
            <v>Salário Mensal</v>
          </cell>
          <cell r="M1026" t="str">
            <v>Empregado (CLT)</v>
          </cell>
        </row>
        <row r="1027">
          <cell r="D1027" t="str">
            <v>ECOSAMPA Santo Amaro</v>
          </cell>
          <cell r="E1027">
            <v>43617</v>
          </cell>
          <cell r="F1027">
            <v>1603.99</v>
          </cell>
          <cell r="G1027" t="str">
            <v>Em Atividade Normal</v>
          </cell>
          <cell r="H1027">
            <v>44960</v>
          </cell>
          <cell r="I1027">
            <v>31669</v>
          </cell>
          <cell r="J1027" t="str">
            <v>377.155.018-16</v>
          </cell>
          <cell r="K1027" t="str">
            <v>161.83285.89.8</v>
          </cell>
          <cell r="L1027" t="str">
            <v>Salário Mensal</v>
          </cell>
          <cell r="M1027" t="str">
            <v>Empregado (CLT)</v>
          </cell>
        </row>
        <row r="1028">
          <cell r="D1028" t="str">
            <v>ECOSAMPA Operação Geral</v>
          </cell>
          <cell r="E1028">
            <v>43917</v>
          </cell>
          <cell r="F1028">
            <v>1319.67</v>
          </cell>
          <cell r="G1028" t="str">
            <v>Demitido em Meses Anteriores</v>
          </cell>
          <cell r="H1028">
            <v>44207</v>
          </cell>
          <cell r="I1028">
            <v>27141</v>
          </cell>
          <cell r="J1028" t="str">
            <v>604.928.805-49</v>
          </cell>
          <cell r="K1028" t="str">
            <v>124.97440.10.9</v>
          </cell>
          <cell r="L1028" t="str">
            <v>Salário Mensal</v>
          </cell>
          <cell r="M1028" t="str">
            <v>Empregado (CLT)</v>
          </cell>
        </row>
        <row r="1029">
          <cell r="D1029" t="str">
            <v>ECOSAMPA Operação Geral</v>
          </cell>
          <cell r="E1029">
            <v>43617</v>
          </cell>
          <cell r="F1029">
            <v>1523.89</v>
          </cell>
          <cell r="G1029" t="str">
            <v>Demitido em Meses Anteriores</v>
          </cell>
          <cell r="H1029">
            <v>43974</v>
          </cell>
          <cell r="I1029">
            <v>23109</v>
          </cell>
          <cell r="J1029" t="str">
            <v>353.784.844-72</v>
          </cell>
          <cell r="K1029" t="str">
            <v>121.57262.87.5</v>
          </cell>
          <cell r="L1029" t="str">
            <v>Salário Mensal</v>
          </cell>
          <cell r="M1029" t="str">
            <v>Empregado (CLT)</v>
          </cell>
        </row>
        <row r="1030">
          <cell r="D1030" t="str">
            <v>ECOSAMPA Capela do Socorro</v>
          </cell>
          <cell r="E1030">
            <v>43874</v>
          </cell>
          <cell r="F1030">
            <v>1281.23</v>
          </cell>
          <cell r="G1030" t="str">
            <v>Demitido em Meses Anteriores</v>
          </cell>
          <cell r="H1030">
            <v>43888</v>
          </cell>
          <cell r="I1030">
            <v>33264</v>
          </cell>
          <cell r="J1030" t="str">
            <v>390.433.368-23</v>
          </cell>
          <cell r="K1030" t="str">
            <v>163.14794.05.7</v>
          </cell>
          <cell r="L1030" t="str">
            <v>Salário Mensal</v>
          </cell>
          <cell r="M1030" t="str">
            <v>Empregado (CLT)</v>
          </cell>
        </row>
        <row r="1031">
          <cell r="D1031" t="str">
            <v>ECOSAMPA Operação Geral</v>
          </cell>
          <cell r="E1031">
            <v>43917</v>
          </cell>
          <cell r="F1031">
            <v>1319.67</v>
          </cell>
          <cell r="G1031" t="str">
            <v>Demitido em Meses Anteriores</v>
          </cell>
          <cell r="H1031">
            <v>44207</v>
          </cell>
          <cell r="I1031">
            <v>36220</v>
          </cell>
          <cell r="J1031" t="str">
            <v>500.604.268-02</v>
          </cell>
          <cell r="K1031" t="str">
            <v>203.92379.95.8</v>
          </cell>
          <cell r="L1031" t="str">
            <v>Salário Mensal</v>
          </cell>
          <cell r="M1031" t="str">
            <v>Empregado (CLT)</v>
          </cell>
        </row>
        <row r="1032">
          <cell r="D1032" t="str">
            <v>ECOSAMPA Operação Geral</v>
          </cell>
          <cell r="E1032">
            <v>44154</v>
          </cell>
          <cell r="F1032">
            <v>1892.31</v>
          </cell>
          <cell r="G1032" t="str">
            <v>Demitido em Meses Anteriores</v>
          </cell>
          <cell r="H1032">
            <v>44729</v>
          </cell>
          <cell r="I1032">
            <v>37294</v>
          </cell>
          <cell r="J1032" t="str">
            <v>501.296.538-88</v>
          </cell>
          <cell r="K1032" t="str">
            <v>131.60702.78.1</v>
          </cell>
          <cell r="L1032" t="str">
            <v>Salário Mensal</v>
          </cell>
          <cell r="M1032" t="str">
            <v>Empregado (CLT)</v>
          </cell>
        </row>
        <row r="1033">
          <cell r="D1033" t="str">
            <v>ECOSAMPA Pensionistas</v>
          </cell>
          <cell r="E1033">
            <v>44095</v>
          </cell>
          <cell r="F1033">
            <v>0.01</v>
          </cell>
          <cell r="G1033" t="str">
            <v>Demitido em Meses Anteriores</v>
          </cell>
          <cell r="H1033">
            <v>44655</v>
          </cell>
          <cell r="J1033" t="str">
            <v>415.577.998-65</v>
          </cell>
          <cell r="L1033" t="str">
            <v>Nenhuma</v>
          </cell>
          <cell r="M1033" t="str">
            <v>Pensionista</v>
          </cell>
        </row>
        <row r="1034">
          <cell r="D1034" t="str">
            <v>ECOSAMPA Santo Amaro</v>
          </cell>
          <cell r="E1034">
            <v>43617</v>
          </cell>
          <cell r="F1034">
            <v>1603.99</v>
          </cell>
          <cell r="G1034" t="str">
            <v>Em Atividade Normal</v>
          </cell>
          <cell r="H1034">
            <v>44989</v>
          </cell>
          <cell r="I1034">
            <v>35622</v>
          </cell>
          <cell r="J1034" t="str">
            <v>394.917.778-74</v>
          </cell>
          <cell r="K1034" t="str">
            <v>210.72697.10.8</v>
          </cell>
          <cell r="L1034" t="str">
            <v>Salário Mensal</v>
          </cell>
          <cell r="M1034" t="str">
            <v>Empregado (CLT)</v>
          </cell>
        </row>
        <row r="1035">
          <cell r="D1035" t="str">
            <v>ECOSAMPA Santo Amaro</v>
          </cell>
          <cell r="E1035">
            <v>43617</v>
          </cell>
          <cell r="F1035">
            <v>1231.95</v>
          </cell>
          <cell r="G1035" t="str">
            <v>Demitido em Meses Anteriores</v>
          </cell>
          <cell r="H1035">
            <v>43704</v>
          </cell>
          <cell r="I1035">
            <v>21802</v>
          </cell>
          <cell r="J1035" t="str">
            <v>060.198.378-58</v>
          </cell>
          <cell r="K1035" t="str">
            <v>108.72880.46.7</v>
          </cell>
          <cell r="L1035" t="str">
            <v>Salário Mensal</v>
          </cell>
          <cell r="M1035" t="str">
            <v>Empregado (CLT)</v>
          </cell>
        </row>
        <row r="1036">
          <cell r="D1036" t="str">
            <v>ECOSAMPA Capela do Socorro</v>
          </cell>
          <cell r="E1036">
            <v>44273</v>
          </cell>
          <cell r="F1036">
            <v>1603.99</v>
          </cell>
          <cell r="G1036" t="str">
            <v>Em Atividade Normal</v>
          </cell>
          <cell r="H1036">
            <v>44744</v>
          </cell>
          <cell r="I1036">
            <v>37595</v>
          </cell>
          <cell r="J1036" t="str">
            <v>496.944.738-10</v>
          </cell>
          <cell r="K1036" t="str">
            <v>163.38855.02.1</v>
          </cell>
          <cell r="L1036" t="str">
            <v>Salário Mensal</v>
          </cell>
          <cell r="M1036" t="str">
            <v>Empregado (CLT)</v>
          </cell>
        </row>
        <row r="1037">
          <cell r="D1037" t="str">
            <v>ECOSAMPA Capela do Socorro</v>
          </cell>
          <cell r="E1037">
            <v>43728</v>
          </cell>
          <cell r="F1037">
            <v>1464.83</v>
          </cell>
          <cell r="G1037" t="str">
            <v>Demitido em Meses Anteriores</v>
          </cell>
          <cell r="H1037">
            <v>44599</v>
          </cell>
          <cell r="I1037">
            <v>30416</v>
          </cell>
          <cell r="J1037" t="str">
            <v>226.866.468-61</v>
          </cell>
          <cell r="K1037" t="str">
            <v>130.50396.89.9</v>
          </cell>
          <cell r="L1037" t="str">
            <v>Salário Mensal</v>
          </cell>
          <cell r="M1037" t="str">
            <v>Empregado (CLT)</v>
          </cell>
        </row>
        <row r="1038">
          <cell r="D1038" t="str">
            <v>ECOSAMPA Santo Amaro</v>
          </cell>
          <cell r="E1038">
            <v>43617</v>
          </cell>
          <cell r="F1038">
            <v>1907.79</v>
          </cell>
          <cell r="G1038" t="str">
            <v>Em Atividade Normal</v>
          </cell>
          <cell r="H1038">
            <v>44867</v>
          </cell>
          <cell r="I1038">
            <v>31526</v>
          </cell>
          <cell r="J1038" t="str">
            <v>358.511.658-20</v>
          </cell>
          <cell r="K1038" t="str">
            <v>133.05960.89.1</v>
          </cell>
          <cell r="L1038" t="str">
            <v>Salário Mensal</v>
          </cell>
          <cell r="M1038" t="str">
            <v>Empregado (CLT)</v>
          </cell>
        </row>
        <row r="1039">
          <cell r="D1039" t="str">
            <v>ECOSAMPA Operação Geral</v>
          </cell>
          <cell r="E1039">
            <v>44063</v>
          </cell>
          <cell r="F1039">
            <v>2779</v>
          </cell>
          <cell r="G1039" t="str">
            <v>Demitido em Meses Anteriores</v>
          </cell>
          <cell r="H1039">
            <v>44566</v>
          </cell>
          <cell r="I1039">
            <v>33225</v>
          </cell>
          <cell r="J1039" t="str">
            <v>041.345.935-73</v>
          </cell>
          <cell r="K1039" t="str">
            <v>161.79919.92.6</v>
          </cell>
          <cell r="L1039" t="str">
            <v>Salário Mensal</v>
          </cell>
          <cell r="M1039" t="str">
            <v>Empregado (CLT)</v>
          </cell>
        </row>
        <row r="1040">
          <cell r="D1040" t="str">
            <v>ECOSAMPA Capela do Socorro</v>
          </cell>
          <cell r="E1040">
            <v>43617</v>
          </cell>
          <cell r="F1040">
            <v>1603.99</v>
          </cell>
          <cell r="G1040" t="str">
            <v>Em Atividade Normal</v>
          </cell>
          <cell r="H1040">
            <v>44835</v>
          </cell>
          <cell r="I1040">
            <v>24703</v>
          </cell>
          <cell r="J1040" t="str">
            <v>116.983.248-20</v>
          </cell>
          <cell r="K1040" t="str">
            <v>123.29275.87.2</v>
          </cell>
          <cell r="L1040" t="str">
            <v>Salário Mensal</v>
          </cell>
          <cell r="M1040" t="str">
            <v>Empregado (CLT)</v>
          </cell>
        </row>
        <row r="1041">
          <cell r="D1041" t="str">
            <v>ECOSAMPA Operação Geral</v>
          </cell>
          <cell r="E1041">
            <v>43917</v>
          </cell>
          <cell r="F1041">
            <v>1603.99</v>
          </cell>
          <cell r="G1041" t="str">
            <v>Em Atividade Normal</v>
          </cell>
          <cell r="H1041">
            <v>45086</v>
          </cell>
          <cell r="I1041">
            <v>36280</v>
          </cell>
          <cell r="J1041" t="str">
            <v>488.643.548-32</v>
          </cell>
          <cell r="K1041" t="str">
            <v>238.17849.69.5</v>
          </cell>
          <cell r="L1041" t="str">
            <v>Salário Mensal</v>
          </cell>
          <cell r="M1041" t="str">
            <v>Empregado (CLT)</v>
          </cell>
        </row>
        <row r="1042">
          <cell r="D1042" t="str">
            <v>ECOSAMPA Parelheiros</v>
          </cell>
          <cell r="E1042">
            <v>45131</v>
          </cell>
          <cell r="F1042">
            <v>1603.99</v>
          </cell>
          <cell r="G1042" t="str">
            <v>Em Atividade Normal</v>
          </cell>
          <cell r="H1042">
            <v>45131</v>
          </cell>
          <cell r="I1042">
            <v>35027</v>
          </cell>
          <cell r="J1042" t="str">
            <v>177.751.027-99</v>
          </cell>
          <cell r="K1042" t="str">
            <v>162.73111.67.8</v>
          </cell>
          <cell r="L1042" t="str">
            <v>Salário Mensal</v>
          </cell>
          <cell r="M1042" t="str">
            <v>Empregado (CLT)</v>
          </cell>
        </row>
        <row r="1043">
          <cell r="D1043" t="str">
            <v>ECOSAMPA Parelheiros</v>
          </cell>
          <cell r="E1043">
            <v>44994</v>
          </cell>
          <cell r="F1043">
            <v>1603.99</v>
          </cell>
          <cell r="G1043" t="str">
            <v>Em Atividade Normal</v>
          </cell>
          <cell r="H1043">
            <v>44994</v>
          </cell>
          <cell r="I1043">
            <v>38005</v>
          </cell>
          <cell r="J1043" t="str">
            <v>461.397.238-84</v>
          </cell>
          <cell r="K1043" t="str">
            <v>163.48540.00.7</v>
          </cell>
          <cell r="L1043" t="str">
            <v>Salário Mensal</v>
          </cell>
          <cell r="M1043" t="str">
            <v>Empregado (CLT)</v>
          </cell>
        </row>
        <row r="1044">
          <cell r="D1044" t="str">
            <v>ECOSAMPA Capela do Socorro</v>
          </cell>
          <cell r="E1044">
            <v>44945</v>
          </cell>
          <cell r="F1044">
            <v>1603.99</v>
          </cell>
          <cell r="G1044" t="str">
            <v>Em Atividade Normal</v>
          </cell>
          <cell r="H1044">
            <v>44945</v>
          </cell>
          <cell r="I1044">
            <v>33787</v>
          </cell>
          <cell r="J1044" t="str">
            <v>390.071.418-56</v>
          </cell>
          <cell r="K1044" t="str">
            <v>203.92279.36.8</v>
          </cell>
          <cell r="L1044" t="str">
            <v>Salário Mensal</v>
          </cell>
          <cell r="M1044" t="str">
            <v>Empregado (CLT)</v>
          </cell>
        </row>
        <row r="1045">
          <cell r="D1045" t="str">
            <v>ECOSAMPA Parelheiros</v>
          </cell>
          <cell r="E1045">
            <v>43617</v>
          </cell>
          <cell r="F1045">
            <v>1603.99</v>
          </cell>
          <cell r="G1045" t="str">
            <v>Em Atividade Normal</v>
          </cell>
          <cell r="H1045">
            <v>44911</v>
          </cell>
          <cell r="I1045">
            <v>25764</v>
          </cell>
          <cell r="J1045" t="str">
            <v>132.359.518-06</v>
          </cell>
          <cell r="K1045" t="str">
            <v>121.98636.71.0</v>
          </cell>
          <cell r="L1045" t="str">
            <v>Salário Mensal</v>
          </cell>
          <cell r="M1045" t="str">
            <v>Empregado (CLT)</v>
          </cell>
        </row>
        <row r="1046">
          <cell r="D1046" t="str">
            <v>ECOSAMPA Santo Amaro</v>
          </cell>
          <cell r="E1046">
            <v>43617</v>
          </cell>
          <cell r="F1046">
            <v>1603.99</v>
          </cell>
          <cell r="G1046" t="str">
            <v>Em Atividade Normal</v>
          </cell>
          <cell r="H1046">
            <v>44960</v>
          </cell>
          <cell r="I1046">
            <v>34015</v>
          </cell>
          <cell r="J1046" t="str">
            <v>428.661.828-55</v>
          </cell>
          <cell r="K1046" t="str">
            <v>162.09340.25.4</v>
          </cell>
          <cell r="L1046" t="str">
            <v>Salário Mensal</v>
          </cell>
          <cell r="M1046" t="str">
            <v>Empregado (CLT)</v>
          </cell>
        </row>
        <row r="1047">
          <cell r="D1047" t="str">
            <v>ECOSAMPA Operação Geral</v>
          </cell>
          <cell r="E1047">
            <v>43739</v>
          </cell>
          <cell r="F1047">
            <v>2436.4499999999998</v>
          </cell>
          <cell r="G1047" t="str">
            <v>Demitido em Meses Anteriores</v>
          </cell>
          <cell r="H1047">
            <v>43808</v>
          </cell>
          <cell r="I1047">
            <v>29832</v>
          </cell>
          <cell r="J1047" t="str">
            <v>225.946.998-10</v>
          </cell>
          <cell r="K1047" t="str">
            <v>127.30747.89.5</v>
          </cell>
          <cell r="L1047" t="str">
            <v>Salário Mensal</v>
          </cell>
          <cell r="M1047" t="str">
            <v>Empregado (CLT)</v>
          </cell>
        </row>
        <row r="1048">
          <cell r="D1048" t="str">
            <v>ECOSAMPA Santo Amaro</v>
          </cell>
          <cell r="E1048">
            <v>43874</v>
          </cell>
          <cell r="F1048">
            <v>1464.83</v>
          </cell>
          <cell r="G1048" t="str">
            <v>Demitido em Meses Anteriores</v>
          </cell>
          <cell r="H1048">
            <v>44631</v>
          </cell>
          <cell r="I1048">
            <v>32511</v>
          </cell>
          <cell r="J1048" t="str">
            <v>381.577.318-01</v>
          </cell>
          <cell r="K1048" t="str">
            <v>210.21721.74.5</v>
          </cell>
          <cell r="L1048" t="str">
            <v>Salário Mensal</v>
          </cell>
          <cell r="M1048" t="str">
            <v>Empregado (CLT)</v>
          </cell>
        </row>
        <row r="1049">
          <cell r="D1049" t="str">
            <v>ECOSAMPA M'Boi Mirim</v>
          </cell>
          <cell r="E1049">
            <v>43617</v>
          </cell>
          <cell r="F1049">
            <v>1603.99</v>
          </cell>
          <cell r="G1049" t="str">
            <v>Em Atividade Normal</v>
          </cell>
          <cell r="H1049">
            <v>44960</v>
          </cell>
          <cell r="I1049">
            <v>29105</v>
          </cell>
          <cell r="J1049" t="str">
            <v>309.083.528-24</v>
          </cell>
          <cell r="K1049" t="str">
            <v>130.36352.85.5</v>
          </cell>
          <cell r="L1049" t="str">
            <v>Salário Mensal</v>
          </cell>
          <cell r="M1049" t="str">
            <v>Empregado (CLT)</v>
          </cell>
        </row>
        <row r="1050">
          <cell r="D1050" t="str">
            <v>ECOSAMPA Operação Geral</v>
          </cell>
          <cell r="E1050">
            <v>43617</v>
          </cell>
          <cell r="F1050">
            <v>3194.98</v>
          </cell>
          <cell r="G1050" t="str">
            <v>Demitido em Meses Anteriores</v>
          </cell>
          <cell r="H1050">
            <v>43801</v>
          </cell>
          <cell r="I1050">
            <v>32127</v>
          </cell>
          <cell r="J1050" t="str">
            <v>365.511.918-60</v>
          </cell>
          <cell r="K1050" t="str">
            <v>135.11977.93.1</v>
          </cell>
          <cell r="L1050" t="str">
            <v>Salário Mensal</v>
          </cell>
          <cell r="M1050" t="str">
            <v>Empregado (CLT)</v>
          </cell>
        </row>
        <row r="1051">
          <cell r="D1051" t="str">
            <v>ECOSAMPA Santo Amaro</v>
          </cell>
          <cell r="E1051">
            <v>43617</v>
          </cell>
          <cell r="F1051">
            <v>1603.99</v>
          </cell>
          <cell r="G1051" t="str">
            <v>Em Atividade Normal</v>
          </cell>
          <cell r="H1051">
            <v>44960</v>
          </cell>
          <cell r="I1051">
            <v>25795</v>
          </cell>
          <cell r="J1051" t="str">
            <v>770.129.764-20</v>
          </cell>
          <cell r="K1051" t="str">
            <v>124.42114.85.4</v>
          </cell>
          <cell r="L1051" t="str">
            <v>Salário Mensal</v>
          </cell>
          <cell r="M1051" t="str">
            <v>Empregado (CLT)</v>
          </cell>
        </row>
        <row r="1052">
          <cell r="D1052" t="str">
            <v>ECOSAMPA Operação Geral</v>
          </cell>
          <cell r="E1052">
            <v>43617</v>
          </cell>
          <cell r="F1052">
            <v>1603.99</v>
          </cell>
          <cell r="G1052" t="str">
            <v>Em Atividade Normal</v>
          </cell>
          <cell r="H1052">
            <v>44776</v>
          </cell>
          <cell r="I1052">
            <v>21527</v>
          </cell>
          <cell r="J1052" t="str">
            <v>507.611.704-30</v>
          </cell>
          <cell r="K1052" t="str">
            <v>122.29068.97.2</v>
          </cell>
          <cell r="L1052" t="str">
            <v>Salário Mensal</v>
          </cell>
          <cell r="M1052" t="str">
            <v>Empregado (CLT)</v>
          </cell>
        </row>
        <row r="1053">
          <cell r="D1053" t="str">
            <v>ECOSAMPA Campo Limpo</v>
          </cell>
          <cell r="E1053">
            <v>43617</v>
          </cell>
          <cell r="F1053">
            <v>1603.99</v>
          </cell>
          <cell r="G1053" t="str">
            <v>Em Atividade Normal</v>
          </cell>
          <cell r="H1053">
            <v>44806</v>
          </cell>
          <cell r="I1053">
            <v>22129</v>
          </cell>
          <cell r="J1053" t="str">
            <v>010.359.048-02</v>
          </cell>
          <cell r="K1053" t="str">
            <v>107.05107.98.9</v>
          </cell>
          <cell r="L1053" t="str">
            <v>Salário Mensal</v>
          </cell>
          <cell r="M1053" t="str">
            <v>Empregado (CLT)</v>
          </cell>
        </row>
        <row r="1054">
          <cell r="D1054" t="str">
            <v>ECOSAMPA Operação Geral</v>
          </cell>
          <cell r="E1054">
            <v>43617</v>
          </cell>
          <cell r="F1054">
            <v>1907.79</v>
          </cell>
          <cell r="G1054" t="str">
            <v>Gozando Férias</v>
          </cell>
          <cell r="H1054">
            <v>45180</v>
          </cell>
          <cell r="I1054">
            <v>28477</v>
          </cell>
          <cell r="J1054" t="str">
            <v>086.381.027-63</v>
          </cell>
          <cell r="K1054" t="str">
            <v>125.18153.24.3</v>
          </cell>
          <cell r="L1054" t="str">
            <v>Salário Mensal</v>
          </cell>
          <cell r="M1054" t="str">
            <v>Empregado (CLT)</v>
          </cell>
        </row>
        <row r="1055">
          <cell r="D1055" t="str">
            <v>ECOSAMPA Capela do Socorro</v>
          </cell>
          <cell r="E1055">
            <v>44273</v>
          </cell>
          <cell r="F1055">
            <v>1603.99</v>
          </cell>
          <cell r="G1055" t="str">
            <v>Em Atividade Normal</v>
          </cell>
          <cell r="H1055">
            <v>45086</v>
          </cell>
          <cell r="I1055">
            <v>27043</v>
          </cell>
          <cell r="J1055" t="str">
            <v>164.162.938-03</v>
          </cell>
          <cell r="K1055" t="str">
            <v>123.73727.81.3</v>
          </cell>
          <cell r="L1055" t="str">
            <v>Salário Mensal</v>
          </cell>
          <cell r="M1055" t="str">
            <v>Empregado (CLT)</v>
          </cell>
        </row>
        <row r="1056">
          <cell r="D1056" t="str">
            <v>ECOSAMPA Santo Amaro</v>
          </cell>
          <cell r="E1056">
            <v>43617</v>
          </cell>
          <cell r="F1056">
            <v>1603.99</v>
          </cell>
          <cell r="G1056" t="str">
            <v>Em Atividade Normal</v>
          </cell>
          <cell r="H1056">
            <v>44930</v>
          </cell>
          <cell r="I1056">
            <v>22912</v>
          </cell>
          <cell r="J1056" t="str">
            <v>356.046.035-20</v>
          </cell>
          <cell r="K1056" t="str">
            <v>121.31581.03.5</v>
          </cell>
          <cell r="L1056" t="str">
            <v>Salário Mensal</v>
          </cell>
          <cell r="M1056" t="str">
            <v>Empregado (CLT)</v>
          </cell>
        </row>
        <row r="1057">
          <cell r="D1057" t="str">
            <v>ECOSAMPA M'Boi Mirim</v>
          </cell>
          <cell r="E1057">
            <v>43617</v>
          </cell>
          <cell r="F1057">
            <v>1231.95</v>
          </cell>
          <cell r="G1057" t="str">
            <v>Demitido em Meses Anteriores</v>
          </cell>
          <cell r="H1057">
            <v>43704</v>
          </cell>
          <cell r="I1057">
            <v>32749</v>
          </cell>
          <cell r="J1057" t="str">
            <v>412.310.698-64</v>
          </cell>
          <cell r="K1057" t="str">
            <v>162.86634.18.6</v>
          </cell>
          <cell r="L1057" t="str">
            <v>Salário Mensal</v>
          </cell>
          <cell r="M1057" t="str">
            <v>Empregado (CLT)</v>
          </cell>
        </row>
        <row r="1058">
          <cell r="D1058" t="str">
            <v>ECOSAMPA Capela do Socorro</v>
          </cell>
          <cell r="E1058">
            <v>44046</v>
          </cell>
          <cell r="F1058">
            <v>1281.23</v>
          </cell>
          <cell r="G1058" t="str">
            <v>Demitido em Meses Anteriores</v>
          </cell>
          <cell r="H1058">
            <v>44053</v>
          </cell>
          <cell r="I1058">
            <v>37210</v>
          </cell>
          <cell r="J1058" t="str">
            <v>398.047.538-71</v>
          </cell>
          <cell r="K1058" t="str">
            <v>207.29736.73.8</v>
          </cell>
          <cell r="L1058" t="str">
            <v>Salário Mensal</v>
          </cell>
          <cell r="M1058" t="str">
            <v>Empregado (CLT)</v>
          </cell>
        </row>
        <row r="1059">
          <cell r="D1059" t="str">
            <v>ECOSAMPA Capela do Socorro</v>
          </cell>
          <cell r="E1059">
            <v>43617</v>
          </cell>
          <cell r="F1059">
            <v>1603.99</v>
          </cell>
          <cell r="G1059" t="str">
            <v>Em Atividade Normal</v>
          </cell>
          <cell r="H1059">
            <v>45023</v>
          </cell>
          <cell r="I1059">
            <v>27429</v>
          </cell>
          <cell r="J1059" t="str">
            <v>165.115.938-60</v>
          </cell>
          <cell r="K1059" t="str">
            <v>124.67874.80.1</v>
          </cell>
          <cell r="L1059" t="str">
            <v>Salário Mensal</v>
          </cell>
          <cell r="M1059" t="str">
            <v>Empregado (CLT)</v>
          </cell>
        </row>
        <row r="1060">
          <cell r="D1060" t="str">
            <v>ECOSAMPA Operação Geral</v>
          </cell>
          <cell r="E1060">
            <v>43617</v>
          </cell>
          <cell r="F1060">
            <v>1907.79</v>
          </cell>
          <cell r="G1060" t="str">
            <v>Em Atividade Normal</v>
          </cell>
          <cell r="H1060">
            <v>44960</v>
          </cell>
          <cell r="I1060">
            <v>32381</v>
          </cell>
          <cell r="J1060" t="str">
            <v>365.391.088-93</v>
          </cell>
          <cell r="K1060" t="str">
            <v>135.87983.77.0</v>
          </cell>
          <cell r="L1060" t="str">
            <v>Salário Mensal</v>
          </cell>
          <cell r="M1060" t="str">
            <v>Empregado (CLT)</v>
          </cell>
        </row>
        <row r="1061">
          <cell r="D1061" t="str">
            <v>ECOSAMPA Parelheiros</v>
          </cell>
          <cell r="E1061">
            <v>43617</v>
          </cell>
          <cell r="F1061">
            <v>1603.99</v>
          </cell>
          <cell r="G1061" t="str">
            <v>Gozando Férias</v>
          </cell>
          <cell r="H1061">
            <v>45180</v>
          </cell>
          <cell r="I1061">
            <v>26073</v>
          </cell>
          <cell r="J1061" t="str">
            <v>106.526.228-01</v>
          </cell>
          <cell r="K1061" t="str">
            <v>122.75563.58.1</v>
          </cell>
          <cell r="L1061" t="str">
            <v>Salário Mensal</v>
          </cell>
          <cell r="M1061" t="str">
            <v>Empregado (CLT)</v>
          </cell>
        </row>
        <row r="1062">
          <cell r="D1062" t="str">
            <v>ECOSAMPA Santo Amaro</v>
          </cell>
          <cell r="E1062">
            <v>45040</v>
          </cell>
          <cell r="F1062">
            <v>1603.99</v>
          </cell>
          <cell r="G1062" t="str">
            <v>Em Atividade Normal</v>
          </cell>
          <cell r="H1062">
            <v>45040</v>
          </cell>
          <cell r="I1062">
            <v>34583</v>
          </cell>
          <cell r="J1062" t="str">
            <v>454.520.048-66</v>
          </cell>
          <cell r="K1062" t="str">
            <v>209.79779.25.6</v>
          </cell>
          <cell r="L1062" t="str">
            <v>Salário Mensal</v>
          </cell>
          <cell r="M1062" t="str">
            <v>Empregado (CLT)</v>
          </cell>
        </row>
        <row r="1063">
          <cell r="D1063" t="str">
            <v>ECOSAMPA Santo Amaro</v>
          </cell>
          <cell r="E1063">
            <v>44207</v>
          </cell>
          <cell r="F1063">
            <v>1603.99</v>
          </cell>
          <cell r="G1063" t="str">
            <v>Em Atividade Normal</v>
          </cell>
          <cell r="H1063">
            <v>45149</v>
          </cell>
          <cell r="I1063">
            <v>30710</v>
          </cell>
          <cell r="J1063" t="str">
            <v>361.652.378-86</v>
          </cell>
          <cell r="K1063" t="str">
            <v>210.13482.75.3</v>
          </cell>
          <cell r="L1063" t="str">
            <v>Salário Mensal</v>
          </cell>
          <cell r="M1063" t="str">
            <v>Empregado (CLT)</v>
          </cell>
        </row>
        <row r="1064">
          <cell r="D1064" t="str">
            <v>ECOSAMPA M'Boi Mirim</v>
          </cell>
          <cell r="E1064">
            <v>44967</v>
          </cell>
          <cell r="F1064">
            <v>1603.99</v>
          </cell>
          <cell r="G1064" t="str">
            <v>Em Atividade Normal</v>
          </cell>
          <cell r="H1064">
            <v>44967</v>
          </cell>
          <cell r="I1064">
            <v>33684</v>
          </cell>
          <cell r="J1064" t="str">
            <v>062.204.065-08</v>
          </cell>
          <cell r="K1064" t="str">
            <v>162.82818.06.1</v>
          </cell>
          <cell r="L1064" t="str">
            <v>Salário Mensal</v>
          </cell>
          <cell r="M1064" t="str">
            <v>Empregado (CLT)</v>
          </cell>
        </row>
        <row r="1065">
          <cell r="D1065" t="str">
            <v>ECOSAMPA Santo Amaro</v>
          </cell>
          <cell r="E1065">
            <v>43617</v>
          </cell>
          <cell r="F1065">
            <v>1603.99</v>
          </cell>
          <cell r="G1065" t="str">
            <v>Em Atividade Normal</v>
          </cell>
          <cell r="H1065">
            <v>44993</v>
          </cell>
          <cell r="I1065">
            <v>26007</v>
          </cell>
          <cell r="J1065" t="str">
            <v>915.900.195-04</v>
          </cell>
          <cell r="K1065" t="str">
            <v>126.50750.04.0</v>
          </cell>
          <cell r="L1065" t="str">
            <v>Salário Mensal</v>
          </cell>
          <cell r="M1065" t="str">
            <v>Empregado (CLT)</v>
          </cell>
        </row>
        <row r="1066">
          <cell r="D1066" t="str">
            <v>ECOSAMPA Santo Amaro</v>
          </cell>
          <cell r="E1066">
            <v>44567</v>
          </cell>
          <cell r="F1066">
            <v>1603.99</v>
          </cell>
          <cell r="G1066" t="str">
            <v>Em Atividade Normal</v>
          </cell>
          <cell r="H1066">
            <v>44567</v>
          </cell>
          <cell r="I1066">
            <v>36738</v>
          </cell>
          <cell r="J1066" t="str">
            <v>489.281.308-75</v>
          </cell>
          <cell r="K1066" t="str">
            <v>162.50688.73.1</v>
          </cell>
          <cell r="L1066" t="str">
            <v>Salário Mensal</v>
          </cell>
          <cell r="M1066" t="str">
            <v>Empregado (CLT)</v>
          </cell>
        </row>
        <row r="1067">
          <cell r="D1067" t="str">
            <v>ECOSAMPA Operação Geral</v>
          </cell>
          <cell r="E1067">
            <v>43617</v>
          </cell>
          <cell r="F1067">
            <v>1465.28</v>
          </cell>
          <cell r="G1067" t="str">
            <v>Demitido em Meses Anteriores</v>
          </cell>
          <cell r="H1067">
            <v>43657</v>
          </cell>
          <cell r="I1067">
            <v>34715</v>
          </cell>
          <cell r="J1067" t="str">
            <v>349.122.628-70</v>
          </cell>
          <cell r="K1067" t="str">
            <v>204.28939.22.2</v>
          </cell>
          <cell r="L1067" t="str">
            <v>Salário Mensal</v>
          </cell>
          <cell r="M1067" t="str">
            <v>Empregado (CLT)</v>
          </cell>
        </row>
        <row r="1068">
          <cell r="D1068" t="str">
            <v>ECOSAMPA Operação Geral</v>
          </cell>
          <cell r="E1068">
            <v>43617</v>
          </cell>
          <cell r="F1068">
            <v>3050.22</v>
          </cell>
          <cell r="G1068" t="str">
            <v>Em Atividade Normal</v>
          </cell>
          <cell r="H1068">
            <v>45177</v>
          </cell>
          <cell r="I1068">
            <v>22392</v>
          </cell>
          <cell r="J1068" t="str">
            <v>275.948.074-72</v>
          </cell>
          <cell r="K1068" t="str">
            <v>120.22006.37.4</v>
          </cell>
          <cell r="L1068" t="str">
            <v>Salário Mensal</v>
          </cell>
          <cell r="M1068" t="str">
            <v>Empregado (CLT)</v>
          </cell>
        </row>
        <row r="1069">
          <cell r="D1069" t="str">
            <v>ECOSAMPA Santo Amaro</v>
          </cell>
          <cell r="E1069">
            <v>44522</v>
          </cell>
          <cell r="F1069">
            <v>1603.99</v>
          </cell>
          <cell r="G1069" t="str">
            <v>Em Atividade Normal</v>
          </cell>
          <cell r="H1069">
            <v>45086</v>
          </cell>
          <cell r="I1069">
            <v>34488</v>
          </cell>
          <cell r="J1069" t="str">
            <v>455.265.938-35</v>
          </cell>
          <cell r="K1069" t="str">
            <v>207.29672.15.2</v>
          </cell>
          <cell r="L1069" t="str">
            <v>Salário Mensal</v>
          </cell>
          <cell r="M1069" t="str">
            <v>Empregado (CLT)</v>
          </cell>
        </row>
        <row r="1070">
          <cell r="D1070" t="str">
            <v>ECOSAMPA Operação Geral</v>
          </cell>
          <cell r="E1070">
            <v>43874</v>
          </cell>
          <cell r="F1070">
            <v>3050.22</v>
          </cell>
          <cell r="G1070" t="str">
            <v>Demitido em Meses Anteriores</v>
          </cell>
          <cell r="H1070">
            <v>45061</v>
          </cell>
          <cell r="I1070">
            <v>33338</v>
          </cell>
          <cell r="J1070" t="str">
            <v>344.471.638-96</v>
          </cell>
          <cell r="K1070" t="str">
            <v>207.24875.45.4</v>
          </cell>
          <cell r="L1070" t="str">
            <v>Salário Mensal</v>
          </cell>
          <cell r="M1070" t="str">
            <v>Empregado (CLT)</v>
          </cell>
        </row>
        <row r="1071">
          <cell r="D1071" t="str">
            <v>ECOSAMPA Santo Amaro</v>
          </cell>
          <cell r="E1071">
            <v>43617</v>
          </cell>
          <cell r="F1071">
            <v>1464.83</v>
          </cell>
          <cell r="G1071" t="str">
            <v>Demitido em Meses Anteriores</v>
          </cell>
          <cell r="H1071">
            <v>44694</v>
          </cell>
          <cell r="I1071">
            <v>34468</v>
          </cell>
          <cell r="J1071" t="str">
            <v>425.616.418-99</v>
          </cell>
          <cell r="K1071" t="str">
            <v>210.73175.36.9</v>
          </cell>
          <cell r="L1071" t="str">
            <v>Salário Mensal</v>
          </cell>
          <cell r="M1071" t="str">
            <v>Empregado (CLT)</v>
          </cell>
        </row>
        <row r="1072">
          <cell r="D1072" t="str">
            <v>ECOSAMPA M'Boi Mirim</v>
          </cell>
          <cell r="E1072">
            <v>44048</v>
          </cell>
          <cell r="F1072">
            <v>1319.67</v>
          </cell>
          <cell r="G1072" t="str">
            <v>Demitido em Meses Anteriores</v>
          </cell>
          <cell r="H1072">
            <v>44274</v>
          </cell>
          <cell r="I1072">
            <v>32678</v>
          </cell>
          <cell r="J1072" t="str">
            <v>379.895.928-51</v>
          </cell>
          <cell r="K1072" t="str">
            <v>207.80019.64.9</v>
          </cell>
          <cell r="L1072" t="str">
            <v>Salário Mensal</v>
          </cell>
          <cell r="M1072" t="str">
            <v>Empregado (CLT)</v>
          </cell>
        </row>
        <row r="1073">
          <cell r="D1073" t="str">
            <v>ECOSAMPA Pensionistas</v>
          </cell>
          <cell r="E1073">
            <v>45040</v>
          </cell>
          <cell r="F1073">
            <v>0.01</v>
          </cell>
          <cell r="G1073" t="str">
            <v>Em Atividade Normal</v>
          </cell>
          <cell r="H1073">
            <v>45040</v>
          </cell>
          <cell r="J1073" t="str">
            <v>388.919.408-79</v>
          </cell>
          <cell r="L1073" t="str">
            <v>Nenhuma</v>
          </cell>
          <cell r="M1073" t="str">
            <v>Pensionista</v>
          </cell>
        </row>
        <row r="1074">
          <cell r="D1074" t="str">
            <v>ECOSAMPA Parelheiros</v>
          </cell>
          <cell r="E1074">
            <v>45180</v>
          </cell>
          <cell r="F1074">
            <v>1603.99</v>
          </cell>
          <cell r="G1074" t="str">
            <v>Em Atividade Normal</v>
          </cell>
          <cell r="H1074">
            <v>45180</v>
          </cell>
          <cell r="I1074">
            <v>30759</v>
          </cell>
          <cell r="J1074" t="str">
            <v>342.269.298-37</v>
          </cell>
          <cell r="K1074" t="str">
            <v>133.18366.89.6</v>
          </cell>
          <cell r="L1074" t="str">
            <v>Salário Mensal</v>
          </cell>
          <cell r="M1074" t="str">
            <v>Empregado (CLT)</v>
          </cell>
        </row>
        <row r="1075">
          <cell r="D1075" t="str">
            <v>ECOSAMPA Operação Geral</v>
          </cell>
          <cell r="E1075">
            <v>43617</v>
          </cell>
          <cell r="F1075">
            <v>1907.79</v>
          </cell>
          <cell r="G1075" t="str">
            <v>Em Atividade Normal</v>
          </cell>
          <cell r="H1075">
            <v>45149</v>
          </cell>
          <cell r="I1075">
            <v>29082</v>
          </cell>
          <cell r="J1075" t="str">
            <v>277.253.048-51</v>
          </cell>
          <cell r="K1075" t="str">
            <v>125.33672.15.9</v>
          </cell>
          <cell r="L1075" t="str">
            <v>Salário Mensal</v>
          </cell>
          <cell r="M1075" t="str">
            <v>Empregado (CLT)</v>
          </cell>
        </row>
        <row r="1076">
          <cell r="D1076" t="str">
            <v>ECOSAMPA Operação Geral</v>
          </cell>
          <cell r="E1076">
            <v>44508</v>
          </cell>
          <cell r="F1076">
            <v>3050.22</v>
          </cell>
          <cell r="G1076" t="str">
            <v>Demitido em Meses Anteriores</v>
          </cell>
          <cell r="H1076">
            <v>45061</v>
          </cell>
          <cell r="I1076">
            <v>28385</v>
          </cell>
          <cell r="J1076" t="str">
            <v>948.384.965-91</v>
          </cell>
          <cell r="K1076" t="str">
            <v>127.61138.77.7</v>
          </cell>
          <cell r="L1076" t="str">
            <v>Salário Mensal</v>
          </cell>
          <cell r="M1076" t="str">
            <v>Empregado (CLT)</v>
          </cell>
        </row>
        <row r="1077">
          <cell r="D1077" t="str">
            <v>ECOSAMPA Santo Amaro</v>
          </cell>
          <cell r="E1077">
            <v>43804</v>
          </cell>
          <cell r="F1077">
            <v>1319.67</v>
          </cell>
          <cell r="G1077" t="str">
            <v>Demitido em Meses Anteriores</v>
          </cell>
          <cell r="H1077">
            <v>44235</v>
          </cell>
          <cell r="I1077">
            <v>25711</v>
          </cell>
          <cell r="J1077" t="str">
            <v>715.969.504-63</v>
          </cell>
          <cell r="K1077" t="str">
            <v>123.77279.57.2</v>
          </cell>
          <cell r="L1077" t="str">
            <v>Salário Mensal</v>
          </cell>
          <cell r="M1077" t="str">
            <v>Empregado (CLT)</v>
          </cell>
        </row>
        <row r="1078">
          <cell r="D1078" t="str">
            <v>ECOSAMPA Santo Amaro</v>
          </cell>
          <cell r="E1078">
            <v>43617</v>
          </cell>
          <cell r="F1078">
            <v>1319.67</v>
          </cell>
          <cell r="G1078" t="str">
            <v>Demitido em Meses Anteriores</v>
          </cell>
          <cell r="H1078">
            <v>44263</v>
          </cell>
          <cell r="I1078">
            <v>25844</v>
          </cell>
          <cell r="J1078" t="str">
            <v>135.151.318-41</v>
          </cell>
          <cell r="K1078" t="str">
            <v>123.75203.35.8</v>
          </cell>
          <cell r="L1078" t="str">
            <v>Salário Mensal</v>
          </cell>
          <cell r="M1078" t="str">
            <v>Empregado (CLT)</v>
          </cell>
        </row>
        <row r="1079">
          <cell r="D1079" t="str">
            <v>ECOSAMPA Operação Geral</v>
          </cell>
          <cell r="E1079">
            <v>43617</v>
          </cell>
          <cell r="F1079">
            <v>3050.22</v>
          </cell>
          <cell r="G1079" t="str">
            <v>Em Atividade Normal</v>
          </cell>
          <cell r="H1079">
            <v>45177</v>
          </cell>
          <cell r="I1079">
            <v>31967</v>
          </cell>
          <cell r="J1079" t="str">
            <v>359.928.458-01</v>
          </cell>
          <cell r="K1079" t="str">
            <v>204.20187.36.1</v>
          </cell>
          <cell r="L1079" t="str">
            <v>Salário Mensal</v>
          </cell>
          <cell r="M1079" t="str">
            <v>Empregado (CLT)</v>
          </cell>
        </row>
        <row r="1080">
          <cell r="D1080" t="str">
            <v>ECOSAMPA Campo Limpo</v>
          </cell>
          <cell r="E1080">
            <v>43617</v>
          </cell>
          <cell r="F1080">
            <v>1603.99</v>
          </cell>
          <cell r="G1080" t="str">
            <v>Gozando Férias</v>
          </cell>
          <cell r="H1080">
            <v>45180</v>
          </cell>
          <cell r="I1080">
            <v>32235</v>
          </cell>
          <cell r="J1080" t="str">
            <v>357.142.468-96</v>
          </cell>
          <cell r="K1080" t="str">
            <v>134.35821.85.9</v>
          </cell>
          <cell r="L1080" t="str">
            <v>Salário Mensal</v>
          </cell>
          <cell r="M1080" t="str">
            <v>Empregado (CLT)</v>
          </cell>
        </row>
        <row r="1081">
          <cell r="D1081" t="str">
            <v>ECOSAMPA Operação Geral</v>
          </cell>
          <cell r="E1081">
            <v>43617</v>
          </cell>
          <cell r="F1081">
            <v>1907.79</v>
          </cell>
          <cell r="G1081" t="str">
            <v>Em Atividade Normal</v>
          </cell>
          <cell r="H1081">
            <v>45149</v>
          </cell>
          <cell r="I1081">
            <v>32248</v>
          </cell>
          <cell r="J1081" t="str">
            <v>050.215.755-03</v>
          </cell>
          <cell r="K1081" t="str">
            <v>162.59672.26.9</v>
          </cell>
          <cell r="L1081" t="str">
            <v>Salário Mensal</v>
          </cell>
          <cell r="M1081" t="str">
            <v>Empregado (CLT)</v>
          </cell>
        </row>
        <row r="1082">
          <cell r="D1082" t="str">
            <v>ECOSAMPA Capela do Socorro</v>
          </cell>
          <cell r="E1082">
            <v>43617</v>
          </cell>
          <cell r="F1082">
            <v>1603.99</v>
          </cell>
          <cell r="G1082" t="str">
            <v>Em Atividade Normal</v>
          </cell>
          <cell r="H1082">
            <v>44867</v>
          </cell>
          <cell r="I1082">
            <v>25659</v>
          </cell>
          <cell r="J1082" t="str">
            <v>134.635.458-88</v>
          </cell>
          <cell r="K1082" t="str">
            <v>124.14478.20.0</v>
          </cell>
          <cell r="L1082" t="str">
            <v>Salário Mensal</v>
          </cell>
          <cell r="M1082" t="str">
            <v>Empregado (CLT)</v>
          </cell>
        </row>
        <row r="1083">
          <cell r="D1083" t="str">
            <v>ECOSAMPA Santo Amaro</v>
          </cell>
          <cell r="E1083">
            <v>43617</v>
          </cell>
          <cell r="F1083">
            <v>1603.99</v>
          </cell>
          <cell r="G1083" t="str">
            <v>Em Atividade Normal</v>
          </cell>
          <cell r="H1083">
            <v>44930</v>
          </cell>
          <cell r="I1083">
            <v>26112</v>
          </cell>
          <cell r="J1083" t="str">
            <v>126.099.818-56</v>
          </cell>
          <cell r="K1083" t="str">
            <v>122.86298.80.9</v>
          </cell>
          <cell r="L1083" t="str">
            <v>Salário Mensal</v>
          </cell>
          <cell r="M1083" t="str">
            <v>Empregado (CLT)</v>
          </cell>
        </row>
        <row r="1084">
          <cell r="D1084" t="str">
            <v>ECOSAMPA Operação Geral</v>
          </cell>
          <cell r="E1084">
            <v>43880</v>
          </cell>
          <cell r="F1084">
            <v>3050.22</v>
          </cell>
          <cell r="G1084" t="str">
            <v>Em Atividade Normal</v>
          </cell>
          <cell r="H1084">
            <v>45086</v>
          </cell>
          <cell r="I1084">
            <v>24698</v>
          </cell>
          <cell r="J1084" t="str">
            <v>251.364.418-28</v>
          </cell>
          <cell r="K1084" t="str">
            <v>123.08569.13.3</v>
          </cell>
          <cell r="L1084" t="str">
            <v>Salário Mensal</v>
          </cell>
          <cell r="M1084" t="str">
            <v>Empregado (CLT)</v>
          </cell>
        </row>
        <row r="1085">
          <cell r="D1085" t="str">
            <v>ECOSAMPA Santo Amaro</v>
          </cell>
          <cell r="E1085">
            <v>43874</v>
          </cell>
          <cell r="F1085">
            <v>1281.23</v>
          </cell>
          <cell r="G1085" t="str">
            <v>Demitido em Meses Anteriores</v>
          </cell>
          <cell r="H1085">
            <v>43888</v>
          </cell>
          <cell r="I1085">
            <v>29922</v>
          </cell>
          <cell r="J1085" t="str">
            <v>337.436.278-84</v>
          </cell>
          <cell r="K1085" t="str">
            <v>220.17632.69.3</v>
          </cell>
          <cell r="L1085" t="str">
            <v>Salário Mensal</v>
          </cell>
          <cell r="M1085" t="str">
            <v>Empregado (CLT)</v>
          </cell>
        </row>
        <row r="1086">
          <cell r="D1086" t="str">
            <v>ECOSAMPA Santo Amaro</v>
          </cell>
          <cell r="E1086">
            <v>43930</v>
          </cell>
          <cell r="F1086">
            <v>1603.99</v>
          </cell>
          <cell r="G1086" t="str">
            <v>Em Atividade Normal</v>
          </cell>
          <cell r="H1086">
            <v>44954</v>
          </cell>
          <cell r="I1086">
            <v>34810</v>
          </cell>
          <cell r="J1086" t="str">
            <v>426.870.918-55</v>
          </cell>
          <cell r="K1086" t="str">
            <v>209.60021.94.3</v>
          </cell>
          <cell r="L1086" t="str">
            <v>Salário Mensal</v>
          </cell>
          <cell r="M1086" t="str">
            <v>Empregado (CLT)</v>
          </cell>
        </row>
        <row r="1087">
          <cell r="D1087" t="str">
            <v>ECOSAMPA Capela do Socorro</v>
          </cell>
          <cell r="E1087">
            <v>43817</v>
          </cell>
          <cell r="F1087">
            <v>1319.67</v>
          </cell>
          <cell r="G1087" t="str">
            <v>Demitido em Meses Anteriores</v>
          </cell>
          <cell r="H1087">
            <v>44109</v>
          </cell>
          <cell r="I1087">
            <v>34744</v>
          </cell>
          <cell r="J1087" t="str">
            <v>239.053.378-78</v>
          </cell>
          <cell r="K1087" t="str">
            <v>210.71938.92.6</v>
          </cell>
          <cell r="L1087" t="str">
            <v>Salário Mensal</v>
          </cell>
          <cell r="M1087" t="str">
            <v>Empregado (CLT)</v>
          </cell>
        </row>
        <row r="1088">
          <cell r="D1088" t="str">
            <v>ECOSAMPA M'Boi Mirim</v>
          </cell>
          <cell r="E1088">
            <v>43804</v>
          </cell>
          <cell r="F1088">
            <v>1603.99</v>
          </cell>
          <cell r="G1088" t="str">
            <v>Em Atividade Normal</v>
          </cell>
          <cell r="H1088">
            <v>45086</v>
          </cell>
          <cell r="I1088">
            <v>34078</v>
          </cell>
          <cell r="J1088" t="str">
            <v>103.606.134-54</v>
          </cell>
          <cell r="K1088" t="str">
            <v>162.11391.90.1</v>
          </cell>
          <cell r="L1088" t="str">
            <v>Salário Mensal</v>
          </cell>
          <cell r="M1088" t="str">
            <v>Empregado (CLT)</v>
          </cell>
        </row>
        <row r="1089">
          <cell r="D1089" t="str">
            <v>ECOSAMPA Capela do Socorro</v>
          </cell>
          <cell r="E1089">
            <v>43874</v>
          </cell>
          <cell r="F1089">
            <v>1603.99</v>
          </cell>
          <cell r="G1089" t="str">
            <v>Demitido em Meses Anteriores</v>
          </cell>
          <cell r="H1089">
            <v>44872</v>
          </cell>
          <cell r="I1089">
            <v>33892</v>
          </cell>
          <cell r="J1089" t="str">
            <v>098.745.614-83</v>
          </cell>
          <cell r="K1089" t="str">
            <v>162.06089.07.0</v>
          </cell>
          <cell r="L1089" t="str">
            <v>Salário Mensal</v>
          </cell>
          <cell r="M1089" t="str">
            <v>Empregado (CLT)</v>
          </cell>
        </row>
        <row r="1090">
          <cell r="D1090" t="str">
            <v>ECOSAMPA Santo Amaro</v>
          </cell>
          <cell r="E1090">
            <v>44207</v>
          </cell>
          <cell r="F1090">
            <v>1603.99</v>
          </cell>
          <cell r="G1090" t="str">
            <v>Em Atividade Normal</v>
          </cell>
          <cell r="H1090">
            <v>45149</v>
          </cell>
          <cell r="I1090">
            <v>35736</v>
          </cell>
          <cell r="J1090" t="str">
            <v>376.237.488-07</v>
          </cell>
          <cell r="K1090" t="str">
            <v>237.51445.03.6</v>
          </cell>
          <cell r="L1090" t="str">
            <v>Salário Mensal</v>
          </cell>
          <cell r="M1090" t="str">
            <v>Empregado (CLT)</v>
          </cell>
        </row>
        <row r="1091">
          <cell r="D1091" t="str">
            <v>ECOSAMPA Operação Geral</v>
          </cell>
          <cell r="E1091">
            <v>43617</v>
          </cell>
          <cell r="F1091">
            <v>2779</v>
          </cell>
          <cell r="G1091" t="str">
            <v>Demitido em Meses Anteriores</v>
          </cell>
          <cell r="H1091">
            <v>44706</v>
          </cell>
          <cell r="I1091">
            <v>31563</v>
          </cell>
          <cell r="J1091" t="str">
            <v>365.606.678-71</v>
          </cell>
          <cell r="K1091" t="str">
            <v>209.60021.93.5</v>
          </cell>
          <cell r="L1091" t="str">
            <v>Salário Mensal</v>
          </cell>
          <cell r="M1091" t="str">
            <v>Empregado (CLT)</v>
          </cell>
        </row>
        <row r="1092">
          <cell r="D1092" t="str">
            <v>ECOSAMPA Operação Geral</v>
          </cell>
          <cell r="E1092">
            <v>43682</v>
          </cell>
          <cell r="F1092">
            <v>3500</v>
          </cell>
          <cell r="G1092" t="str">
            <v>Demitido em Meses Anteriores</v>
          </cell>
          <cell r="H1092">
            <v>44288</v>
          </cell>
          <cell r="I1092">
            <v>26994</v>
          </cell>
          <cell r="J1092" t="str">
            <v>165.799.038-99</v>
          </cell>
          <cell r="K1092" t="str">
            <v>123.88345.09.1</v>
          </cell>
          <cell r="L1092" t="str">
            <v>Salário Mensal</v>
          </cell>
          <cell r="M1092" t="str">
            <v>Empregado (CLT)</v>
          </cell>
        </row>
        <row r="1093">
          <cell r="D1093" t="str">
            <v>ECOSAMPA Santo Amaro</v>
          </cell>
          <cell r="E1093">
            <v>44994</v>
          </cell>
          <cell r="F1093">
            <v>1603.99</v>
          </cell>
          <cell r="G1093" t="str">
            <v>Em Atividade Normal</v>
          </cell>
          <cell r="H1093">
            <v>44994</v>
          </cell>
          <cell r="I1093">
            <v>28528</v>
          </cell>
          <cell r="J1093" t="str">
            <v>638.375.442-49</v>
          </cell>
          <cell r="K1093" t="str">
            <v>137.99061.42.7</v>
          </cell>
          <cell r="L1093" t="str">
            <v>Salário Mensal</v>
          </cell>
          <cell r="M1093" t="str">
            <v>Empregado (CLT)</v>
          </cell>
        </row>
        <row r="1094">
          <cell r="D1094" t="str">
            <v>ECOSAMPA Santo Amaro</v>
          </cell>
          <cell r="E1094">
            <v>43617</v>
          </cell>
          <cell r="F1094">
            <v>1603.99</v>
          </cell>
          <cell r="G1094" t="str">
            <v>Auxílio-Doença</v>
          </cell>
          <cell r="H1094">
            <v>45185</v>
          </cell>
          <cell r="I1094">
            <v>35621</v>
          </cell>
          <cell r="J1094" t="str">
            <v>483.518.638-90</v>
          </cell>
          <cell r="K1094" t="str">
            <v>162.14036.11.8</v>
          </cell>
          <cell r="L1094" t="str">
            <v>Salário Mensal</v>
          </cell>
          <cell r="M1094" t="str">
            <v>Empregado (CLT)</v>
          </cell>
        </row>
        <row r="1095">
          <cell r="D1095" t="str">
            <v>ECOSAMPA Operação Geral</v>
          </cell>
          <cell r="E1095">
            <v>43917</v>
          </cell>
          <cell r="F1095">
            <v>1319.67</v>
          </cell>
          <cell r="G1095" t="str">
            <v>Demitido em Meses Anteriores</v>
          </cell>
          <cell r="H1095">
            <v>44295</v>
          </cell>
          <cell r="I1095">
            <v>28702</v>
          </cell>
          <cell r="J1095" t="str">
            <v>287.030.478-14</v>
          </cell>
          <cell r="K1095" t="str">
            <v>130.64579.81.8</v>
          </cell>
          <cell r="L1095" t="str">
            <v>Salário Mensal</v>
          </cell>
          <cell r="M1095" t="str">
            <v>Empregado (CLT)</v>
          </cell>
        </row>
        <row r="1096">
          <cell r="D1096" t="str">
            <v>ECOSAMPA Operação Geral</v>
          </cell>
          <cell r="E1096">
            <v>43617</v>
          </cell>
          <cell r="F1096">
            <v>3050.22</v>
          </cell>
          <cell r="G1096" t="str">
            <v>Gozando Férias</v>
          </cell>
          <cell r="H1096">
            <v>45180</v>
          </cell>
          <cell r="I1096">
            <v>34841</v>
          </cell>
          <cell r="J1096" t="str">
            <v>452.244.998-44</v>
          </cell>
          <cell r="K1096" t="str">
            <v>148.73315.36.7</v>
          </cell>
          <cell r="L1096" t="str">
            <v>Salário Mensal</v>
          </cell>
          <cell r="M1096" t="str">
            <v>Empregado (CLT)</v>
          </cell>
        </row>
        <row r="1097">
          <cell r="D1097" t="str">
            <v>ECOSAMPA Parelheiros</v>
          </cell>
          <cell r="E1097">
            <v>44945</v>
          </cell>
          <cell r="F1097">
            <v>1603.99</v>
          </cell>
          <cell r="G1097" t="str">
            <v>Em Atividade Normal</v>
          </cell>
          <cell r="H1097">
            <v>44945</v>
          </cell>
          <cell r="I1097">
            <v>35614</v>
          </cell>
          <cell r="J1097" t="str">
            <v>485.609.348-71</v>
          </cell>
          <cell r="K1097" t="str">
            <v>209.78005.93.1</v>
          </cell>
          <cell r="L1097" t="str">
            <v>Salário Mensal</v>
          </cell>
          <cell r="M1097" t="str">
            <v>Empregado (CLT)</v>
          </cell>
        </row>
        <row r="1098">
          <cell r="D1098" t="str">
            <v>ECOSAMPA Operação Geral</v>
          </cell>
          <cell r="E1098">
            <v>43617</v>
          </cell>
          <cell r="F1098">
            <v>2785.59</v>
          </cell>
          <cell r="G1098" t="str">
            <v>Demitido em Meses Anteriores</v>
          </cell>
          <cell r="H1098">
            <v>44838</v>
          </cell>
          <cell r="I1098">
            <v>30279</v>
          </cell>
          <cell r="J1098" t="str">
            <v>318.601.988-56</v>
          </cell>
          <cell r="K1098" t="str">
            <v>128.86827.52.7</v>
          </cell>
          <cell r="L1098" t="str">
            <v>Salário Mensal</v>
          </cell>
          <cell r="M1098" t="str">
            <v>Empregado (CLT)</v>
          </cell>
        </row>
        <row r="1099">
          <cell r="D1099" t="str">
            <v>ECOSAMPA Capela do Socorro</v>
          </cell>
          <cell r="E1099">
            <v>43617</v>
          </cell>
          <cell r="F1099">
            <v>3222.08</v>
          </cell>
          <cell r="G1099" t="str">
            <v>Em Atividade Normal</v>
          </cell>
          <cell r="H1099">
            <v>44993</v>
          </cell>
          <cell r="I1099">
            <v>33961</v>
          </cell>
          <cell r="J1099" t="str">
            <v>406.881.268-39</v>
          </cell>
          <cell r="K1099" t="str">
            <v>204.16235.14.4</v>
          </cell>
          <cell r="L1099" t="str">
            <v>Salário Mensal</v>
          </cell>
          <cell r="M1099" t="str">
            <v>Empregado (CLT)</v>
          </cell>
        </row>
        <row r="1100">
          <cell r="D1100" t="str">
            <v>ECOSAMPA Operação Geral</v>
          </cell>
          <cell r="E1100">
            <v>43918</v>
          </cell>
          <cell r="F1100">
            <v>2436.4499999999998</v>
          </cell>
          <cell r="G1100" t="str">
            <v>Demitido em Meses Anteriores</v>
          </cell>
          <cell r="H1100">
            <v>43977</v>
          </cell>
          <cell r="I1100">
            <v>30922</v>
          </cell>
          <cell r="J1100" t="str">
            <v>318.164.708-05</v>
          </cell>
          <cell r="K1100" t="str">
            <v>201.15493.88.8</v>
          </cell>
          <cell r="L1100" t="str">
            <v>Salário Mensal</v>
          </cell>
          <cell r="M1100" t="str">
            <v>Empregado (CLT)</v>
          </cell>
        </row>
        <row r="1101">
          <cell r="D1101" t="str">
            <v>ECOSAMPA Campo Limpo</v>
          </cell>
          <cell r="E1101">
            <v>44419</v>
          </cell>
          <cell r="F1101">
            <v>1464.83</v>
          </cell>
          <cell r="G1101" t="str">
            <v>Demitido em Meses Anteriores</v>
          </cell>
          <cell r="H1101">
            <v>44588</v>
          </cell>
          <cell r="I1101">
            <v>33145</v>
          </cell>
          <cell r="J1101" t="str">
            <v>399.152.228-40</v>
          </cell>
          <cell r="K1101" t="str">
            <v>137.44706.81.7</v>
          </cell>
          <cell r="L1101" t="str">
            <v>Salário Mensal</v>
          </cell>
          <cell r="M1101" t="str">
            <v>Empregado (CLT)</v>
          </cell>
        </row>
        <row r="1102">
          <cell r="D1102" t="str">
            <v>ECOSAMPA Parelheiros</v>
          </cell>
          <cell r="E1102">
            <v>43728</v>
          </cell>
          <cell r="F1102">
            <v>1464.83</v>
          </cell>
          <cell r="G1102" t="str">
            <v>Demitido em Meses Anteriores</v>
          </cell>
          <cell r="H1102">
            <v>44505</v>
          </cell>
          <cell r="I1102">
            <v>34578</v>
          </cell>
          <cell r="J1102" t="str">
            <v>443.355.968-71</v>
          </cell>
          <cell r="K1102" t="str">
            <v>210.71833.95.4</v>
          </cell>
          <cell r="L1102" t="str">
            <v>Salário Mensal</v>
          </cell>
          <cell r="M1102" t="str">
            <v>Empregado (CLT)</v>
          </cell>
        </row>
        <row r="1103">
          <cell r="D1103" t="str">
            <v>ECOSAMPA Operação Geral</v>
          </cell>
          <cell r="E1103">
            <v>44972</v>
          </cell>
          <cell r="F1103">
            <v>1603.99</v>
          </cell>
          <cell r="G1103" t="str">
            <v>Demitido em Meses Anteriores</v>
          </cell>
          <cell r="H1103">
            <v>44986</v>
          </cell>
          <cell r="I1103">
            <v>33311</v>
          </cell>
          <cell r="J1103" t="str">
            <v>499.305.218-95</v>
          </cell>
          <cell r="K1103" t="str">
            <v>156.98022.54.6</v>
          </cell>
          <cell r="L1103" t="str">
            <v>Salário Mensal</v>
          </cell>
          <cell r="M1103" t="str">
            <v>Empregado (CLT)</v>
          </cell>
        </row>
        <row r="1104">
          <cell r="D1104" t="str">
            <v>ECOSAMPA Operação Geral</v>
          </cell>
          <cell r="E1104">
            <v>45117</v>
          </cell>
          <cell r="F1104">
            <v>1603.99</v>
          </cell>
          <cell r="G1104" t="str">
            <v>Em Atividade Normal</v>
          </cell>
          <cell r="H1104">
            <v>45117</v>
          </cell>
          <cell r="I1104">
            <v>33311</v>
          </cell>
          <cell r="J1104" t="str">
            <v>499.305.218-95</v>
          </cell>
          <cell r="K1104" t="str">
            <v>156.98022.54.6</v>
          </cell>
          <cell r="L1104" t="str">
            <v>Salário Mensal</v>
          </cell>
          <cell r="M1104" t="str">
            <v>Empregado (CLT)</v>
          </cell>
        </row>
        <row r="1105">
          <cell r="D1105" t="str">
            <v>ECOSAMPA M'Boi Mirim</v>
          </cell>
          <cell r="E1105">
            <v>43617</v>
          </cell>
          <cell r="F1105">
            <v>1231.95</v>
          </cell>
          <cell r="G1105" t="str">
            <v>Demitido em Meses Anteriores</v>
          </cell>
          <cell r="H1105">
            <v>43704</v>
          </cell>
          <cell r="I1105">
            <v>34134</v>
          </cell>
          <cell r="J1105" t="str">
            <v>377.580.198-70</v>
          </cell>
          <cell r="K1105" t="str">
            <v>162.42855.84.5</v>
          </cell>
          <cell r="L1105" t="str">
            <v>Salário Mensal</v>
          </cell>
          <cell r="M1105" t="str">
            <v>Empregado (CLT)</v>
          </cell>
        </row>
        <row r="1106">
          <cell r="D1106" t="str">
            <v>ECOSAMPA Operação Geral</v>
          </cell>
          <cell r="E1106">
            <v>44582</v>
          </cell>
          <cell r="F1106">
            <v>1464.83</v>
          </cell>
          <cell r="G1106" t="str">
            <v>Demitido em Meses Anteriores</v>
          </cell>
          <cell r="H1106">
            <v>44743</v>
          </cell>
          <cell r="I1106">
            <v>32284</v>
          </cell>
          <cell r="J1106" t="str">
            <v>358.226.348-77</v>
          </cell>
          <cell r="K1106" t="str">
            <v>132.34028.56.6</v>
          </cell>
          <cell r="L1106" t="str">
            <v>Salário Mensal</v>
          </cell>
          <cell r="M1106" t="str">
            <v>Empregado (CLT)</v>
          </cell>
        </row>
        <row r="1107">
          <cell r="D1107" t="str">
            <v>ECOSAMPA M'Boi Mirim</v>
          </cell>
          <cell r="E1107">
            <v>44945</v>
          </cell>
          <cell r="F1107">
            <v>1603.99</v>
          </cell>
          <cell r="G1107" t="str">
            <v>Em Atividade Normal</v>
          </cell>
          <cell r="H1107">
            <v>44945</v>
          </cell>
          <cell r="I1107">
            <v>31750</v>
          </cell>
          <cell r="J1107" t="str">
            <v>339.247.078-39</v>
          </cell>
          <cell r="K1107" t="str">
            <v>135.41239.93.9</v>
          </cell>
          <cell r="L1107" t="str">
            <v>Salário Mensal</v>
          </cell>
          <cell r="M1107" t="str">
            <v>Empregado (CLT)</v>
          </cell>
        </row>
        <row r="1108">
          <cell r="D1108" t="str">
            <v>ECOSAMPA Santo Amaro</v>
          </cell>
          <cell r="E1108">
            <v>43617</v>
          </cell>
          <cell r="F1108">
            <v>1603.99</v>
          </cell>
          <cell r="G1108" t="str">
            <v>Em Atividade Normal</v>
          </cell>
          <cell r="H1108">
            <v>45050</v>
          </cell>
          <cell r="I1108">
            <v>32342</v>
          </cell>
          <cell r="J1108" t="str">
            <v>230.672.158-00</v>
          </cell>
          <cell r="K1108" t="str">
            <v>204.30185.08.6</v>
          </cell>
          <cell r="L1108" t="str">
            <v>Salário Mensal</v>
          </cell>
          <cell r="M1108" t="str">
            <v>Empregado (CLT)</v>
          </cell>
        </row>
        <row r="1109">
          <cell r="D1109" t="str">
            <v>ECOSAMPA M'Boi Mirim</v>
          </cell>
          <cell r="E1109">
            <v>43617</v>
          </cell>
          <cell r="F1109">
            <v>1281.23</v>
          </cell>
          <cell r="G1109" t="str">
            <v>Demitido em Meses Anteriores</v>
          </cell>
          <cell r="H1109">
            <v>43928</v>
          </cell>
          <cell r="I1109">
            <v>32551</v>
          </cell>
          <cell r="J1109" t="str">
            <v>416.070.028-41</v>
          </cell>
          <cell r="K1109" t="str">
            <v>201.15214.74.1</v>
          </cell>
          <cell r="L1109" t="str">
            <v>Salário Mensal</v>
          </cell>
          <cell r="M1109" t="str">
            <v>Empregado (CLT)</v>
          </cell>
        </row>
        <row r="1110">
          <cell r="D1110" t="str">
            <v>ECOSAMPA M'Boi Mirim</v>
          </cell>
          <cell r="E1110">
            <v>43617</v>
          </cell>
          <cell r="F1110">
            <v>1464.83</v>
          </cell>
          <cell r="G1110" t="str">
            <v>Demitido em Meses Anteriores</v>
          </cell>
          <cell r="H1110">
            <v>44482</v>
          </cell>
          <cell r="I1110">
            <v>32536</v>
          </cell>
          <cell r="J1110" t="str">
            <v>378.317.958-04</v>
          </cell>
          <cell r="K1110" t="str">
            <v>207.24682.19.2</v>
          </cell>
          <cell r="L1110" t="str">
            <v>Salário Mensal</v>
          </cell>
          <cell r="M1110" t="str">
            <v>Empregado (CLT)</v>
          </cell>
        </row>
        <row r="1111">
          <cell r="D1111" t="str">
            <v>ECOSAMPA Operação Geral</v>
          </cell>
          <cell r="E1111">
            <v>44967</v>
          </cell>
          <cell r="F1111">
            <v>1603.99</v>
          </cell>
          <cell r="G1111" t="str">
            <v>Demitido em Meses Anteriores</v>
          </cell>
          <cell r="H1111">
            <v>44981</v>
          </cell>
          <cell r="I1111">
            <v>35181</v>
          </cell>
          <cell r="J1111" t="str">
            <v>501.260.078-96</v>
          </cell>
          <cell r="K1111" t="str">
            <v>206.86379.44.0</v>
          </cell>
          <cell r="L1111" t="str">
            <v>Salário Mensal</v>
          </cell>
          <cell r="M1111" t="str">
            <v>Empregado (CLT)</v>
          </cell>
        </row>
        <row r="1112">
          <cell r="D1112" t="str">
            <v>ECOSAMPA Parelheiros</v>
          </cell>
          <cell r="E1112">
            <v>43617</v>
          </cell>
          <cell r="F1112">
            <v>1231.95</v>
          </cell>
          <cell r="G1112" t="str">
            <v>Demitido em Meses Anteriores</v>
          </cell>
          <cell r="H1112">
            <v>43703</v>
          </cell>
          <cell r="I1112">
            <v>31949</v>
          </cell>
          <cell r="J1112" t="str">
            <v>348.971.698-10</v>
          </cell>
          <cell r="K1112" t="str">
            <v>135.05000.89.1</v>
          </cell>
          <cell r="L1112" t="str">
            <v>Salário Mensal</v>
          </cell>
          <cell r="M1112" t="str">
            <v>Empregado (CLT)</v>
          </cell>
        </row>
        <row r="1113">
          <cell r="D1113" t="str">
            <v>ECOSAMPA Capela do Socorro</v>
          </cell>
          <cell r="E1113">
            <v>43617</v>
          </cell>
          <cell r="F1113">
            <v>1603.99</v>
          </cell>
          <cell r="G1113" t="str">
            <v>Em Atividade Normal</v>
          </cell>
          <cell r="H1113">
            <v>45056</v>
          </cell>
          <cell r="I1113">
            <v>32225</v>
          </cell>
          <cell r="J1113" t="str">
            <v>380.884.298-97</v>
          </cell>
          <cell r="K1113" t="str">
            <v>206.86921.08.3</v>
          </cell>
          <cell r="L1113" t="str">
            <v>Salário Mensal</v>
          </cell>
          <cell r="M1113" t="str">
            <v>Empregado (CLT)</v>
          </cell>
        </row>
        <row r="1114">
          <cell r="D1114" t="str">
            <v>ECOSAMPA Operação Geral</v>
          </cell>
          <cell r="E1114">
            <v>43617</v>
          </cell>
          <cell r="F1114">
            <v>1907.79</v>
          </cell>
          <cell r="G1114" t="str">
            <v>Em Atividade Normal</v>
          </cell>
          <cell r="H1114">
            <v>44993</v>
          </cell>
          <cell r="I1114">
            <v>32037</v>
          </cell>
          <cell r="J1114" t="str">
            <v>361.187.698-42</v>
          </cell>
          <cell r="K1114" t="str">
            <v>209.78788.10.3</v>
          </cell>
          <cell r="L1114" t="str">
            <v>Salário Mensal</v>
          </cell>
          <cell r="M1114" t="str">
            <v>Empregado (CLT)</v>
          </cell>
        </row>
        <row r="1115">
          <cell r="D1115" t="str">
            <v>ECOSAMPA Operação Geral</v>
          </cell>
          <cell r="E1115">
            <v>43617</v>
          </cell>
          <cell r="F1115">
            <v>1907.79</v>
          </cell>
          <cell r="G1115" t="str">
            <v>Em Atividade Normal</v>
          </cell>
          <cell r="H1115">
            <v>44930</v>
          </cell>
          <cell r="I1115">
            <v>33475</v>
          </cell>
          <cell r="J1115" t="str">
            <v>413.754.268-69</v>
          </cell>
          <cell r="K1115" t="str">
            <v>161.76102.13.9</v>
          </cell>
          <cell r="L1115" t="str">
            <v>Salário Mensal</v>
          </cell>
          <cell r="M1115" t="str">
            <v>Empregado (CLT)</v>
          </cell>
        </row>
        <row r="1116">
          <cell r="D1116" t="str">
            <v>ECOSAMPA Capela do Socorro</v>
          </cell>
          <cell r="E1116">
            <v>45131</v>
          </cell>
          <cell r="F1116">
            <v>1603.99</v>
          </cell>
          <cell r="G1116" t="str">
            <v>Em Atividade Normal</v>
          </cell>
          <cell r="H1116">
            <v>45131</v>
          </cell>
          <cell r="I1116">
            <v>33947</v>
          </cell>
          <cell r="J1116" t="str">
            <v>238.519.648-45</v>
          </cell>
          <cell r="K1116" t="str">
            <v>237.52974.24.5</v>
          </cell>
          <cell r="L1116" t="str">
            <v>Salário Mensal</v>
          </cell>
          <cell r="M1116" t="str">
            <v>Empregado (CLT)</v>
          </cell>
        </row>
        <row r="1117">
          <cell r="D1117" t="str">
            <v>ECOSAMPA Operação Geral</v>
          </cell>
          <cell r="E1117">
            <v>44249</v>
          </cell>
          <cell r="F1117">
            <v>1783.55</v>
          </cell>
          <cell r="G1117" t="str">
            <v>Demitido em Meses Anteriores</v>
          </cell>
          <cell r="H1117">
            <v>44683</v>
          </cell>
          <cell r="I1117">
            <v>32260</v>
          </cell>
          <cell r="J1117" t="str">
            <v>386.389.418-97</v>
          </cell>
          <cell r="K1117" t="str">
            <v>137.12971.93.0</v>
          </cell>
          <cell r="L1117" t="str">
            <v>Salário Mensal</v>
          </cell>
          <cell r="M1117" t="str">
            <v>Empregado (CLT)</v>
          </cell>
        </row>
        <row r="1118">
          <cell r="D1118" t="str">
            <v>ECOSAMPA Operação Geral</v>
          </cell>
          <cell r="E1118">
            <v>43617</v>
          </cell>
          <cell r="F1118">
            <v>3050.22</v>
          </cell>
          <cell r="G1118" t="str">
            <v>Em Atividade Normal</v>
          </cell>
          <cell r="H1118">
            <v>45119</v>
          </cell>
          <cell r="I1118">
            <v>22647</v>
          </cell>
          <cell r="J1118" t="str">
            <v>043.605.268-73</v>
          </cell>
          <cell r="K1118" t="str">
            <v>108.82787.66.4</v>
          </cell>
          <cell r="L1118" t="str">
            <v>Salário Mensal</v>
          </cell>
          <cell r="M1118" t="str">
            <v>Empregado (CLT)</v>
          </cell>
        </row>
        <row r="1119">
          <cell r="D1119" t="str">
            <v>ECOSAMPA Santo Amaro</v>
          </cell>
          <cell r="E1119">
            <v>43617</v>
          </cell>
          <cell r="F1119">
            <v>1603.99</v>
          </cell>
          <cell r="G1119" t="str">
            <v>Em Atividade Normal</v>
          </cell>
          <cell r="H1119">
            <v>45177</v>
          </cell>
          <cell r="I1119">
            <v>21938</v>
          </cell>
          <cell r="J1119" t="str">
            <v>022.622.328-06</v>
          </cell>
          <cell r="K1119" t="str">
            <v>108.43654.70.5</v>
          </cell>
          <cell r="L1119" t="str">
            <v>Salário Mensal</v>
          </cell>
          <cell r="M1119" t="str">
            <v>Empregado (CLT)</v>
          </cell>
        </row>
        <row r="1120">
          <cell r="D1120" t="str">
            <v>ECOSAMPA M'Boi Mirim</v>
          </cell>
          <cell r="E1120">
            <v>44567</v>
          </cell>
          <cell r="F1120">
            <v>1464.83</v>
          </cell>
          <cell r="G1120" t="str">
            <v>Demitido em Meses Anteriores</v>
          </cell>
          <cell r="H1120">
            <v>44631</v>
          </cell>
          <cell r="I1120">
            <v>32899</v>
          </cell>
          <cell r="J1120" t="str">
            <v>387.064.728-00</v>
          </cell>
          <cell r="K1120" t="str">
            <v>210.71985.61.4</v>
          </cell>
          <cell r="L1120" t="str">
            <v>Salário Mensal</v>
          </cell>
          <cell r="M1120" t="str">
            <v>Empregado (CLT)</v>
          </cell>
        </row>
        <row r="1121">
          <cell r="D1121" t="str">
            <v>ECOSAMPA Operação Geral</v>
          </cell>
          <cell r="E1121">
            <v>43621</v>
          </cell>
          <cell r="F1121">
            <v>1500</v>
          </cell>
          <cell r="G1121" t="str">
            <v>Demitido em Meses Anteriores</v>
          </cell>
          <cell r="H1121">
            <v>43703</v>
          </cell>
          <cell r="I1121">
            <v>33500</v>
          </cell>
          <cell r="J1121" t="str">
            <v>400.871.738-24</v>
          </cell>
          <cell r="K1121" t="str">
            <v>207.40801.02.8</v>
          </cell>
          <cell r="L1121" t="str">
            <v>Salário Mensal</v>
          </cell>
          <cell r="M1121" t="str">
            <v>Empregado (CLT)</v>
          </cell>
        </row>
        <row r="1122">
          <cell r="D1122" t="str">
            <v>ECOSAMPA Campo Limpo</v>
          </cell>
          <cell r="E1122">
            <v>43617</v>
          </cell>
          <cell r="F1122">
            <v>1603.99</v>
          </cell>
          <cell r="G1122" t="str">
            <v>Em Atividade Normal</v>
          </cell>
          <cell r="H1122">
            <v>44806</v>
          </cell>
          <cell r="I1122">
            <v>29231</v>
          </cell>
          <cell r="J1122" t="str">
            <v>299.278.988-78</v>
          </cell>
          <cell r="K1122" t="str">
            <v>129.39604.85.3</v>
          </cell>
          <cell r="L1122" t="str">
            <v>Salário Mensal</v>
          </cell>
          <cell r="M1122" t="str">
            <v>Empregado (CLT)</v>
          </cell>
        </row>
        <row r="1123">
          <cell r="D1123" t="str">
            <v>ECOSAMPA Santo Amaro</v>
          </cell>
          <cell r="E1123">
            <v>43617</v>
          </cell>
          <cell r="F1123">
            <v>1603.99</v>
          </cell>
          <cell r="G1123" t="str">
            <v>Cumprimento de Pena de Reclusão</v>
          </cell>
          <cell r="H1123">
            <v>44575</v>
          </cell>
          <cell r="I1123">
            <v>35205</v>
          </cell>
          <cell r="J1123" t="str">
            <v>434.020.088-31</v>
          </cell>
          <cell r="K1123" t="str">
            <v>134.40182.91.5</v>
          </cell>
          <cell r="L1123" t="str">
            <v>Salário Mensal</v>
          </cell>
          <cell r="M1123" t="str">
            <v>Empregado (CLT)</v>
          </cell>
        </row>
        <row r="1124">
          <cell r="D1124" t="str">
            <v>ECOSAMPA Santo Amaro</v>
          </cell>
          <cell r="E1124">
            <v>43617</v>
          </cell>
          <cell r="F1124">
            <v>1603.99</v>
          </cell>
          <cell r="G1124" t="str">
            <v>Em Atividade Normal</v>
          </cell>
          <cell r="H1124">
            <v>44898</v>
          </cell>
          <cell r="I1124">
            <v>33671</v>
          </cell>
          <cell r="J1124" t="str">
            <v>409.325.258-06</v>
          </cell>
          <cell r="K1124" t="str">
            <v>162.14105.85.3</v>
          </cell>
          <cell r="L1124" t="str">
            <v>Salário Mensal</v>
          </cell>
          <cell r="M1124" t="str">
            <v>Empregado (CLT)</v>
          </cell>
        </row>
        <row r="1125">
          <cell r="D1125" t="str">
            <v>ECOSAMPA Operação Geral</v>
          </cell>
          <cell r="E1125">
            <v>43916</v>
          </cell>
          <cell r="F1125">
            <v>1952.99</v>
          </cell>
          <cell r="G1125" t="str">
            <v>Em Atividade Normal</v>
          </cell>
          <cell r="H1125">
            <v>45119</v>
          </cell>
          <cell r="I1125">
            <v>33295</v>
          </cell>
          <cell r="J1125" t="str">
            <v>398.939.598-02</v>
          </cell>
          <cell r="K1125" t="str">
            <v>163.06728.59.8</v>
          </cell>
          <cell r="L1125" t="str">
            <v>Salário Mensal</v>
          </cell>
          <cell r="M1125" t="str">
            <v>Empregado (CLT)</v>
          </cell>
        </row>
        <row r="1126">
          <cell r="D1126" t="str">
            <v>ECOSAMPA M'Boi Mirim</v>
          </cell>
          <cell r="E1126">
            <v>44725</v>
          </cell>
          <cell r="F1126">
            <v>1464.83</v>
          </cell>
          <cell r="G1126" t="str">
            <v>Demitido em Meses Anteriores</v>
          </cell>
          <cell r="H1126">
            <v>44804</v>
          </cell>
          <cell r="I1126">
            <v>34061</v>
          </cell>
          <cell r="J1126" t="str">
            <v>406.707.868-45</v>
          </cell>
          <cell r="K1126" t="str">
            <v>209.89935.12.9</v>
          </cell>
          <cell r="L1126" t="str">
            <v>Salário Mensal</v>
          </cell>
          <cell r="M1126" t="str">
            <v>Empregado (CLT)</v>
          </cell>
        </row>
        <row r="1127">
          <cell r="D1127" t="str">
            <v>ECOSAMPA Capela do Socorro</v>
          </cell>
          <cell r="E1127">
            <v>43617</v>
          </cell>
          <cell r="F1127">
            <v>1603.99</v>
          </cell>
          <cell r="G1127" t="str">
            <v>Em Atividade Normal</v>
          </cell>
          <cell r="H1127">
            <v>44960</v>
          </cell>
          <cell r="I1127">
            <v>34596</v>
          </cell>
          <cell r="J1127" t="str">
            <v>451.317.938-40</v>
          </cell>
          <cell r="K1127" t="str">
            <v>207.90170.21.8</v>
          </cell>
          <cell r="L1127" t="str">
            <v>Salário Mensal</v>
          </cell>
          <cell r="M1127" t="str">
            <v>Empregado (CLT)</v>
          </cell>
        </row>
        <row r="1128">
          <cell r="D1128" t="str">
            <v>ECOSAMPA Santo Amaro</v>
          </cell>
          <cell r="E1128">
            <v>43617</v>
          </cell>
          <cell r="F1128">
            <v>1603.99</v>
          </cell>
          <cell r="G1128" t="str">
            <v>Gozando Férias</v>
          </cell>
          <cell r="H1128">
            <v>45180</v>
          </cell>
          <cell r="I1128">
            <v>24311</v>
          </cell>
          <cell r="J1128" t="str">
            <v>093.008.938-31</v>
          </cell>
          <cell r="K1128" t="str">
            <v>121.24960.26.3</v>
          </cell>
          <cell r="L1128" t="str">
            <v>Salário Mensal</v>
          </cell>
          <cell r="M1128" t="str">
            <v>Empregado (CLT)</v>
          </cell>
        </row>
        <row r="1129">
          <cell r="D1129" t="str">
            <v>ECOSAMPA Campo Limpo</v>
          </cell>
          <cell r="E1129">
            <v>43617</v>
          </cell>
          <cell r="F1129">
            <v>1907.79</v>
          </cell>
          <cell r="G1129" t="str">
            <v>Em Atividade Normal</v>
          </cell>
          <cell r="H1129">
            <v>44776</v>
          </cell>
          <cell r="I1129">
            <v>29454</v>
          </cell>
          <cell r="J1129" t="str">
            <v>300.557.578-04</v>
          </cell>
          <cell r="K1129" t="str">
            <v>132.93084.77.9</v>
          </cell>
          <cell r="L1129" t="str">
            <v>Salário Mensal</v>
          </cell>
          <cell r="M1129" t="str">
            <v>Empregado (CLT)</v>
          </cell>
        </row>
        <row r="1130">
          <cell r="D1130" t="str">
            <v>ECOSAMPA Capela do Socorro</v>
          </cell>
          <cell r="E1130">
            <v>43617</v>
          </cell>
          <cell r="F1130">
            <v>1603.99</v>
          </cell>
          <cell r="G1130" t="str">
            <v>Em Atividade Normal</v>
          </cell>
          <cell r="H1130">
            <v>45119</v>
          </cell>
          <cell r="I1130">
            <v>21399</v>
          </cell>
          <cell r="J1130" t="str">
            <v>247.261.094-72</v>
          </cell>
          <cell r="K1130" t="str">
            <v>107.58304.48.7</v>
          </cell>
          <cell r="L1130" t="str">
            <v>Salário Mensal</v>
          </cell>
          <cell r="M1130" t="str">
            <v>Empregado (CLT)</v>
          </cell>
        </row>
        <row r="1131">
          <cell r="D1131" t="str">
            <v>ECOSAMPA Campo Limpo</v>
          </cell>
          <cell r="E1131">
            <v>43617</v>
          </cell>
          <cell r="F1131">
            <v>1603.99</v>
          </cell>
          <cell r="G1131" t="str">
            <v>Gozando Férias</v>
          </cell>
          <cell r="H1131">
            <v>45180</v>
          </cell>
          <cell r="I1131">
            <v>22092</v>
          </cell>
          <cell r="J1131" t="str">
            <v>077.096.978-01</v>
          </cell>
          <cell r="K1131" t="str">
            <v>122.00916.97.5</v>
          </cell>
          <cell r="L1131" t="str">
            <v>Salário Mensal</v>
          </cell>
          <cell r="M1131" t="str">
            <v>Empregado (CLT)</v>
          </cell>
        </row>
        <row r="1132">
          <cell r="D1132" t="str">
            <v>ECOSAMPA Capela do Socorro</v>
          </cell>
          <cell r="E1132">
            <v>43617</v>
          </cell>
          <cell r="F1132">
            <v>1281.23</v>
          </cell>
          <cell r="G1132" t="str">
            <v>Demitido em Meses Anteriores</v>
          </cell>
          <cell r="H1132">
            <v>44029</v>
          </cell>
          <cell r="I1132">
            <v>20587</v>
          </cell>
          <cell r="J1132" t="str">
            <v>998.223.508-72</v>
          </cell>
          <cell r="K1132" t="str">
            <v>107.56095.80.5</v>
          </cell>
          <cell r="L1132" t="str">
            <v>Salário Mensal</v>
          </cell>
          <cell r="M1132" t="str">
            <v>Empregado (CLT)</v>
          </cell>
        </row>
        <row r="1133">
          <cell r="D1133" t="str">
            <v>ECOSAMPA Operação Geral</v>
          </cell>
          <cell r="E1133">
            <v>43619</v>
          </cell>
          <cell r="F1133">
            <v>3255.31</v>
          </cell>
          <cell r="G1133" t="str">
            <v>Em Atividade Normal</v>
          </cell>
          <cell r="H1133">
            <v>44776</v>
          </cell>
          <cell r="I1133">
            <v>23223</v>
          </cell>
          <cell r="J1133" t="str">
            <v>093.896.228-08</v>
          </cell>
          <cell r="K1133" t="str">
            <v>121.51267.61.1</v>
          </cell>
          <cell r="L1133" t="str">
            <v>Salário Mensal</v>
          </cell>
          <cell r="M1133" t="str">
            <v>Empregado (CLT)</v>
          </cell>
        </row>
        <row r="1134">
          <cell r="D1134" t="str">
            <v>ECOSAMPA Campo Limpo</v>
          </cell>
          <cell r="E1134">
            <v>43617</v>
          </cell>
          <cell r="F1134">
            <v>1603.99</v>
          </cell>
          <cell r="G1134" t="str">
            <v>Em Atividade Normal</v>
          </cell>
          <cell r="H1134">
            <v>45119</v>
          </cell>
          <cell r="I1134">
            <v>21360</v>
          </cell>
          <cell r="J1134" t="str">
            <v>593.258.879-91</v>
          </cell>
          <cell r="K1134" t="str">
            <v>123.35438.75.3</v>
          </cell>
          <cell r="L1134" t="str">
            <v>Salário Mensal</v>
          </cell>
          <cell r="M1134" t="str">
            <v>Empregado (CLT)</v>
          </cell>
        </row>
        <row r="1135">
          <cell r="D1135" t="str">
            <v>ECOSAMPA M'Boi Mirim</v>
          </cell>
          <cell r="E1135">
            <v>43620</v>
          </cell>
          <cell r="F1135">
            <v>1603.99</v>
          </cell>
          <cell r="G1135" t="str">
            <v>Em Atividade Normal</v>
          </cell>
          <cell r="H1135">
            <v>45056</v>
          </cell>
          <cell r="I1135">
            <v>24999</v>
          </cell>
          <cell r="J1135" t="str">
            <v>128.726.838-28</v>
          </cell>
          <cell r="K1135" t="str">
            <v>123.40475.15.7</v>
          </cell>
          <cell r="L1135" t="str">
            <v>Salário Mensal</v>
          </cell>
          <cell r="M1135" t="str">
            <v>Empregado (CLT)</v>
          </cell>
        </row>
        <row r="1136">
          <cell r="D1136" t="str">
            <v>ECOSAMPA Santo Amaro</v>
          </cell>
          <cell r="E1136">
            <v>43617</v>
          </cell>
          <cell r="F1136">
            <v>1603.99</v>
          </cell>
          <cell r="G1136" t="str">
            <v>Em Atividade Normal</v>
          </cell>
          <cell r="H1136">
            <v>44867</v>
          </cell>
          <cell r="I1136">
            <v>23788</v>
          </cell>
          <cell r="J1136" t="str">
            <v>103.286.628-44</v>
          </cell>
          <cell r="K1136" t="str">
            <v>122.71631.43.4</v>
          </cell>
          <cell r="L1136" t="str">
            <v>Salário Mensal</v>
          </cell>
          <cell r="M1136" t="str">
            <v>Empregado (CLT)</v>
          </cell>
        </row>
        <row r="1137">
          <cell r="D1137" t="str">
            <v>ECOSAMPA Santo Amaro</v>
          </cell>
          <cell r="E1137">
            <v>43617</v>
          </cell>
          <cell r="F1137">
            <v>1603.99</v>
          </cell>
          <cell r="G1137" t="str">
            <v>Em Atividade Normal</v>
          </cell>
          <cell r="H1137">
            <v>45056</v>
          </cell>
          <cell r="I1137">
            <v>23903</v>
          </cell>
          <cell r="J1137" t="str">
            <v>113.970.378-14</v>
          </cell>
          <cell r="K1137" t="str">
            <v>120.92762.09.7</v>
          </cell>
          <cell r="L1137" t="str">
            <v>Salário Mensal</v>
          </cell>
          <cell r="M1137" t="str">
            <v>Empregado (CLT)</v>
          </cell>
        </row>
        <row r="1138">
          <cell r="D1138" t="str">
            <v>ECOSAMPA Capela do Socorro</v>
          </cell>
          <cell r="E1138">
            <v>43617</v>
          </cell>
          <cell r="F1138">
            <v>1603.99</v>
          </cell>
          <cell r="G1138" t="str">
            <v>Em Atividade Normal</v>
          </cell>
          <cell r="H1138">
            <v>44993</v>
          </cell>
          <cell r="I1138">
            <v>24874</v>
          </cell>
          <cell r="J1138" t="str">
            <v>114.478.168-03</v>
          </cell>
          <cell r="K1138" t="str">
            <v>123.02852.05.4</v>
          </cell>
          <cell r="L1138" t="str">
            <v>Salário Mensal</v>
          </cell>
          <cell r="M1138" t="str">
            <v>Empregado (CLT)</v>
          </cell>
        </row>
        <row r="1139">
          <cell r="D1139" t="str">
            <v>ECOSAMPA Capela do Socorro</v>
          </cell>
          <cell r="E1139">
            <v>43617</v>
          </cell>
          <cell r="F1139">
            <v>1603.99</v>
          </cell>
          <cell r="G1139" t="str">
            <v>Gozando Férias</v>
          </cell>
          <cell r="H1139">
            <v>45180</v>
          </cell>
          <cell r="I1139">
            <v>21270</v>
          </cell>
          <cell r="J1139" t="str">
            <v>269.013.648-14</v>
          </cell>
          <cell r="K1139" t="str">
            <v>102.62084.49.7</v>
          </cell>
          <cell r="L1139" t="str">
            <v>Salário Mensal</v>
          </cell>
          <cell r="M1139" t="str">
            <v>Empregado (CLT)</v>
          </cell>
        </row>
        <row r="1140">
          <cell r="D1140" t="str">
            <v>ECOSAMPA Santo Amaro</v>
          </cell>
          <cell r="E1140">
            <v>43811</v>
          </cell>
          <cell r="F1140">
            <v>1603.99</v>
          </cell>
          <cell r="G1140" t="str">
            <v>Demitido em Meses Anteriores</v>
          </cell>
          <cell r="H1140">
            <v>44903</v>
          </cell>
          <cell r="I1140">
            <v>31949</v>
          </cell>
          <cell r="J1140" t="str">
            <v>377.220.918-14</v>
          </cell>
          <cell r="K1140" t="str">
            <v>136.67550.93.5</v>
          </cell>
          <cell r="L1140" t="str">
            <v>Salário Mensal</v>
          </cell>
          <cell r="M1140" t="str">
            <v>Empregado (CLT)</v>
          </cell>
        </row>
        <row r="1141">
          <cell r="D1141" t="str">
            <v>ECOSAMPA Capela do Socorro</v>
          </cell>
          <cell r="E1141">
            <v>43617</v>
          </cell>
          <cell r="F1141">
            <v>1319.67</v>
          </cell>
          <cell r="G1141" t="str">
            <v>Demitido em Meses Anteriores</v>
          </cell>
          <cell r="H1141">
            <v>44088</v>
          </cell>
          <cell r="I1141">
            <v>30146</v>
          </cell>
          <cell r="J1141" t="str">
            <v>337.697.258-32</v>
          </cell>
          <cell r="K1141" t="str">
            <v>210.12116.17.6</v>
          </cell>
          <cell r="L1141" t="str">
            <v>Salário Mensal</v>
          </cell>
          <cell r="M1141" t="str">
            <v>Empregado (CLT)</v>
          </cell>
        </row>
        <row r="1142">
          <cell r="D1142" t="str">
            <v>ECOSAMPA Operação Geral</v>
          </cell>
          <cell r="E1142">
            <v>43739</v>
          </cell>
          <cell r="F1142">
            <v>2785.59</v>
          </cell>
          <cell r="G1142" t="str">
            <v>Demitido em Meses Anteriores</v>
          </cell>
          <cell r="H1142">
            <v>44618</v>
          </cell>
          <cell r="I1142">
            <v>20618</v>
          </cell>
          <cell r="J1142" t="str">
            <v>146.926.168-57</v>
          </cell>
          <cell r="K1142" t="str">
            <v>120.16259.99.1</v>
          </cell>
          <cell r="L1142" t="str">
            <v>Salário Mensal</v>
          </cell>
          <cell r="M1142" t="str">
            <v>Empregado (CLT)</v>
          </cell>
        </row>
        <row r="1143">
          <cell r="D1143" t="str">
            <v>ECOSAMPA Operação Geral</v>
          </cell>
          <cell r="E1143">
            <v>43874</v>
          </cell>
          <cell r="F1143">
            <v>2436.4499999999998</v>
          </cell>
          <cell r="G1143" t="str">
            <v>Demitido em Meses Anteriores</v>
          </cell>
          <cell r="H1143">
            <v>43888</v>
          </cell>
          <cell r="I1143">
            <v>25578</v>
          </cell>
          <cell r="J1143" t="str">
            <v>559.842.234-49</v>
          </cell>
          <cell r="K1143" t="str">
            <v>123.18347.40.0</v>
          </cell>
          <cell r="L1143" t="str">
            <v>Salário Mensal</v>
          </cell>
          <cell r="M1143" t="str">
            <v>Empregado (CLT)</v>
          </cell>
        </row>
        <row r="1144">
          <cell r="D1144" t="str">
            <v>ECOSAMPA Capela do Socorro</v>
          </cell>
          <cell r="E1144">
            <v>43617</v>
          </cell>
          <cell r="F1144">
            <v>1231.95</v>
          </cell>
          <cell r="G1144" t="str">
            <v>Demitido em Meses Anteriores</v>
          </cell>
          <cell r="H1144">
            <v>43703</v>
          </cell>
          <cell r="I1144">
            <v>22417</v>
          </cell>
          <cell r="J1144" t="str">
            <v>044.605.678-22</v>
          </cell>
          <cell r="K1144" t="str">
            <v>108.82787.90.7</v>
          </cell>
          <cell r="L1144" t="str">
            <v>Salário Mensal</v>
          </cell>
          <cell r="M1144" t="str">
            <v>Empregado (CLT)</v>
          </cell>
        </row>
        <row r="1145">
          <cell r="D1145" t="str">
            <v>ECOSAMPA M'Boi Mirim</v>
          </cell>
          <cell r="E1145">
            <v>43617</v>
          </cell>
          <cell r="F1145">
            <v>1603.99</v>
          </cell>
          <cell r="G1145" t="str">
            <v>Em Atividade Normal</v>
          </cell>
          <cell r="H1145">
            <v>44806</v>
          </cell>
          <cell r="I1145">
            <v>30781</v>
          </cell>
          <cell r="J1145" t="str">
            <v>344.738.888-94</v>
          </cell>
          <cell r="K1145" t="str">
            <v>201.15376.79.2</v>
          </cell>
          <cell r="L1145" t="str">
            <v>Salário Mensal</v>
          </cell>
          <cell r="M1145" t="str">
            <v>Empregado (CLT)</v>
          </cell>
        </row>
        <row r="1146">
          <cell r="D1146" t="str">
            <v>ECOSAMPA M'Boi Mirim</v>
          </cell>
          <cell r="E1146">
            <v>43617</v>
          </cell>
          <cell r="F1146">
            <v>3222.08</v>
          </cell>
          <cell r="G1146" t="str">
            <v>Em Atividade Normal</v>
          </cell>
          <cell r="H1146">
            <v>45023</v>
          </cell>
          <cell r="I1146">
            <v>28942</v>
          </cell>
          <cell r="J1146" t="str">
            <v>281.324.078-81</v>
          </cell>
          <cell r="K1146" t="str">
            <v>129.80961.85.1</v>
          </cell>
          <cell r="L1146" t="str">
            <v>Salário Mensal</v>
          </cell>
          <cell r="M1146" t="str">
            <v>Empregado (CLT)</v>
          </cell>
        </row>
        <row r="1147">
          <cell r="D1147" t="str">
            <v>ECOSAMPA Santo Amaro</v>
          </cell>
          <cell r="E1147">
            <v>43617</v>
          </cell>
          <cell r="F1147">
            <v>1603.99</v>
          </cell>
          <cell r="G1147" t="str">
            <v>Em Atividade Normal</v>
          </cell>
          <cell r="H1147">
            <v>44960</v>
          </cell>
          <cell r="I1147">
            <v>26459</v>
          </cell>
          <cell r="J1147" t="str">
            <v>132.396.978-07</v>
          </cell>
          <cell r="K1147" t="str">
            <v>124.44337.75.3</v>
          </cell>
          <cell r="L1147" t="str">
            <v>Salário Mensal</v>
          </cell>
          <cell r="M1147" t="str">
            <v>Empregado (CLT)</v>
          </cell>
        </row>
        <row r="1148">
          <cell r="D1148" t="str">
            <v>ECOSAMPA Santo Amaro</v>
          </cell>
          <cell r="E1148">
            <v>43617</v>
          </cell>
          <cell r="F1148">
            <v>1603.99</v>
          </cell>
          <cell r="G1148" t="str">
            <v>Em Atividade Normal</v>
          </cell>
          <cell r="H1148">
            <v>44776</v>
          </cell>
          <cell r="I1148">
            <v>24203</v>
          </cell>
          <cell r="J1148" t="str">
            <v>093.464.048-33</v>
          </cell>
          <cell r="K1148" t="str">
            <v>122.10831.98.0</v>
          </cell>
          <cell r="L1148" t="str">
            <v>Salário Mensal</v>
          </cell>
          <cell r="M1148" t="str">
            <v>Empregado (CLT)</v>
          </cell>
        </row>
        <row r="1149">
          <cell r="D1149" t="str">
            <v>ECOSAMPA Capela do Socorro</v>
          </cell>
          <cell r="E1149">
            <v>43617</v>
          </cell>
          <cell r="F1149">
            <v>1603.99</v>
          </cell>
          <cell r="G1149" t="str">
            <v>Demitido em Meses Anteriores</v>
          </cell>
          <cell r="H1149">
            <v>45154</v>
          </cell>
          <cell r="I1149">
            <v>22090</v>
          </cell>
          <cell r="J1149" t="str">
            <v>484.524.914-68</v>
          </cell>
          <cell r="K1149" t="str">
            <v>121.50137.08.0</v>
          </cell>
          <cell r="L1149" t="str">
            <v>Salário Mensal</v>
          </cell>
          <cell r="M1149" t="str">
            <v>Empregado (CLT)</v>
          </cell>
        </row>
        <row r="1150">
          <cell r="D1150" t="str">
            <v>ECOSAMPA Santo Amaro</v>
          </cell>
          <cell r="E1150">
            <v>43874</v>
          </cell>
          <cell r="F1150">
            <v>1281.23</v>
          </cell>
          <cell r="G1150" t="str">
            <v>Demitido em Meses Anteriores</v>
          </cell>
          <cell r="H1150">
            <v>43875</v>
          </cell>
          <cell r="I1150">
            <v>30792</v>
          </cell>
          <cell r="J1150" t="str">
            <v>318.715.048-99</v>
          </cell>
          <cell r="K1150" t="str">
            <v>134.54831.81.3</v>
          </cell>
          <cell r="L1150" t="str">
            <v>Salário Mensal</v>
          </cell>
          <cell r="M1150" t="str">
            <v>Empregado (CLT)</v>
          </cell>
        </row>
        <row r="1151">
          <cell r="D1151" t="str">
            <v>ECOSAMPA Capela do Socorro</v>
          </cell>
          <cell r="E1151">
            <v>43617</v>
          </cell>
          <cell r="F1151">
            <v>1603.99</v>
          </cell>
          <cell r="G1151" t="str">
            <v>Em Atividade Normal</v>
          </cell>
          <cell r="H1151">
            <v>44835</v>
          </cell>
          <cell r="I1151">
            <v>25857</v>
          </cell>
          <cell r="J1151" t="str">
            <v>756.989.864-87</v>
          </cell>
          <cell r="K1151" t="str">
            <v>125.32574.39.0</v>
          </cell>
          <cell r="L1151" t="str">
            <v>Salário Mensal</v>
          </cell>
          <cell r="M1151" t="str">
            <v>Empregado (CLT)</v>
          </cell>
        </row>
        <row r="1152">
          <cell r="D1152" t="str">
            <v>ECOSAMPA Operação Geral</v>
          </cell>
          <cell r="E1152">
            <v>43617</v>
          </cell>
          <cell r="F1152">
            <v>1523.89</v>
          </cell>
          <cell r="G1152" t="str">
            <v>Demitido em Meses Anteriores</v>
          </cell>
          <cell r="H1152">
            <v>43991</v>
          </cell>
          <cell r="I1152">
            <v>26909</v>
          </cell>
          <cell r="J1152" t="str">
            <v>182.771.348-86</v>
          </cell>
          <cell r="K1152" t="str">
            <v>124.62808.17.7</v>
          </cell>
          <cell r="L1152" t="str">
            <v>Salário Mensal</v>
          </cell>
          <cell r="M1152" t="str">
            <v>Empregado (CLT)</v>
          </cell>
        </row>
        <row r="1153">
          <cell r="D1153" t="str">
            <v>ECOSAMPA Campo Limpo</v>
          </cell>
          <cell r="E1153">
            <v>43617</v>
          </cell>
          <cell r="F1153">
            <v>1603.99</v>
          </cell>
          <cell r="G1153" t="str">
            <v>Gozando Férias</v>
          </cell>
          <cell r="H1153">
            <v>45180</v>
          </cell>
          <cell r="I1153">
            <v>23355</v>
          </cell>
          <cell r="J1153" t="str">
            <v>022.782.428-81</v>
          </cell>
          <cell r="K1153" t="str">
            <v>120.84509.87.6</v>
          </cell>
          <cell r="L1153" t="str">
            <v>Salário Mensal</v>
          </cell>
          <cell r="M1153" t="str">
            <v>Empregado (CLT)</v>
          </cell>
        </row>
        <row r="1154">
          <cell r="D1154" t="str">
            <v>ECOSAMPA Operação Geral</v>
          </cell>
          <cell r="E1154">
            <v>44018</v>
          </cell>
          <cell r="F1154">
            <v>1606.8</v>
          </cell>
          <cell r="G1154" t="str">
            <v>Demitido em Meses Anteriores</v>
          </cell>
          <cell r="H1154">
            <v>44440</v>
          </cell>
          <cell r="I1154">
            <v>36455</v>
          </cell>
          <cell r="J1154" t="str">
            <v>393.126.538-22</v>
          </cell>
          <cell r="K1154" t="str">
            <v>201.16434.47.8</v>
          </cell>
          <cell r="L1154" t="str">
            <v>Salário Mensal</v>
          </cell>
          <cell r="M1154" t="str">
            <v>Empregado (CLT)</v>
          </cell>
        </row>
        <row r="1155">
          <cell r="D1155" t="str">
            <v>ECOSAMPA Parelheiros</v>
          </cell>
          <cell r="E1155">
            <v>43617</v>
          </cell>
          <cell r="F1155">
            <v>1603.99</v>
          </cell>
          <cell r="G1155" t="str">
            <v>Demitido em Meses Anteriores</v>
          </cell>
          <cell r="H1155">
            <v>44935</v>
          </cell>
          <cell r="I1155">
            <v>26456</v>
          </cell>
          <cell r="J1155" t="str">
            <v>840.981.474-91</v>
          </cell>
          <cell r="K1155" t="str">
            <v>125.11526.20.6</v>
          </cell>
          <cell r="L1155" t="str">
            <v>Salário Mensal</v>
          </cell>
          <cell r="M1155" t="str">
            <v>Empregado (CLT)</v>
          </cell>
        </row>
        <row r="1156">
          <cell r="D1156" t="str">
            <v>ECOSAMPA Capela do Socorro</v>
          </cell>
          <cell r="E1156">
            <v>43874</v>
          </cell>
          <cell r="F1156">
            <v>1464.83</v>
          </cell>
          <cell r="G1156" t="str">
            <v>Demitido em Meses Anteriores</v>
          </cell>
          <cell r="H1156">
            <v>44490</v>
          </cell>
          <cell r="I1156">
            <v>37036</v>
          </cell>
          <cell r="J1156" t="str">
            <v>370.096.598-26</v>
          </cell>
          <cell r="K1156" t="str">
            <v>131.60462.28.4</v>
          </cell>
          <cell r="L1156" t="str">
            <v>Salário Mensal</v>
          </cell>
          <cell r="M1156" t="str">
            <v>Empregado (CLT)</v>
          </cell>
        </row>
        <row r="1157">
          <cell r="D1157" t="str">
            <v>ECOSAMPA Campo Limpo</v>
          </cell>
          <cell r="E1157">
            <v>43817</v>
          </cell>
          <cell r="F1157">
            <v>1603.99</v>
          </cell>
          <cell r="G1157" t="str">
            <v>Em Atividade Normal</v>
          </cell>
          <cell r="H1157">
            <v>45086</v>
          </cell>
          <cell r="I1157">
            <v>31116</v>
          </cell>
          <cell r="J1157" t="str">
            <v>379.182.338-83</v>
          </cell>
          <cell r="K1157" t="str">
            <v>135.36888.77.0</v>
          </cell>
          <cell r="L1157" t="str">
            <v>Salário Mensal</v>
          </cell>
          <cell r="M1157" t="str">
            <v>Empregado (CLT)</v>
          </cell>
        </row>
        <row r="1158">
          <cell r="D1158" t="str">
            <v>ECOSAMPA Campo Limpo</v>
          </cell>
          <cell r="E1158">
            <v>43617</v>
          </cell>
          <cell r="F1158">
            <v>1603.99</v>
          </cell>
          <cell r="G1158" t="str">
            <v>Em Atividade Normal</v>
          </cell>
          <cell r="H1158">
            <v>44993</v>
          </cell>
          <cell r="I1158">
            <v>22197</v>
          </cell>
          <cell r="J1158" t="str">
            <v>450.687.714-49</v>
          </cell>
          <cell r="K1158" t="str">
            <v>120.34536.61.6</v>
          </cell>
          <cell r="L1158" t="str">
            <v>Salário Mensal</v>
          </cell>
          <cell r="M1158" t="str">
            <v>Empregado (CLT)</v>
          </cell>
        </row>
        <row r="1159">
          <cell r="D1159" t="str">
            <v>ECOSAMPA Capela do Socorro</v>
          </cell>
          <cell r="E1159">
            <v>43617</v>
          </cell>
          <cell r="F1159">
            <v>1603.99</v>
          </cell>
          <cell r="G1159" t="str">
            <v>Em Atividade Normal</v>
          </cell>
          <cell r="H1159">
            <v>44898</v>
          </cell>
          <cell r="I1159">
            <v>26836</v>
          </cell>
          <cell r="J1159" t="str">
            <v>272.346.088-69</v>
          </cell>
          <cell r="K1159" t="str">
            <v>132.21837.77.0</v>
          </cell>
          <cell r="L1159" t="str">
            <v>Salário Mensal</v>
          </cell>
          <cell r="M1159" t="str">
            <v>Empregado (CLT)</v>
          </cell>
        </row>
        <row r="1160">
          <cell r="D1160" t="str">
            <v>ECOSAMPA Capela do Socorro</v>
          </cell>
          <cell r="E1160">
            <v>43617</v>
          </cell>
          <cell r="F1160">
            <v>1281.23</v>
          </cell>
          <cell r="G1160" t="str">
            <v>Demitido em Meses Anteriores</v>
          </cell>
          <cell r="H1160">
            <v>44029</v>
          </cell>
          <cell r="I1160">
            <v>20020</v>
          </cell>
          <cell r="J1160" t="str">
            <v>084.658.918-42</v>
          </cell>
          <cell r="K1160" t="str">
            <v>106.76462.77.1</v>
          </cell>
          <cell r="L1160" t="str">
            <v>Salário Mensal</v>
          </cell>
          <cell r="M1160" t="str">
            <v>Empregado (CLT)</v>
          </cell>
        </row>
        <row r="1161">
          <cell r="D1161" t="str">
            <v>ECOSAMPA Campo Limpo</v>
          </cell>
          <cell r="E1161">
            <v>43617</v>
          </cell>
          <cell r="F1161">
            <v>1281.23</v>
          </cell>
          <cell r="G1161" t="str">
            <v>Demitido em Meses Anteriores</v>
          </cell>
          <cell r="H1161">
            <v>44029</v>
          </cell>
          <cell r="I1161">
            <v>18362</v>
          </cell>
          <cell r="J1161" t="str">
            <v>998.187.108-78</v>
          </cell>
          <cell r="K1161" t="str">
            <v>104.30764.49.6</v>
          </cell>
          <cell r="L1161" t="str">
            <v>Salário Mensal</v>
          </cell>
          <cell r="M1161" t="str">
            <v>Empregado (CLT)</v>
          </cell>
        </row>
        <row r="1162">
          <cell r="D1162" t="str">
            <v>ECOSAMPA Capela do Socorro</v>
          </cell>
          <cell r="E1162">
            <v>45089</v>
          </cell>
          <cell r="F1162">
            <v>1603.99</v>
          </cell>
          <cell r="G1162" t="str">
            <v>Em Atividade Normal</v>
          </cell>
          <cell r="H1162">
            <v>45089</v>
          </cell>
          <cell r="I1162">
            <v>30129</v>
          </cell>
          <cell r="J1162" t="str">
            <v>336.406.548-97</v>
          </cell>
          <cell r="K1162" t="str">
            <v>190.26001.64.1</v>
          </cell>
          <cell r="L1162" t="str">
            <v>Salário Mensal</v>
          </cell>
          <cell r="M1162" t="str">
            <v>Empregado (CLT)</v>
          </cell>
        </row>
        <row r="1163">
          <cell r="D1163" t="str">
            <v>ECOSAMPA Santo Amaro</v>
          </cell>
          <cell r="E1163">
            <v>43617</v>
          </cell>
          <cell r="F1163">
            <v>1603.99</v>
          </cell>
          <cell r="G1163" t="str">
            <v>Em Atividade Normal</v>
          </cell>
          <cell r="H1163">
            <v>44806</v>
          </cell>
          <cell r="I1163">
            <v>24647</v>
          </cell>
          <cell r="J1163" t="str">
            <v>527.949.544-15</v>
          </cell>
          <cell r="K1163" t="str">
            <v>122.78632.31.2</v>
          </cell>
          <cell r="L1163" t="str">
            <v>Salário Mensal</v>
          </cell>
          <cell r="M1163" t="str">
            <v>Empregado (CLT)</v>
          </cell>
        </row>
        <row r="1164">
          <cell r="D1164" t="str">
            <v>ECOSAMPA Campo Limpo</v>
          </cell>
          <cell r="E1164">
            <v>43617</v>
          </cell>
          <cell r="F1164">
            <v>1603.99</v>
          </cell>
          <cell r="G1164" t="str">
            <v>Em Atividade Normal</v>
          </cell>
          <cell r="H1164">
            <v>44776</v>
          </cell>
          <cell r="I1164">
            <v>22065</v>
          </cell>
          <cell r="J1164" t="str">
            <v>048.360.108-02</v>
          </cell>
          <cell r="K1164" t="str">
            <v>107.56043.92.9</v>
          </cell>
          <cell r="L1164" t="str">
            <v>Salário Mensal</v>
          </cell>
          <cell r="M1164" t="str">
            <v>Empregado (CLT)</v>
          </cell>
        </row>
        <row r="1165">
          <cell r="D1165" t="str">
            <v>ECOSAMPA Operação Geral</v>
          </cell>
          <cell r="E1165">
            <v>43619</v>
          </cell>
          <cell r="F1165">
            <v>10712</v>
          </cell>
          <cell r="G1165" t="str">
            <v>Demitido em Meses Anteriores</v>
          </cell>
          <cell r="H1165">
            <v>44377</v>
          </cell>
          <cell r="I1165">
            <v>32032</v>
          </cell>
          <cell r="J1165" t="str">
            <v>350.134.058-31</v>
          </cell>
          <cell r="K1165" t="str">
            <v>135.38053.85.4</v>
          </cell>
          <cell r="L1165" t="str">
            <v>Salário Mensal</v>
          </cell>
          <cell r="M1165" t="str">
            <v>Empregado (CLT)</v>
          </cell>
        </row>
        <row r="1166">
          <cell r="D1166" t="str">
            <v>ECOSAMPA PJ</v>
          </cell>
          <cell r="E1166">
            <v>44370</v>
          </cell>
          <cell r="F1166">
            <v>0.01</v>
          </cell>
          <cell r="G1166" t="str">
            <v>Em Atividade Normal</v>
          </cell>
          <cell r="H1166">
            <v>44370</v>
          </cell>
          <cell r="I1166">
            <v>32032</v>
          </cell>
          <cell r="J1166" t="str">
            <v>350.134.058-31</v>
          </cell>
          <cell r="K1166" t="str">
            <v>135.38053.85.4</v>
          </cell>
          <cell r="L1166" t="str">
            <v>Salário Mensal</v>
          </cell>
          <cell r="M1166" t="str">
            <v>Pessoa Jurídica</v>
          </cell>
        </row>
        <row r="1167">
          <cell r="D1167" t="str">
            <v>ECOSAMPA Capela do Socorro</v>
          </cell>
          <cell r="E1167">
            <v>43617</v>
          </cell>
          <cell r="F1167">
            <v>1603.99</v>
          </cell>
          <cell r="G1167" t="str">
            <v>Em Atividade Normal</v>
          </cell>
          <cell r="H1167">
            <v>44835</v>
          </cell>
          <cell r="I1167">
            <v>31394</v>
          </cell>
          <cell r="J1167" t="str">
            <v>402.448.098-79</v>
          </cell>
          <cell r="K1167" t="str">
            <v>204.31616.93.5</v>
          </cell>
          <cell r="L1167" t="str">
            <v>Salário Mensal</v>
          </cell>
          <cell r="M1167" t="str">
            <v>Empregado (CLT)</v>
          </cell>
        </row>
        <row r="1168">
          <cell r="D1168" t="str">
            <v>ECOSAMPA Operação Geral</v>
          </cell>
          <cell r="E1168">
            <v>44967</v>
          </cell>
          <cell r="F1168">
            <v>1603.99</v>
          </cell>
          <cell r="G1168" t="str">
            <v>Demitido em Meses Anteriores</v>
          </cell>
          <cell r="H1168">
            <v>44980</v>
          </cell>
          <cell r="I1168">
            <v>33594</v>
          </cell>
          <cell r="J1168" t="str">
            <v>382.008.398-77</v>
          </cell>
          <cell r="K1168" t="str">
            <v>206.86489.56.4</v>
          </cell>
          <cell r="L1168" t="str">
            <v>Salário Mensal</v>
          </cell>
          <cell r="M1168" t="str">
            <v>Empregado (CLT)</v>
          </cell>
        </row>
        <row r="1169">
          <cell r="D1169" t="str">
            <v>ECOSAMPA Operação Geral</v>
          </cell>
          <cell r="E1169">
            <v>43916</v>
          </cell>
          <cell r="F1169">
            <v>1319.67</v>
          </cell>
          <cell r="G1169" t="str">
            <v>Demitido em Meses Anteriores</v>
          </cell>
          <cell r="H1169">
            <v>44305</v>
          </cell>
          <cell r="I1169">
            <v>35957</v>
          </cell>
          <cell r="J1169" t="str">
            <v>494.639.498-28</v>
          </cell>
          <cell r="K1169" t="str">
            <v>268.65274.36.7</v>
          </cell>
          <cell r="L1169" t="str">
            <v>Salário Mensal</v>
          </cell>
          <cell r="M1169" t="str">
            <v>Empregado (CLT)</v>
          </cell>
        </row>
        <row r="1170">
          <cell r="D1170" t="str">
            <v>ECOSAMPA Capela do Socorro</v>
          </cell>
          <cell r="E1170">
            <v>43617</v>
          </cell>
          <cell r="F1170">
            <v>1603.99</v>
          </cell>
          <cell r="G1170" t="str">
            <v>Em Atividade Normal</v>
          </cell>
          <cell r="H1170">
            <v>45056</v>
          </cell>
          <cell r="I1170">
            <v>23070</v>
          </cell>
          <cell r="J1170" t="str">
            <v>086.357.028-32</v>
          </cell>
          <cell r="K1170" t="str">
            <v>122.03214.92.0</v>
          </cell>
          <cell r="L1170" t="str">
            <v>Salário Mensal</v>
          </cell>
          <cell r="M1170" t="str">
            <v>Empregado (CLT)</v>
          </cell>
        </row>
        <row r="1171">
          <cell r="D1171" t="str">
            <v>ECOSAMPA Operação Geral</v>
          </cell>
          <cell r="E1171">
            <v>45089</v>
          </cell>
          <cell r="F1171">
            <v>1603.99</v>
          </cell>
          <cell r="G1171" t="str">
            <v>Em Atividade Normal</v>
          </cell>
          <cell r="H1171">
            <v>45089</v>
          </cell>
          <cell r="I1171">
            <v>29294</v>
          </cell>
          <cell r="J1171" t="str">
            <v>303.160.528-41</v>
          </cell>
          <cell r="K1171" t="str">
            <v>129.90538.85.4</v>
          </cell>
          <cell r="L1171" t="str">
            <v>Salário Mensal</v>
          </cell>
          <cell r="M1171" t="str">
            <v>Empregado (CLT)</v>
          </cell>
        </row>
        <row r="1172">
          <cell r="D1172" t="str">
            <v>ECOSAMPA Campo Limpo</v>
          </cell>
          <cell r="E1172">
            <v>43617</v>
          </cell>
          <cell r="F1172">
            <v>1603.99</v>
          </cell>
          <cell r="G1172" t="str">
            <v>Em Atividade Normal</v>
          </cell>
          <cell r="H1172">
            <v>45119</v>
          </cell>
          <cell r="I1172">
            <v>18490</v>
          </cell>
          <cell r="J1172" t="str">
            <v>622.624.244-20</v>
          </cell>
          <cell r="K1172" t="str">
            <v>122.19102.43.4</v>
          </cell>
          <cell r="L1172" t="str">
            <v>Salário Mensal</v>
          </cell>
          <cell r="M1172" t="str">
            <v>Empregado (CLT)</v>
          </cell>
        </row>
        <row r="1173">
          <cell r="D1173" t="str">
            <v>ECOSAMPA M'Boi Mirim</v>
          </cell>
          <cell r="E1173">
            <v>43617</v>
          </cell>
          <cell r="F1173">
            <v>1603.99</v>
          </cell>
          <cell r="G1173" t="str">
            <v>Em Atividade Normal</v>
          </cell>
          <cell r="H1173">
            <v>45119</v>
          </cell>
          <cell r="I1173">
            <v>19984</v>
          </cell>
          <cell r="J1173" t="str">
            <v>237.883.804-20</v>
          </cell>
          <cell r="K1173" t="str">
            <v>106.87336.60.8</v>
          </cell>
          <cell r="L1173" t="str">
            <v>Salário Mensal</v>
          </cell>
          <cell r="M1173" t="str">
            <v>Empregado (CLT)</v>
          </cell>
        </row>
        <row r="1174">
          <cell r="D1174" t="str">
            <v>ECOSAMPA Santo Amaro</v>
          </cell>
          <cell r="E1174">
            <v>43916</v>
          </cell>
          <cell r="F1174">
            <v>1464.83</v>
          </cell>
          <cell r="G1174" t="str">
            <v>Demitido em Meses Anteriores</v>
          </cell>
          <cell r="H1174">
            <v>44631</v>
          </cell>
          <cell r="I1174">
            <v>35087</v>
          </cell>
          <cell r="J1174" t="str">
            <v>461.074.658-12</v>
          </cell>
          <cell r="K1174" t="str">
            <v>209.78000.54.9</v>
          </cell>
          <cell r="L1174" t="str">
            <v>Salário Mensal</v>
          </cell>
          <cell r="M1174" t="str">
            <v>Empregado (CLT)</v>
          </cell>
        </row>
        <row r="1175">
          <cell r="D1175" t="str">
            <v>ECOSAMPA M'Boi Mirim</v>
          </cell>
          <cell r="E1175">
            <v>43617</v>
          </cell>
          <cell r="F1175">
            <v>1603.99</v>
          </cell>
          <cell r="G1175" t="str">
            <v>Em Atividade Normal</v>
          </cell>
          <cell r="H1175">
            <v>44993</v>
          </cell>
          <cell r="I1175">
            <v>36504</v>
          </cell>
          <cell r="J1175" t="str">
            <v>237.042.428-10</v>
          </cell>
          <cell r="K1175" t="str">
            <v>163.00122.67.1</v>
          </cell>
          <cell r="L1175" t="str">
            <v>Salário Mensal</v>
          </cell>
          <cell r="M1175" t="str">
            <v>Empregado (CLT)</v>
          </cell>
        </row>
        <row r="1176">
          <cell r="D1176" t="str">
            <v>ECOSAMPA Operação Geral</v>
          </cell>
          <cell r="E1176">
            <v>43916</v>
          </cell>
          <cell r="F1176">
            <v>1464.83</v>
          </cell>
          <cell r="G1176" t="str">
            <v>Demitido em Meses Anteriores</v>
          </cell>
          <cell r="H1176">
            <v>44575</v>
          </cell>
          <cell r="I1176">
            <v>36819</v>
          </cell>
          <cell r="J1176" t="str">
            <v>510.332.908-58</v>
          </cell>
          <cell r="K1176" t="str">
            <v>209.73717.08.9</v>
          </cell>
          <cell r="L1176" t="str">
            <v>Salário Mensal</v>
          </cell>
          <cell r="M1176" t="str">
            <v>Empregado (CLT)</v>
          </cell>
        </row>
        <row r="1177">
          <cell r="D1177" t="str">
            <v>ECOSAMPA Capela do Socorro</v>
          </cell>
          <cell r="E1177">
            <v>44487</v>
          </cell>
          <cell r="F1177">
            <v>1603.99</v>
          </cell>
          <cell r="G1177" t="str">
            <v>Em Atividade Normal</v>
          </cell>
          <cell r="H1177">
            <v>45149</v>
          </cell>
          <cell r="I1177">
            <v>31989</v>
          </cell>
          <cell r="J1177" t="str">
            <v>233.027.848-99</v>
          </cell>
          <cell r="K1177" t="str">
            <v>209.77934.21.1</v>
          </cell>
          <cell r="L1177" t="str">
            <v>Salário Mensal</v>
          </cell>
          <cell r="M1177" t="str">
            <v>Empregado (CLT)</v>
          </cell>
        </row>
        <row r="1178">
          <cell r="D1178" t="str">
            <v>ECOSAMPA Operação Geral</v>
          </cell>
          <cell r="E1178">
            <v>44967</v>
          </cell>
          <cell r="F1178">
            <v>1603.99</v>
          </cell>
          <cell r="G1178" t="str">
            <v>Demitido em Meses Anteriores</v>
          </cell>
          <cell r="H1178">
            <v>44981</v>
          </cell>
          <cell r="I1178">
            <v>36968</v>
          </cell>
          <cell r="J1178" t="str">
            <v>476.960.888-82</v>
          </cell>
          <cell r="K1178" t="str">
            <v>238.46166.91.6</v>
          </cell>
          <cell r="L1178" t="str">
            <v>Salário Mensal</v>
          </cell>
          <cell r="M1178" t="str">
            <v>Empregado (CLT)</v>
          </cell>
        </row>
        <row r="1179">
          <cell r="D1179" t="str">
            <v>ECOSAMPA Campo Limpo</v>
          </cell>
          <cell r="E1179">
            <v>43617</v>
          </cell>
          <cell r="F1179">
            <v>1319.67</v>
          </cell>
          <cell r="G1179" t="str">
            <v>Demitido em Meses Anteriores</v>
          </cell>
          <cell r="H1179">
            <v>44230</v>
          </cell>
          <cell r="I1179">
            <v>36113</v>
          </cell>
          <cell r="J1179" t="str">
            <v>463.797.678-27</v>
          </cell>
          <cell r="K1179" t="str">
            <v>163.00111.77.7</v>
          </cell>
          <cell r="L1179" t="str">
            <v>Salário Mensal</v>
          </cell>
          <cell r="M1179" t="str">
            <v>Empregado (CLT)</v>
          </cell>
        </row>
        <row r="1180">
          <cell r="D1180" t="str">
            <v>ECOSAMPA M'Boi Mirim</v>
          </cell>
          <cell r="E1180">
            <v>43617</v>
          </cell>
          <cell r="F1180">
            <v>1281.23</v>
          </cell>
          <cell r="G1180" t="str">
            <v>Demitido em Meses Anteriores</v>
          </cell>
          <cell r="H1180">
            <v>44029</v>
          </cell>
          <cell r="I1180">
            <v>17756</v>
          </cell>
          <cell r="J1180" t="str">
            <v>336.707.577-91</v>
          </cell>
          <cell r="K1180" t="str">
            <v>103.25178.36.1</v>
          </cell>
          <cell r="L1180" t="str">
            <v>Salário Mensal</v>
          </cell>
          <cell r="M1180" t="str">
            <v>Empregado (CLT)</v>
          </cell>
        </row>
        <row r="1181">
          <cell r="D1181" t="str">
            <v>ECOSAMPA Operação Geral</v>
          </cell>
          <cell r="E1181">
            <v>43617</v>
          </cell>
          <cell r="F1181">
            <v>2610.2399999999998</v>
          </cell>
          <cell r="G1181" t="str">
            <v>Em Atividade Normal</v>
          </cell>
          <cell r="H1181">
            <v>44960</v>
          </cell>
          <cell r="I1181">
            <v>29339</v>
          </cell>
          <cell r="J1181" t="str">
            <v>226.506.338-08</v>
          </cell>
          <cell r="K1181" t="str">
            <v>132.51530.89.4</v>
          </cell>
          <cell r="L1181" t="str">
            <v>Salário Mensal</v>
          </cell>
          <cell r="M1181" t="str">
            <v>Empregado (CLT)</v>
          </cell>
        </row>
        <row r="1182">
          <cell r="D1182" t="str">
            <v>ECOSAMPA Santo Amaro</v>
          </cell>
          <cell r="E1182">
            <v>43617</v>
          </cell>
          <cell r="F1182">
            <v>1603.99</v>
          </cell>
          <cell r="G1182" t="str">
            <v>Em Atividade Normal</v>
          </cell>
          <cell r="H1182">
            <v>45177</v>
          </cell>
          <cell r="I1182">
            <v>19935</v>
          </cell>
          <cell r="J1182" t="str">
            <v>083.554.548-20</v>
          </cell>
          <cell r="K1182" t="str">
            <v>107.35697.32.6</v>
          </cell>
          <cell r="L1182" t="str">
            <v>Salário Mensal</v>
          </cell>
          <cell r="M1182" t="str">
            <v>Empregado (CLT)</v>
          </cell>
        </row>
        <row r="1183">
          <cell r="D1183" t="str">
            <v>ECOSAMPA M'Boi Mirim</v>
          </cell>
          <cell r="E1183">
            <v>43617</v>
          </cell>
          <cell r="F1183">
            <v>1603.99</v>
          </cell>
          <cell r="G1183" t="str">
            <v>Em Atividade Normal</v>
          </cell>
          <cell r="H1183">
            <v>45149</v>
          </cell>
          <cell r="I1183">
            <v>20665</v>
          </cell>
          <cell r="J1183" t="str">
            <v>041.332.618-79</v>
          </cell>
          <cell r="K1183" t="str">
            <v>106.93712.65.9</v>
          </cell>
          <cell r="L1183" t="str">
            <v>Salário Mensal</v>
          </cell>
          <cell r="M1183" t="str">
            <v>Empregado (CLT)</v>
          </cell>
        </row>
        <row r="1184">
          <cell r="D1184" t="str">
            <v>ECOSAMPA Capela do Socorro</v>
          </cell>
          <cell r="E1184">
            <v>43617</v>
          </cell>
          <cell r="F1184">
            <v>1603.99</v>
          </cell>
          <cell r="G1184" t="str">
            <v>Em Atividade Normal</v>
          </cell>
          <cell r="H1184">
            <v>44898</v>
          </cell>
          <cell r="I1184">
            <v>24987</v>
          </cell>
          <cell r="J1184" t="str">
            <v>127.372.458-50</v>
          </cell>
          <cell r="K1184" t="str">
            <v>123.32987.18.7</v>
          </cell>
          <cell r="L1184" t="str">
            <v>Salário Mensal</v>
          </cell>
          <cell r="M1184" t="str">
            <v>Empregado (CLT)</v>
          </cell>
        </row>
        <row r="1185">
          <cell r="D1185" t="str">
            <v>ECOSAMPA Pensionistas</v>
          </cell>
          <cell r="E1185">
            <v>43924</v>
          </cell>
          <cell r="F1185">
            <v>0.01</v>
          </cell>
          <cell r="G1185" t="str">
            <v>Em Atividade Normal</v>
          </cell>
          <cell r="H1185">
            <v>43924</v>
          </cell>
          <cell r="J1185" t="str">
            <v>282.721.548-97</v>
          </cell>
          <cell r="L1185" t="str">
            <v>Nenhuma</v>
          </cell>
          <cell r="M1185" t="str">
            <v>Pensionista</v>
          </cell>
        </row>
        <row r="1186">
          <cell r="D1186" t="str">
            <v>ECOSAMPA Capela do Socorro</v>
          </cell>
          <cell r="E1186">
            <v>43874</v>
          </cell>
          <cell r="F1186">
            <v>1281.23</v>
          </cell>
          <cell r="G1186" t="str">
            <v>Demitido em Meses Anteriores</v>
          </cell>
          <cell r="H1186">
            <v>43888</v>
          </cell>
          <cell r="I1186">
            <v>28088</v>
          </cell>
          <cell r="J1186" t="str">
            <v>273.018.368-05</v>
          </cell>
          <cell r="K1186" t="str">
            <v>125.00802.09.6</v>
          </cell>
          <cell r="L1186" t="str">
            <v>Salário Mensal</v>
          </cell>
          <cell r="M1186" t="str">
            <v>Empregado (CLT)</v>
          </cell>
        </row>
        <row r="1187">
          <cell r="D1187" t="str">
            <v>ECOSAMPA Capela do Socorro</v>
          </cell>
          <cell r="E1187">
            <v>43617</v>
          </cell>
          <cell r="F1187">
            <v>1231.95</v>
          </cell>
          <cell r="G1187" t="str">
            <v>Demitido em Meses Anteriores</v>
          </cell>
          <cell r="H1187">
            <v>43703</v>
          </cell>
          <cell r="I1187">
            <v>27094</v>
          </cell>
          <cell r="J1187" t="str">
            <v>129.940.778-17</v>
          </cell>
          <cell r="K1187" t="str">
            <v>123.62741.54.2</v>
          </cell>
          <cell r="L1187" t="str">
            <v>Salário Mensal</v>
          </cell>
          <cell r="M1187" t="str">
            <v>Empregado (CLT)</v>
          </cell>
        </row>
        <row r="1188">
          <cell r="D1188" t="str">
            <v>ECOSAMPA Operação Geral</v>
          </cell>
          <cell r="E1188">
            <v>43874</v>
          </cell>
          <cell r="F1188">
            <v>2436.4499999999998</v>
          </cell>
          <cell r="G1188" t="str">
            <v>Demitido em Meses Anteriores</v>
          </cell>
          <cell r="H1188">
            <v>43888</v>
          </cell>
          <cell r="I1188">
            <v>28633</v>
          </cell>
          <cell r="J1188" t="str">
            <v>254.674.548-46</v>
          </cell>
          <cell r="K1188" t="str">
            <v>124.84951.12.6</v>
          </cell>
          <cell r="L1188" t="str">
            <v>Salário Mensal</v>
          </cell>
          <cell r="M1188" t="str">
            <v>Empregado (CLT)</v>
          </cell>
        </row>
        <row r="1189">
          <cell r="D1189" t="str">
            <v>ECOSAMPA M'Boi Mirim</v>
          </cell>
          <cell r="E1189">
            <v>43617</v>
          </cell>
          <cell r="F1189">
            <v>1603.99</v>
          </cell>
          <cell r="G1189" t="str">
            <v>Em Atividade Normal</v>
          </cell>
          <cell r="H1189">
            <v>44989</v>
          </cell>
          <cell r="I1189">
            <v>24544</v>
          </cell>
          <cell r="J1189" t="str">
            <v>468.220.895-00</v>
          </cell>
          <cell r="K1189" t="str">
            <v>122.96584.41.3</v>
          </cell>
          <cell r="L1189" t="str">
            <v>Salário Mensal</v>
          </cell>
          <cell r="M1189" t="str">
            <v>Empregado (CLT)</v>
          </cell>
        </row>
        <row r="1190">
          <cell r="D1190" t="str">
            <v>ECOSAMPA Capela do Socorro</v>
          </cell>
          <cell r="E1190">
            <v>43617</v>
          </cell>
          <cell r="F1190">
            <v>1603.99</v>
          </cell>
          <cell r="G1190" t="str">
            <v>Em Atividade Normal</v>
          </cell>
          <cell r="H1190">
            <v>44898</v>
          </cell>
          <cell r="I1190">
            <v>23541</v>
          </cell>
          <cell r="J1190" t="str">
            <v>504.862.686-91</v>
          </cell>
          <cell r="K1190" t="str">
            <v>121.93490.62.9</v>
          </cell>
          <cell r="L1190" t="str">
            <v>Salário Mensal</v>
          </cell>
          <cell r="M1190" t="str">
            <v>Empregado (CLT)</v>
          </cell>
        </row>
        <row r="1191">
          <cell r="D1191" t="str">
            <v>ECOSAMPA Operação Geral</v>
          </cell>
          <cell r="E1191">
            <v>43916</v>
          </cell>
          <cell r="F1191">
            <v>1907.79</v>
          </cell>
          <cell r="G1191" t="str">
            <v>Em Atividade Normal</v>
          </cell>
          <cell r="H1191">
            <v>45119</v>
          </cell>
          <cell r="I1191">
            <v>30965</v>
          </cell>
          <cell r="J1191" t="str">
            <v>352.948.578-04</v>
          </cell>
          <cell r="K1191" t="str">
            <v>136.14138.85.1</v>
          </cell>
          <cell r="L1191" t="str">
            <v>Salário Mensal</v>
          </cell>
          <cell r="M1191" t="str">
            <v>Empregado (CLT)</v>
          </cell>
        </row>
        <row r="1192">
          <cell r="D1192" t="str">
            <v>ECOSAMPA Campo Limpo</v>
          </cell>
          <cell r="E1192">
            <v>43617</v>
          </cell>
          <cell r="F1192">
            <v>1603.99</v>
          </cell>
          <cell r="G1192" t="str">
            <v>Em Atividade Normal</v>
          </cell>
          <cell r="H1192">
            <v>44776</v>
          </cell>
          <cell r="I1192">
            <v>32835</v>
          </cell>
          <cell r="J1192" t="str">
            <v>033.075.663-00</v>
          </cell>
          <cell r="K1192" t="str">
            <v>161.78725.66.4</v>
          </cell>
          <cell r="L1192" t="str">
            <v>Salário Mensal</v>
          </cell>
          <cell r="M1192" t="str">
            <v>Empregado (CLT)</v>
          </cell>
        </row>
        <row r="1193">
          <cell r="D1193" t="str">
            <v>ECOSAMPA Santo Amaro</v>
          </cell>
          <cell r="E1193">
            <v>44567</v>
          </cell>
          <cell r="F1193">
            <v>1603.99</v>
          </cell>
          <cell r="G1193" t="str">
            <v>Gozando Férias</v>
          </cell>
          <cell r="H1193">
            <v>45180</v>
          </cell>
          <cell r="I1193">
            <v>30512</v>
          </cell>
          <cell r="J1193" t="str">
            <v>052.009.444-14</v>
          </cell>
          <cell r="K1193" t="str">
            <v>127.59575.44.8</v>
          </cell>
          <cell r="L1193" t="str">
            <v>Salário Mensal</v>
          </cell>
          <cell r="M1193" t="str">
            <v>Empregado (CLT)</v>
          </cell>
        </row>
        <row r="1194">
          <cell r="D1194" t="str">
            <v>ECOSAMPA Operação Geral</v>
          </cell>
          <cell r="E1194">
            <v>44972</v>
          </cell>
          <cell r="F1194">
            <v>1603.99</v>
          </cell>
          <cell r="G1194" t="str">
            <v>Demitido em Meses Anteriores</v>
          </cell>
          <cell r="H1194">
            <v>44986</v>
          </cell>
          <cell r="I1194">
            <v>34342</v>
          </cell>
          <cell r="J1194" t="str">
            <v>430.213.038-54</v>
          </cell>
          <cell r="K1194" t="str">
            <v>207.24724.34.0</v>
          </cell>
          <cell r="L1194" t="str">
            <v>Salário Mensal</v>
          </cell>
          <cell r="M1194" t="str">
            <v>Empregado (CLT)</v>
          </cell>
        </row>
        <row r="1195">
          <cell r="D1195" t="str">
            <v>ECOSAMPA Santo Amaro</v>
          </cell>
          <cell r="E1195">
            <v>43617</v>
          </cell>
          <cell r="F1195">
            <v>1603.99</v>
          </cell>
          <cell r="G1195" t="str">
            <v>Auxílio-Doença</v>
          </cell>
          <cell r="H1195">
            <v>45128</v>
          </cell>
          <cell r="I1195">
            <v>32788</v>
          </cell>
          <cell r="J1195" t="str">
            <v>385.348.938-96</v>
          </cell>
          <cell r="K1195" t="str">
            <v>162.12382.59.0</v>
          </cell>
          <cell r="L1195" t="str">
            <v>Salário Mensal</v>
          </cell>
          <cell r="M1195" t="str">
            <v>Empregado (CLT)</v>
          </cell>
        </row>
        <row r="1196">
          <cell r="D1196" t="str">
            <v>ECOSAMPA Capela do Socorro</v>
          </cell>
          <cell r="E1196">
            <v>43617</v>
          </cell>
          <cell r="F1196">
            <v>1603.99</v>
          </cell>
          <cell r="G1196" t="str">
            <v>Em Atividade Normal</v>
          </cell>
          <cell r="H1196">
            <v>45056</v>
          </cell>
          <cell r="I1196">
            <v>34051</v>
          </cell>
          <cell r="J1196" t="str">
            <v>431.227.168-28</v>
          </cell>
          <cell r="K1196" t="str">
            <v>162.42884.15.2</v>
          </cell>
          <cell r="L1196" t="str">
            <v>Salário Mensal</v>
          </cell>
          <cell r="M1196" t="str">
            <v>Empregado (CLT)</v>
          </cell>
        </row>
        <row r="1197">
          <cell r="D1197" t="str">
            <v>ECOSAMPA Pensionistas</v>
          </cell>
          <cell r="E1197">
            <v>44491</v>
          </cell>
          <cell r="F1197">
            <v>0.01</v>
          </cell>
          <cell r="G1197" t="str">
            <v>Em Atividade Normal</v>
          </cell>
          <cell r="H1197">
            <v>44491</v>
          </cell>
          <cell r="J1197" t="str">
            <v>436.616.528-77</v>
          </cell>
          <cell r="L1197" t="str">
            <v>Nenhuma</v>
          </cell>
          <cell r="M1197" t="str">
            <v>Pensionista</v>
          </cell>
        </row>
        <row r="1198">
          <cell r="D1198" t="str">
            <v>ECOSAMPA Operação Geral</v>
          </cell>
          <cell r="E1198">
            <v>43619</v>
          </cell>
          <cell r="F1198">
            <v>1603.99</v>
          </cell>
          <cell r="G1198" t="str">
            <v>Em Atividade Normal</v>
          </cell>
          <cell r="H1198">
            <v>44898</v>
          </cell>
          <cell r="I1198">
            <v>30809</v>
          </cell>
          <cell r="J1198" t="str">
            <v>337.227.748-10</v>
          </cell>
          <cell r="K1198" t="str">
            <v>201.66129.36.9</v>
          </cell>
          <cell r="L1198" t="str">
            <v>Salário Mensal</v>
          </cell>
          <cell r="M1198" t="str">
            <v>Empregado (CLT)</v>
          </cell>
        </row>
        <row r="1199">
          <cell r="D1199" t="str">
            <v>ECOSAMPA Santo Amaro</v>
          </cell>
          <cell r="E1199">
            <v>43617</v>
          </cell>
          <cell r="F1199">
            <v>1231.95</v>
          </cell>
          <cell r="G1199" t="str">
            <v>Demitido em Meses Anteriores</v>
          </cell>
          <cell r="H1199">
            <v>43703</v>
          </cell>
          <cell r="I1199">
            <v>36766</v>
          </cell>
          <cell r="J1199" t="str">
            <v>461.170.288-06</v>
          </cell>
          <cell r="K1199" t="str">
            <v>210.67800.48.6</v>
          </cell>
          <cell r="L1199" t="str">
            <v>Salário Mensal</v>
          </cell>
          <cell r="M1199" t="str">
            <v>Empregado (CLT)</v>
          </cell>
        </row>
        <row r="1200">
          <cell r="D1200" t="str">
            <v>ECOSAMPA Campo Limpo</v>
          </cell>
          <cell r="E1200">
            <v>43617</v>
          </cell>
          <cell r="F1200">
            <v>1319.67</v>
          </cell>
          <cell r="G1200" t="str">
            <v>Demitido em Meses Anteriores</v>
          </cell>
          <cell r="H1200">
            <v>44263</v>
          </cell>
          <cell r="I1200">
            <v>33147</v>
          </cell>
          <cell r="J1200" t="str">
            <v>112.220.746-80</v>
          </cell>
          <cell r="K1200" t="str">
            <v>162.06305.94.6</v>
          </cell>
          <cell r="L1200" t="str">
            <v>Salário Mensal</v>
          </cell>
          <cell r="M1200" t="str">
            <v>Empregado (CLT)</v>
          </cell>
        </row>
        <row r="1201">
          <cell r="D1201" t="str">
            <v>ECOSAMPA Operação Geral</v>
          </cell>
          <cell r="E1201">
            <v>43617</v>
          </cell>
          <cell r="F1201">
            <v>3050.22</v>
          </cell>
          <cell r="G1201" t="str">
            <v>Em Atividade Normal</v>
          </cell>
          <cell r="H1201">
            <v>45177</v>
          </cell>
          <cell r="I1201">
            <v>23355</v>
          </cell>
          <cell r="J1201" t="str">
            <v>052.758.968-32</v>
          </cell>
          <cell r="K1201" t="str">
            <v>122.84492.96.9</v>
          </cell>
          <cell r="L1201" t="str">
            <v>Salário Mensal</v>
          </cell>
          <cell r="M1201" t="str">
            <v>Empregado (CLT)</v>
          </cell>
        </row>
        <row r="1202">
          <cell r="D1202" t="str">
            <v>ECOSAMPA Operação Geral</v>
          </cell>
          <cell r="E1202">
            <v>43617</v>
          </cell>
          <cell r="F1202">
            <v>2785.59</v>
          </cell>
          <cell r="G1202" t="str">
            <v>Demitido em Meses Anteriores</v>
          </cell>
          <cell r="H1202">
            <v>44505</v>
          </cell>
          <cell r="I1202">
            <v>25210</v>
          </cell>
          <cell r="J1202" t="str">
            <v>119.506.468-31</v>
          </cell>
          <cell r="K1202" t="str">
            <v>122.18154.50.3</v>
          </cell>
          <cell r="L1202" t="str">
            <v>Salário Mensal</v>
          </cell>
          <cell r="M1202" t="str">
            <v>Empregado (CLT)</v>
          </cell>
        </row>
        <row r="1203">
          <cell r="D1203" t="str">
            <v>ECOSAMPA Parelheiros</v>
          </cell>
          <cell r="E1203">
            <v>45180</v>
          </cell>
          <cell r="F1203">
            <v>1603.99</v>
          </cell>
          <cell r="G1203" t="str">
            <v>Em Atividade Normal</v>
          </cell>
          <cell r="H1203">
            <v>45180</v>
          </cell>
          <cell r="I1203">
            <v>35257</v>
          </cell>
          <cell r="J1203" t="str">
            <v>450.273.008-40</v>
          </cell>
          <cell r="K1203" t="str">
            <v>151.00225.09.6</v>
          </cell>
          <cell r="L1203" t="str">
            <v>Salário Mensal</v>
          </cell>
          <cell r="M1203" t="str">
            <v>Empregado (CLT)</v>
          </cell>
        </row>
        <row r="1204">
          <cell r="D1204" t="str">
            <v>ECOSAMPA Operação Geral</v>
          </cell>
          <cell r="E1204">
            <v>43617</v>
          </cell>
          <cell r="F1204">
            <v>3999.84</v>
          </cell>
          <cell r="G1204" t="str">
            <v>Gozando Férias</v>
          </cell>
          <cell r="H1204">
            <v>45180</v>
          </cell>
          <cell r="I1204">
            <v>24192</v>
          </cell>
          <cell r="J1204" t="str">
            <v>084.460.428-35</v>
          </cell>
          <cell r="K1204" t="str">
            <v>122.03651.51.4</v>
          </cell>
          <cell r="L1204" t="str">
            <v>Salário Mensal</v>
          </cell>
          <cell r="M1204" t="str">
            <v>Empregado (CLT)</v>
          </cell>
        </row>
        <row r="1205">
          <cell r="D1205" t="str">
            <v>ECOSAMPA Operação Geral</v>
          </cell>
          <cell r="E1205">
            <v>44760</v>
          </cell>
          <cell r="F1205">
            <v>3050.22</v>
          </cell>
          <cell r="G1205" t="str">
            <v>Em Atividade Normal</v>
          </cell>
          <cell r="H1205">
            <v>45177</v>
          </cell>
          <cell r="I1205">
            <v>30181</v>
          </cell>
          <cell r="J1205" t="str">
            <v>312.005.538-70</v>
          </cell>
          <cell r="K1205" t="str">
            <v>135.37763.89.0</v>
          </cell>
          <cell r="L1205" t="str">
            <v>Salário Mensal</v>
          </cell>
          <cell r="M1205" t="str">
            <v>Empregado (CLT)</v>
          </cell>
        </row>
        <row r="1206">
          <cell r="D1206" t="str">
            <v>ECOSAMPA Santo Amaro</v>
          </cell>
          <cell r="E1206">
            <v>43804</v>
          </cell>
          <cell r="F1206">
            <v>1281.23</v>
          </cell>
          <cell r="G1206" t="str">
            <v>Demitido em Meses Anteriores</v>
          </cell>
          <cell r="H1206">
            <v>43895</v>
          </cell>
          <cell r="I1206">
            <v>33695</v>
          </cell>
          <cell r="J1206" t="str">
            <v>409.867.008-94</v>
          </cell>
          <cell r="K1206" t="str">
            <v>138.96495.85.1</v>
          </cell>
          <cell r="L1206" t="str">
            <v>Salário Mensal</v>
          </cell>
          <cell r="M1206" t="str">
            <v>Empregado (CLT)</v>
          </cell>
        </row>
        <row r="1207">
          <cell r="D1207" t="str">
            <v>ECOSAMPA M'Boi Mirim</v>
          </cell>
          <cell r="E1207">
            <v>43617</v>
          </cell>
          <cell r="F1207">
            <v>1281.23</v>
          </cell>
          <cell r="G1207" t="str">
            <v>Demitido em Meses Anteriores</v>
          </cell>
          <cell r="H1207">
            <v>43808</v>
          </cell>
          <cell r="I1207">
            <v>25762</v>
          </cell>
          <cell r="J1207" t="str">
            <v>136.173.158-36</v>
          </cell>
          <cell r="K1207" t="str">
            <v>106.99938.44.6</v>
          </cell>
          <cell r="L1207" t="str">
            <v>Salário Mensal</v>
          </cell>
          <cell r="M1207" t="str">
            <v>Empregado (CLT)</v>
          </cell>
        </row>
        <row r="1208">
          <cell r="D1208" t="str">
            <v>ECOSAMPA Operação Geral</v>
          </cell>
          <cell r="E1208">
            <v>43617</v>
          </cell>
          <cell r="F1208">
            <v>1907.79</v>
          </cell>
          <cell r="G1208" t="str">
            <v>Em Atividade Normal</v>
          </cell>
          <cell r="H1208">
            <v>44898</v>
          </cell>
          <cell r="I1208">
            <v>30986</v>
          </cell>
          <cell r="J1208" t="str">
            <v>334.007.448-83</v>
          </cell>
          <cell r="K1208" t="str">
            <v>135.43113.85.1</v>
          </cell>
          <cell r="L1208" t="str">
            <v>Salário Mensal</v>
          </cell>
          <cell r="M1208" t="str">
            <v>Empregado (CLT)</v>
          </cell>
        </row>
        <row r="1209">
          <cell r="D1209" t="str">
            <v>ECOSAMPA Operação Geral</v>
          </cell>
          <cell r="E1209">
            <v>43617</v>
          </cell>
          <cell r="F1209">
            <v>4342.16</v>
          </cell>
          <cell r="G1209" t="str">
            <v>Demitido em Meses Anteriores</v>
          </cell>
          <cell r="H1209">
            <v>44104</v>
          </cell>
          <cell r="I1209">
            <v>27370</v>
          </cell>
          <cell r="J1209" t="str">
            <v>256.414.638-41</v>
          </cell>
          <cell r="K1209" t="str">
            <v>125.31743.49.0</v>
          </cell>
          <cell r="L1209" t="str">
            <v>Salário Mensal</v>
          </cell>
          <cell r="M1209" t="str">
            <v>Empregado (CLT)</v>
          </cell>
        </row>
        <row r="1210">
          <cell r="D1210" t="str">
            <v>ECOSAMPA Operação Geral</v>
          </cell>
          <cell r="E1210">
            <v>43617</v>
          </cell>
          <cell r="F1210">
            <v>4202.05</v>
          </cell>
          <cell r="G1210" t="str">
            <v>Em Atividade Normal</v>
          </cell>
          <cell r="H1210">
            <v>44806</v>
          </cell>
          <cell r="I1210">
            <v>24951</v>
          </cell>
          <cell r="J1210" t="str">
            <v>508.692.305-06</v>
          </cell>
          <cell r="K1210" t="str">
            <v>124.17332.79.7</v>
          </cell>
          <cell r="L1210" t="str">
            <v>Salário Mensal</v>
          </cell>
          <cell r="M1210" t="str">
            <v>Empregado (CLT)</v>
          </cell>
        </row>
        <row r="1211">
          <cell r="D1211" t="str">
            <v>ECOSAMPA Capela do Socorro</v>
          </cell>
          <cell r="E1211">
            <v>43617</v>
          </cell>
          <cell r="F1211">
            <v>3222.08</v>
          </cell>
          <cell r="G1211" t="str">
            <v>Em Atividade Normal</v>
          </cell>
          <cell r="H1211">
            <v>45149</v>
          </cell>
          <cell r="I1211">
            <v>30176</v>
          </cell>
          <cell r="J1211" t="str">
            <v>312.146.018-80</v>
          </cell>
          <cell r="K1211" t="str">
            <v>134.60536.93.3</v>
          </cell>
          <cell r="L1211" t="str">
            <v>Salário Mensal</v>
          </cell>
          <cell r="M1211" t="str">
            <v>Empregado (CLT)</v>
          </cell>
        </row>
        <row r="1212">
          <cell r="D1212" t="str">
            <v>ECOSAMPA Operação Geral</v>
          </cell>
          <cell r="E1212">
            <v>44967</v>
          </cell>
          <cell r="F1212">
            <v>1603.99</v>
          </cell>
          <cell r="G1212" t="str">
            <v>Demitido em Meses Anteriores</v>
          </cell>
          <cell r="H1212">
            <v>44981</v>
          </cell>
          <cell r="I1212">
            <v>29188</v>
          </cell>
          <cell r="J1212" t="str">
            <v>347.279.028-85</v>
          </cell>
          <cell r="K1212" t="str">
            <v>207.24843.87.0</v>
          </cell>
          <cell r="L1212" t="str">
            <v>Salário Mensal</v>
          </cell>
          <cell r="M1212" t="str">
            <v>Empregado (CLT)</v>
          </cell>
        </row>
        <row r="1213">
          <cell r="D1213" t="str">
            <v>ECOSAMPA Parelheiros</v>
          </cell>
          <cell r="E1213">
            <v>45131</v>
          </cell>
          <cell r="F1213">
            <v>1603.99</v>
          </cell>
          <cell r="G1213" t="str">
            <v>Em Atividade Normal</v>
          </cell>
          <cell r="H1213">
            <v>45131</v>
          </cell>
          <cell r="I1213">
            <v>29188</v>
          </cell>
          <cell r="J1213" t="str">
            <v>347.279.028-85</v>
          </cell>
          <cell r="K1213" t="str">
            <v>207.24843.87.0</v>
          </cell>
          <cell r="L1213" t="str">
            <v>Salário Mensal</v>
          </cell>
          <cell r="M1213" t="str">
            <v>Empregado (CLT)</v>
          </cell>
        </row>
        <row r="1214">
          <cell r="D1214" t="str">
            <v>ECOSAMPA Operação Geral</v>
          </cell>
          <cell r="E1214">
            <v>43617</v>
          </cell>
          <cell r="F1214">
            <v>2509.54</v>
          </cell>
          <cell r="G1214" t="str">
            <v>Demitido em Meses Anteriores</v>
          </cell>
          <cell r="H1214">
            <v>44232</v>
          </cell>
          <cell r="I1214">
            <v>31668</v>
          </cell>
          <cell r="J1214" t="str">
            <v>347.462.688-43</v>
          </cell>
          <cell r="K1214" t="str">
            <v>206.82057.91.0</v>
          </cell>
          <cell r="L1214" t="str">
            <v>Salário Mensal</v>
          </cell>
          <cell r="M1214" t="str">
            <v>Empregado (CLT)</v>
          </cell>
        </row>
        <row r="1215">
          <cell r="D1215" t="str">
            <v>ECOSAMPA Campo Limpo</v>
          </cell>
          <cell r="E1215">
            <v>43617</v>
          </cell>
          <cell r="F1215">
            <v>1319.67</v>
          </cell>
          <cell r="G1215" t="str">
            <v>Demitido em Meses Anteriores</v>
          </cell>
          <cell r="H1215">
            <v>44323</v>
          </cell>
          <cell r="I1215">
            <v>27698</v>
          </cell>
          <cell r="J1215" t="str">
            <v>778.059.415-72</v>
          </cell>
          <cell r="K1215" t="str">
            <v>126.31254.56.4</v>
          </cell>
          <cell r="L1215" t="str">
            <v>Salário Mensal</v>
          </cell>
          <cell r="M1215" t="str">
            <v>Empregado (CLT)</v>
          </cell>
        </row>
        <row r="1216">
          <cell r="D1216" t="str">
            <v>ECOSAMPA Santo Amaro</v>
          </cell>
          <cell r="E1216">
            <v>43617</v>
          </cell>
          <cell r="F1216">
            <v>1603.99</v>
          </cell>
          <cell r="G1216" t="str">
            <v>Em Atividade Normal</v>
          </cell>
          <cell r="H1216">
            <v>44960</v>
          </cell>
          <cell r="I1216">
            <v>24244</v>
          </cell>
          <cell r="J1216" t="str">
            <v>090.500.648-84</v>
          </cell>
          <cell r="K1216" t="str">
            <v>122.43717.21.4</v>
          </cell>
          <cell r="L1216" t="str">
            <v>Salário Mensal</v>
          </cell>
          <cell r="M1216" t="str">
            <v>Empregado (CLT)</v>
          </cell>
        </row>
        <row r="1217">
          <cell r="D1217" t="str">
            <v>ECOSAMPA Santo Amaro</v>
          </cell>
          <cell r="E1217">
            <v>43813</v>
          </cell>
          <cell r="F1217">
            <v>1319.67</v>
          </cell>
          <cell r="G1217" t="str">
            <v>Demitido em Meses Anteriores</v>
          </cell>
          <cell r="H1217">
            <v>44237</v>
          </cell>
          <cell r="I1217">
            <v>36401</v>
          </cell>
          <cell r="J1217" t="str">
            <v>495.311.368-31</v>
          </cell>
          <cell r="K1217" t="str">
            <v>207.80094.72.1</v>
          </cell>
          <cell r="L1217" t="str">
            <v>Salário Mensal</v>
          </cell>
          <cell r="M1217" t="str">
            <v>Empregado (CLT)</v>
          </cell>
        </row>
        <row r="1218">
          <cell r="D1218" t="str">
            <v>ECOSAMPA Capela do Socorro</v>
          </cell>
          <cell r="E1218">
            <v>44048</v>
          </cell>
          <cell r="F1218">
            <v>1603.99</v>
          </cell>
          <cell r="G1218" t="str">
            <v>Em Atividade Normal</v>
          </cell>
          <cell r="H1218">
            <v>45086</v>
          </cell>
          <cell r="I1218">
            <v>26808</v>
          </cell>
          <cell r="J1218" t="str">
            <v>660.114.265-49</v>
          </cell>
          <cell r="K1218" t="str">
            <v>124.97675.23.8</v>
          </cell>
          <cell r="L1218" t="str">
            <v>Salário Mensal</v>
          </cell>
          <cell r="M1218" t="str">
            <v>Empregado (CLT)</v>
          </cell>
        </row>
        <row r="1219">
          <cell r="D1219" t="str">
            <v>ECOSAMPA Santo Amaro</v>
          </cell>
          <cell r="E1219">
            <v>43874</v>
          </cell>
          <cell r="F1219">
            <v>1603.99</v>
          </cell>
          <cell r="G1219" t="str">
            <v>Em Atividade Normal</v>
          </cell>
          <cell r="H1219">
            <v>45177</v>
          </cell>
          <cell r="I1219">
            <v>23333</v>
          </cell>
          <cell r="J1219" t="str">
            <v>152.089.768-54</v>
          </cell>
          <cell r="K1219" t="str">
            <v>123.63800.01.1</v>
          </cell>
          <cell r="L1219" t="str">
            <v>Salário Mensal</v>
          </cell>
          <cell r="M1219" t="str">
            <v>Empregado (CLT)</v>
          </cell>
        </row>
        <row r="1220">
          <cell r="D1220" t="str">
            <v>ECOSAMPA M'Boi Mirim</v>
          </cell>
          <cell r="E1220">
            <v>43617</v>
          </cell>
          <cell r="F1220">
            <v>1603.99</v>
          </cell>
          <cell r="G1220" t="str">
            <v>Em Atividade Normal</v>
          </cell>
          <cell r="H1220">
            <v>45149</v>
          </cell>
          <cell r="I1220">
            <v>21080</v>
          </cell>
          <cell r="J1220" t="str">
            <v>013.767.668-92</v>
          </cell>
          <cell r="K1220" t="str">
            <v>106.14227.41.8</v>
          </cell>
          <cell r="L1220" t="str">
            <v>Salário Mensal</v>
          </cell>
          <cell r="M1220" t="str">
            <v>Empregado (CLT)</v>
          </cell>
        </row>
        <row r="1221">
          <cell r="D1221" t="str">
            <v>ECOSAMPA Capela do Socorro</v>
          </cell>
          <cell r="E1221">
            <v>43817</v>
          </cell>
          <cell r="F1221">
            <v>1464.83</v>
          </cell>
          <cell r="G1221" t="str">
            <v>Demitido em Meses Anteriores</v>
          </cell>
          <cell r="H1221">
            <v>44775</v>
          </cell>
          <cell r="I1221">
            <v>28317</v>
          </cell>
          <cell r="J1221" t="str">
            <v>274.535.138-98</v>
          </cell>
          <cell r="K1221" t="str">
            <v>131.36017.89.6</v>
          </cell>
          <cell r="L1221" t="str">
            <v>Salário Mensal</v>
          </cell>
          <cell r="M1221" t="str">
            <v>Empregado (CLT)</v>
          </cell>
        </row>
        <row r="1222">
          <cell r="D1222" t="str">
            <v>ECOSAMPA Santo Amaro</v>
          </cell>
          <cell r="E1222">
            <v>43811</v>
          </cell>
          <cell r="F1222">
            <v>1603.99</v>
          </cell>
          <cell r="G1222" t="str">
            <v>Em Atividade Normal</v>
          </cell>
          <cell r="H1222">
            <v>45119</v>
          </cell>
          <cell r="I1222">
            <v>30065</v>
          </cell>
          <cell r="J1222" t="str">
            <v>225.342.488-98</v>
          </cell>
          <cell r="K1222" t="str">
            <v>190.06578.25.0</v>
          </cell>
          <cell r="L1222" t="str">
            <v>Salário Mensal</v>
          </cell>
          <cell r="M1222" t="str">
            <v>Empregado (CLT)</v>
          </cell>
        </row>
        <row r="1223">
          <cell r="D1223" t="str">
            <v>ECOSAMPA Operação Geral</v>
          </cell>
          <cell r="E1223">
            <v>43739</v>
          </cell>
          <cell r="F1223">
            <v>2436.4499999999998</v>
          </cell>
          <cell r="G1223" t="str">
            <v>Demitido em Meses Anteriores</v>
          </cell>
          <cell r="H1223">
            <v>43808</v>
          </cell>
          <cell r="I1223">
            <v>23013</v>
          </cell>
          <cell r="J1223" t="str">
            <v>048.293.188-48</v>
          </cell>
          <cell r="K1223" t="str">
            <v>122.89593.04.6</v>
          </cell>
          <cell r="L1223" t="str">
            <v>Salário Mensal</v>
          </cell>
          <cell r="M1223" t="str">
            <v>Empregado (CLT)</v>
          </cell>
        </row>
        <row r="1224">
          <cell r="D1224" t="str">
            <v>ECOSAMPA Capela do Socorro</v>
          </cell>
          <cell r="E1224">
            <v>45061</v>
          </cell>
          <cell r="F1224">
            <v>1603.99</v>
          </cell>
          <cell r="G1224" t="str">
            <v>Em Atividade Normal</v>
          </cell>
          <cell r="H1224">
            <v>45061</v>
          </cell>
          <cell r="I1224">
            <v>24582</v>
          </cell>
          <cell r="J1224" t="str">
            <v>118.928.338-75</v>
          </cell>
          <cell r="K1224" t="str">
            <v>123.23699.70.0</v>
          </cell>
          <cell r="L1224" t="str">
            <v>Salário Mensal</v>
          </cell>
          <cell r="M1224" t="str">
            <v>Empregado (CLT)</v>
          </cell>
        </row>
        <row r="1225">
          <cell r="D1225" t="str">
            <v>ECOSAMPA Santo Amaro</v>
          </cell>
          <cell r="E1225">
            <v>43617</v>
          </cell>
          <cell r="F1225">
            <v>1603.99</v>
          </cell>
          <cell r="G1225" t="str">
            <v>Em Atividade Normal</v>
          </cell>
          <cell r="H1225">
            <v>44898</v>
          </cell>
          <cell r="I1225">
            <v>23628</v>
          </cell>
          <cell r="J1225" t="str">
            <v>999.364.534-68</v>
          </cell>
          <cell r="K1225" t="str">
            <v>124.44159.94.4</v>
          </cell>
          <cell r="L1225" t="str">
            <v>Salário Mensal</v>
          </cell>
          <cell r="M1225" t="str">
            <v>Empregado (CLT)</v>
          </cell>
        </row>
        <row r="1226">
          <cell r="D1226" t="str">
            <v>ECOSAMPA Campo Limpo</v>
          </cell>
          <cell r="E1226">
            <v>43617</v>
          </cell>
          <cell r="F1226">
            <v>1603.99</v>
          </cell>
          <cell r="G1226" t="str">
            <v>Em Atividade Normal</v>
          </cell>
          <cell r="H1226">
            <v>44776</v>
          </cell>
          <cell r="I1226">
            <v>23097</v>
          </cell>
          <cell r="J1226" t="str">
            <v>884.212.525-34</v>
          </cell>
          <cell r="K1226" t="str">
            <v>120.74602.14.8</v>
          </cell>
          <cell r="L1226" t="str">
            <v>Salário Mensal</v>
          </cell>
          <cell r="M1226" t="str">
            <v>Empregado (CLT)</v>
          </cell>
        </row>
        <row r="1227">
          <cell r="D1227" t="str">
            <v>ECOSAMPA Capela do Socorro</v>
          </cell>
          <cell r="E1227">
            <v>43617</v>
          </cell>
          <cell r="F1227">
            <v>1281.23</v>
          </cell>
          <cell r="G1227" t="str">
            <v>Demitido em Meses Anteriores</v>
          </cell>
          <cell r="H1227">
            <v>43808</v>
          </cell>
          <cell r="I1227">
            <v>20212</v>
          </cell>
          <cell r="J1227" t="str">
            <v>046.375.888-98</v>
          </cell>
          <cell r="K1227" t="str">
            <v>105.62356.05.0</v>
          </cell>
          <cell r="L1227" t="str">
            <v>Salário Mensal</v>
          </cell>
          <cell r="M1227" t="str">
            <v>Empregado (CLT)</v>
          </cell>
        </row>
        <row r="1228">
          <cell r="D1228" t="str">
            <v>ECOSAMPA M'Boi Mirim</v>
          </cell>
          <cell r="E1228">
            <v>43617</v>
          </cell>
          <cell r="F1228">
            <v>1603.99</v>
          </cell>
          <cell r="G1228" t="str">
            <v>Em Atividade Normal</v>
          </cell>
          <cell r="H1228">
            <v>44930</v>
          </cell>
          <cell r="I1228">
            <v>23059</v>
          </cell>
          <cell r="J1228" t="str">
            <v>116.461.558-07</v>
          </cell>
          <cell r="K1228" t="str">
            <v>123.24607.70.2</v>
          </cell>
          <cell r="L1228" t="str">
            <v>Salário Mensal</v>
          </cell>
          <cell r="M1228" t="str">
            <v>Empregado (CLT)</v>
          </cell>
        </row>
        <row r="1229">
          <cell r="D1229" t="str">
            <v>ECOSAMPA Operação Geral</v>
          </cell>
          <cell r="E1229">
            <v>43617</v>
          </cell>
          <cell r="F1229">
            <v>1231.95</v>
          </cell>
          <cell r="G1229" t="str">
            <v>Demitido em Meses Anteriores</v>
          </cell>
          <cell r="H1229">
            <v>43703</v>
          </cell>
          <cell r="I1229">
            <v>27576</v>
          </cell>
          <cell r="J1229" t="str">
            <v>184.652.298-64</v>
          </cell>
          <cell r="K1229" t="str">
            <v>125.46552.13.0</v>
          </cell>
          <cell r="L1229" t="str">
            <v>Salário Mensal</v>
          </cell>
          <cell r="M1229" t="str">
            <v>Empregado (CLT)</v>
          </cell>
        </row>
        <row r="1230">
          <cell r="D1230" t="str">
            <v>ECOSAMPA Parelheiros</v>
          </cell>
          <cell r="E1230">
            <v>43617</v>
          </cell>
          <cell r="F1230">
            <v>1281.23</v>
          </cell>
          <cell r="G1230" t="str">
            <v>Demitido em Meses Anteriores</v>
          </cell>
          <cell r="H1230">
            <v>43808</v>
          </cell>
          <cell r="I1230">
            <v>19693</v>
          </cell>
          <cell r="J1230" t="str">
            <v>168.767.414-00</v>
          </cell>
          <cell r="K1230" t="str">
            <v>106.99011.97.0</v>
          </cell>
          <cell r="L1230" t="str">
            <v>Salário Mensal</v>
          </cell>
          <cell r="M1230" t="str">
            <v>Empregado (CLT)</v>
          </cell>
        </row>
        <row r="1231">
          <cell r="D1231" t="str">
            <v>ECOSAMPA Santo Amaro</v>
          </cell>
          <cell r="E1231">
            <v>43617</v>
          </cell>
          <cell r="F1231">
            <v>1603.99</v>
          </cell>
          <cell r="G1231" t="str">
            <v>Em Atividade Normal</v>
          </cell>
          <cell r="H1231">
            <v>45119</v>
          </cell>
          <cell r="I1231">
            <v>21693</v>
          </cell>
          <cell r="J1231" t="str">
            <v>598.035.096-91</v>
          </cell>
          <cell r="K1231" t="str">
            <v>108.55700.33.2</v>
          </cell>
          <cell r="L1231" t="str">
            <v>Salário Mensal</v>
          </cell>
          <cell r="M1231" t="str">
            <v>Empregado (CLT)</v>
          </cell>
        </row>
        <row r="1232">
          <cell r="D1232" t="str">
            <v>ECOSAMPA Santo Amaro</v>
          </cell>
          <cell r="E1232">
            <v>43617</v>
          </cell>
          <cell r="F1232">
            <v>1603.99</v>
          </cell>
          <cell r="G1232" t="str">
            <v>Em Atividade Normal</v>
          </cell>
          <cell r="H1232">
            <v>45056</v>
          </cell>
          <cell r="I1232">
            <v>27183</v>
          </cell>
          <cell r="J1232" t="str">
            <v>039.644.324-90</v>
          </cell>
          <cell r="K1232" t="str">
            <v>132.50296.93.6</v>
          </cell>
          <cell r="L1232" t="str">
            <v>Salário Mensal</v>
          </cell>
          <cell r="M1232" t="str">
            <v>Empregado (CLT)</v>
          </cell>
        </row>
        <row r="1233">
          <cell r="D1233" t="str">
            <v>ECOSAMPA Operação Geral</v>
          </cell>
          <cell r="E1233">
            <v>43617</v>
          </cell>
          <cell r="F1233">
            <v>3050.22</v>
          </cell>
          <cell r="G1233" t="str">
            <v>Em Atividade Normal</v>
          </cell>
          <cell r="H1233">
            <v>44898</v>
          </cell>
          <cell r="I1233">
            <v>27838</v>
          </cell>
          <cell r="J1233" t="str">
            <v>908.010.165-68</v>
          </cell>
          <cell r="K1233" t="str">
            <v>125.85154.07.8</v>
          </cell>
          <cell r="L1233" t="str">
            <v>Salário Mensal</v>
          </cell>
          <cell r="M1233" t="str">
            <v>Empregado (CLT)</v>
          </cell>
        </row>
        <row r="1234">
          <cell r="D1234" t="str">
            <v>ECOSAMPA Operação Geral</v>
          </cell>
          <cell r="E1234">
            <v>43617</v>
          </cell>
          <cell r="F1234">
            <v>3050.22</v>
          </cell>
          <cell r="G1234" t="str">
            <v>Em Atividade Normal</v>
          </cell>
          <cell r="H1234">
            <v>45177</v>
          </cell>
          <cell r="I1234">
            <v>24093</v>
          </cell>
          <cell r="J1234" t="str">
            <v>562.798.504-63</v>
          </cell>
          <cell r="K1234" t="str">
            <v>123.75316.96.9</v>
          </cell>
          <cell r="L1234" t="str">
            <v>Salário Mensal</v>
          </cell>
          <cell r="M1234" t="str">
            <v>Empregado (CLT)</v>
          </cell>
        </row>
        <row r="1235">
          <cell r="D1235" t="str">
            <v>ECOSAMPA Operação Geral</v>
          </cell>
          <cell r="E1235">
            <v>43617</v>
          </cell>
          <cell r="F1235">
            <v>3050.22</v>
          </cell>
          <cell r="G1235" t="str">
            <v>Em Atividade Normal</v>
          </cell>
          <cell r="H1235">
            <v>45023</v>
          </cell>
          <cell r="I1235">
            <v>26285</v>
          </cell>
          <cell r="J1235" t="str">
            <v>591.273.254-15</v>
          </cell>
          <cell r="K1235" t="str">
            <v>122.73720.61.2</v>
          </cell>
          <cell r="L1235" t="str">
            <v>Salário Mensal</v>
          </cell>
          <cell r="M1235" t="str">
            <v>Empregado (CLT)</v>
          </cell>
        </row>
        <row r="1236">
          <cell r="D1236" t="str">
            <v>ECOSAMPA Operação Geral</v>
          </cell>
          <cell r="E1236">
            <v>43617</v>
          </cell>
          <cell r="F1236">
            <v>1907.79</v>
          </cell>
          <cell r="G1236" t="str">
            <v>Em Atividade Normal</v>
          </cell>
          <cell r="H1236">
            <v>45149</v>
          </cell>
          <cell r="I1236">
            <v>25632</v>
          </cell>
          <cell r="J1236" t="str">
            <v>776.529.754-68</v>
          </cell>
          <cell r="K1236" t="str">
            <v>124.15521.39.8</v>
          </cell>
          <cell r="L1236" t="str">
            <v>Salário Mensal</v>
          </cell>
          <cell r="M1236" t="str">
            <v>Empregado (CLT)</v>
          </cell>
        </row>
        <row r="1237">
          <cell r="D1237" t="str">
            <v>ECOSAMPA Capela do Socorro</v>
          </cell>
          <cell r="E1237">
            <v>43617</v>
          </cell>
          <cell r="F1237">
            <v>1907.79</v>
          </cell>
          <cell r="G1237" t="str">
            <v>Gozando Férias</v>
          </cell>
          <cell r="H1237">
            <v>45180</v>
          </cell>
          <cell r="I1237">
            <v>23264</v>
          </cell>
          <cell r="J1237" t="str">
            <v>128.076.768-55</v>
          </cell>
          <cell r="K1237" t="str">
            <v>122.37594.26.2</v>
          </cell>
          <cell r="L1237" t="str">
            <v>Salário Mensal</v>
          </cell>
          <cell r="M1237" t="str">
            <v>Empregado (CLT)</v>
          </cell>
        </row>
        <row r="1238">
          <cell r="D1238" t="str">
            <v>ECOSAMPA Operação Geral</v>
          </cell>
          <cell r="E1238">
            <v>43617</v>
          </cell>
          <cell r="F1238">
            <v>3222.08</v>
          </cell>
          <cell r="G1238" t="str">
            <v>Em Atividade Normal</v>
          </cell>
          <cell r="H1238">
            <v>44835</v>
          </cell>
          <cell r="I1238">
            <v>27677</v>
          </cell>
          <cell r="J1238" t="str">
            <v>248.193.648-55</v>
          </cell>
          <cell r="K1238" t="str">
            <v>124.79392.97.1</v>
          </cell>
          <cell r="L1238" t="str">
            <v>Salário Mensal</v>
          </cell>
          <cell r="M1238" t="str">
            <v>Empregado (CLT)</v>
          </cell>
        </row>
        <row r="1239">
          <cell r="D1239" t="str">
            <v>ECOSAMPA Operação Geral</v>
          </cell>
          <cell r="E1239">
            <v>43617</v>
          </cell>
          <cell r="F1239">
            <v>3999.84</v>
          </cell>
          <cell r="G1239" t="str">
            <v>Em Atividade Normal</v>
          </cell>
          <cell r="H1239">
            <v>44835</v>
          </cell>
          <cell r="I1239">
            <v>28867</v>
          </cell>
          <cell r="J1239" t="str">
            <v>259.144.538-95</v>
          </cell>
          <cell r="K1239" t="str">
            <v>128.49182.77.1</v>
          </cell>
          <cell r="L1239" t="str">
            <v>Salário Mensal</v>
          </cell>
          <cell r="M1239" t="str">
            <v>Empregado (CLT)</v>
          </cell>
        </row>
        <row r="1240">
          <cell r="D1240" t="str">
            <v>ECOSAMPA Capela do Socorro</v>
          </cell>
          <cell r="E1240">
            <v>43617</v>
          </cell>
          <cell r="F1240">
            <v>1603.99</v>
          </cell>
          <cell r="G1240" t="str">
            <v>Em Atividade Normal</v>
          </cell>
          <cell r="H1240">
            <v>44867</v>
          </cell>
          <cell r="I1240">
            <v>22937</v>
          </cell>
          <cell r="J1240" t="str">
            <v>068.107.638-05</v>
          </cell>
          <cell r="K1240" t="str">
            <v>108.36016.95.2</v>
          </cell>
          <cell r="L1240" t="str">
            <v>Salário Mensal</v>
          </cell>
          <cell r="M1240" t="str">
            <v>Empregado (CLT)</v>
          </cell>
        </row>
        <row r="1241">
          <cell r="D1241" t="str">
            <v>ECOSAMPA M'Boi Mirim</v>
          </cell>
          <cell r="E1241">
            <v>43617</v>
          </cell>
          <cell r="F1241">
            <v>1603.99</v>
          </cell>
          <cell r="G1241" t="str">
            <v>Em Atividade Normal</v>
          </cell>
          <cell r="H1241">
            <v>44744</v>
          </cell>
          <cell r="I1241">
            <v>29797</v>
          </cell>
          <cell r="J1241" t="str">
            <v>310.325.368-02</v>
          </cell>
          <cell r="K1241" t="str">
            <v>131.04202.81.7</v>
          </cell>
          <cell r="L1241" t="str">
            <v>Salário Mensal</v>
          </cell>
          <cell r="M1241" t="str">
            <v>Empregado (CLT)</v>
          </cell>
        </row>
        <row r="1242">
          <cell r="D1242" t="str">
            <v>ECOSAMPA Campo Limpo</v>
          </cell>
          <cell r="E1242">
            <v>43617</v>
          </cell>
          <cell r="F1242">
            <v>1603.99</v>
          </cell>
          <cell r="G1242" t="str">
            <v>Em Atividade Normal</v>
          </cell>
          <cell r="H1242">
            <v>44776</v>
          </cell>
          <cell r="I1242">
            <v>24191</v>
          </cell>
          <cell r="J1242" t="str">
            <v>472.103.464-49</v>
          </cell>
          <cell r="K1242" t="str">
            <v>123.08478.17.0</v>
          </cell>
          <cell r="L1242" t="str">
            <v>Salário Mensal</v>
          </cell>
          <cell r="M1242" t="str">
            <v>Empregado (CLT)</v>
          </cell>
        </row>
        <row r="1243">
          <cell r="D1243" t="str">
            <v>ECOSAMPA Operação Geral</v>
          </cell>
          <cell r="E1243">
            <v>44630</v>
          </cell>
          <cell r="F1243">
            <v>3222.08</v>
          </cell>
          <cell r="G1243" t="str">
            <v>Em Atividade Normal</v>
          </cell>
          <cell r="H1243">
            <v>44630</v>
          </cell>
          <cell r="I1243">
            <v>23979</v>
          </cell>
          <cell r="J1243" t="str">
            <v>320.066.915-20</v>
          </cell>
          <cell r="K1243" t="str">
            <v>121.88902.25.6</v>
          </cell>
          <cell r="L1243" t="str">
            <v>Salário Mensal</v>
          </cell>
          <cell r="M1243" t="str">
            <v>Empregado (CLT)</v>
          </cell>
        </row>
        <row r="1244">
          <cell r="D1244" t="str">
            <v>ECOSAMPA Capela do Socorro</v>
          </cell>
          <cell r="E1244">
            <v>43617</v>
          </cell>
          <cell r="F1244">
            <v>1603.99</v>
          </cell>
          <cell r="G1244" t="str">
            <v>Em Atividade Normal</v>
          </cell>
          <cell r="H1244">
            <v>44776</v>
          </cell>
          <cell r="I1244">
            <v>24324</v>
          </cell>
          <cell r="J1244" t="str">
            <v>532.616.155-91</v>
          </cell>
          <cell r="K1244" t="str">
            <v>126.83431.89.0</v>
          </cell>
          <cell r="L1244" t="str">
            <v>Salário Mensal</v>
          </cell>
          <cell r="M1244" t="str">
            <v>Empregado (CLT)</v>
          </cell>
        </row>
        <row r="1245">
          <cell r="D1245" t="str">
            <v>ECOSAMPA M'Boi Mirim</v>
          </cell>
          <cell r="E1245">
            <v>43617</v>
          </cell>
          <cell r="F1245">
            <v>1907.79</v>
          </cell>
          <cell r="G1245" t="str">
            <v>Em Atividade Normal</v>
          </cell>
          <cell r="H1245">
            <v>44960</v>
          </cell>
          <cell r="I1245">
            <v>23490</v>
          </cell>
          <cell r="J1245" t="str">
            <v>307.115.408-96</v>
          </cell>
          <cell r="K1245" t="str">
            <v>121.85210.20.5</v>
          </cell>
          <cell r="L1245" t="str">
            <v>Salário Mensal</v>
          </cell>
          <cell r="M1245" t="str">
            <v>Empregado (CLT)</v>
          </cell>
        </row>
        <row r="1246">
          <cell r="D1246" t="str">
            <v>ECOSAMPA Capela do Socorro</v>
          </cell>
          <cell r="E1246">
            <v>43617</v>
          </cell>
          <cell r="F1246">
            <v>1603.99</v>
          </cell>
          <cell r="G1246" t="str">
            <v>Em Atividade Normal</v>
          </cell>
          <cell r="H1246">
            <v>45119</v>
          </cell>
          <cell r="I1246">
            <v>19757</v>
          </cell>
          <cell r="J1246" t="str">
            <v>470.257.944-49</v>
          </cell>
          <cell r="K1246" t="str">
            <v>124.02054.34.6</v>
          </cell>
          <cell r="L1246" t="str">
            <v>Salário Mensal</v>
          </cell>
          <cell r="M1246" t="str">
            <v>Empregado (CLT)</v>
          </cell>
        </row>
        <row r="1247">
          <cell r="D1247" t="str">
            <v>ECOSAMPA Capela do Socorro</v>
          </cell>
          <cell r="E1247">
            <v>44630</v>
          </cell>
          <cell r="F1247">
            <v>1603.99</v>
          </cell>
          <cell r="G1247" t="str">
            <v>Em Atividade Normal</v>
          </cell>
          <cell r="H1247">
            <v>45086</v>
          </cell>
          <cell r="I1247">
            <v>28021</v>
          </cell>
          <cell r="J1247" t="str">
            <v>271.891.498-05</v>
          </cell>
          <cell r="K1247" t="str">
            <v>125.46526.77.6</v>
          </cell>
          <cell r="L1247" t="str">
            <v>Salário Mensal</v>
          </cell>
          <cell r="M1247" t="str">
            <v>Empregado (CLT)</v>
          </cell>
        </row>
        <row r="1248">
          <cell r="D1248" t="str">
            <v>ECOSAMPA Santo Amaro</v>
          </cell>
          <cell r="E1248">
            <v>43620</v>
          </cell>
          <cell r="F1248">
            <v>1603.99</v>
          </cell>
          <cell r="G1248" t="str">
            <v>Em Atividade Normal</v>
          </cell>
          <cell r="H1248">
            <v>44930</v>
          </cell>
          <cell r="I1248">
            <v>31713</v>
          </cell>
          <cell r="J1248" t="str">
            <v>365.720.598-55</v>
          </cell>
          <cell r="K1248" t="str">
            <v>209.79797.15.7</v>
          </cell>
          <cell r="L1248" t="str">
            <v>Salário Mensal</v>
          </cell>
          <cell r="M1248" t="str">
            <v>Empregado (CLT)</v>
          </cell>
        </row>
        <row r="1249">
          <cell r="D1249" t="str">
            <v>ECOSAMPA Capela do Socorro</v>
          </cell>
          <cell r="E1249">
            <v>43617</v>
          </cell>
          <cell r="F1249">
            <v>1281.23</v>
          </cell>
          <cell r="G1249" t="str">
            <v>Demitido em Meses Anteriores</v>
          </cell>
          <cell r="H1249">
            <v>43808</v>
          </cell>
          <cell r="I1249">
            <v>20978</v>
          </cell>
          <cell r="J1249" t="str">
            <v>029.976.298-02</v>
          </cell>
          <cell r="K1249" t="str">
            <v>107.70100.04.7</v>
          </cell>
          <cell r="L1249" t="str">
            <v>Salário Mensal</v>
          </cell>
          <cell r="M1249" t="str">
            <v>Empregado (CLT)</v>
          </cell>
        </row>
        <row r="1250">
          <cell r="D1250" t="str">
            <v>ECOSAMPA Santo Amaro</v>
          </cell>
          <cell r="E1250">
            <v>43617</v>
          </cell>
          <cell r="F1250">
            <v>1319.67</v>
          </cell>
          <cell r="G1250" t="str">
            <v>Demitido em Meses Anteriores</v>
          </cell>
          <cell r="H1250">
            <v>44263</v>
          </cell>
          <cell r="I1250">
            <v>20590</v>
          </cell>
          <cell r="J1250" t="str">
            <v>060.540.078-40</v>
          </cell>
          <cell r="K1250" t="str">
            <v>120.06695.74.8</v>
          </cell>
          <cell r="L1250" t="str">
            <v>Salário Mensal</v>
          </cell>
          <cell r="M1250" t="str">
            <v>Empregado (CLT)</v>
          </cell>
        </row>
        <row r="1251">
          <cell r="D1251" t="str">
            <v>ECOSAMPA Parelheiros</v>
          </cell>
          <cell r="E1251">
            <v>43617</v>
          </cell>
          <cell r="F1251">
            <v>1231.95</v>
          </cell>
          <cell r="G1251" t="str">
            <v>Demitido em Meses Anteriores</v>
          </cell>
          <cell r="H1251">
            <v>43703</v>
          </cell>
          <cell r="I1251">
            <v>28952</v>
          </cell>
          <cell r="J1251" t="str">
            <v>296.600.458-40</v>
          </cell>
          <cell r="K1251" t="str">
            <v>130.87644.93.4</v>
          </cell>
          <cell r="L1251" t="str">
            <v>Salário Mensal</v>
          </cell>
          <cell r="M1251" t="str">
            <v>Empregado (CLT)</v>
          </cell>
        </row>
        <row r="1252">
          <cell r="D1252" t="str">
            <v>ECOSAMPA M'Boi Mirim</v>
          </cell>
          <cell r="E1252">
            <v>43617</v>
          </cell>
          <cell r="F1252">
            <v>1603.99</v>
          </cell>
          <cell r="G1252" t="str">
            <v>Em Atividade Normal</v>
          </cell>
          <cell r="H1252">
            <v>45149</v>
          </cell>
          <cell r="I1252">
            <v>21994</v>
          </cell>
          <cell r="J1252" t="str">
            <v>293.526.734-68</v>
          </cell>
          <cell r="K1252" t="str">
            <v>120.54052.11.8</v>
          </cell>
          <cell r="L1252" t="str">
            <v>Salário Mensal</v>
          </cell>
          <cell r="M1252" t="str">
            <v>Empregado (CLT)</v>
          </cell>
        </row>
        <row r="1253">
          <cell r="D1253" t="str">
            <v>ECOSAMPA Campo Limpo</v>
          </cell>
          <cell r="E1253">
            <v>43617</v>
          </cell>
          <cell r="F1253">
            <v>1603.99</v>
          </cell>
          <cell r="G1253" t="str">
            <v>Em Atividade Normal</v>
          </cell>
          <cell r="H1253">
            <v>44806</v>
          </cell>
          <cell r="I1253">
            <v>25875</v>
          </cell>
          <cell r="J1253" t="str">
            <v>148.416.558-67</v>
          </cell>
          <cell r="K1253" t="str">
            <v>124.26689.13.9</v>
          </cell>
          <cell r="L1253" t="str">
            <v>Salário Mensal</v>
          </cell>
          <cell r="M1253" t="str">
            <v>Empregado (CLT)</v>
          </cell>
        </row>
        <row r="1254">
          <cell r="D1254" t="str">
            <v>ECOSAMPA Parelheiros</v>
          </cell>
          <cell r="E1254">
            <v>43617</v>
          </cell>
          <cell r="F1254">
            <v>1907.79</v>
          </cell>
          <cell r="G1254" t="str">
            <v>Em Atividade Normal</v>
          </cell>
          <cell r="H1254">
            <v>45069</v>
          </cell>
          <cell r="I1254">
            <v>22713</v>
          </cell>
          <cell r="J1254" t="str">
            <v>654.138.736-20</v>
          </cell>
          <cell r="K1254" t="str">
            <v>124.15479.23.5</v>
          </cell>
          <cell r="L1254" t="str">
            <v>Salário Mensal</v>
          </cell>
          <cell r="M1254" t="str">
            <v>Empregado (CLT)</v>
          </cell>
        </row>
        <row r="1255">
          <cell r="D1255" t="str">
            <v>ECOSAMPA Operação Geral</v>
          </cell>
          <cell r="E1255">
            <v>43617</v>
          </cell>
          <cell r="F1255">
            <v>2342.7399999999998</v>
          </cell>
          <cell r="G1255" t="str">
            <v>Demitido em Meses Anteriores</v>
          </cell>
          <cell r="H1255">
            <v>43633</v>
          </cell>
          <cell r="I1255">
            <v>19640</v>
          </cell>
          <cell r="J1255" t="str">
            <v>636.803.198-00</v>
          </cell>
          <cell r="K1255" t="str">
            <v>104.26745.40.7</v>
          </cell>
          <cell r="L1255" t="str">
            <v>Salário Mensal</v>
          </cell>
          <cell r="M1255" t="str">
            <v>Empregado (CLT)</v>
          </cell>
        </row>
        <row r="1256">
          <cell r="D1256" t="str">
            <v>ECOSAMPA Santo Amaro</v>
          </cell>
          <cell r="E1256">
            <v>45180</v>
          </cell>
          <cell r="F1256">
            <v>1603.99</v>
          </cell>
          <cell r="G1256" t="str">
            <v>Em Atividade Normal</v>
          </cell>
          <cell r="H1256">
            <v>45180</v>
          </cell>
          <cell r="I1256">
            <v>33135</v>
          </cell>
          <cell r="J1256" t="str">
            <v>092.443.554-26</v>
          </cell>
          <cell r="K1256" t="str">
            <v>201.83062.74.9</v>
          </cell>
          <cell r="L1256" t="str">
            <v>Salário Mensal</v>
          </cell>
          <cell r="M1256" t="str">
            <v>Empregado (CLT)</v>
          </cell>
        </row>
        <row r="1257">
          <cell r="D1257" t="str">
            <v>ECOSAMPA Santo Amaro</v>
          </cell>
          <cell r="E1257">
            <v>43617</v>
          </cell>
          <cell r="F1257">
            <v>1603.99</v>
          </cell>
          <cell r="G1257" t="str">
            <v>Demitido em Meses Anteriores</v>
          </cell>
          <cell r="H1257">
            <v>44896</v>
          </cell>
          <cell r="I1257">
            <v>23634</v>
          </cell>
          <cell r="J1257" t="str">
            <v>065.520.738-44</v>
          </cell>
          <cell r="K1257" t="str">
            <v>121.01060.66.5</v>
          </cell>
          <cell r="L1257" t="str">
            <v>Salário Mensal</v>
          </cell>
          <cell r="M1257" t="str">
            <v>Empregado (CLT)</v>
          </cell>
        </row>
        <row r="1258">
          <cell r="D1258" t="str">
            <v>ECOSAMPA Campo Limpo</v>
          </cell>
          <cell r="E1258">
            <v>43617</v>
          </cell>
          <cell r="F1258">
            <v>1464.83</v>
          </cell>
          <cell r="G1258" t="str">
            <v>Demitido em Meses Anteriores</v>
          </cell>
          <cell r="H1258">
            <v>44806</v>
          </cell>
          <cell r="I1258">
            <v>24795</v>
          </cell>
          <cell r="J1258" t="str">
            <v>129.939.208-39</v>
          </cell>
          <cell r="K1258" t="str">
            <v>120.94279.55.5</v>
          </cell>
          <cell r="L1258" t="str">
            <v>Salário Mensal</v>
          </cell>
          <cell r="M1258" t="str">
            <v>Empregado (CLT)</v>
          </cell>
        </row>
        <row r="1259">
          <cell r="D1259" t="str">
            <v>ECOSAMPA M'Boi Mirim</v>
          </cell>
          <cell r="E1259">
            <v>43620</v>
          </cell>
          <cell r="F1259">
            <v>1603.99</v>
          </cell>
          <cell r="G1259" t="str">
            <v>Em Atividade Normal</v>
          </cell>
          <cell r="H1259">
            <v>45056</v>
          </cell>
          <cell r="I1259">
            <v>23535</v>
          </cell>
          <cell r="J1259" t="str">
            <v>227.810.458-61</v>
          </cell>
          <cell r="K1259" t="str">
            <v>124.84985.14.4</v>
          </cell>
          <cell r="L1259" t="str">
            <v>Salário Mensal</v>
          </cell>
          <cell r="M1259" t="str">
            <v>Empregado (CLT)</v>
          </cell>
        </row>
        <row r="1260">
          <cell r="D1260" t="str">
            <v>ECOSAMPA Operação Geral</v>
          </cell>
          <cell r="E1260">
            <v>43617</v>
          </cell>
          <cell r="F1260">
            <v>2342.7399999999998</v>
          </cell>
          <cell r="G1260" t="str">
            <v>Demitido em Meses Anteriores</v>
          </cell>
          <cell r="H1260">
            <v>43704</v>
          </cell>
          <cell r="I1260">
            <v>24270</v>
          </cell>
          <cell r="J1260" t="str">
            <v>580.591.805-68</v>
          </cell>
          <cell r="K1260" t="str">
            <v>200.49621.70.4</v>
          </cell>
          <cell r="L1260" t="str">
            <v>Salário Mensal</v>
          </cell>
          <cell r="M1260" t="str">
            <v>Empregado (CLT)</v>
          </cell>
        </row>
        <row r="1261">
          <cell r="D1261" t="str">
            <v>ECOSAMPA Operação Geral</v>
          </cell>
          <cell r="E1261">
            <v>43813</v>
          </cell>
          <cell r="F1261">
            <v>3050.22</v>
          </cell>
          <cell r="G1261" t="str">
            <v>Demitido em Meses Anteriores</v>
          </cell>
          <cell r="H1261">
            <v>45006</v>
          </cell>
          <cell r="I1261">
            <v>27418</v>
          </cell>
          <cell r="J1261" t="str">
            <v>189.671.608-36</v>
          </cell>
          <cell r="K1261" t="str">
            <v>123.99705.30.2</v>
          </cell>
          <cell r="L1261" t="str">
            <v>Salário Mensal</v>
          </cell>
          <cell r="M1261" t="str">
            <v>Empregado (CLT)</v>
          </cell>
        </row>
        <row r="1262">
          <cell r="D1262" t="str">
            <v>ECOSAMPA Operação Geral</v>
          </cell>
          <cell r="E1262">
            <v>43620</v>
          </cell>
          <cell r="F1262">
            <v>3050.22</v>
          </cell>
          <cell r="G1262" t="str">
            <v>Em Atividade Normal</v>
          </cell>
          <cell r="H1262">
            <v>44898</v>
          </cell>
          <cell r="I1262">
            <v>32222</v>
          </cell>
          <cell r="J1262" t="str">
            <v>376.740.358-75</v>
          </cell>
          <cell r="K1262" t="str">
            <v>203.91533.57.0</v>
          </cell>
          <cell r="L1262" t="str">
            <v>Salário Mensal</v>
          </cell>
          <cell r="M1262" t="str">
            <v>Empregado (CLT)</v>
          </cell>
        </row>
        <row r="1263">
          <cell r="D1263" t="str">
            <v>ECOSAMPA M'Boi Mirim</v>
          </cell>
          <cell r="E1263">
            <v>43617</v>
          </cell>
          <cell r="F1263">
            <v>1231.95</v>
          </cell>
          <cell r="G1263" t="str">
            <v>Demitido em Meses Anteriores</v>
          </cell>
          <cell r="H1263">
            <v>43703</v>
          </cell>
          <cell r="I1263">
            <v>25438</v>
          </cell>
          <cell r="J1263" t="str">
            <v>724.761.336-04</v>
          </cell>
          <cell r="K1263" t="str">
            <v>123.91008.00.9</v>
          </cell>
          <cell r="L1263" t="str">
            <v>Salário Mensal</v>
          </cell>
          <cell r="M1263" t="str">
            <v>Empregado (CLT)</v>
          </cell>
        </row>
        <row r="1264">
          <cell r="D1264" t="str">
            <v>ECOSAMPA Operação Geral</v>
          </cell>
          <cell r="E1264">
            <v>43916</v>
          </cell>
          <cell r="F1264">
            <v>1603.99</v>
          </cell>
          <cell r="G1264" t="str">
            <v>Em Atividade Normal</v>
          </cell>
          <cell r="H1264">
            <v>45056</v>
          </cell>
          <cell r="I1264">
            <v>27353</v>
          </cell>
          <cell r="J1264" t="str">
            <v>254.680.218-62</v>
          </cell>
          <cell r="K1264" t="str">
            <v>125.25887.45.1</v>
          </cell>
          <cell r="L1264" t="str">
            <v>Salário Mensal</v>
          </cell>
          <cell r="M1264" t="str">
            <v>Empregado (CLT)</v>
          </cell>
        </row>
        <row r="1265">
          <cell r="D1265" t="str">
            <v>ECOSAMPA Capela do Socorro</v>
          </cell>
          <cell r="E1265">
            <v>43617</v>
          </cell>
          <cell r="F1265">
            <v>1603.99</v>
          </cell>
          <cell r="G1265" t="str">
            <v>Em Atividade Normal</v>
          </cell>
          <cell r="H1265">
            <v>44806</v>
          </cell>
          <cell r="I1265">
            <v>26952</v>
          </cell>
          <cell r="J1265" t="str">
            <v>826.056.454-87</v>
          </cell>
          <cell r="K1265" t="str">
            <v>125.61422.81.1</v>
          </cell>
          <cell r="L1265" t="str">
            <v>Salário Mensal</v>
          </cell>
          <cell r="M1265" t="str">
            <v>Empregado (CLT)</v>
          </cell>
        </row>
        <row r="1266">
          <cell r="D1266" t="str">
            <v>ECOSAMPA Parelheiros</v>
          </cell>
          <cell r="E1266">
            <v>43621</v>
          </cell>
          <cell r="F1266">
            <v>1907.79</v>
          </cell>
          <cell r="G1266" t="str">
            <v>Em Atividade Normal</v>
          </cell>
          <cell r="H1266">
            <v>45056</v>
          </cell>
          <cell r="I1266">
            <v>27625</v>
          </cell>
          <cell r="J1266" t="str">
            <v>294.936.578-76</v>
          </cell>
          <cell r="K1266" t="str">
            <v>127.96707.81.6</v>
          </cell>
          <cell r="L1266" t="str">
            <v>Salário Mensal</v>
          </cell>
          <cell r="M1266" t="str">
            <v>Empregado (CLT)</v>
          </cell>
        </row>
        <row r="1267">
          <cell r="D1267" t="str">
            <v>ECOSAMPA Campo Limpo</v>
          </cell>
          <cell r="E1267">
            <v>43617</v>
          </cell>
          <cell r="F1267">
            <v>1603.99</v>
          </cell>
          <cell r="G1267" t="str">
            <v>Em Atividade Normal</v>
          </cell>
          <cell r="H1267">
            <v>45023</v>
          </cell>
          <cell r="I1267">
            <v>25090</v>
          </cell>
          <cell r="J1267" t="str">
            <v>254.680.378-66</v>
          </cell>
          <cell r="K1267" t="str">
            <v>122.76224.04.7</v>
          </cell>
          <cell r="L1267" t="str">
            <v>Salário Mensal</v>
          </cell>
          <cell r="M1267" t="str">
            <v>Empregado (CLT)</v>
          </cell>
        </row>
        <row r="1268">
          <cell r="D1268" t="str">
            <v>ECOSAMPA Santo Amaro</v>
          </cell>
          <cell r="E1268">
            <v>43617</v>
          </cell>
          <cell r="F1268">
            <v>1281.23</v>
          </cell>
          <cell r="G1268" t="str">
            <v>Demitido em Meses Anteriores</v>
          </cell>
          <cell r="H1268">
            <v>43956</v>
          </cell>
          <cell r="I1268">
            <v>28663</v>
          </cell>
          <cell r="J1268" t="str">
            <v>067.057.206-38</v>
          </cell>
          <cell r="K1268" t="str">
            <v>128.80178.34.9</v>
          </cell>
          <cell r="L1268" t="str">
            <v>Salário Mensal</v>
          </cell>
          <cell r="M1268" t="str">
            <v>Empregado (CLT)</v>
          </cell>
        </row>
        <row r="1269">
          <cell r="D1269" t="str">
            <v>ECOSAMPA Operação Geral</v>
          </cell>
          <cell r="E1269">
            <v>44967</v>
          </cell>
          <cell r="F1269">
            <v>1603.99</v>
          </cell>
          <cell r="G1269" t="str">
            <v>Demitido em Meses Anteriores</v>
          </cell>
          <cell r="H1269">
            <v>44981</v>
          </cell>
          <cell r="I1269">
            <v>31479</v>
          </cell>
          <cell r="J1269" t="str">
            <v>353.831.978-26</v>
          </cell>
          <cell r="K1269" t="str">
            <v>207.22163.80.5</v>
          </cell>
          <cell r="L1269" t="str">
            <v>Salário Mensal</v>
          </cell>
          <cell r="M1269" t="str">
            <v>Empregado (CLT)</v>
          </cell>
        </row>
        <row r="1270">
          <cell r="D1270" t="str">
            <v>ECOSAMPA Santo Amaro</v>
          </cell>
          <cell r="E1270">
            <v>43617</v>
          </cell>
          <cell r="F1270">
            <v>1603.99</v>
          </cell>
          <cell r="G1270" t="str">
            <v>Em Atividade Normal</v>
          </cell>
          <cell r="H1270">
            <v>44930</v>
          </cell>
          <cell r="I1270">
            <v>29951</v>
          </cell>
          <cell r="J1270" t="str">
            <v>224.388.118-70</v>
          </cell>
          <cell r="K1270" t="str">
            <v>210.14642.58.4</v>
          </cell>
          <cell r="L1270" t="str">
            <v>Salário Mensal</v>
          </cell>
          <cell r="M1270" t="str">
            <v>Empregado (CLT)</v>
          </cell>
        </row>
        <row r="1271">
          <cell r="D1271" t="str">
            <v>ECOSAMPA Operação Geral</v>
          </cell>
          <cell r="E1271">
            <v>43617</v>
          </cell>
          <cell r="F1271">
            <v>3050.22</v>
          </cell>
          <cell r="G1271" t="str">
            <v>Gozando Férias</v>
          </cell>
          <cell r="H1271">
            <v>45180</v>
          </cell>
          <cell r="I1271">
            <v>23543</v>
          </cell>
          <cell r="J1271" t="str">
            <v>253.966.708-27</v>
          </cell>
          <cell r="K1271" t="str">
            <v>125.09956.83.5</v>
          </cell>
          <cell r="L1271" t="str">
            <v>Salário Mensal</v>
          </cell>
          <cell r="M1271" t="str">
            <v>Empregado (CLT)</v>
          </cell>
        </row>
        <row r="1272">
          <cell r="D1272" t="str">
            <v>ECOSAMPA Capela do Socorro</v>
          </cell>
          <cell r="E1272">
            <v>43617</v>
          </cell>
          <cell r="F1272">
            <v>1603.99</v>
          </cell>
          <cell r="G1272" t="str">
            <v>Em Atividade Normal</v>
          </cell>
          <cell r="H1272">
            <v>45119</v>
          </cell>
          <cell r="I1272">
            <v>17633</v>
          </cell>
          <cell r="J1272" t="str">
            <v>570.166.078-87</v>
          </cell>
          <cell r="K1272" t="str">
            <v>105.52618.13.3</v>
          </cell>
          <cell r="L1272" t="str">
            <v>Salário Mensal</v>
          </cell>
          <cell r="M1272" t="str">
            <v>Empregado (CLT)</v>
          </cell>
        </row>
        <row r="1273">
          <cell r="D1273" t="str">
            <v>ECOSAMPA Santo Amaro</v>
          </cell>
          <cell r="E1273">
            <v>43617</v>
          </cell>
          <cell r="F1273">
            <v>1603.99</v>
          </cell>
          <cell r="G1273" t="str">
            <v>Em Atividade Normal</v>
          </cell>
          <cell r="H1273">
            <v>44960</v>
          </cell>
          <cell r="I1273">
            <v>23070</v>
          </cell>
          <cell r="J1273" t="str">
            <v>153.239.748-85</v>
          </cell>
          <cell r="K1273" t="str">
            <v>120.08300.29.5</v>
          </cell>
          <cell r="L1273" t="str">
            <v>Salário Mensal</v>
          </cell>
          <cell r="M1273" t="str">
            <v>Empregado (CLT)</v>
          </cell>
        </row>
        <row r="1274">
          <cell r="D1274" t="str">
            <v>ECOSAMPA Operação Geral</v>
          </cell>
          <cell r="E1274">
            <v>44967</v>
          </cell>
          <cell r="F1274">
            <v>1603.99</v>
          </cell>
          <cell r="G1274" t="str">
            <v>Demitido em Meses Anteriores</v>
          </cell>
          <cell r="H1274">
            <v>44981</v>
          </cell>
          <cell r="I1274">
            <v>34898</v>
          </cell>
          <cell r="J1274" t="str">
            <v>466.486.058-71</v>
          </cell>
          <cell r="K1274" t="str">
            <v>204.16141.82.4</v>
          </cell>
          <cell r="L1274" t="str">
            <v>Salário Mensal</v>
          </cell>
          <cell r="M1274" t="str">
            <v>Empregado (CLT)</v>
          </cell>
        </row>
        <row r="1275">
          <cell r="D1275" t="str">
            <v>ECOSAMPA Capela do Socorro</v>
          </cell>
          <cell r="E1275">
            <v>44487</v>
          </cell>
          <cell r="F1275">
            <v>1603.99</v>
          </cell>
          <cell r="G1275" t="str">
            <v>Em Atividade Normal</v>
          </cell>
          <cell r="H1275">
            <v>45149</v>
          </cell>
          <cell r="I1275">
            <v>24930</v>
          </cell>
          <cell r="J1275" t="str">
            <v>105.423.138-98</v>
          </cell>
          <cell r="K1275" t="str">
            <v>122.71791.65.2</v>
          </cell>
          <cell r="L1275" t="str">
            <v>Salário Mensal</v>
          </cell>
          <cell r="M1275" t="str">
            <v>Empregado (CLT)</v>
          </cell>
        </row>
        <row r="1276">
          <cell r="D1276" t="str">
            <v>ECOSAMPA Capela do Socorro</v>
          </cell>
          <cell r="E1276">
            <v>43617</v>
          </cell>
          <cell r="F1276">
            <v>1603.99</v>
          </cell>
          <cell r="G1276" t="str">
            <v>Em Atividade Normal</v>
          </cell>
          <cell r="H1276">
            <v>44960</v>
          </cell>
          <cell r="I1276">
            <v>23587</v>
          </cell>
          <cell r="J1276" t="str">
            <v>065.413.498-78</v>
          </cell>
          <cell r="K1276" t="str">
            <v>121.13481.68.7</v>
          </cell>
          <cell r="L1276" t="str">
            <v>Salário Mensal</v>
          </cell>
          <cell r="M1276" t="str">
            <v>Empregado (CLT)</v>
          </cell>
        </row>
        <row r="1277">
          <cell r="D1277" t="str">
            <v>ECOSAMPA Capela do Socorro</v>
          </cell>
          <cell r="E1277">
            <v>43617</v>
          </cell>
          <cell r="F1277">
            <v>1603.99</v>
          </cell>
          <cell r="G1277" t="str">
            <v>Em Atividade Normal</v>
          </cell>
          <cell r="H1277">
            <v>44898</v>
          </cell>
          <cell r="I1277">
            <v>26821</v>
          </cell>
          <cell r="J1277" t="str">
            <v>873.245.126-15</v>
          </cell>
          <cell r="K1277" t="str">
            <v>124.88657.02.8</v>
          </cell>
          <cell r="L1277" t="str">
            <v>Salário Mensal</v>
          </cell>
          <cell r="M1277" t="str">
            <v>Empregado (CLT)</v>
          </cell>
        </row>
        <row r="1278">
          <cell r="D1278" t="str">
            <v>ECOSAMPA Capela do Socorro</v>
          </cell>
          <cell r="E1278">
            <v>43617</v>
          </cell>
          <cell r="F1278">
            <v>1603.99</v>
          </cell>
          <cell r="G1278" t="str">
            <v>Em Atividade Normal</v>
          </cell>
          <cell r="H1278">
            <v>44898</v>
          </cell>
          <cell r="I1278">
            <v>26779</v>
          </cell>
          <cell r="J1278" t="str">
            <v>658.663.555-15</v>
          </cell>
          <cell r="K1278" t="str">
            <v>124.73482.99.5</v>
          </cell>
          <cell r="L1278" t="str">
            <v>Salário Mensal</v>
          </cell>
          <cell r="M1278" t="str">
            <v>Empregado (CLT)</v>
          </cell>
        </row>
        <row r="1279">
          <cell r="D1279" t="str">
            <v>ECOSAMPA Santo Amaro</v>
          </cell>
          <cell r="E1279">
            <v>43617</v>
          </cell>
          <cell r="F1279">
            <v>1603.99</v>
          </cell>
          <cell r="G1279" t="str">
            <v>Em Atividade Normal</v>
          </cell>
          <cell r="H1279">
            <v>44898</v>
          </cell>
          <cell r="I1279">
            <v>25968</v>
          </cell>
          <cell r="J1279" t="str">
            <v>563.871.135-04</v>
          </cell>
          <cell r="K1279" t="str">
            <v>124.68283.10.6</v>
          </cell>
          <cell r="L1279" t="str">
            <v>Salário Mensal</v>
          </cell>
          <cell r="M1279" t="str">
            <v>Empregado (CLT)</v>
          </cell>
        </row>
        <row r="1280">
          <cell r="D1280" t="str">
            <v>ECOSAMPA Operação Geral</v>
          </cell>
          <cell r="E1280">
            <v>43916</v>
          </cell>
          <cell r="F1280">
            <v>1603.99</v>
          </cell>
          <cell r="G1280" t="str">
            <v>Em Atividade Normal</v>
          </cell>
          <cell r="H1280">
            <v>45149</v>
          </cell>
          <cell r="I1280">
            <v>27104</v>
          </cell>
          <cell r="J1280" t="str">
            <v>270.984.598-95</v>
          </cell>
          <cell r="K1280" t="str">
            <v>126.24127.81.1</v>
          </cell>
          <cell r="L1280" t="str">
            <v>Salário Mensal</v>
          </cell>
          <cell r="M1280" t="str">
            <v>Empregado (CLT)</v>
          </cell>
        </row>
        <row r="1281">
          <cell r="D1281" t="str">
            <v>ECOSAMPA Operação Geral</v>
          </cell>
          <cell r="E1281">
            <v>45117</v>
          </cell>
          <cell r="F1281">
            <v>3050.22</v>
          </cell>
          <cell r="G1281" t="str">
            <v>Em Atividade Normal</v>
          </cell>
          <cell r="H1281">
            <v>45117</v>
          </cell>
          <cell r="I1281">
            <v>25420</v>
          </cell>
          <cell r="J1281" t="str">
            <v>387.320.333-20</v>
          </cell>
          <cell r="K1281" t="str">
            <v>123.84370.93.8</v>
          </cell>
          <cell r="L1281" t="str">
            <v>Salário Mensal</v>
          </cell>
          <cell r="M1281" t="str">
            <v>Empregado (CLT)</v>
          </cell>
        </row>
        <row r="1282">
          <cell r="D1282" t="str">
            <v>ECOSAMPA Santo Amaro</v>
          </cell>
          <cell r="E1282">
            <v>43617</v>
          </cell>
          <cell r="F1282">
            <v>1603.99</v>
          </cell>
          <cell r="G1282" t="str">
            <v>Demitido no Mês</v>
          </cell>
          <cell r="H1282">
            <v>45195</v>
          </cell>
          <cell r="I1282">
            <v>25805</v>
          </cell>
          <cell r="J1282" t="str">
            <v>151.220.118-93</v>
          </cell>
          <cell r="K1282" t="str">
            <v>123.51523.47.6</v>
          </cell>
          <cell r="L1282" t="str">
            <v>Salário Mensal</v>
          </cell>
          <cell r="M1282" t="str">
            <v>Empregado (CLT)</v>
          </cell>
        </row>
        <row r="1283">
          <cell r="D1283" t="str">
            <v>ECOSAMPA Santo Amaro</v>
          </cell>
          <cell r="E1283">
            <v>43617</v>
          </cell>
          <cell r="F1283">
            <v>1319.67</v>
          </cell>
          <cell r="G1283" t="str">
            <v>Demitido em Meses Anteriores</v>
          </cell>
          <cell r="H1283">
            <v>44082</v>
          </cell>
          <cell r="I1283">
            <v>23517</v>
          </cell>
          <cell r="J1283" t="str">
            <v>765.345.707-00</v>
          </cell>
          <cell r="K1283" t="str">
            <v>120.98564.60.2</v>
          </cell>
          <cell r="L1283" t="str">
            <v>Salário Mensal</v>
          </cell>
          <cell r="M1283" t="str">
            <v>Empregado (CLT)</v>
          </cell>
        </row>
        <row r="1284">
          <cell r="D1284" t="str">
            <v>ECOSAMPA Capela do Socorro</v>
          </cell>
          <cell r="E1284">
            <v>44945</v>
          </cell>
          <cell r="F1284">
            <v>1603.99</v>
          </cell>
          <cell r="G1284" t="str">
            <v>Em Atividade Normal</v>
          </cell>
          <cell r="H1284">
            <v>44945</v>
          </cell>
          <cell r="I1284">
            <v>24663</v>
          </cell>
          <cell r="J1284" t="str">
            <v>540.498.495-34</v>
          </cell>
          <cell r="K1284" t="str">
            <v>131.39105.52.4</v>
          </cell>
          <cell r="L1284" t="str">
            <v>Salário Mensal</v>
          </cell>
          <cell r="M1284" t="str">
            <v>Empregado (CLT)</v>
          </cell>
        </row>
        <row r="1285">
          <cell r="D1285" t="str">
            <v>ECOSAMPA Operação Geral</v>
          </cell>
          <cell r="E1285">
            <v>43617</v>
          </cell>
          <cell r="F1285">
            <v>3999.84</v>
          </cell>
          <cell r="G1285" t="str">
            <v>Em Atividade Normal</v>
          </cell>
          <cell r="H1285">
            <v>45177</v>
          </cell>
          <cell r="I1285">
            <v>24934</v>
          </cell>
          <cell r="J1285" t="str">
            <v>135.799.338-25</v>
          </cell>
          <cell r="K1285" t="str">
            <v>123.75265.74.4</v>
          </cell>
          <cell r="L1285" t="str">
            <v>Salário Mensal</v>
          </cell>
          <cell r="M1285" t="str">
            <v>Empregado (CLT)</v>
          </cell>
        </row>
        <row r="1286">
          <cell r="D1286" t="str">
            <v>ECOSAMPA Campo Limpo</v>
          </cell>
          <cell r="E1286">
            <v>43617</v>
          </cell>
          <cell r="F1286">
            <v>1603.99</v>
          </cell>
          <cell r="G1286" t="str">
            <v>Em Atividade Normal</v>
          </cell>
          <cell r="H1286">
            <v>45149</v>
          </cell>
          <cell r="I1286">
            <v>21290</v>
          </cell>
          <cell r="J1286" t="str">
            <v>099.422.908-93</v>
          </cell>
          <cell r="K1286" t="str">
            <v>122.37459.98.5</v>
          </cell>
          <cell r="L1286" t="str">
            <v>Salário Mensal</v>
          </cell>
          <cell r="M1286" t="str">
            <v>Empregado (CLT)</v>
          </cell>
        </row>
        <row r="1287">
          <cell r="D1287" t="str">
            <v>ECOSAMPA Capela do Socorro</v>
          </cell>
          <cell r="E1287">
            <v>43617</v>
          </cell>
          <cell r="F1287">
            <v>1603.99</v>
          </cell>
          <cell r="G1287" t="str">
            <v>Em Atividade Normal</v>
          </cell>
          <cell r="H1287">
            <v>45119</v>
          </cell>
          <cell r="I1287">
            <v>21170</v>
          </cell>
          <cell r="J1287" t="str">
            <v>043.480.438-09</v>
          </cell>
          <cell r="K1287" t="str">
            <v>108.90493.54.2</v>
          </cell>
          <cell r="L1287" t="str">
            <v>Salário Mensal</v>
          </cell>
          <cell r="M1287" t="str">
            <v>Empregado (CLT)</v>
          </cell>
        </row>
        <row r="1288">
          <cell r="D1288" t="str">
            <v>ECOSAMPA Operação Geral</v>
          </cell>
          <cell r="E1288">
            <v>43617</v>
          </cell>
          <cell r="F1288">
            <v>3050.22</v>
          </cell>
          <cell r="G1288" t="str">
            <v>Em Atividade Normal</v>
          </cell>
          <cell r="H1288">
            <v>45149</v>
          </cell>
          <cell r="I1288">
            <v>21761</v>
          </cell>
          <cell r="J1288" t="str">
            <v>277.962.215-68</v>
          </cell>
          <cell r="K1288" t="str">
            <v>105.58359.19.9</v>
          </cell>
          <cell r="L1288" t="str">
            <v>Salário Mensal</v>
          </cell>
          <cell r="M1288" t="str">
            <v>Empregado (CLT)</v>
          </cell>
        </row>
        <row r="1289">
          <cell r="D1289" t="str">
            <v>ECOSAMPA Operação Geral</v>
          </cell>
          <cell r="E1289">
            <v>43620</v>
          </cell>
          <cell r="F1289">
            <v>2342.7399999999998</v>
          </cell>
          <cell r="G1289" t="str">
            <v>Demitido em Meses Anteriores</v>
          </cell>
          <cell r="H1289">
            <v>43704</v>
          </cell>
          <cell r="I1289">
            <v>31638</v>
          </cell>
          <cell r="J1289" t="str">
            <v>027.786.723-11</v>
          </cell>
          <cell r="K1289" t="str">
            <v>161.91837.13.6</v>
          </cell>
          <cell r="L1289" t="str">
            <v>Salário Mensal</v>
          </cell>
          <cell r="M1289" t="str">
            <v>Empregado (CLT)</v>
          </cell>
        </row>
        <row r="1290">
          <cell r="D1290" t="str">
            <v>ECOSAMPA Operação Geral</v>
          </cell>
          <cell r="E1290">
            <v>43917</v>
          </cell>
          <cell r="F1290">
            <v>1319.67</v>
          </cell>
          <cell r="G1290" t="str">
            <v>Demitido em Meses Anteriores</v>
          </cell>
          <cell r="H1290">
            <v>44207</v>
          </cell>
          <cell r="I1290">
            <v>32127</v>
          </cell>
          <cell r="J1290" t="str">
            <v>357.437.258-29</v>
          </cell>
          <cell r="K1290" t="str">
            <v>138.62734.27.6</v>
          </cell>
          <cell r="L1290" t="str">
            <v>Salário Mensal</v>
          </cell>
          <cell r="M1290" t="str">
            <v>Empregado (CLT)</v>
          </cell>
        </row>
        <row r="1291">
          <cell r="D1291" t="str">
            <v>ECOSAMPA Santo Amaro</v>
          </cell>
          <cell r="E1291">
            <v>43617</v>
          </cell>
          <cell r="F1291">
            <v>1603.99</v>
          </cell>
          <cell r="G1291" t="str">
            <v>Em Atividade Normal</v>
          </cell>
          <cell r="H1291">
            <v>45056</v>
          </cell>
          <cell r="I1291">
            <v>26788</v>
          </cell>
          <cell r="J1291" t="str">
            <v>166.955.658-13</v>
          </cell>
          <cell r="K1291" t="str">
            <v>124.67819.91.6</v>
          </cell>
          <cell r="L1291" t="str">
            <v>Salário Mensal</v>
          </cell>
          <cell r="M1291" t="str">
            <v>Empregado (CLT)</v>
          </cell>
        </row>
        <row r="1292">
          <cell r="D1292" t="str">
            <v>ECOSAMPA M'Boi Mirim</v>
          </cell>
          <cell r="E1292">
            <v>43617</v>
          </cell>
          <cell r="F1292">
            <v>2474.7399999999998</v>
          </cell>
          <cell r="G1292" t="str">
            <v>Demitido em Meses Anteriores</v>
          </cell>
          <cell r="H1292">
            <v>43704</v>
          </cell>
          <cell r="I1292">
            <v>30452</v>
          </cell>
          <cell r="J1292" t="str">
            <v>318.111.508-88</v>
          </cell>
          <cell r="K1292" t="str">
            <v>203.91084.00.8</v>
          </cell>
          <cell r="L1292" t="str">
            <v>Salário Mensal</v>
          </cell>
          <cell r="M1292" t="str">
            <v>Empregado (CLT)</v>
          </cell>
        </row>
        <row r="1293">
          <cell r="D1293" t="str">
            <v>ECOSAMPA Operação Geral</v>
          </cell>
          <cell r="E1293">
            <v>43617</v>
          </cell>
          <cell r="F1293">
            <v>1907.79</v>
          </cell>
          <cell r="G1293" t="str">
            <v>Em Atividade Normal</v>
          </cell>
          <cell r="H1293">
            <v>44898</v>
          </cell>
          <cell r="I1293">
            <v>26684</v>
          </cell>
          <cell r="J1293" t="str">
            <v>767.441.674-72</v>
          </cell>
          <cell r="K1293" t="str">
            <v>127.25272.89.2</v>
          </cell>
          <cell r="L1293" t="str">
            <v>Salário Mensal</v>
          </cell>
          <cell r="M1293" t="str">
            <v>Empregado (CLT)</v>
          </cell>
        </row>
        <row r="1294">
          <cell r="D1294" t="str">
            <v>ECOSAMPA Capela do Socorro</v>
          </cell>
          <cell r="E1294">
            <v>43617</v>
          </cell>
          <cell r="F1294">
            <v>1603.99</v>
          </cell>
          <cell r="G1294" t="str">
            <v>Em Atividade Normal</v>
          </cell>
          <cell r="H1294">
            <v>45149</v>
          </cell>
          <cell r="I1294">
            <v>22108</v>
          </cell>
          <cell r="J1294" t="str">
            <v>263.288.238-94</v>
          </cell>
          <cell r="K1294" t="str">
            <v>107.02057.35.2</v>
          </cell>
          <cell r="L1294" t="str">
            <v>Salário Mensal</v>
          </cell>
          <cell r="M1294" t="str">
            <v>Empregado (CLT)</v>
          </cell>
        </row>
        <row r="1295">
          <cell r="D1295" t="str">
            <v>ECOSAMPA Operação Geral</v>
          </cell>
          <cell r="E1295">
            <v>44235</v>
          </cell>
          <cell r="F1295">
            <v>3050.22</v>
          </cell>
          <cell r="G1295" t="str">
            <v>Demitido em Meses Anteriores</v>
          </cell>
          <cell r="H1295">
            <v>44903</v>
          </cell>
          <cell r="I1295">
            <v>23796</v>
          </cell>
          <cell r="J1295" t="str">
            <v>289.922.882-04</v>
          </cell>
          <cell r="K1295" t="str">
            <v>108.49353.34.0</v>
          </cell>
          <cell r="L1295" t="str">
            <v>Salário Mensal</v>
          </cell>
          <cell r="M1295" t="str">
            <v>Empregado (CLT)</v>
          </cell>
        </row>
        <row r="1296">
          <cell r="D1296" t="str">
            <v>ECOSAMPA Santo Amaro</v>
          </cell>
          <cell r="E1296">
            <v>43617</v>
          </cell>
          <cell r="F1296">
            <v>1603.99</v>
          </cell>
          <cell r="G1296" t="str">
            <v>Em Atividade Normal</v>
          </cell>
          <cell r="H1296">
            <v>45119</v>
          </cell>
          <cell r="I1296">
            <v>21370</v>
          </cell>
          <cell r="J1296" t="str">
            <v>044.143.758-35</v>
          </cell>
          <cell r="K1296" t="str">
            <v>108.14664.98.6</v>
          </cell>
          <cell r="L1296" t="str">
            <v>Salário Mensal</v>
          </cell>
          <cell r="M1296" t="str">
            <v>Empregado (CLT)</v>
          </cell>
        </row>
        <row r="1297">
          <cell r="D1297" t="str">
            <v>ECOSAMPA Santo Amaro</v>
          </cell>
          <cell r="E1297">
            <v>43617</v>
          </cell>
          <cell r="F1297">
            <v>1603.99</v>
          </cell>
          <cell r="G1297" t="str">
            <v>Em Atividade Normal</v>
          </cell>
          <cell r="H1297">
            <v>44898</v>
          </cell>
          <cell r="I1297">
            <v>22294</v>
          </cell>
          <cell r="J1297" t="str">
            <v>610.222.924-04</v>
          </cell>
          <cell r="K1297" t="str">
            <v>123.03008.76.1</v>
          </cell>
          <cell r="L1297" t="str">
            <v>Salário Mensal</v>
          </cell>
          <cell r="M1297" t="str">
            <v>Empregado (CLT)</v>
          </cell>
        </row>
        <row r="1298">
          <cell r="D1298" t="str">
            <v>ECOSAMPA Parelheiros</v>
          </cell>
          <cell r="E1298">
            <v>43617</v>
          </cell>
          <cell r="F1298">
            <v>1603.99</v>
          </cell>
          <cell r="G1298" t="str">
            <v>Em Atividade Normal</v>
          </cell>
          <cell r="H1298">
            <v>45177</v>
          </cell>
          <cell r="I1298">
            <v>23939</v>
          </cell>
          <cell r="J1298" t="str">
            <v>077.625.798-69</v>
          </cell>
          <cell r="K1298" t="str">
            <v>122.48550.42.3</v>
          </cell>
          <cell r="L1298" t="str">
            <v>Salário Mensal</v>
          </cell>
          <cell r="M1298" t="str">
            <v>Empregado (CLT)</v>
          </cell>
        </row>
        <row r="1299">
          <cell r="D1299" t="str">
            <v>ECOSAMPA Santo Amaro</v>
          </cell>
          <cell r="E1299">
            <v>43617</v>
          </cell>
          <cell r="F1299">
            <v>1603.99</v>
          </cell>
          <cell r="G1299" t="str">
            <v>Em Atividade Normal</v>
          </cell>
          <cell r="H1299">
            <v>44930</v>
          </cell>
          <cell r="I1299">
            <v>32926</v>
          </cell>
          <cell r="J1299" t="str">
            <v>389.611.468-90</v>
          </cell>
          <cell r="K1299" t="str">
            <v>161.88457.35.2</v>
          </cell>
          <cell r="L1299" t="str">
            <v>Salário Mensal</v>
          </cell>
          <cell r="M1299" t="str">
            <v>Empregado (CLT)</v>
          </cell>
        </row>
        <row r="1300">
          <cell r="D1300" t="str">
            <v>ECOSAMPA Operação Geral</v>
          </cell>
          <cell r="E1300">
            <v>43617</v>
          </cell>
          <cell r="F1300">
            <v>1907.79</v>
          </cell>
          <cell r="G1300" t="str">
            <v>Em Atividade Normal</v>
          </cell>
          <cell r="H1300">
            <v>44898</v>
          </cell>
          <cell r="I1300">
            <v>25327</v>
          </cell>
          <cell r="J1300" t="str">
            <v>231.156.818-36</v>
          </cell>
          <cell r="K1300" t="str">
            <v>134.94956.89.7</v>
          </cell>
          <cell r="L1300" t="str">
            <v>Salário Mensal</v>
          </cell>
          <cell r="M1300" t="str">
            <v>Empregado (CLT)</v>
          </cell>
        </row>
        <row r="1301">
          <cell r="D1301" t="str">
            <v>ECOSAMPA Santo Amaro</v>
          </cell>
          <cell r="E1301">
            <v>43617</v>
          </cell>
          <cell r="F1301">
            <v>1464.83</v>
          </cell>
          <cell r="G1301" t="str">
            <v>Demitido em Meses Anteriores</v>
          </cell>
          <cell r="H1301">
            <v>44743</v>
          </cell>
          <cell r="I1301">
            <v>24278</v>
          </cell>
          <cell r="J1301" t="str">
            <v>722.923.346-15</v>
          </cell>
          <cell r="K1301" t="str">
            <v>124.87911.70.2</v>
          </cell>
          <cell r="L1301" t="str">
            <v>Salário Mensal</v>
          </cell>
          <cell r="M1301" t="str">
            <v>Empregado (CLT)</v>
          </cell>
        </row>
        <row r="1302">
          <cell r="D1302" t="str">
            <v>ECOSAMPA Operação Geral</v>
          </cell>
          <cell r="E1302">
            <v>43617</v>
          </cell>
          <cell r="F1302">
            <v>2785.59</v>
          </cell>
          <cell r="G1302" t="str">
            <v>Demitido em Meses Anteriores</v>
          </cell>
          <cell r="H1302">
            <v>44631</v>
          </cell>
          <cell r="I1302">
            <v>20770</v>
          </cell>
          <cell r="J1302" t="str">
            <v>083.959.378-30</v>
          </cell>
          <cell r="K1302" t="str">
            <v>122.44509.37.2</v>
          </cell>
          <cell r="L1302" t="str">
            <v>Salário Mensal</v>
          </cell>
          <cell r="M1302" t="str">
            <v>Empregado (CLT)</v>
          </cell>
        </row>
        <row r="1303">
          <cell r="D1303" t="str">
            <v>ECOSAMPA Capela do Socorro</v>
          </cell>
          <cell r="E1303">
            <v>43617</v>
          </cell>
          <cell r="F1303">
            <v>1603.99</v>
          </cell>
          <cell r="G1303" t="str">
            <v>Em Atividade Normal</v>
          </cell>
          <cell r="H1303">
            <v>44867</v>
          </cell>
          <cell r="I1303">
            <v>27255</v>
          </cell>
          <cell r="J1303" t="str">
            <v>184.721.238-71</v>
          </cell>
          <cell r="K1303" t="str">
            <v>124.98977.82.3</v>
          </cell>
          <cell r="L1303" t="str">
            <v>Salário Mensal</v>
          </cell>
          <cell r="M1303" t="str">
            <v>Empregado (CLT)</v>
          </cell>
        </row>
        <row r="1304">
          <cell r="D1304" t="str">
            <v>ECOSAMPA Santo Amaro</v>
          </cell>
          <cell r="E1304">
            <v>43617</v>
          </cell>
          <cell r="F1304">
            <v>1603.99</v>
          </cell>
          <cell r="G1304" t="str">
            <v>Em Atividade Normal</v>
          </cell>
          <cell r="H1304">
            <v>44930</v>
          </cell>
          <cell r="I1304">
            <v>28389</v>
          </cell>
          <cell r="J1304" t="str">
            <v>196.771.528-90</v>
          </cell>
          <cell r="K1304" t="str">
            <v>125.46800.01.0</v>
          </cell>
          <cell r="L1304" t="str">
            <v>Salário Mensal</v>
          </cell>
          <cell r="M1304" t="str">
            <v>Empregado (CLT)</v>
          </cell>
        </row>
        <row r="1305">
          <cell r="D1305" t="str">
            <v>ECOSAMPA Operação Geral</v>
          </cell>
          <cell r="E1305">
            <v>45117</v>
          </cell>
          <cell r="F1305">
            <v>3050.22</v>
          </cell>
          <cell r="G1305" t="str">
            <v>Em Atividade Normal</v>
          </cell>
          <cell r="H1305">
            <v>45117</v>
          </cell>
          <cell r="I1305">
            <v>29668</v>
          </cell>
          <cell r="J1305" t="str">
            <v>288.060.918-67</v>
          </cell>
          <cell r="K1305" t="str">
            <v>129.72809.93.0</v>
          </cell>
          <cell r="L1305" t="str">
            <v>Salário Mensal</v>
          </cell>
          <cell r="M1305" t="str">
            <v>Empregado (CLT)</v>
          </cell>
        </row>
        <row r="1306">
          <cell r="D1306" t="str">
            <v>ECOSAMPA Santo Amaro</v>
          </cell>
          <cell r="E1306">
            <v>43617</v>
          </cell>
          <cell r="F1306">
            <v>1603.99</v>
          </cell>
          <cell r="G1306" t="str">
            <v>Em Atividade Normal</v>
          </cell>
          <cell r="H1306">
            <v>45119</v>
          </cell>
          <cell r="I1306">
            <v>19510</v>
          </cell>
          <cell r="J1306" t="str">
            <v>052.505.828-18</v>
          </cell>
          <cell r="K1306" t="str">
            <v>105.59211.69.1</v>
          </cell>
          <cell r="L1306" t="str">
            <v>Salário Mensal</v>
          </cell>
          <cell r="M1306" t="str">
            <v>Empregado (CLT)</v>
          </cell>
        </row>
        <row r="1307">
          <cell r="D1307" t="str">
            <v>ECOSAMPA Capela do Socorro</v>
          </cell>
          <cell r="E1307">
            <v>44725</v>
          </cell>
          <cell r="F1307">
            <v>1603.99</v>
          </cell>
          <cell r="G1307" t="str">
            <v>Em Atividade Normal</v>
          </cell>
          <cell r="H1307">
            <v>44725</v>
          </cell>
          <cell r="I1307">
            <v>26746</v>
          </cell>
          <cell r="J1307" t="str">
            <v>977.023.076-68</v>
          </cell>
          <cell r="K1307" t="str">
            <v>125.15086.76.6</v>
          </cell>
          <cell r="L1307" t="str">
            <v>Salário Mensal</v>
          </cell>
          <cell r="M1307" t="str">
            <v>Empregado (CLT)</v>
          </cell>
        </row>
        <row r="1308">
          <cell r="D1308" t="str">
            <v>ECOSAMPA Capela do Socorro</v>
          </cell>
          <cell r="E1308">
            <v>43617</v>
          </cell>
          <cell r="F1308">
            <v>1281.23</v>
          </cell>
          <cell r="G1308" t="str">
            <v>Demitido em Meses Anteriores</v>
          </cell>
          <cell r="H1308">
            <v>43895</v>
          </cell>
          <cell r="I1308">
            <v>20057</v>
          </cell>
          <cell r="J1308" t="str">
            <v>128.989.348-95</v>
          </cell>
          <cell r="K1308" t="str">
            <v>107.10029.78.8</v>
          </cell>
          <cell r="L1308" t="str">
            <v>Salário Mensal</v>
          </cell>
          <cell r="M1308" t="str">
            <v>Empregado (CLT)</v>
          </cell>
        </row>
        <row r="1309">
          <cell r="D1309" t="str">
            <v>ECOSAMPA Operação Geral</v>
          </cell>
          <cell r="E1309">
            <v>43617</v>
          </cell>
          <cell r="F1309">
            <v>1907.79</v>
          </cell>
          <cell r="G1309" t="str">
            <v>Gozando Férias</v>
          </cell>
          <cell r="H1309">
            <v>45180</v>
          </cell>
          <cell r="I1309">
            <v>23270</v>
          </cell>
          <cell r="J1309" t="str">
            <v>697.112.754-49</v>
          </cell>
          <cell r="K1309" t="str">
            <v>123.88011.78.9</v>
          </cell>
          <cell r="L1309" t="str">
            <v>Salário Mensal</v>
          </cell>
          <cell r="M1309" t="str">
            <v>Empregado (CLT)</v>
          </cell>
        </row>
        <row r="1310">
          <cell r="D1310" t="str">
            <v>ECOSAMPA Capela do Socorro</v>
          </cell>
          <cell r="E1310">
            <v>43617</v>
          </cell>
          <cell r="F1310">
            <v>1603.99</v>
          </cell>
          <cell r="G1310" t="str">
            <v>Em Atividade Normal</v>
          </cell>
          <cell r="H1310">
            <v>44867</v>
          </cell>
          <cell r="I1310">
            <v>23527</v>
          </cell>
          <cell r="J1310" t="str">
            <v>076.947.088-24</v>
          </cell>
          <cell r="K1310" t="str">
            <v>121.03648.82.1</v>
          </cell>
          <cell r="L1310" t="str">
            <v>Salário Mensal</v>
          </cell>
          <cell r="M1310" t="str">
            <v>Empregado (CLT)</v>
          </cell>
        </row>
        <row r="1311">
          <cell r="D1311" t="str">
            <v>ECOSAMPA Operação Geral</v>
          </cell>
          <cell r="E1311">
            <v>43617</v>
          </cell>
          <cell r="F1311">
            <v>1523.89</v>
          </cell>
          <cell r="G1311" t="str">
            <v>Demitido em Meses Anteriores</v>
          </cell>
          <cell r="H1311">
            <v>43992</v>
          </cell>
          <cell r="I1311">
            <v>22870</v>
          </cell>
          <cell r="J1311" t="str">
            <v>092.424.598-01</v>
          </cell>
          <cell r="K1311" t="str">
            <v>121.31546.32.9</v>
          </cell>
          <cell r="L1311" t="str">
            <v>Salário Mensal</v>
          </cell>
          <cell r="M1311" t="str">
            <v>Empregado (CLT)</v>
          </cell>
        </row>
        <row r="1312">
          <cell r="D1312" t="str">
            <v>ECOSAMPA Operação Geral</v>
          </cell>
          <cell r="E1312">
            <v>43916</v>
          </cell>
          <cell r="F1312">
            <v>2436.4499999999998</v>
          </cell>
          <cell r="G1312" t="str">
            <v>Demitido em Meses Anteriores</v>
          </cell>
          <cell r="H1312">
            <v>43975</v>
          </cell>
          <cell r="I1312">
            <v>22667</v>
          </cell>
          <cell r="J1312" t="str">
            <v>037.611.398-70</v>
          </cell>
          <cell r="K1312" t="str">
            <v>108.04554.31.2</v>
          </cell>
          <cell r="L1312" t="str">
            <v>Salário Mensal</v>
          </cell>
          <cell r="M1312" t="str">
            <v>Empregado (CLT)</v>
          </cell>
        </row>
        <row r="1313">
          <cell r="D1313" t="str">
            <v>ECOSAMPA Parelheiros</v>
          </cell>
          <cell r="E1313">
            <v>43617</v>
          </cell>
          <cell r="F1313">
            <v>1603.99</v>
          </cell>
          <cell r="G1313" t="str">
            <v>Gozando Férias</v>
          </cell>
          <cell r="H1313">
            <v>45180</v>
          </cell>
          <cell r="I1313">
            <v>24221</v>
          </cell>
          <cell r="J1313" t="str">
            <v>480.264.174-53</v>
          </cell>
          <cell r="K1313" t="str">
            <v>122.89384.19.6</v>
          </cell>
          <cell r="L1313" t="str">
            <v>Salário Mensal</v>
          </cell>
          <cell r="M1313" t="str">
            <v>Empregado (CLT)</v>
          </cell>
        </row>
        <row r="1314">
          <cell r="D1314" t="str">
            <v>ECOSAMPA Santo Amaro</v>
          </cell>
          <cell r="E1314">
            <v>43617</v>
          </cell>
          <cell r="F1314">
            <v>1281.23</v>
          </cell>
          <cell r="G1314" t="str">
            <v>Demitido em Meses Anteriores</v>
          </cell>
          <cell r="H1314">
            <v>44012</v>
          </cell>
          <cell r="I1314">
            <v>19917</v>
          </cell>
          <cell r="J1314" t="str">
            <v>028.371.788-29</v>
          </cell>
          <cell r="K1314" t="str">
            <v>107.29459.79.6</v>
          </cell>
          <cell r="L1314" t="str">
            <v>Salário Mensal</v>
          </cell>
          <cell r="M1314" t="str">
            <v>Empregado (CLT)</v>
          </cell>
        </row>
        <row r="1315">
          <cell r="D1315" t="str">
            <v>ECOSAMPA Operação Geral</v>
          </cell>
          <cell r="E1315">
            <v>43617</v>
          </cell>
          <cell r="F1315">
            <v>2999.88</v>
          </cell>
          <cell r="G1315" t="str">
            <v>Em Atividade Normal</v>
          </cell>
          <cell r="H1315">
            <v>44960</v>
          </cell>
          <cell r="I1315">
            <v>23021</v>
          </cell>
          <cell r="J1315" t="str">
            <v>403.455.214-04</v>
          </cell>
          <cell r="K1315" t="str">
            <v>122.21266.89.9</v>
          </cell>
          <cell r="L1315" t="str">
            <v>Salário Mensal</v>
          </cell>
          <cell r="M1315" t="str">
            <v>Empregado (CLT)</v>
          </cell>
        </row>
        <row r="1316">
          <cell r="D1316" t="str">
            <v>ECOSAMPA Capela do Socorro</v>
          </cell>
          <cell r="E1316">
            <v>43617</v>
          </cell>
          <cell r="F1316">
            <v>1603.99</v>
          </cell>
          <cell r="G1316" t="str">
            <v>Em Atividade Normal</v>
          </cell>
          <cell r="H1316">
            <v>44806</v>
          </cell>
          <cell r="I1316">
            <v>23360</v>
          </cell>
          <cell r="J1316" t="str">
            <v>498.624.995-91</v>
          </cell>
          <cell r="K1316" t="str">
            <v>124.69951.19.6</v>
          </cell>
          <cell r="L1316" t="str">
            <v>Salário Mensal</v>
          </cell>
          <cell r="M1316" t="str">
            <v>Empregado (CLT)</v>
          </cell>
        </row>
        <row r="1317">
          <cell r="D1317" t="str">
            <v>ECOSAMPA Operação Geral</v>
          </cell>
          <cell r="E1317">
            <v>43617</v>
          </cell>
          <cell r="F1317">
            <v>1907.79</v>
          </cell>
          <cell r="G1317" t="str">
            <v>Em Atividade Normal</v>
          </cell>
          <cell r="H1317">
            <v>45149</v>
          </cell>
          <cell r="I1317">
            <v>28584</v>
          </cell>
          <cell r="J1317" t="str">
            <v>937.987.175-91</v>
          </cell>
          <cell r="K1317" t="str">
            <v>127.35875.77.8</v>
          </cell>
          <cell r="L1317" t="str">
            <v>Salário Mensal</v>
          </cell>
          <cell r="M1317" t="str">
            <v>Empregado (CLT)</v>
          </cell>
        </row>
        <row r="1318">
          <cell r="D1318" t="str">
            <v>ECOSAMPA Santo Amaro</v>
          </cell>
          <cell r="E1318">
            <v>44630</v>
          </cell>
          <cell r="F1318">
            <v>1603.99</v>
          </cell>
          <cell r="G1318" t="str">
            <v>Em Atividade Normal</v>
          </cell>
          <cell r="H1318">
            <v>45177</v>
          </cell>
          <cell r="I1318">
            <v>27624</v>
          </cell>
          <cell r="J1318" t="str">
            <v>164.128.678-48</v>
          </cell>
          <cell r="K1318" t="str">
            <v>125.15093.96.7</v>
          </cell>
          <cell r="L1318" t="str">
            <v>Salário Mensal</v>
          </cell>
          <cell r="M1318" t="str">
            <v>Empregado (CLT)</v>
          </cell>
        </row>
        <row r="1319">
          <cell r="D1319" t="str">
            <v>ECOSAMPA Operação Geral</v>
          </cell>
          <cell r="E1319">
            <v>44328</v>
          </cell>
          <cell r="F1319">
            <v>3050.22</v>
          </cell>
          <cell r="G1319" t="str">
            <v>Em Atividade Normal</v>
          </cell>
          <cell r="H1319">
            <v>44776</v>
          </cell>
          <cell r="I1319">
            <v>30375</v>
          </cell>
          <cell r="J1319" t="str">
            <v>318.601.708-46</v>
          </cell>
          <cell r="K1319" t="str">
            <v>162.62540.69.6</v>
          </cell>
          <cell r="L1319" t="str">
            <v>Salário Mensal</v>
          </cell>
          <cell r="M1319" t="str">
            <v>Empregado (CLT)</v>
          </cell>
        </row>
        <row r="1320">
          <cell r="D1320" t="str">
            <v>ECOSAMPA Operação Geral</v>
          </cell>
          <cell r="E1320">
            <v>43617</v>
          </cell>
          <cell r="F1320">
            <v>4387.7</v>
          </cell>
          <cell r="G1320" t="str">
            <v>Demitido em Meses Anteriores</v>
          </cell>
          <cell r="H1320">
            <v>45072</v>
          </cell>
          <cell r="I1320">
            <v>26914</v>
          </cell>
          <cell r="J1320" t="str">
            <v>224.738.598-25</v>
          </cell>
          <cell r="K1320" t="str">
            <v>124.87905.65.6</v>
          </cell>
          <cell r="L1320" t="str">
            <v>Salário Mensal</v>
          </cell>
          <cell r="M1320" t="str">
            <v>Empregado (CLT)</v>
          </cell>
        </row>
        <row r="1321">
          <cell r="D1321" t="str">
            <v>ECOSAMPA Operação Geral</v>
          </cell>
          <cell r="E1321">
            <v>43617</v>
          </cell>
          <cell r="F1321">
            <v>3050.22</v>
          </cell>
          <cell r="G1321" t="str">
            <v>Em Atividade Normal</v>
          </cell>
          <cell r="H1321">
            <v>45149</v>
          </cell>
          <cell r="I1321">
            <v>32436</v>
          </cell>
          <cell r="J1321" t="str">
            <v>078.562.814-21</v>
          </cell>
          <cell r="K1321" t="str">
            <v>162.30724.94.5</v>
          </cell>
          <cell r="L1321" t="str">
            <v>Salário Mensal</v>
          </cell>
          <cell r="M1321" t="str">
            <v>Empregado (CLT)</v>
          </cell>
        </row>
        <row r="1322">
          <cell r="D1322" t="str">
            <v>ECOSAMPA Santo Amaro</v>
          </cell>
          <cell r="E1322">
            <v>43811</v>
          </cell>
          <cell r="F1322">
            <v>1603.99</v>
          </cell>
          <cell r="G1322" t="str">
            <v>Em Atividade Normal</v>
          </cell>
          <cell r="H1322">
            <v>45177</v>
          </cell>
          <cell r="I1322">
            <v>32243</v>
          </cell>
          <cell r="J1322" t="str">
            <v>361.336.158-26</v>
          </cell>
          <cell r="K1322" t="str">
            <v>206.88196.95.5</v>
          </cell>
          <cell r="L1322" t="str">
            <v>Salário Mensal</v>
          </cell>
          <cell r="M1322" t="str">
            <v>Empregado (CLT)</v>
          </cell>
        </row>
        <row r="1323">
          <cell r="D1323" t="str">
            <v>ECOSAMPA Santo Amaro</v>
          </cell>
          <cell r="E1323">
            <v>43617</v>
          </cell>
          <cell r="F1323">
            <v>1603.99</v>
          </cell>
          <cell r="G1323" t="str">
            <v>Em Atividade Normal</v>
          </cell>
          <cell r="H1323">
            <v>45056</v>
          </cell>
          <cell r="I1323">
            <v>23965</v>
          </cell>
          <cell r="J1323" t="str">
            <v>477.489.234-34</v>
          </cell>
          <cell r="K1323" t="str">
            <v>121.34271.98.3</v>
          </cell>
          <cell r="L1323" t="str">
            <v>Salário Mensal</v>
          </cell>
          <cell r="M1323" t="str">
            <v>Empregado (CLT)</v>
          </cell>
        </row>
        <row r="1324">
          <cell r="D1324" t="str">
            <v>ECOSAMPA Operação Geral</v>
          </cell>
          <cell r="E1324">
            <v>44630</v>
          </cell>
          <cell r="F1324">
            <v>3050.22</v>
          </cell>
          <cell r="G1324" t="str">
            <v>Em Atividade Normal</v>
          </cell>
          <cell r="H1324">
            <v>45056</v>
          </cell>
          <cell r="I1324">
            <v>26395</v>
          </cell>
          <cell r="J1324" t="str">
            <v>706.608.324-53</v>
          </cell>
          <cell r="K1324" t="str">
            <v>124.56936.23.1</v>
          </cell>
          <cell r="L1324" t="str">
            <v>Salário Mensal</v>
          </cell>
          <cell r="M1324" t="str">
            <v>Empregado (CLT)</v>
          </cell>
        </row>
        <row r="1325">
          <cell r="D1325" t="str">
            <v>ECOSAMPA Operação Geral</v>
          </cell>
          <cell r="E1325">
            <v>43617</v>
          </cell>
          <cell r="F1325">
            <v>3652.82</v>
          </cell>
          <cell r="G1325" t="str">
            <v>Demitido em Meses Anteriores</v>
          </cell>
          <cell r="H1325">
            <v>44505</v>
          </cell>
          <cell r="I1325">
            <v>31489</v>
          </cell>
          <cell r="J1325" t="str">
            <v>074.940.134-66</v>
          </cell>
          <cell r="K1325" t="str">
            <v>207.03448.51.4</v>
          </cell>
          <cell r="L1325" t="str">
            <v>Salário Mensal</v>
          </cell>
          <cell r="M1325" t="str">
            <v>Empregado (CLT)</v>
          </cell>
        </row>
        <row r="1326">
          <cell r="D1326" t="str">
            <v>ECOSAMPA Parelheiros</v>
          </cell>
          <cell r="E1326">
            <v>43617</v>
          </cell>
          <cell r="F1326">
            <v>1464.83</v>
          </cell>
          <cell r="G1326" t="str">
            <v>Demitido em Meses Anteriores</v>
          </cell>
          <cell r="H1326">
            <v>44694</v>
          </cell>
          <cell r="I1326">
            <v>30529</v>
          </cell>
          <cell r="J1326" t="str">
            <v>056.983.129-66</v>
          </cell>
          <cell r="K1326" t="str">
            <v>133.14866.93.2</v>
          </cell>
          <cell r="L1326" t="str">
            <v>Salário Mensal</v>
          </cell>
          <cell r="M1326" t="str">
            <v>Empregado (CLT)</v>
          </cell>
        </row>
        <row r="1327">
          <cell r="D1327" t="str">
            <v>ECOSAMPA M'Boi Mirim</v>
          </cell>
          <cell r="E1327">
            <v>43617</v>
          </cell>
          <cell r="F1327">
            <v>1603.99</v>
          </cell>
          <cell r="G1327" t="str">
            <v>Em Atividade Normal</v>
          </cell>
          <cell r="H1327">
            <v>44835</v>
          </cell>
          <cell r="I1327">
            <v>25139</v>
          </cell>
          <cell r="J1327" t="str">
            <v>392.879.203-20</v>
          </cell>
          <cell r="K1327" t="str">
            <v>124.27810.12.8</v>
          </cell>
          <cell r="L1327" t="str">
            <v>Salário Mensal</v>
          </cell>
          <cell r="M1327" t="str">
            <v>Empregado (CLT)</v>
          </cell>
        </row>
        <row r="1328">
          <cell r="D1328" t="str">
            <v>ECOSAMPA Santo Amaro</v>
          </cell>
          <cell r="E1328">
            <v>43617</v>
          </cell>
          <cell r="F1328">
            <v>1603.99</v>
          </cell>
          <cell r="G1328" t="str">
            <v>Em Atividade Normal</v>
          </cell>
          <cell r="H1328">
            <v>44960</v>
          </cell>
          <cell r="I1328">
            <v>25608</v>
          </cell>
          <cell r="J1328" t="str">
            <v>135.029.528-09</v>
          </cell>
          <cell r="K1328" t="str">
            <v>124.14717.02.7</v>
          </cell>
          <cell r="L1328" t="str">
            <v>Salário Mensal</v>
          </cell>
          <cell r="M1328" t="str">
            <v>Empregado (CLT)</v>
          </cell>
        </row>
        <row r="1329">
          <cell r="D1329" t="str">
            <v>ECOSAMPA Santo Amaro</v>
          </cell>
          <cell r="E1329">
            <v>43617</v>
          </cell>
          <cell r="F1329">
            <v>1603.99</v>
          </cell>
          <cell r="G1329" t="str">
            <v>Em Atividade Normal</v>
          </cell>
          <cell r="H1329">
            <v>45056</v>
          </cell>
          <cell r="I1329">
            <v>25480</v>
          </cell>
          <cell r="J1329" t="str">
            <v>184.699.928-64</v>
          </cell>
          <cell r="K1329" t="str">
            <v>123.91274.45.0</v>
          </cell>
          <cell r="L1329" t="str">
            <v>Salário Mensal</v>
          </cell>
          <cell r="M1329" t="str">
            <v>Empregado (CLT)</v>
          </cell>
        </row>
        <row r="1330">
          <cell r="D1330" t="str">
            <v>ECOSAMPA Operação Geral</v>
          </cell>
          <cell r="E1330">
            <v>43918</v>
          </cell>
          <cell r="F1330">
            <v>1603.99</v>
          </cell>
          <cell r="G1330" t="str">
            <v>Em Atividade Normal</v>
          </cell>
          <cell r="H1330">
            <v>45149</v>
          </cell>
          <cell r="I1330">
            <v>24483</v>
          </cell>
          <cell r="J1330" t="str">
            <v>391.827.623-68</v>
          </cell>
          <cell r="K1330" t="str">
            <v>122.80687.80.3</v>
          </cell>
          <cell r="L1330" t="str">
            <v>Salário Mensal</v>
          </cell>
          <cell r="M1330" t="str">
            <v>Empregado (CLT)</v>
          </cell>
        </row>
        <row r="1331">
          <cell r="D1331" t="str">
            <v>ECOSAMPA Operação Geral</v>
          </cell>
          <cell r="E1331">
            <v>44791</v>
          </cell>
          <cell r="F1331">
            <v>3043.01</v>
          </cell>
          <cell r="G1331" t="str">
            <v>Gozando Férias</v>
          </cell>
          <cell r="H1331">
            <v>45180</v>
          </cell>
          <cell r="I1331">
            <v>34370</v>
          </cell>
          <cell r="J1331" t="str">
            <v>406.320.298-46</v>
          </cell>
          <cell r="K1331" t="str">
            <v>162.99502.57.7</v>
          </cell>
          <cell r="L1331" t="str">
            <v>Salário Mensal</v>
          </cell>
          <cell r="M1331" t="str">
            <v>Empregado (CLT)</v>
          </cell>
        </row>
        <row r="1332">
          <cell r="D1332" t="str">
            <v>ECOSAMPA Operação Geral</v>
          </cell>
          <cell r="E1332">
            <v>43617</v>
          </cell>
          <cell r="F1332">
            <v>1907.79</v>
          </cell>
          <cell r="G1332" t="str">
            <v>Em Atividade Normal</v>
          </cell>
          <cell r="H1332">
            <v>44867</v>
          </cell>
          <cell r="I1332">
            <v>29698</v>
          </cell>
          <cell r="J1332" t="str">
            <v>046.503.774-71</v>
          </cell>
          <cell r="K1332" t="str">
            <v>162.41210.35.2</v>
          </cell>
          <cell r="L1332" t="str">
            <v>Salário Mensal</v>
          </cell>
          <cell r="M1332" t="str">
            <v>Empregado (CLT)</v>
          </cell>
        </row>
        <row r="1333">
          <cell r="D1333" t="str">
            <v>ECOSAMPA Santo Amaro</v>
          </cell>
          <cell r="E1333">
            <v>43617</v>
          </cell>
          <cell r="F1333">
            <v>1603.99</v>
          </cell>
          <cell r="G1333" t="str">
            <v>Auxílio-Doença</v>
          </cell>
          <cell r="H1333">
            <v>45141</v>
          </cell>
          <cell r="I1333">
            <v>26015</v>
          </cell>
          <cell r="J1333" t="str">
            <v>134.897.418-46</v>
          </cell>
          <cell r="K1333" t="str">
            <v>124.10352.76.8</v>
          </cell>
          <cell r="L1333" t="str">
            <v>Salário Mensal</v>
          </cell>
          <cell r="M1333" t="str">
            <v>Empregado (CLT)</v>
          </cell>
        </row>
        <row r="1334">
          <cell r="D1334" t="str">
            <v>ECOSAMPA Santo Amaro</v>
          </cell>
          <cell r="E1334">
            <v>43617</v>
          </cell>
          <cell r="F1334">
            <v>1464.83</v>
          </cell>
          <cell r="G1334" t="str">
            <v>Demitido em Meses Anteriores</v>
          </cell>
          <cell r="H1334">
            <v>44505</v>
          </cell>
          <cell r="I1334">
            <v>22415</v>
          </cell>
          <cell r="J1334" t="str">
            <v>245.902.404-59</v>
          </cell>
          <cell r="K1334" t="str">
            <v>123.40474.22.3</v>
          </cell>
          <cell r="L1334" t="str">
            <v>Salário Mensal</v>
          </cell>
          <cell r="M1334" t="str">
            <v>Empregado (CLT)</v>
          </cell>
        </row>
        <row r="1335">
          <cell r="D1335" t="str">
            <v>ECOSAMPA Operação Geral</v>
          </cell>
          <cell r="E1335">
            <v>43617</v>
          </cell>
          <cell r="F1335">
            <v>1907.79</v>
          </cell>
          <cell r="G1335" t="str">
            <v>Gozando Férias</v>
          </cell>
          <cell r="H1335">
            <v>45180</v>
          </cell>
          <cell r="I1335">
            <v>23949</v>
          </cell>
          <cell r="J1335" t="str">
            <v>083.135.668-50</v>
          </cell>
          <cell r="K1335" t="str">
            <v>120.57028.86.2</v>
          </cell>
          <cell r="L1335" t="str">
            <v>Salário Mensal</v>
          </cell>
          <cell r="M1335" t="str">
            <v>Empregado (CLT)</v>
          </cell>
        </row>
        <row r="1336">
          <cell r="D1336" t="str">
            <v>ECOSAMPA Capela do Socorro</v>
          </cell>
          <cell r="E1336">
            <v>43617</v>
          </cell>
          <cell r="F1336">
            <v>1603.99</v>
          </cell>
          <cell r="G1336" t="str">
            <v>Em Atividade Normal</v>
          </cell>
          <cell r="H1336">
            <v>44930</v>
          </cell>
          <cell r="I1336">
            <v>26101</v>
          </cell>
          <cell r="J1336" t="str">
            <v>733.293.984-34</v>
          </cell>
          <cell r="K1336" t="str">
            <v>124.66284.63.6</v>
          </cell>
          <cell r="L1336" t="str">
            <v>Salário Mensal</v>
          </cell>
          <cell r="M1336" t="str">
            <v>Empregado (CLT)</v>
          </cell>
        </row>
        <row r="1337">
          <cell r="D1337" t="str">
            <v>ECOSAMPA Capela do Socorro</v>
          </cell>
          <cell r="E1337">
            <v>43617</v>
          </cell>
          <cell r="F1337">
            <v>1603.99</v>
          </cell>
          <cell r="G1337" t="str">
            <v>Em Atividade Normal</v>
          </cell>
          <cell r="H1337">
            <v>45149</v>
          </cell>
          <cell r="I1337">
            <v>24939</v>
          </cell>
          <cell r="J1337" t="str">
            <v>164.924.758-36</v>
          </cell>
          <cell r="K1337" t="str">
            <v>122.83956.12.0</v>
          </cell>
          <cell r="L1337" t="str">
            <v>Salário Mensal</v>
          </cell>
          <cell r="M1337" t="str">
            <v>Empregado (CLT)</v>
          </cell>
        </row>
        <row r="1338">
          <cell r="D1338" t="str">
            <v>ECOSAMPA Campo Limpo</v>
          </cell>
          <cell r="E1338">
            <v>43617</v>
          </cell>
          <cell r="F1338">
            <v>1603.99</v>
          </cell>
          <cell r="G1338" t="str">
            <v>Em Atividade Normal</v>
          </cell>
          <cell r="H1338">
            <v>45119</v>
          </cell>
          <cell r="I1338">
            <v>21223</v>
          </cell>
          <cell r="J1338" t="str">
            <v>128.704.888-90</v>
          </cell>
          <cell r="K1338" t="str">
            <v>123.51065.31.1</v>
          </cell>
          <cell r="L1338" t="str">
            <v>Salário Mensal</v>
          </cell>
          <cell r="M1338" t="str">
            <v>Empregado (CLT)</v>
          </cell>
        </row>
        <row r="1339">
          <cell r="D1339" t="str">
            <v>ECOSAMPA Campo Limpo</v>
          </cell>
          <cell r="E1339">
            <v>43617</v>
          </cell>
          <cell r="F1339">
            <v>1603.99</v>
          </cell>
          <cell r="G1339" t="str">
            <v>Em Atividade Normal</v>
          </cell>
          <cell r="H1339">
            <v>45056</v>
          </cell>
          <cell r="I1339">
            <v>26001</v>
          </cell>
          <cell r="J1339" t="str">
            <v>200.001.838-65</v>
          </cell>
          <cell r="K1339" t="str">
            <v>123.89098.82.9</v>
          </cell>
          <cell r="L1339" t="str">
            <v>Salário Mensal</v>
          </cell>
          <cell r="M1339" t="str">
            <v>Empregado (CLT)</v>
          </cell>
        </row>
        <row r="1340">
          <cell r="D1340" t="str">
            <v>ECOSAMPA Operação Geral</v>
          </cell>
          <cell r="E1340">
            <v>43619</v>
          </cell>
          <cell r="F1340">
            <v>2560.0700000000002</v>
          </cell>
          <cell r="G1340" t="str">
            <v>Demitido em Meses Anteriores</v>
          </cell>
          <cell r="H1340">
            <v>43700</v>
          </cell>
          <cell r="I1340">
            <v>21697</v>
          </cell>
          <cell r="J1340" t="str">
            <v>192.800.924-72</v>
          </cell>
          <cell r="K1340" t="str">
            <v>120.82911.58.8</v>
          </cell>
          <cell r="L1340" t="str">
            <v>Salário Mensal</v>
          </cell>
          <cell r="M1340" t="str">
            <v>Empregado (CLT)</v>
          </cell>
        </row>
        <row r="1341">
          <cell r="D1341" t="str">
            <v>ECOSAMPA M'Boi Mirim</v>
          </cell>
          <cell r="E1341">
            <v>43617</v>
          </cell>
          <cell r="F1341">
            <v>1603.99</v>
          </cell>
          <cell r="G1341" t="str">
            <v>Em Atividade Normal</v>
          </cell>
          <cell r="H1341">
            <v>44986</v>
          </cell>
          <cell r="I1341">
            <v>25869</v>
          </cell>
          <cell r="J1341" t="str">
            <v>262.856.728-81</v>
          </cell>
          <cell r="K1341" t="str">
            <v>123.92111.14.8</v>
          </cell>
          <cell r="L1341" t="str">
            <v>Salário Mensal</v>
          </cell>
          <cell r="M1341" t="str">
            <v>Empregado (CLT)</v>
          </cell>
        </row>
        <row r="1342">
          <cell r="D1342" t="str">
            <v>ECOSAMPA Operação Geral</v>
          </cell>
          <cell r="E1342">
            <v>43617</v>
          </cell>
          <cell r="F1342">
            <v>1907.79</v>
          </cell>
          <cell r="G1342" t="str">
            <v>Em Atividade Normal</v>
          </cell>
          <cell r="H1342">
            <v>44930</v>
          </cell>
          <cell r="I1342">
            <v>28540</v>
          </cell>
          <cell r="J1342" t="str">
            <v>292.572.058-78</v>
          </cell>
          <cell r="K1342" t="str">
            <v>130.32446.85.5</v>
          </cell>
          <cell r="L1342" t="str">
            <v>Salário Mensal</v>
          </cell>
          <cell r="M1342" t="str">
            <v>Empregado (CLT)</v>
          </cell>
        </row>
        <row r="1343">
          <cell r="D1343" t="str">
            <v>ECOSAMPA Capela do Socorro</v>
          </cell>
          <cell r="E1343">
            <v>44046</v>
          </cell>
          <cell r="F1343">
            <v>1464.83</v>
          </cell>
          <cell r="G1343" t="str">
            <v>Demitido em Meses Anteriores</v>
          </cell>
          <cell r="H1343">
            <v>44588</v>
          </cell>
          <cell r="I1343">
            <v>27126</v>
          </cell>
          <cell r="J1343" t="str">
            <v>191.881.308-60</v>
          </cell>
          <cell r="K1343" t="str">
            <v>124.86275.74.8</v>
          </cell>
          <cell r="L1343" t="str">
            <v>Salário Mensal</v>
          </cell>
          <cell r="M1343" t="str">
            <v>Empregado (CLT)</v>
          </cell>
        </row>
        <row r="1344">
          <cell r="D1344" t="str">
            <v>ECOSAMPA Campo Limpo</v>
          </cell>
          <cell r="E1344">
            <v>43617</v>
          </cell>
          <cell r="F1344">
            <v>1603.99</v>
          </cell>
          <cell r="G1344" t="str">
            <v>Em Atividade Normal</v>
          </cell>
          <cell r="H1344">
            <v>44806</v>
          </cell>
          <cell r="I1344">
            <v>29443</v>
          </cell>
          <cell r="J1344" t="str">
            <v>028.381.373-36</v>
          </cell>
          <cell r="K1344" t="str">
            <v>162.26792.28.1</v>
          </cell>
          <cell r="L1344" t="str">
            <v>Salário Mensal</v>
          </cell>
          <cell r="M1344" t="str">
            <v>Empregado (CLT)</v>
          </cell>
        </row>
        <row r="1345">
          <cell r="D1345" t="str">
            <v>ECOSAMPA Santo Amaro</v>
          </cell>
          <cell r="E1345">
            <v>43617</v>
          </cell>
          <cell r="F1345">
            <v>1603.99</v>
          </cell>
          <cell r="G1345" t="str">
            <v>Em Atividade Normal</v>
          </cell>
          <cell r="H1345">
            <v>44776</v>
          </cell>
          <cell r="I1345">
            <v>32499</v>
          </cell>
          <cell r="J1345" t="str">
            <v>396.652.078-81</v>
          </cell>
          <cell r="K1345" t="str">
            <v>137.97132.81.5</v>
          </cell>
          <cell r="L1345" t="str">
            <v>Salário Mensal</v>
          </cell>
          <cell r="M1345" t="str">
            <v>Empregado (CLT)</v>
          </cell>
        </row>
        <row r="1346">
          <cell r="D1346" t="str">
            <v>ECOSAMPA Santo Amaro</v>
          </cell>
          <cell r="E1346">
            <v>43617</v>
          </cell>
          <cell r="F1346">
            <v>1603.99</v>
          </cell>
          <cell r="G1346" t="str">
            <v>Em Atividade Normal</v>
          </cell>
          <cell r="H1346">
            <v>44960</v>
          </cell>
          <cell r="I1346">
            <v>23863</v>
          </cell>
          <cell r="J1346" t="str">
            <v>148.802.478-20</v>
          </cell>
          <cell r="K1346" t="str">
            <v>123.87205.71.7</v>
          </cell>
          <cell r="L1346" t="str">
            <v>Salário Mensal</v>
          </cell>
          <cell r="M1346" t="str">
            <v>Empregado (CLT)</v>
          </cell>
        </row>
        <row r="1347">
          <cell r="D1347" t="str">
            <v>ECOSAMPA Santo Amaro</v>
          </cell>
          <cell r="E1347">
            <v>43817</v>
          </cell>
          <cell r="F1347">
            <v>1319.67</v>
          </cell>
          <cell r="G1347" t="str">
            <v>Demitido em Meses Anteriores</v>
          </cell>
          <cell r="H1347">
            <v>44235</v>
          </cell>
          <cell r="I1347">
            <v>28881</v>
          </cell>
          <cell r="J1347" t="str">
            <v>267.254.438-77</v>
          </cell>
          <cell r="K1347" t="str">
            <v>128.61404.77.0</v>
          </cell>
          <cell r="L1347" t="str">
            <v>Salário Mensal</v>
          </cell>
          <cell r="M1347" t="str">
            <v>Empregado (CLT)</v>
          </cell>
        </row>
        <row r="1348">
          <cell r="D1348" t="str">
            <v>ECOSAMPA M'Boi Mirim</v>
          </cell>
          <cell r="E1348">
            <v>43617</v>
          </cell>
          <cell r="F1348">
            <v>1603.99</v>
          </cell>
          <cell r="G1348" t="str">
            <v>Em Atividade Normal</v>
          </cell>
          <cell r="H1348">
            <v>44930</v>
          </cell>
          <cell r="I1348">
            <v>27502</v>
          </cell>
          <cell r="J1348" t="str">
            <v>316.278.018-71</v>
          </cell>
          <cell r="K1348" t="str">
            <v>201.15090.39.2</v>
          </cell>
          <cell r="L1348" t="str">
            <v>Salário Mensal</v>
          </cell>
          <cell r="M1348" t="str">
            <v>Empregado (CLT)</v>
          </cell>
        </row>
        <row r="1349">
          <cell r="D1349" t="str">
            <v>ECOSAMPA Capela do Socorro</v>
          </cell>
          <cell r="E1349">
            <v>43617</v>
          </cell>
          <cell r="F1349">
            <v>1603.99</v>
          </cell>
          <cell r="G1349" t="str">
            <v>Em Atividade Normal</v>
          </cell>
          <cell r="H1349">
            <v>44867</v>
          </cell>
          <cell r="I1349">
            <v>26958</v>
          </cell>
          <cell r="J1349" t="str">
            <v>157.300.848-62</v>
          </cell>
          <cell r="K1349" t="str">
            <v>125.94404.85.5</v>
          </cell>
          <cell r="L1349" t="str">
            <v>Salário Mensal</v>
          </cell>
          <cell r="M1349" t="str">
            <v>Empregado (CLT)</v>
          </cell>
        </row>
        <row r="1350">
          <cell r="D1350" t="str">
            <v>ECOSAMPA Parelheiros</v>
          </cell>
          <cell r="E1350">
            <v>44791</v>
          </cell>
          <cell r="F1350">
            <v>1603.99</v>
          </cell>
          <cell r="G1350" t="str">
            <v>Em Atividade Normal</v>
          </cell>
          <cell r="H1350">
            <v>44791</v>
          </cell>
          <cell r="I1350">
            <v>25383</v>
          </cell>
          <cell r="J1350" t="str">
            <v>615.558.194-00</v>
          </cell>
          <cell r="K1350" t="str">
            <v>123.35346.89.1</v>
          </cell>
          <cell r="L1350" t="str">
            <v>Salário Mensal</v>
          </cell>
          <cell r="M1350" t="str">
            <v>Empregado (CLT)</v>
          </cell>
        </row>
        <row r="1351">
          <cell r="D1351" t="str">
            <v>ECOSAMPA Campo Limpo</v>
          </cell>
          <cell r="E1351">
            <v>43617</v>
          </cell>
          <cell r="F1351">
            <v>1603.99</v>
          </cell>
          <cell r="G1351" t="str">
            <v>Em Atividade Normal</v>
          </cell>
          <cell r="H1351">
            <v>45149</v>
          </cell>
          <cell r="I1351">
            <v>21787</v>
          </cell>
          <cell r="J1351" t="str">
            <v>013.161.038-46</v>
          </cell>
          <cell r="K1351" t="str">
            <v>108.81104.18.0</v>
          </cell>
          <cell r="L1351" t="str">
            <v>Salário Mensal</v>
          </cell>
          <cell r="M1351" t="str">
            <v>Empregado (CLT)</v>
          </cell>
        </row>
        <row r="1352">
          <cell r="D1352" t="str">
            <v>ECOSAMPA Operação Geral</v>
          </cell>
          <cell r="E1352">
            <v>43617</v>
          </cell>
          <cell r="F1352">
            <v>3050.22</v>
          </cell>
          <cell r="G1352" t="str">
            <v>Em Atividade Normal</v>
          </cell>
          <cell r="H1352">
            <v>45149</v>
          </cell>
          <cell r="I1352">
            <v>28292</v>
          </cell>
          <cell r="J1352" t="str">
            <v>312.169.988-17</v>
          </cell>
          <cell r="K1352" t="str">
            <v>135.97575.89.6</v>
          </cell>
          <cell r="L1352" t="str">
            <v>Salário Mensal</v>
          </cell>
          <cell r="M1352" t="str">
            <v>Empregado (CLT)</v>
          </cell>
        </row>
        <row r="1353">
          <cell r="D1353" t="str">
            <v>ECOSAMPA Operação Geral</v>
          </cell>
          <cell r="E1353">
            <v>43619</v>
          </cell>
          <cell r="F1353">
            <v>3001.31</v>
          </cell>
          <cell r="G1353" t="str">
            <v>Demitido em Meses Anteriores</v>
          </cell>
          <cell r="H1353">
            <v>44655</v>
          </cell>
          <cell r="I1353">
            <v>33782</v>
          </cell>
          <cell r="J1353" t="str">
            <v>397.817.928-84</v>
          </cell>
          <cell r="K1353" t="str">
            <v>207.11683.49.7</v>
          </cell>
          <cell r="L1353" t="str">
            <v>Salário Mensal</v>
          </cell>
          <cell r="M1353" t="str">
            <v>Empregado (CLT)</v>
          </cell>
        </row>
        <row r="1354">
          <cell r="D1354" t="str">
            <v>ECOSAMPA Santo Amaro</v>
          </cell>
          <cell r="E1354">
            <v>43874</v>
          </cell>
          <cell r="F1354">
            <v>1319.67</v>
          </cell>
          <cell r="G1354" t="str">
            <v>Demitido em Meses Anteriores</v>
          </cell>
          <cell r="H1354">
            <v>44201</v>
          </cell>
          <cell r="I1354">
            <v>32174</v>
          </cell>
          <cell r="J1354" t="str">
            <v>361.542.588-01</v>
          </cell>
          <cell r="K1354" t="str">
            <v>161.77202.66.8</v>
          </cell>
          <cell r="L1354" t="str">
            <v>Salário Mensal</v>
          </cell>
          <cell r="M1354" t="str">
            <v>Empregado (CLT)</v>
          </cell>
        </row>
        <row r="1355">
          <cell r="D1355" t="str">
            <v>ECOSAMPA Operação Geral</v>
          </cell>
          <cell r="E1355">
            <v>43617</v>
          </cell>
          <cell r="F1355">
            <v>1907.79</v>
          </cell>
          <cell r="G1355" t="str">
            <v>Gozando Férias</v>
          </cell>
          <cell r="H1355">
            <v>45180</v>
          </cell>
          <cell r="I1355">
            <v>31117</v>
          </cell>
          <cell r="J1355" t="str">
            <v>340.689.488-79</v>
          </cell>
          <cell r="K1355" t="str">
            <v>128.85720.22.2</v>
          </cell>
          <cell r="L1355" t="str">
            <v>Salário Mensal</v>
          </cell>
          <cell r="M1355" t="str">
            <v>Empregado (CLT)</v>
          </cell>
        </row>
        <row r="1356">
          <cell r="D1356" t="str">
            <v>ECOSAMPA Operação Geral</v>
          </cell>
          <cell r="E1356">
            <v>43739</v>
          </cell>
          <cell r="F1356">
            <v>2785.59</v>
          </cell>
          <cell r="G1356" t="str">
            <v>Demitido em Meses Anteriores</v>
          </cell>
          <cell r="H1356">
            <v>44631</v>
          </cell>
          <cell r="I1356">
            <v>28471</v>
          </cell>
          <cell r="J1356" t="str">
            <v>276.621.118-73</v>
          </cell>
          <cell r="K1356" t="str">
            <v>126.88355.81.5</v>
          </cell>
          <cell r="L1356" t="str">
            <v>Salário Mensal</v>
          </cell>
          <cell r="M1356" t="str">
            <v>Empregado (CLT)</v>
          </cell>
        </row>
        <row r="1357">
          <cell r="D1357" t="str">
            <v>ECOSAMPA Operação Geral</v>
          </cell>
          <cell r="E1357">
            <v>43916</v>
          </cell>
          <cell r="F1357">
            <v>1603.99</v>
          </cell>
          <cell r="G1357" t="str">
            <v>Em Atividade Normal</v>
          </cell>
          <cell r="H1357">
            <v>45086</v>
          </cell>
          <cell r="I1357">
            <v>25323</v>
          </cell>
          <cell r="J1357" t="str">
            <v>959.920.574-04</v>
          </cell>
          <cell r="K1357" t="str">
            <v>122.16548.55.5</v>
          </cell>
          <cell r="L1357" t="str">
            <v>Salário Mensal</v>
          </cell>
          <cell r="M1357" t="str">
            <v>Empregado (CLT)</v>
          </cell>
        </row>
        <row r="1358">
          <cell r="D1358" t="str">
            <v>ECOSAMPA Campo Limpo</v>
          </cell>
          <cell r="E1358">
            <v>43617</v>
          </cell>
          <cell r="F1358">
            <v>1603.99</v>
          </cell>
          <cell r="G1358" t="str">
            <v>Em Atividade Normal</v>
          </cell>
          <cell r="H1358">
            <v>44806</v>
          </cell>
          <cell r="I1358">
            <v>27816</v>
          </cell>
          <cell r="J1358" t="str">
            <v>290.711.858-77</v>
          </cell>
          <cell r="K1358" t="str">
            <v>128.55408.81.6</v>
          </cell>
          <cell r="L1358" t="str">
            <v>Salário Mensal</v>
          </cell>
          <cell r="M1358" t="str">
            <v>Empregado (CLT)</v>
          </cell>
        </row>
        <row r="1359">
          <cell r="D1359" t="str">
            <v>ECOSAMPA Operação Geral</v>
          </cell>
          <cell r="E1359">
            <v>43617</v>
          </cell>
          <cell r="F1359">
            <v>3050.22</v>
          </cell>
          <cell r="G1359" t="str">
            <v>Em Atividade Normal</v>
          </cell>
          <cell r="H1359">
            <v>45119</v>
          </cell>
          <cell r="I1359">
            <v>24741</v>
          </cell>
          <cell r="J1359" t="str">
            <v>502.254.804-68</v>
          </cell>
          <cell r="K1359" t="str">
            <v>122.49954.47.1</v>
          </cell>
          <cell r="L1359" t="str">
            <v>Salário Mensal</v>
          </cell>
          <cell r="M1359" t="str">
            <v>Empregado (CLT)</v>
          </cell>
        </row>
        <row r="1360">
          <cell r="D1360" t="str">
            <v>ECOSAMPA Capela do Socorro</v>
          </cell>
          <cell r="E1360">
            <v>43617</v>
          </cell>
          <cell r="F1360">
            <v>1603.99</v>
          </cell>
          <cell r="G1360" t="str">
            <v>Em Atividade Normal</v>
          </cell>
          <cell r="H1360">
            <v>44835</v>
          </cell>
          <cell r="I1360">
            <v>26227</v>
          </cell>
          <cell r="J1360" t="str">
            <v>643.887.513-91</v>
          </cell>
          <cell r="K1360" t="str">
            <v>129.76175.77.4</v>
          </cell>
          <cell r="L1360" t="str">
            <v>Salário Mensal</v>
          </cell>
          <cell r="M1360" t="str">
            <v>Empregado (CLT)</v>
          </cell>
        </row>
        <row r="1361">
          <cell r="D1361" t="str">
            <v>ECOSAMPA Campo Limpo</v>
          </cell>
          <cell r="E1361">
            <v>43874</v>
          </cell>
          <cell r="F1361">
            <v>1603.99</v>
          </cell>
          <cell r="G1361" t="str">
            <v>Em Atividade Normal</v>
          </cell>
          <cell r="H1361">
            <v>45086</v>
          </cell>
          <cell r="I1361">
            <v>35515</v>
          </cell>
          <cell r="J1361" t="str">
            <v>134.233.484-10</v>
          </cell>
          <cell r="K1361" t="str">
            <v>162.60238.79.8</v>
          </cell>
          <cell r="L1361" t="str">
            <v>Salário Mensal</v>
          </cell>
          <cell r="M1361" t="str">
            <v>Empregado (CLT)</v>
          </cell>
        </row>
        <row r="1362">
          <cell r="D1362" t="str">
            <v>ECOSAMPA Capela do Socorro</v>
          </cell>
          <cell r="E1362">
            <v>43728</v>
          </cell>
          <cell r="F1362">
            <v>1603.99</v>
          </cell>
          <cell r="G1362" t="str">
            <v>Em Atividade Normal</v>
          </cell>
          <cell r="H1362">
            <v>45119</v>
          </cell>
          <cell r="I1362">
            <v>27425</v>
          </cell>
          <cell r="J1362" t="str">
            <v>652.227.095-15</v>
          </cell>
          <cell r="K1362" t="str">
            <v>127.50079.81.2</v>
          </cell>
          <cell r="L1362" t="str">
            <v>Salário Mensal</v>
          </cell>
          <cell r="M1362" t="str">
            <v>Empregado (CLT)</v>
          </cell>
        </row>
        <row r="1363">
          <cell r="D1363" t="str">
            <v>ECOSAMPA M'Boi Mirim</v>
          </cell>
          <cell r="E1363">
            <v>43728</v>
          </cell>
          <cell r="F1363">
            <v>1603.99</v>
          </cell>
          <cell r="G1363" t="str">
            <v>Demitido em Meses Anteriores</v>
          </cell>
          <cell r="H1363">
            <v>45026</v>
          </cell>
          <cell r="I1363">
            <v>24749</v>
          </cell>
          <cell r="J1363" t="str">
            <v>065.692.648-18</v>
          </cell>
          <cell r="K1363" t="str">
            <v>121.60016.59.6</v>
          </cell>
          <cell r="L1363" t="str">
            <v>Salário Mensal</v>
          </cell>
          <cell r="M1363" t="str">
            <v>Empregado (CLT)</v>
          </cell>
        </row>
        <row r="1364">
          <cell r="D1364" t="str">
            <v>ECOSAMPA M'Boi Mirim</v>
          </cell>
          <cell r="E1364">
            <v>43617</v>
          </cell>
          <cell r="F1364">
            <v>1907.79</v>
          </cell>
          <cell r="G1364" t="str">
            <v>Em Atividade Normal</v>
          </cell>
          <cell r="H1364">
            <v>45149</v>
          </cell>
          <cell r="I1364">
            <v>32347</v>
          </cell>
          <cell r="J1364" t="str">
            <v>408.223.758-50</v>
          </cell>
          <cell r="K1364" t="str">
            <v>136.60711.77.1</v>
          </cell>
          <cell r="L1364" t="str">
            <v>Salário Mensal</v>
          </cell>
          <cell r="M1364" t="str">
            <v>Empregado (CLT)</v>
          </cell>
        </row>
        <row r="1365">
          <cell r="D1365" t="str">
            <v>ECOSAMPA Parelheiros</v>
          </cell>
          <cell r="E1365">
            <v>43617</v>
          </cell>
          <cell r="F1365">
            <v>1603.99</v>
          </cell>
          <cell r="G1365" t="str">
            <v>Em Atividade Normal</v>
          </cell>
          <cell r="H1365">
            <v>44776</v>
          </cell>
          <cell r="I1365">
            <v>26382</v>
          </cell>
          <cell r="J1365" t="str">
            <v>179.230.128-65</v>
          </cell>
          <cell r="K1365" t="str">
            <v>125.39300.52.0</v>
          </cell>
          <cell r="L1365" t="str">
            <v>Salário Mensal</v>
          </cell>
          <cell r="M1365" t="str">
            <v>Empregado (CLT)</v>
          </cell>
        </row>
        <row r="1366">
          <cell r="D1366" t="str">
            <v>ECOSAMPA Campo Limpo</v>
          </cell>
          <cell r="E1366">
            <v>43617</v>
          </cell>
          <cell r="F1366">
            <v>1281.23</v>
          </cell>
          <cell r="G1366" t="str">
            <v>Demitido em Meses Anteriores</v>
          </cell>
          <cell r="H1366">
            <v>43801</v>
          </cell>
          <cell r="I1366">
            <v>21146</v>
          </cell>
          <cell r="J1366" t="str">
            <v>007.478.008-55</v>
          </cell>
          <cell r="K1366" t="str">
            <v>108.10881.54.0</v>
          </cell>
          <cell r="L1366" t="str">
            <v>Salário Mensal</v>
          </cell>
          <cell r="M1366" t="str">
            <v>Empregado (CLT)</v>
          </cell>
        </row>
        <row r="1367">
          <cell r="D1367" t="str">
            <v>ECOSAMPA Operação Geral</v>
          </cell>
          <cell r="E1367">
            <v>43617</v>
          </cell>
          <cell r="F1367">
            <v>2342.7399999999998</v>
          </cell>
          <cell r="G1367" t="str">
            <v>Demitido em Meses Anteriores</v>
          </cell>
          <cell r="H1367">
            <v>43703</v>
          </cell>
          <cell r="I1367">
            <v>27560</v>
          </cell>
          <cell r="J1367" t="str">
            <v>265.406.258-98</v>
          </cell>
          <cell r="K1367" t="str">
            <v>125.92960.77.7</v>
          </cell>
          <cell r="L1367" t="str">
            <v>Salário Mensal</v>
          </cell>
          <cell r="M1367" t="str">
            <v>Empregado (CLT)</v>
          </cell>
        </row>
        <row r="1368">
          <cell r="D1368" t="str">
            <v>ECOSAMPA Operação Geral</v>
          </cell>
          <cell r="E1368">
            <v>44972</v>
          </cell>
          <cell r="F1368">
            <v>1603.99</v>
          </cell>
          <cell r="G1368" t="str">
            <v>Demitido em Meses Anteriores</v>
          </cell>
          <cell r="H1368">
            <v>44986</v>
          </cell>
          <cell r="I1368">
            <v>35266</v>
          </cell>
          <cell r="J1368" t="str">
            <v>493.416.728-56</v>
          </cell>
          <cell r="K1368" t="str">
            <v>209.79776.11.7</v>
          </cell>
          <cell r="L1368" t="str">
            <v>Salário Mensal</v>
          </cell>
          <cell r="M1368" t="str">
            <v>Empregado (CLT)</v>
          </cell>
        </row>
        <row r="1369">
          <cell r="D1369" t="str">
            <v>ECOSAMPA Operação Geral</v>
          </cell>
          <cell r="E1369">
            <v>43739</v>
          </cell>
          <cell r="F1369">
            <v>2785.59</v>
          </cell>
          <cell r="G1369" t="str">
            <v>Demitido em Meses Anteriores</v>
          </cell>
          <cell r="H1369">
            <v>44631</v>
          </cell>
          <cell r="I1369">
            <v>26375</v>
          </cell>
          <cell r="J1369" t="str">
            <v>154.335.818-70</v>
          </cell>
          <cell r="K1369" t="str">
            <v>123.35767.10.2</v>
          </cell>
          <cell r="L1369" t="str">
            <v>Salário Mensal</v>
          </cell>
          <cell r="M1369" t="str">
            <v>Empregado (CLT)</v>
          </cell>
        </row>
        <row r="1370">
          <cell r="D1370" t="str">
            <v>ECOSAMPA Santo Amaro</v>
          </cell>
          <cell r="E1370">
            <v>44419</v>
          </cell>
          <cell r="F1370">
            <v>1603.99</v>
          </cell>
          <cell r="G1370" t="str">
            <v>Em Atividade Normal</v>
          </cell>
          <cell r="H1370">
            <v>45119</v>
          </cell>
          <cell r="I1370">
            <v>25987</v>
          </cell>
          <cell r="J1370" t="str">
            <v>134.675.518-31</v>
          </cell>
          <cell r="K1370" t="str">
            <v>126.74917.77.8</v>
          </cell>
          <cell r="L1370" t="str">
            <v>Salário Mensal</v>
          </cell>
          <cell r="M1370" t="str">
            <v>Empregado (CLT)</v>
          </cell>
        </row>
        <row r="1371">
          <cell r="D1371" t="str">
            <v>ECOSAMPA Parelheiros</v>
          </cell>
          <cell r="E1371">
            <v>43682</v>
          </cell>
          <cell r="F1371">
            <v>3222.08</v>
          </cell>
          <cell r="G1371" t="str">
            <v>Gozando Férias</v>
          </cell>
          <cell r="H1371">
            <v>45180</v>
          </cell>
          <cell r="I1371">
            <v>26096</v>
          </cell>
          <cell r="J1371" t="str">
            <v>134.590.958-65</v>
          </cell>
          <cell r="K1371" t="str">
            <v>124.10352.33.4</v>
          </cell>
          <cell r="L1371" t="str">
            <v>Salário Mensal</v>
          </cell>
          <cell r="M1371" t="str">
            <v>Empregado (CLT)</v>
          </cell>
        </row>
        <row r="1372">
          <cell r="D1372" t="str">
            <v>ECOSAMPA Operação Geral</v>
          </cell>
          <cell r="E1372">
            <v>43617</v>
          </cell>
          <cell r="F1372">
            <v>2436.4499999999998</v>
          </cell>
          <cell r="G1372" t="str">
            <v>Demitido em Meses Anteriores</v>
          </cell>
          <cell r="H1372">
            <v>43867</v>
          </cell>
          <cell r="I1372">
            <v>25070</v>
          </cell>
          <cell r="J1372" t="str">
            <v>651.577.966-68</v>
          </cell>
          <cell r="K1372" t="str">
            <v>122.35044.53.2</v>
          </cell>
          <cell r="L1372" t="str">
            <v>Salário Mensal</v>
          </cell>
          <cell r="M1372" t="str">
            <v>Empregado (CLT)</v>
          </cell>
        </row>
        <row r="1373">
          <cell r="D1373" t="str">
            <v>ECOSAMPA Parelheiros</v>
          </cell>
          <cell r="E1373">
            <v>43617</v>
          </cell>
          <cell r="F1373">
            <v>1231.95</v>
          </cell>
          <cell r="G1373" t="str">
            <v>Demitido em Meses Anteriores</v>
          </cell>
          <cell r="H1373">
            <v>43703</v>
          </cell>
          <cell r="I1373">
            <v>30784</v>
          </cell>
          <cell r="J1373" t="str">
            <v>308.184.378-20</v>
          </cell>
          <cell r="K1373" t="str">
            <v>131.81587.93.0</v>
          </cell>
          <cell r="L1373" t="str">
            <v>Salário Mensal</v>
          </cell>
          <cell r="M1373" t="str">
            <v>Empregado (CLT)</v>
          </cell>
        </row>
        <row r="1374">
          <cell r="D1374" t="str">
            <v>ECOSAMPA Santo Amaro</v>
          </cell>
          <cell r="E1374">
            <v>43617</v>
          </cell>
          <cell r="F1374">
            <v>1603.99</v>
          </cell>
          <cell r="G1374" t="str">
            <v>Em Atividade Normal</v>
          </cell>
          <cell r="H1374">
            <v>44776</v>
          </cell>
          <cell r="I1374">
            <v>26553</v>
          </cell>
          <cell r="J1374" t="str">
            <v>184.736.508-67</v>
          </cell>
          <cell r="K1374" t="str">
            <v>125.25686.96.0</v>
          </cell>
          <cell r="L1374" t="str">
            <v>Salário Mensal</v>
          </cell>
          <cell r="M1374" t="str">
            <v>Empregado (CLT)</v>
          </cell>
        </row>
        <row r="1375">
          <cell r="D1375" t="str">
            <v>ECOSAMPA Capela do Socorro</v>
          </cell>
          <cell r="E1375">
            <v>43617</v>
          </cell>
          <cell r="F1375">
            <v>1603.99</v>
          </cell>
          <cell r="G1375" t="str">
            <v>Em Atividade Normal</v>
          </cell>
          <cell r="H1375">
            <v>44776</v>
          </cell>
          <cell r="I1375">
            <v>29400</v>
          </cell>
          <cell r="J1375" t="str">
            <v>313.038.998-92</v>
          </cell>
          <cell r="K1375" t="str">
            <v>128.02402.77.5</v>
          </cell>
          <cell r="L1375" t="str">
            <v>Salário Mensal</v>
          </cell>
          <cell r="M1375" t="str">
            <v>Empregado (CLT)</v>
          </cell>
        </row>
        <row r="1376">
          <cell r="D1376" t="str">
            <v>ECOSAMPA Santo Amaro</v>
          </cell>
          <cell r="E1376">
            <v>44207</v>
          </cell>
          <cell r="F1376">
            <v>1603.99</v>
          </cell>
          <cell r="G1376" t="str">
            <v>Em Atividade Normal</v>
          </cell>
          <cell r="H1376">
            <v>45086</v>
          </cell>
          <cell r="I1376">
            <v>32396</v>
          </cell>
          <cell r="J1376" t="str">
            <v>088.098.774-03</v>
          </cell>
          <cell r="K1376" t="str">
            <v>132.74980.16.0</v>
          </cell>
          <cell r="L1376" t="str">
            <v>Salário Mensal</v>
          </cell>
          <cell r="M1376" t="str">
            <v>Empregado (CLT)</v>
          </cell>
        </row>
        <row r="1377">
          <cell r="D1377" t="str">
            <v>ECOSAMPA M'Boi Mirim</v>
          </cell>
          <cell r="E1377">
            <v>43617</v>
          </cell>
          <cell r="F1377">
            <v>1603.99</v>
          </cell>
          <cell r="G1377" t="str">
            <v>Em Atividade Normal</v>
          </cell>
          <cell r="H1377">
            <v>44993</v>
          </cell>
          <cell r="I1377">
            <v>31357</v>
          </cell>
          <cell r="J1377" t="str">
            <v>357.387.868-74</v>
          </cell>
          <cell r="K1377" t="str">
            <v>135.69620.81.5</v>
          </cell>
          <cell r="L1377" t="str">
            <v>Salário Mensal</v>
          </cell>
          <cell r="M1377" t="str">
            <v>Empregado (CLT)</v>
          </cell>
        </row>
        <row r="1378">
          <cell r="D1378" t="str">
            <v>ECOSAMPA Operação Geral</v>
          </cell>
          <cell r="E1378">
            <v>43617</v>
          </cell>
          <cell r="F1378">
            <v>2436.4499999999998</v>
          </cell>
          <cell r="G1378" t="str">
            <v>Demitido em Meses Anteriores</v>
          </cell>
          <cell r="H1378">
            <v>43895</v>
          </cell>
          <cell r="I1378">
            <v>25934</v>
          </cell>
          <cell r="J1378" t="str">
            <v>776.461.854-34</v>
          </cell>
          <cell r="K1378" t="str">
            <v>124.12716.13.9</v>
          </cell>
          <cell r="L1378" t="str">
            <v>Salário Mensal</v>
          </cell>
          <cell r="M1378" t="str">
            <v>Empregado (CLT)</v>
          </cell>
        </row>
        <row r="1379">
          <cell r="D1379" t="str">
            <v>ECOSAMPA Operação Geral</v>
          </cell>
          <cell r="E1379">
            <v>44235</v>
          </cell>
          <cell r="F1379">
            <v>2785.59</v>
          </cell>
          <cell r="G1379" t="str">
            <v>Demitido em Meses Anteriores</v>
          </cell>
          <cell r="H1379">
            <v>44727</v>
          </cell>
          <cell r="I1379">
            <v>25934</v>
          </cell>
          <cell r="J1379" t="str">
            <v>776.461.854-34</v>
          </cell>
          <cell r="K1379" t="str">
            <v>124.12716.13.9</v>
          </cell>
          <cell r="L1379" t="str">
            <v>Salário Mensal</v>
          </cell>
          <cell r="M1379" t="str">
            <v>Empregado (CLT)</v>
          </cell>
        </row>
        <row r="1380">
          <cell r="D1380" t="str">
            <v>ECOSAMPA Capela do Socorro</v>
          </cell>
          <cell r="E1380">
            <v>43617</v>
          </cell>
          <cell r="F1380">
            <v>1603.99</v>
          </cell>
          <cell r="G1380" t="str">
            <v>Em Atividade Normal</v>
          </cell>
          <cell r="H1380">
            <v>44776</v>
          </cell>
          <cell r="I1380">
            <v>29509</v>
          </cell>
          <cell r="J1380" t="str">
            <v>316.014.948-07</v>
          </cell>
          <cell r="K1380" t="str">
            <v>203.63938.63.4</v>
          </cell>
          <cell r="L1380" t="str">
            <v>Salário Mensal</v>
          </cell>
          <cell r="M1380" t="str">
            <v>Empregado (CLT)</v>
          </cell>
        </row>
        <row r="1381">
          <cell r="D1381" t="str">
            <v>ECOSAMPA Santo Amaro</v>
          </cell>
          <cell r="E1381">
            <v>43617</v>
          </cell>
          <cell r="F1381">
            <v>1603.99</v>
          </cell>
          <cell r="G1381" t="str">
            <v>Em Atividade Normal</v>
          </cell>
          <cell r="H1381">
            <v>44930</v>
          </cell>
          <cell r="I1381">
            <v>22380</v>
          </cell>
          <cell r="J1381" t="str">
            <v>025.394.298-58</v>
          </cell>
          <cell r="K1381" t="str">
            <v>107.79289.16.9</v>
          </cell>
          <cell r="L1381" t="str">
            <v>Salário Mensal</v>
          </cell>
          <cell r="M1381" t="str">
            <v>Empregado (CLT)</v>
          </cell>
        </row>
        <row r="1382">
          <cell r="D1382" t="str">
            <v>ECOSAMPA Operação Geral</v>
          </cell>
          <cell r="E1382">
            <v>43916</v>
          </cell>
          <cell r="F1382">
            <v>3050.22</v>
          </cell>
          <cell r="G1382" t="str">
            <v>Em Atividade Normal</v>
          </cell>
          <cell r="H1382">
            <v>45086</v>
          </cell>
          <cell r="I1382">
            <v>26010</v>
          </cell>
          <cell r="J1382" t="str">
            <v>607.686.305-68</v>
          </cell>
          <cell r="K1382" t="str">
            <v>128.34616.77.0</v>
          </cell>
          <cell r="L1382" t="str">
            <v>Salário Mensal</v>
          </cell>
          <cell r="M1382" t="str">
            <v>Empregado (CLT)</v>
          </cell>
        </row>
        <row r="1383">
          <cell r="D1383" t="str">
            <v>ECOSAMPA Santo Amaro</v>
          </cell>
          <cell r="E1383">
            <v>43617</v>
          </cell>
          <cell r="F1383">
            <v>1281.23</v>
          </cell>
          <cell r="G1383" t="str">
            <v>Demitido em Meses Anteriores</v>
          </cell>
          <cell r="H1383">
            <v>43770</v>
          </cell>
          <cell r="I1383">
            <v>33708</v>
          </cell>
          <cell r="J1383" t="str">
            <v>106.815.914-63</v>
          </cell>
          <cell r="K1383" t="str">
            <v>162.11560.36.3</v>
          </cell>
          <cell r="L1383" t="str">
            <v>Salário Mensal</v>
          </cell>
          <cell r="M1383" t="str">
            <v>Empregado (CLT)</v>
          </cell>
        </row>
        <row r="1384">
          <cell r="D1384" t="str">
            <v>ECOSAMPA Campo Limpo</v>
          </cell>
          <cell r="E1384">
            <v>43617</v>
          </cell>
          <cell r="F1384">
            <v>1603.99</v>
          </cell>
          <cell r="G1384" t="str">
            <v>Em Atividade Normal</v>
          </cell>
          <cell r="H1384">
            <v>44867</v>
          </cell>
          <cell r="I1384">
            <v>22703</v>
          </cell>
          <cell r="J1384" t="str">
            <v>077.626.008-17</v>
          </cell>
          <cell r="K1384" t="str">
            <v>121.24263.57.0</v>
          </cell>
          <cell r="L1384" t="str">
            <v>Salário Mensal</v>
          </cell>
          <cell r="M1384" t="str">
            <v>Empregado (CLT)</v>
          </cell>
        </row>
        <row r="1385">
          <cell r="D1385" t="str">
            <v>ECOSAMPA Operação Geral</v>
          </cell>
          <cell r="E1385">
            <v>43617</v>
          </cell>
          <cell r="F1385">
            <v>3050.22</v>
          </cell>
          <cell r="G1385" t="str">
            <v>Em Atividade Normal</v>
          </cell>
          <cell r="H1385">
            <v>44960</v>
          </cell>
          <cell r="I1385">
            <v>29730</v>
          </cell>
          <cell r="J1385" t="str">
            <v>281.431.228-67</v>
          </cell>
          <cell r="K1385" t="str">
            <v>127.82028.77.6</v>
          </cell>
          <cell r="L1385" t="str">
            <v>Salário Mensal</v>
          </cell>
          <cell r="M1385" t="str">
            <v>Empregado (CLT)</v>
          </cell>
        </row>
        <row r="1386">
          <cell r="D1386" t="str">
            <v>ECOSAMPA Operação Geral</v>
          </cell>
          <cell r="E1386">
            <v>43874</v>
          </cell>
          <cell r="F1386">
            <v>2436.4499999999998</v>
          </cell>
          <cell r="G1386" t="str">
            <v>Demitido em Meses Anteriores</v>
          </cell>
          <cell r="H1386">
            <v>44015</v>
          </cell>
          <cell r="I1386">
            <v>26698</v>
          </cell>
          <cell r="J1386" t="str">
            <v>820.782.624-04</v>
          </cell>
          <cell r="K1386" t="str">
            <v>124.98891.58.9</v>
          </cell>
          <cell r="L1386" t="str">
            <v>Salário Mensal</v>
          </cell>
          <cell r="M1386" t="str">
            <v>Empregado (CLT)</v>
          </cell>
        </row>
        <row r="1387">
          <cell r="D1387" t="str">
            <v>ECOSAMPA Operação Geral</v>
          </cell>
          <cell r="E1387">
            <v>43916</v>
          </cell>
          <cell r="F1387">
            <v>1603.99</v>
          </cell>
          <cell r="G1387" t="str">
            <v>Em Atividade Normal</v>
          </cell>
          <cell r="H1387">
            <v>45119</v>
          </cell>
          <cell r="I1387">
            <v>27229</v>
          </cell>
          <cell r="J1387" t="str">
            <v>271.582.238-33</v>
          </cell>
          <cell r="K1387" t="str">
            <v>124.89412.22.3</v>
          </cell>
          <cell r="L1387" t="str">
            <v>Salário Mensal</v>
          </cell>
          <cell r="M1387" t="str">
            <v>Empregado (CLT)</v>
          </cell>
        </row>
        <row r="1388">
          <cell r="D1388" t="str">
            <v>ECOSAMPA Operação Geral</v>
          </cell>
          <cell r="E1388">
            <v>43617</v>
          </cell>
          <cell r="F1388">
            <v>1603.99</v>
          </cell>
          <cell r="G1388" t="str">
            <v>Em Atividade Normal</v>
          </cell>
          <cell r="H1388">
            <v>45177</v>
          </cell>
          <cell r="I1388">
            <v>26898</v>
          </cell>
          <cell r="J1388" t="str">
            <v>146.864.528-56</v>
          </cell>
          <cell r="K1388" t="str">
            <v>124.68232.77.3</v>
          </cell>
          <cell r="L1388" t="str">
            <v>Salário Mensal</v>
          </cell>
          <cell r="M1388" t="str">
            <v>Empregado (CLT)</v>
          </cell>
        </row>
        <row r="1389">
          <cell r="D1389" t="str">
            <v>ECOSAMPA Campo Limpo</v>
          </cell>
          <cell r="E1389">
            <v>43617</v>
          </cell>
          <cell r="F1389">
            <v>1319.67</v>
          </cell>
          <cell r="G1389" t="str">
            <v>Demitido em Meses Anteriores</v>
          </cell>
          <cell r="H1389">
            <v>44348</v>
          </cell>
          <cell r="I1389">
            <v>20587</v>
          </cell>
          <cell r="J1389" t="str">
            <v>573.318.395-00</v>
          </cell>
          <cell r="K1389" t="str">
            <v>108.01425.38.4</v>
          </cell>
          <cell r="L1389" t="str">
            <v>Salário Mensal</v>
          </cell>
          <cell r="M1389" t="str">
            <v>Empregado (CLT)</v>
          </cell>
        </row>
        <row r="1390">
          <cell r="D1390" t="str">
            <v>ECOSAMPA Operação Geral</v>
          </cell>
          <cell r="E1390">
            <v>43617</v>
          </cell>
          <cell r="F1390">
            <v>2509.54</v>
          </cell>
          <cell r="G1390" t="str">
            <v>Demitido em Meses Anteriores</v>
          </cell>
          <cell r="H1390">
            <v>44336</v>
          </cell>
          <cell r="I1390">
            <v>26132</v>
          </cell>
          <cell r="J1390" t="str">
            <v>279.426.848-14</v>
          </cell>
          <cell r="K1390" t="str">
            <v>124.26339.72.3</v>
          </cell>
          <cell r="L1390" t="str">
            <v>Salário Mensal</v>
          </cell>
          <cell r="M1390" t="str">
            <v>Empregado (CLT)</v>
          </cell>
        </row>
        <row r="1391">
          <cell r="D1391" t="str">
            <v>ECOSAMPA Campo Limpo</v>
          </cell>
          <cell r="E1391">
            <v>43617</v>
          </cell>
          <cell r="F1391">
            <v>1603.99</v>
          </cell>
          <cell r="G1391" t="str">
            <v>Em Atividade Normal</v>
          </cell>
          <cell r="H1391">
            <v>44776</v>
          </cell>
          <cell r="I1391">
            <v>24715</v>
          </cell>
          <cell r="J1391" t="str">
            <v>304.020.758-03</v>
          </cell>
          <cell r="K1391" t="str">
            <v>126.96344.22.3</v>
          </cell>
          <cell r="L1391" t="str">
            <v>Salário Mensal</v>
          </cell>
          <cell r="M1391" t="str">
            <v>Empregado (CLT)</v>
          </cell>
        </row>
        <row r="1392">
          <cell r="D1392" t="str">
            <v>ECOSAMPA Parelheiros</v>
          </cell>
          <cell r="E1392">
            <v>43617</v>
          </cell>
          <cell r="F1392">
            <v>1603.99</v>
          </cell>
          <cell r="G1392" t="str">
            <v>Em Atividade Normal</v>
          </cell>
          <cell r="H1392">
            <v>45177</v>
          </cell>
          <cell r="I1392">
            <v>25487</v>
          </cell>
          <cell r="J1392" t="str">
            <v>426.025.643-20</v>
          </cell>
          <cell r="K1392" t="str">
            <v>124.23059.48.7</v>
          </cell>
          <cell r="L1392" t="str">
            <v>Salário Mensal</v>
          </cell>
          <cell r="M1392" t="str">
            <v>Empregado (CLT)</v>
          </cell>
        </row>
        <row r="1393">
          <cell r="D1393" t="str">
            <v>ECOSAMPA Santo Amaro</v>
          </cell>
          <cell r="E1393">
            <v>43617</v>
          </cell>
          <cell r="F1393">
            <v>1603.99</v>
          </cell>
          <cell r="G1393" t="str">
            <v>Demitido em Meses Anteriores</v>
          </cell>
          <cell r="H1393">
            <v>45091</v>
          </cell>
          <cell r="I1393">
            <v>27932</v>
          </cell>
          <cell r="J1393" t="str">
            <v>268.877.138-88</v>
          </cell>
          <cell r="K1393" t="str">
            <v>126.10540.89.4</v>
          </cell>
          <cell r="L1393" t="str">
            <v>Salário Mensal</v>
          </cell>
          <cell r="M1393" t="str">
            <v>Empregado (CLT)</v>
          </cell>
        </row>
        <row r="1394">
          <cell r="D1394" t="str">
            <v>ECOSAMPA Operação Geral</v>
          </cell>
          <cell r="E1394">
            <v>43874</v>
          </cell>
          <cell r="F1394">
            <v>2436.4499999999998</v>
          </cell>
          <cell r="G1394" t="str">
            <v>Demitido em Meses Anteriores</v>
          </cell>
          <cell r="H1394">
            <v>43888</v>
          </cell>
          <cell r="I1394">
            <v>24427</v>
          </cell>
          <cell r="J1394" t="str">
            <v>094.572.058-04</v>
          </cell>
          <cell r="K1394" t="str">
            <v>121.90902.29.2</v>
          </cell>
          <cell r="L1394" t="str">
            <v>Salário Mensal</v>
          </cell>
          <cell r="M1394" t="str">
            <v>Empregado (CLT)</v>
          </cell>
        </row>
        <row r="1395">
          <cell r="D1395" t="str">
            <v>ECOSAMPA Operação Geral</v>
          </cell>
          <cell r="E1395">
            <v>43916</v>
          </cell>
          <cell r="F1395">
            <v>2436.4499999999998</v>
          </cell>
          <cell r="G1395" t="str">
            <v>Demitido em Meses Anteriores</v>
          </cell>
          <cell r="H1395">
            <v>43977</v>
          </cell>
          <cell r="I1395">
            <v>24427</v>
          </cell>
          <cell r="J1395" t="str">
            <v>094.572.058-04</v>
          </cell>
          <cell r="K1395" t="str">
            <v>121.90902.29.2</v>
          </cell>
          <cell r="L1395" t="str">
            <v>Salário Mensal</v>
          </cell>
          <cell r="M1395" t="str">
            <v>Empregado (CLT)</v>
          </cell>
        </row>
        <row r="1396">
          <cell r="D1396" t="str">
            <v>ECOSAMPA Operação Geral</v>
          </cell>
          <cell r="E1396">
            <v>43617</v>
          </cell>
          <cell r="F1396">
            <v>1907.79</v>
          </cell>
          <cell r="G1396" t="str">
            <v>Em Atividade Normal</v>
          </cell>
          <cell r="H1396">
            <v>45023</v>
          </cell>
          <cell r="I1396">
            <v>29253</v>
          </cell>
          <cell r="J1396" t="str">
            <v>286.528.038-11</v>
          </cell>
          <cell r="K1396" t="str">
            <v>128.77090.89.4</v>
          </cell>
          <cell r="L1396" t="str">
            <v>Salário Mensal</v>
          </cell>
          <cell r="M1396" t="str">
            <v>Empregado (CLT)</v>
          </cell>
        </row>
        <row r="1397">
          <cell r="D1397" t="str">
            <v>ECOSAMPA Santo Amaro</v>
          </cell>
          <cell r="E1397">
            <v>44760</v>
          </cell>
          <cell r="F1397">
            <v>1603.99</v>
          </cell>
          <cell r="G1397" t="str">
            <v>Demitido no Mês</v>
          </cell>
          <cell r="H1397">
            <v>45194</v>
          </cell>
          <cell r="I1397">
            <v>31901</v>
          </cell>
          <cell r="J1397" t="str">
            <v>370.140.448-85</v>
          </cell>
          <cell r="K1397" t="str">
            <v>203.91308.71.2</v>
          </cell>
          <cell r="L1397" t="str">
            <v>Salário Mensal</v>
          </cell>
          <cell r="M1397" t="str">
            <v>Empregado (CLT)</v>
          </cell>
        </row>
        <row r="1398">
          <cell r="D1398" t="str">
            <v>ECOSAMPA Operação Geral</v>
          </cell>
          <cell r="E1398">
            <v>43617</v>
          </cell>
          <cell r="F1398">
            <v>3050.22</v>
          </cell>
          <cell r="G1398" t="str">
            <v>Em Atividade Normal</v>
          </cell>
          <cell r="H1398">
            <v>45149</v>
          </cell>
          <cell r="I1398">
            <v>25754</v>
          </cell>
          <cell r="J1398" t="str">
            <v>147.964.268-17</v>
          </cell>
          <cell r="K1398" t="str">
            <v>124.84973.52.9</v>
          </cell>
          <cell r="L1398" t="str">
            <v>Salário Mensal</v>
          </cell>
          <cell r="M1398" t="str">
            <v>Empregado (CLT)</v>
          </cell>
        </row>
        <row r="1399">
          <cell r="D1399" t="str">
            <v>ECOSAMPA Santo Amaro</v>
          </cell>
          <cell r="E1399">
            <v>45040</v>
          </cell>
          <cell r="F1399">
            <v>1603.99</v>
          </cell>
          <cell r="G1399" t="str">
            <v>Em Atividade Normal</v>
          </cell>
          <cell r="H1399">
            <v>45040</v>
          </cell>
          <cell r="I1399">
            <v>33261</v>
          </cell>
          <cell r="J1399" t="str">
            <v>384.225.868-27</v>
          </cell>
          <cell r="K1399" t="str">
            <v>162.99471.83.3</v>
          </cell>
          <cell r="L1399" t="str">
            <v>Salário Mensal</v>
          </cell>
          <cell r="M1399" t="str">
            <v>Empregado (CLT)</v>
          </cell>
        </row>
        <row r="1400">
          <cell r="D1400" t="str">
            <v>ECOSAMPA Operação Geral</v>
          </cell>
          <cell r="E1400">
            <v>44630</v>
          </cell>
          <cell r="F1400">
            <v>1603.99</v>
          </cell>
          <cell r="G1400" t="str">
            <v>Demitido em Meses Anteriores</v>
          </cell>
          <cell r="H1400">
            <v>44999</v>
          </cell>
          <cell r="I1400">
            <v>31932</v>
          </cell>
          <cell r="J1400" t="str">
            <v>366.944.298-78</v>
          </cell>
          <cell r="K1400" t="str">
            <v>207.11869.21.3</v>
          </cell>
          <cell r="L1400" t="str">
            <v>Salário Mensal</v>
          </cell>
          <cell r="M1400" t="str">
            <v>Empregado (CLT)</v>
          </cell>
        </row>
        <row r="1401">
          <cell r="D1401" t="str">
            <v>ECOSAMPA Santo Amaro</v>
          </cell>
          <cell r="E1401">
            <v>43617</v>
          </cell>
          <cell r="F1401">
            <v>1603.99</v>
          </cell>
          <cell r="G1401" t="str">
            <v>Em Atividade Normal</v>
          </cell>
          <cell r="H1401">
            <v>44867</v>
          </cell>
          <cell r="I1401">
            <v>34694</v>
          </cell>
          <cell r="J1401" t="str">
            <v>455.571.488-17</v>
          </cell>
          <cell r="K1401" t="str">
            <v>204.28922.72.9</v>
          </cell>
          <cell r="L1401" t="str">
            <v>Salário Mensal</v>
          </cell>
          <cell r="M1401" t="str">
            <v>Empregado (CLT)</v>
          </cell>
        </row>
        <row r="1402">
          <cell r="D1402" t="str">
            <v>ECOSAMPA M'Boi Mirim</v>
          </cell>
          <cell r="E1402">
            <v>43617</v>
          </cell>
          <cell r="F1402">
            <v>1603.99</v>
          </cell>
          <cell r="G1402" t="str">
            <v>Em Atividade Normal</v>
          </cell>
          <cell r="H1402">
            <v>44898</v>
          </cell>
          <cell r="I1402">
            <v>28678</v>
          </cell>
          <cell r="J1402" t="str">
            <v>282.525.578-56</v>
          </cell>
          <cell r="K1402" t="str">
            <v>206.88025.96.4</v>
          </cell>
          <cell r="L1402" t="str">
            <v>Salário Mensal</v>
          </cell>
          <cell r="M1402" t="str">
            <v>Empregado (CLT)</v>
          </cell>
        </row>
        <row r="1403">
          <cell r="D1403" t="str">
            <v>ECOSAMPA M'Boi Mirim</v>
          </cell>
          <cell r="E1403">
            <v>43617</v>
          </cell>
          <cell r="F1403">
            <v>1231.95</v>
          </cell>
          <cell r="G1403" t="str">
            <v>Demitido em Meses Anteriores</v>
          </cell>
          <cell r="H1403">
            <v>43703</v>
          </cell>
          <cell r="I1403">
            <v>27490</v>
          </cell>
          <cell r="J1403" t="str">
            <v>255.132.678-88</v>
          </cell>
          <cell r="K1403" t="str">
            <v>125.20055.15.6</v>
          </cell>
          <cell r="L1403" t="str">
            <v>Salário Mensal</v>
          </cell>
          <cell r="M1403" t="str">
            <v>Empregado (CLT)</v>
          </cell>
        </row>
        <row r="1404">
          <cell r="D1404" t="str">
            <v>ECOSAMPA Campo Limpo</v>
          </cell>
          <cell r="E1404">
            <v>43617</v>
          </cell>
          <cell r="F1404">
            <v>1465.28</v>
          </cell>
          <cell r="G1404" t="str">
            <v>Demitido em Meses Anteriores</v>
          </cell>
          <cell r="H1404">
            <v>43703</v>
          </cell>
          <cell r="I1404">
            <v>33178</v>
          </cell>
          <cell r="J1404" t="str">
            <v>369.885.948-33</v>
          </cell>
          <cell r="K1404" t="str">
            <v>201.15443.11.2</v>
          </cell>
          <cell r="L1404" t="str">
            <v>Salário Mensal</v>
          </cell>
          <cell r="M1404" t="str">
            <v>Empregado (CLT)</v>
          </cell>
        </row>
        <row r="1405">
          <cell r="D1405" t="str">
            <v>ECOSAMPA Santo Amaro</v>
          </cell>
          <cell r="E1405">
            <v>43617</v>
          </cell>
          <cell r="F1405">
            <v>1603.99</v>
          </cell>
          <cell r="G1405" t="str">
            <v>Demitido em Meses Anteriores</v>
          </cell>
          <cell r="H1405">
            <v>45061</v>
          </cell>
          <cell r="I1405">
            <v>33895</v>
          </cell>
          <cell r="J1405" t="str">
            <v>050.480.133-36</v>
          </cell>
          <cell r="K1405" t="str">
            <v>162.08104.54.9</v>
          </cell>
          <cell r="L1405" t="str">
            <v>Salário Mensal</v>
          </cell>
          <cell r="M1405" t="str">
            <v>Empregado (CLT)</v>
          </cell>
        </row>
        <row r="1406">
          <cell r="D1406" t="str">
            <v>ECOSAMPA Santo Amaro</v>
          </cell>
          <cell r="E1406">
            <v>43617</v>
          </cell>
          <cell r="F1406">
            <v>1603.99</v>
          </cell>
          <cell r="G1406" t="str">
            <v>Em Atividade Normal</v>
          </cell>
          <cell r="H1406">
            <v>44806</v>
          </cell>
          <cell r="I1406">
            <v>25705</v>
          </cell>
          <cell r="J1406" t="str">
            <v>734.730.904-25</v>
          </cell>
          <cell r="K1406" t="str">
            <v>123.89790.00.5</v>
          </cell>
          <cell r="L1406" t="str">
            <v>Salário Mensal</v>
          </cell>
          <cell r="M1406" t="str">
            <v>Empregado (CLT)</v>
          </cell>
        </row>
        <row r="1407">
          <cell r="D1407" t="str">
            <v>ECOSAMPA Capela do Socorro</v>
          </cell>
          <cell r="E1407">
            <v>43617</v>
          </cell>
          <cell r="F1407">
            <v>1603.99</v>
          </cell>
          <cell r="G1407" t="str">
            <v>Em Atividade Normal</v>
          </cell>
          <cell r="H1407">
            <v>45170</v>
          </cell>
          <cell r="I1407">
            <v>26932</v>
          </cell>
          <cell r="J1407" t="str">
            <v>328.142.418-00</v>
          </cell>
          <cell r="K1407" t="str">
            <v>136.45894.89.5</v>
          </cell>
          <cell r="L1407" t="str">
            <v>Salário Mensal</v>
          </cell>
          <cell r="M1407" t="str">
            <v>Empregado (CLT)</v>
          </cell>
        </row>
        <row r="1408">
          <cell r="D1408" t="str">
            <v>ECOSAMPA Operação Geral</v>
          </cell>
          <cell r="E1408">
            <v>43739</v>
          </cell>
          <cell r="F1408">
            <v>3050.22</v>
          </cell>
          <cell r="G1408" t="str">
            <v>Em Atividade Normal</v>
          </cell>
          <cell r="H1408">
            <v>44930</v>
          </cell>
          <cell r="I1408">
            <v>23830</v>
          </cell>
          <cell r="J1408" t="str">
            <v>416.286.754-20</v>
          </cell>
          <cell r="K1408" t="str">
            <v>123.38169.98.2</v>
          </cell>
          <cell r="L1408" t="str">
            <v>Salário Mensal</v>
          </cell>
          <cell r="M1408" t="str">
            <v>Empregado (CLT)</v>
          </cell>
        </row>
        <row r="1409">
          <cell r="D1409" t="str">
            <v>ECOSAMPA Pensionistas</v>
          </cell>
          <cell r="E1409">
            <v>43647</v>
          </cell>
          <cell r="F1409">
            <v>0.01</v>
          </cell>
          <cell r="G1409" t="str">
            <v>Em Atividade Normal</v>
          </cell>
          <cell r="H1409">
            <v>43647</v>
          </cell>
          <cell r="J1409" t="str">
            <v>381.043.728-07</v>
          </cell>
          <cell r="L1409" t="str">
            <v>Nenhuma</v>
          </cell>
          <cell r="M1409" t="str">
            <v>Pensionista</v>
          </cell>
        </row>
        <row r="1410">
          <cell r="D1410" t="str">
            <v>ECOSAMPA Operação Geral</v>
          </cell>
          <cell r="E1410">
            <v>43617</v>
          </cell>
          <cell r="F1410">
            <v>3050.22</v>
          </cell>
          <cell r="G1410" t="str">
            <v>Gozando Férias</v>
          </cell>
          <cell r="H1410">
            <v>45180</v>
          </cell>
          <cell r="I1410">
            <v>27192</v>
          </cell>
          <cell r="J1410" t="str">
            <v>255.204.528-65</v>
          </cell>
          <cell r="K1410" t="str">
            <v>123.73547.00.9</v>
          </cell>
          <cell r="L1410" t="str">
            <v>Salário Mensal</v>
          </cell>
          <cell r="M1410" t="str">
            <v>Empregado (CLT)</v>
          </cell>
        </row>
        <row r="1411">
          <cell r="D1411" t="str">
            <v>ECOSAMPA Operação Geral</v>
          </cell>
          <cell r="E1411">
            <v>43620</v>
          </cell>
          <cell r="F1411">
            <v>3050.22</v>
          </cell>
          <cell r="G1411" t="str">
            <v>Em Atividade Normal</v>
          </cell>
          <cell r="H1411">
            <v>45119</v>
          </cell>
          <cell r="I1411">
            <v>23005</v>
          </cell>
          <cell r="J1411" t="str">
            <v>075.780.378-46</v>
          </cell>
          <cell r="K1411" t="str">
            <v>107.79427.52.9</v>
          </cell>
          <cell r="L1411" t="str">
            <v>Salário Mensal</v>
          </cell>
          <cell r="M1411" t="str">
            <v>Empregado (CLT)</v>
          </cell>
        </row>
        <row r="1412">
          <cell r="D1412" t="str">
            <v>ECOSAMPA Santo Amaro</v>
          </cell>
          <cell r="E1412">
            <v>43617</v>
          </cell>
          <cell r="F1412">
            <v>1281.23</v>
          </cell>
          <cell r="G1412" t="str">
            <v>Demitido em Meses Anteriores</v>
          </cell>
          <cell r="H1412">
            <v>43808</v>
          </cell>
          <cell r="I1412">
            <v>23916</v>
          </cell>
          <cell r="J1412" t="str">
            <v>712.110.396-68</v>
          </cell>
          <cell r="K1412" t="str">
            <v>123.81993.34.9</v>
          </cell>
          <cell r="L1412" t="str">
            <v>Salário Mensal</v>
          </cell>
          <cell r="M1412" t="str">
            <v>Empregado (CLT)</v>
          </cell>
        </row>
        <row r="1413">
          <cell r="D1413" t="str">
            <v>ECOSAMPA Campo Limpo</v>
          </cell>
          <cell r="E1413">
            <v>43617</v>
          </cell>
          <cell r="F1413">
            <v>1603.99</v>
          </cell>
          <cell r="G1413" t="str">
            <v>Demitido em Meses Anteriores</v>
          </cell>
          <cell r="H1413">
            <v>44844</v>
          </cell>
          <cell r="I1413">
            <v>34946</v>
          </cell>
          <cell r="J1413" t="str">
            <v>437.126.038-19</v>
          </cell>
          <cell r="K1413" t="str">
            <v>206.88098.06.6</v>
          </cell>
          <cell r="L1413" t="str">
            <v>Salário Mensal</v>
          </cell>
          <cell r="M1413" t="str">
            <v>Empregado (CLT)</v>
          </cell>
        </row>
        <row r="1414">
          <cell r="D1414" t="str">
            <v>ECOSAMPA Operação Geral</v>
          </cell>
          <cell r="E1414">
            <v>44145</v>
          </cell>
          <cell r="F1414">
            <v>2701.63</v>
          </cell>
          <cell r="G1414" t="str">
            <v>Gozando Férias</v>
          </cell>
          <cell r="H1414">
            <v>45187</v>
          </cell>
          <cell r="I1414">
            <v>36761</v>
          </cell>
          <cell r="J1414" t="str">
            <v>514.495.218-60</v>
          </cell>
          <cell r="K1414" t="str">
            <v>201.15181.05.3</v>
          </cell>
          <cell r="L1414" t="str">
            <v>Salário Mensal</v>
          </cell>
          <cell r="M1414" t="str">
            <v>Empregado (CLT)</v>
          </cell>
        </row>
        <row r="1415">
          <cell r="D1415" t="str">
            <v>ECOSAMPA Santo Amaro</v>
          </cell>
          <cell r="E1415">
            <v>43617</v>
          </cell>
          <cell r="F1415">
            <v>1603.99</v>
          </cell>
          <cell r="G1415" t="str">
            <v>Em Atividade Normal</v>
          </cell>
          <cell r="H1415">
            <v>44776</v>
          </cell>
          <cell r="I1415">
            <v>33339</v>
          </cell>
          <cell r="J1415" t="str">
            <v>401.186.948-12</v>
          </cell>
          <cell r="K1415" t="str">
            <v>204.31714.96.1</v>
          </cell>
          <cell r="L1415" t="str">
            <v>Salário Mensal</v>
          </cell>
          <cell r="M1415" t="str">
            <v>Empregado (CLT)</v>
          </cell>
        </row>
        <row r="1416">
          <cell r="D1416" t="str">
            <v>ECOSAMPA Santo Amaro</v>
          </cell>
          <cell r="E1416">
            <v>43621</v>
          </cell>
          <cell r="F1416">
            <v>2610.2399999999998</v>
          </cell>
          <cell r="G1416" t="str">
            <v>Em Atividade Normal</v>
          </cell>
          <cell r="H1416">
            <v>44898</v>
          </cell>
          <cell r="I1416">
            <v>29335</v>
          </cell>
          <cell r="J1416" t="str">
            <v>285.253.648-00</v>
          </cell>
          <cell r="K1416" t="str">
            <v>125.11074.75.5</v>
          </cell>
          <cell r="L1416" t="str">
            <v>Salário Mensal</v>
          </cell>
          <cell r="M1416" t="str">
            <v>Empregado (CLT)</v>
          </cell>
        </row>
        <row r="1417">
          <cell r="D1417" t="str">
            <v>ECOSAMPA Capela do Socorro</v>
          </cell>
          <cell r="E1417">
            <v>44273</v>
          </cell>
          <cell r="F1417">
            <v>1603.99</v>
          </cell>
          <cell r="G1417" t="str">
            <v>Em Atividade Normal</v>
          </cell>
          <cell r="H1417">
            <v>45086</v>
          </cell>
          <cell r="I1417">
            <v>30647</v>
          </cell>
          <cell r="J1417" t="str">
            <v>328.458.598-21</v>
          </cell>
          <cell r="K1417" t="str">
            <v>134.34182.85.2</v>
          </cell>
          <cell r="L1417" t="str">
            <v>Salário Mensal</v>
          </cell>
          <cell r="M1417" t="str">
            <v>Empregado (CLT)</v>
          </cell>
        </row>
        <row r="1418">
          <cell r="D1418" t="str">
            <v>ECOSAMPA Operação Geral</v>
          </cell>
          <cell r="E1418">
            <v>43627</v>
          </cell>
          <cell r="F1418">
            <v>3050.22</v>
          </cell>
          <cell r="G1418" t="str">
            <v>Em Atividade Normal</v>
          </cell>
          <cell r="H1418">
            <v>44960</v>
          </cell>
          <cell r="I1418">
            <v>31358</v>
          </cell>
          <cell r="J1418" t="str">
            <v>227.936.528-65</v>
          </cell>
          <cell r="K1418" t="str">
            <v>133.06472.77.7</v>
          </cell>
          <cell r="L1418" t="str">
            <v>Salário Mensal</v>
          </cell>
          <cell r="M1418" t="str">
            <v>Empregado (CLT)</v>
          </cell>
        </row>
        <row r="1419">
          <cell r="D1419" t="str">
            <v>ECOSAMPA Santo Amaro</v>
          </cell>
          <cell r="E1419">
            <v>43617</v>
          </cell>
          <cell r="F1419">
            <v>1281.23</v>
          </cell>
          <cell r="G1419" t="str">
            <v>Demitido em Meses Anteriores</v>
          </cell>
          <cell r="H1419">
            <v>43809</v>
          </cell>
          <cell r="I1419">
            <v>31618</v>
          </cell>
          <cell r="J1419" t="str">
            <v>018.798.195-70</v>
          </cell>
          <cell r="K1419" t="str">
            <v>203.09181.03.2</v>
          </cell>
          <cell r="L1419" t="str">
            <v>Salário Mensal</v>
          </cell>
          <cell r="M1419" t="str">
            <v>Empregado (CLT)</v>
          </cell>
        </row>
        <row r="1420">
          <cell r="D1420" t="str">
            <v>ECOSAMPA M'Boi Mirim</v>
          </cell>
          <cell r="E1420">
            <v>43617</v>
          </cell>
          <cell r="F1420">
            <v>1742.27</v>
          </cell>
          <cell r="G1420" t="str">
            <v>Demitido em Meses Anteriores</v>
          </cell>
          <cell r="H1420">
            <v>44743</v>
          </cell>
          <cell r="I1420">
            <v>32208</v>
          </cell>
          <cell r="J1420" t="str">
            <v>400.417.898-30</v>
          </cell>
          <cell r="K1420" t="str">
            <v>137.25008.85.9</v>
          </cell>
          <cell r="L1420" t="str">
            <v>Salário Mensal</v>
          </cell>
          <cell r="M1420" t="str">
            <v>Empregado (CLT)</v>
          </cell>
        </row>
        <row r="1421">
          <cell r="D1421" t="str">
            <v>ECOSAMPA Pensionistas</v>
          </cell>
          <cell r="E1421">
            <v>44274</v>
          </cell>
          <cell r="F1421">
            <v>0.01</v>
          </cell>
          <cell r="G1421" t="str">
            <v>Em Atividade Normal</v>
          </cell>
          <cell r="H1421">
            <v>44274</v>
          </cell>
          <cell r="J1421" t="str">
            <v>383.942.048-21</v>
          </cell>
          <cell r="L1421" t="str">
            <v>Nenhuma</v>
          </cell>
          <cell r="M1421" t="str">
            <v>Pensionista</v>
          </cell>
        </row>
        <row r="1422">
          <cell r="D1422" t="str">
            <v>ECOSAMPA Santo Amaro</v>
          </cell>
          <cell r="E1422">
            <v>44487</v>
          </cell>
          <cell r="F1422">
            <v>1603.99</v>
          </cell>
          <cell r="G1422" t="str">
            <v>Em Atividade Normal</v>
          </cell>
          <cell r="H1422">
            <v>45086</v>
          </cell>
          <cell r="I1422">
            <v>35525</v>
          </cell>
          <cell r="J1422" t="str">
            <v>421.228.798-66</v>
          </cell>
          <cell r="K1422" t="str">
            <v>267.30914.79.1</v>
          </cell>
          <cell r="L1422" t="str">
            <v>Salário Mensal</v>
          </cell>
          <cell r="M1422" t="str">
            <v>Empregado (CLT)</v>
          </cell>
        </row>
        <row r="1423">
          <cell r="D1423" t="str">
            <v>ECOSAMPA Santo Amaro</v>
          </cell>
          <cell r="E1423">
            <v>44046</v>
          </cell>
          <cell r="F1423">
            <v>1319.67</v>
          </cell>
          <cell r="G1423" t="str">
            <v>Demitido em Meses Anteriores</v>
          </cell>
          <cell r="H1423">
            <v>44117</v>
          </cell>
          <cell r="I1423">
            <v>33486</v>
          </cell>
          <cell r="J1423" t="str">
            <v>399.290.668-02</v>
          </cell>
          <cell r="K1423" t="str">
            <v>207.24646.73.0</v>
          </cell>
          <cell r="L1423" t="str">
            <v>Salário Mensal</v>
          </cell>
          <cell r="M1423" t="str">
            <v>Empregado (CLT)</v>
          </cell>
        </row>
        <row r="1424">
          <cell r="D1424" t="str">
            <v>ECOSAMPA Santo Amaro</v>
          </cell>
          <cell r="E1424">
            <v>43811</v>
          </cell>
          <cell r="F1424">
            <v>1281.23</v>
          </cell>
          <cell r="G1424" t="str">
            <v>Demitido em Meses Anteriores</v>
          </cell>
          <cell r="H1424">
            <v>43895</v>
          </cell>
          <cell r="I1424">
            <v>31678</v>
          </cell>
          <cell r="J1424" t="str">
            <v>335.850.778-54</v>
          </cell>
          <cell r="K1424" t="str">
            <v>134.51225.85.8</v>
          </cell>
          <cell r="L1424" t="str">
            <v>Salário Mensal</v>
          </cell>
          <cell r="M1424" t="str">
            <v>Empregado (CLT)</v>
          </cell>
        </row>
        <row r="1425">
          <cell r="D1425" t="str">
            <v>ECOSAMPA Campo Limpo</v>
          </cell>
          <cell r="E1425">
            <v>44994</v>
          </cell>
          <cell r="F1425">
            <v>1603.99</v>
          </cell>
          <cell r="G1425" t="str">
            <v>Demitido em Meses Anteriores</v>
          </cell>
          <cell r="H1425">
            <v>45035</v>
          </cell>
          <cell r="I1425">
            <v>30196</v>
          </cell>
          <cell r="J1425" t="str">
            <v>296.891.868-09</v>
          </cell>
          <cell r="K1425" t="str">
            <v>132.60754.89.9</v>
          </cell>
          <cell r="L1425" t="str">
            <v>Salário Mensal</v>
          </cell>
          <cell r="M1425" t="str">
            <v>Empregado (CLT)</v>
          </cell>
        </row>
        <row r="1426">
          <cell r="D1426" t="str">
            <v>ECOSAMPA Capela do Socorro</v>
          </cell>
          <cell r="E1426">
            <v>43728</v>
          </cell>
          <cell r="F1426">
            <v>1319.67</v>
          </cell>
          <cell r="G1426" t="str">
            <v>Demitido em Meses Anteriores</v>
          </cell>
          <cell r="H1426">
            <v>44266</v>
          </cell>
          <cell r="I1426">
            <v>35336</v>
          </cell>
          <cell r="J1426" t="str">
            <v>459.904.118-12</v>
          </cell>
          <cell r="K1426" t="str">
            <v>207.81548.86.6</v>
          </cell>
          <cell r="L1426" t="str">
            <v>Salário Mensal</v>
          </cell>
          <cell r="M1426" t="str">
            <v>Empregado (CLT)</v>
          </cell>
        </row>
        <row r="1427">
          <cell r="D1427" t="str">
            <v>ECOSAMPA Campo Limpo</v>
          </cell>
          <cell r="E1427">
            <v>44725</v>
          </cell>
          <cell r="F1427">
            <v>1603.99</v>
          </cell>
          <cell r="G1427" t="str">
            <v>Demitido em Meses Anteriores</v>
          </cell>
          <cell r="H1427">
            <v>45091</v>
          </cell>
          <cell r="I1427">
            <v>35456</v>
          </cell>
          <cell r="J1427" t="str">
            <v>453.764.478-80</v>
          </cell>
          <cell r="K1427" t="str">
            <v>206.86444.05.6</v>
          </cell>
          <cell r="L1427" t="str">
            <v>Salário Mensal</v>
          </cell>
          <cell r="M1427" t="str">
            <v>Empregado (CLT)</v>
          </cell>
        </row>
        <row r="1428">
          <cell r="D1428" t="str">
            <v>ECOSAMPA Operação Geral</v>
          </cell>
          <cell r="E1428">
            <v>44725</v>
          </cell>
          <cell r="F1428">
            <v>2245.94</v>
          </cell>
          <cell r="G1428" t="str">
            <v>Gozando Férias</v>
          </cell>
          <cell r="H1428">
            <v>45180</v>
          </cell>
          <cell r="I1428">
            <v>37864</v>
          </cell>
          <cell r="J1428" t="str">
            <v>528.336.278-74</v>
          </cell>
          <cell r="K1428" t="str">
            <v>149.94713.16.9</v>
          </cell>
          <cell r="L1428" t="str">
            <v>Salário Mensal</v>
          </cell>
          <cell r="M1428" t="str">
            <v>Empregado (CLT)</v>
          </cell>
        </row>
        <row r="1429">
          <cell r="D1429" t="str">
            <v>ECOSAMPA Operação Geral</v>
          </cell>
          <cell r="E1429">
            <v>43617</v>
          </cell>
          <cell r="F1429">
            <v>1907.79</v>
          </cell>
          <cell r="G1429" t="str">
            <v>Em Atividade Normal</v>
          </cell>
          <cell r="H1429">
            <v>44993</v>
          </cell>
          <cell r="I1429">
            <v>35571</v>
          </cell>
          <cell r="J1429" t="str">
            <v>151.435.516-76</v>
          </cell>
          <cell r="K1429" t="str">
            <v>204.04068.17.5</v>
          </cell>
          <cell r="L1429" t="str">
            <v>Salário Mensal</v>
          </cell>
          <cell r="M1429" t="str">
            <v>Empregado (CLT)</v>
          </cell>
        </row>
        <row r="1430">
          <cell r="D1430" t="str">
            <v>ECOSAMPA Santo Amaro</v>
          </cell>
          <cell r="E1430">
            <v>43617</v>
          </cell>
          <cell r="F1430">
            <v>1603.99</v>
          </cell>
          <cell r="G1430" t="str">
            <v>Em Atividade Normal</v>
          </cell>
          <cell r="H1430">
            <v>44776</v>
          </cell>
          <cell r="I1430">
            <v>22801</v>
          </cell>
          <cell r="J1430" t="str">
            <v>525.987.305-00</v>
          </cell>
          <cell r="K1430" t="str">
            <v>120.22306.59.9</v>
          </cell>
          <cell r="L1430" t="str">
            <v>Salário Mensal</v>
          </cell>
          <cell r="M1430" t="str">
            <v>Empregado (CLT)</v>
          </cell>
        </row>
        <row r="1431">
          <cell r="D1431" t="str">
            <v>ECOSAMPA Capela do Socorro</v>
          </cell>
          <cell r="E1431">
            <v>43617</v>
          </cell>
          <cell r="F1431">
            <v>1603.99</v>
          </cell>
          <cell r="G1431" t="str">
            <v>Em Atividade Normal</v>
          </cell>
          <cell r="H1431">
            <v>44930</v>
          </cell>
          <cell r="I1431">
            <v>24087</v>
          </cell>
          <cell r="J1431" t="str">
            <v>526.942.084-87</v>
          </cell>
          <cell r="K1431" t="str">
            <v>122.85693.30.5</v>
          </cell>
          <cell r="L1431" t="str">
            <v>Salário Mensal</v>
          </cell>
          <cell r="M1431" t="str">
            <v>Empregado (CLT)</v>
          </cell>
        </row>
        <row r="1432">
          <cell r="D1432" t="str">
            <v>ECOSAMPA Capela do Socorro</v>
          </cell>
          <cell r="E1432">
            <v>43617</v>
          </cell>
          <cell r="F1432">
            <v>1603.99</v>
          </cell>
          <cell r="G1432" t="str">
            <v>Cumprimento de Pena de Reclusão</v>
          </cell>
          <cell r="H1432">
            <v>43922</v>
          </cell>
          <cell r="I1432">
            <v>26199</v>
          </cell>
          <cell r="J1432" t="str">
            <v>029.386.456-00</v>
          </cell>
          <cell r="K1432" t="str">
            <v>125.09142.80.3</v>
          </cell>
          <cell r="L1432" t="str">
            <v>Salário Mensal</v>
          </cell>
          <cell r="M1432" t="str">
            <v>Empregado (CLT)</v>
          </cell>
        </row>
        <row r="1433">
          <cell r="D1433" t="str">
            <v>ECOSAMPA Campo Limpo</v>
          </cell>
          <cell r="E1433">
            <v>43617</v>
          </cell>
          <cell r="F1433">
            <v>1603.99</v>
          </cell>
          <cell r="G1433" t="str">
            <v>Em Atividade Normal</v>
          </cell>
          <cell r="H1433">
            <v>44835</v>
          </cell>
          <cell r="I1433">
            <v>36605</v>
          </cell>
          <cell r="J1433" t="str">
            <v>387.811.418-40</v>
          </cell>
          <cell r="K1433" t="str">
            <v>220.02685.09.5</v>
          </cell>
          <cell r="L1433" t="str">
            <v>Salário Mensal</v>
          </cell>
          <cell r="M1433" t="str">
            <v>Empregado (CLT)</v>
          </cell>
        </row>
        <row r="1434">
          <cell r="D1434" t="str">
            <v>ECOSAMPA Operação Geral</v>
          </cell>
          <cell r="E1434">
            <v>43617</v>
          </cell>
          <cell r="F1434">
            <v>3050.22</v>
          </cell>
          <cell r="G1434" t="str">
            <v>Em Atividade Normal</v>
          </cell>
          <cell r="H1434">
            <v>44993</v>
          </cell>
          <cell r="I1434">
            <v>34878</v>
          </cell>
          <cell r="J1434" t="str">
            <v>142.069.126-02</v>
          </cell>
          <cell r="K1434" t="str">
            <v>204.04068.15.9</v>
          </cell>
          <cell r="L1434" t="str">
            <v>Salário Mensal</v>
          </cell>
          <cell r="M1434" t="str">
            <v>Empregado (CLT)</v>
          </cell>
        </row>
        <row r="1435">
          <cell r="D1435" t="str">
            <v>ECOSAMPA Operação Geral</v>
          </cell>
          <cell r="E1435">
            <v>44967</v>
          </cell>
          <cell r="F1435">
            <v>1603.99</v>
          </cell>
          <cell r="G1435" t="str">
            <v>Demitido em Meses Anteriores</v>
          </cell>
          <cell r="H1435">
            <v>44981</v>
          </cell>
          <cell r="I1435">
            <v>25315</v>
          </cell>
          <cell r="J1435" t="str">
            <v>258.164.798-14</v>
          </cell>
          <cell r="K1435" t="str">
            <v>123.02443.47.2</v>
          </cell>
          <cell r="L1435" t="str">
            <v>Salário Mensal</v>
          </cell>
          <cell r="M1435" t="str">
            <v>Empregado (CLT)</v>
          </cell>
        </row>
        <row r="1436">
          <cell r="D1436" t="str">
            <v>ECOSAMPA Santo Amaro</v>
          </cell>
          <cell r="E1436">
            <v>43617</v>
          </cell>
          <cell r="F1436">
            <v>1603.99</v>
          </cell>
          <cell r="G1436" t="str">
            <v>Em Atividade Normal</v>
          </cell>
          <cell r="H1436">
            <v>45023</v>
          </cell>
          <cell r="I1436">
            <v>32438</v>
          </cell>
          <cell r="J1436" t="str">
            <v>137.782.626-02</v>
          </cell>
          <cell r="K1436" t="str">
            <v>161.98321.88.7</v>
          </cell>
          <cell r="L1436" t="str">
            <v>Salário Mensal</v>
          </cell>
          <cell r="M1436" t="str">
            <v>Empregado (CLT)</v>
          </cell>
        </row>
        <row r="1437">
          <cell r="D1437" t="str">
            <v>ECOSAMPA Operação Geral</v>
          </cell>
          <cell r="E1437">
            <v>45180</v>
          </cell>
          <cell r="F1437">
            <v>1603.99</v>
          </cell>
          <cell r="G1437" t="str">
            <v>Em Atividade Normal</v>
          </cell>
          <cell r="H1437">
            <v>45180</v>
          </cell>
          <cell r="I1437">
            <v>28106</v>
          </cell>
          <cell r="J1437" t="str">
            <v>316.089.238-78</v>
          </cell>
          <cell r="K1437" t="str">
            <v>130.38909.77.6</v>
          </cell>
          <cell r="L1437" t="str">
            <v>Salário Mensal</v>
          </cell>
          <cell r="M1437" t="str">
            <v>Empregado (CLT)</v>
          </cell>
        </row>
        <row r="1438">
          <cell r="D1438" t="str">
            <v>ECOSAMPA Operação Geral</v>
          </cell>
          <cell r="E1438">
            <v>44967</v>
          </cell>
          <cell r="F1438">
            <v>1603.99</v>
          </cell>
          <cell r="G1438" t="str">
            <v>Demitido em Meses Anteriores</v>
          </cell>
          <cell r="H1438">
            <v>44981</v>
          </cell>
          <cell r="I1438">
            <v>35405</v>
          </cell>
          <cell r="J1438" t="str">
            <v>500.749.998-69</v>
          </cell>
          <cell r="K1438" t="str">
            <v>151.65441.79.6</v>
          </cell>
          <cell r="L1438" t="str">
            <v>Salário Mensal</v>
          </cell>
          <cell r="M1438" t="str">
            <v>Empregado (CLT)</v>
          </cell>
        </row>
        <row r="1439">
          <cell r="D1439" t="str">
            <v>ECOSAMPA Parelheiros</v>
          </cell>
          <cell r="E1439">
            <v>45131</v>
          </cell>
          <cell r="F1439">
            <v>1603.99</v>
          </cell>
          <cell r="G1439" t="str">
            <v>Em Atividade Normal</v>
          </cell>
          <cell r="H1439">
            <v>45131</v>
          </cell>
          <cell r="I1439">
            <v>35405</v>
          </cell>
          <cell r="J1439" t="str">
            <v>500.749.998-69</v>
          </cell>
          <cell r="K1439" t="str">
            <v>151.65441.79.6</v>
          </cell>
          <cell r="L1439" t="str">
            <v>Salário Mensal</v>
          </cell>
          <cell r="M1439" t="str">
            <v>Empregado (CLT)</v>
          </cell>
        </row>
        <row r="1440">
          <cell r="D1440" t="str">
            <v>ECOSAMPA Capela do Socorro</v>
          </cell>
          <cell r="E1440">
            <v>43817</v>
          </cell>
          <cell r="F1440">
            <v>1319.67</v>
          </cell>
          <cell r="G1440" t="str">
            <v>Demitido em Meses Anteriores</v>
          </cell>
          <cell r="H1440">
            <v>44200</v>
          </cell>
          <cell r="I1440">
            <v>33879</v>
          </cell>
          <cell r="J1440" t="str">
            <v>428.191.918-00</v>
          </cell>
          <cell r="K1440" t="str">
            <v>162.68035.27.6</v>
          </cell>
          <cell r="L1440" t="str">
            <v>Salário Mensal</v>
          </cell>
          <cell r="M1440" t="str">
            <v>Empregado (CLT)</v>
          </cell>
        </row>
        <row r="1441">
          <cell r="D1441" t="str">
            <v>ECOSAMPA Operação Geral</v>
          </cell>
          <cell r="E1441">
            <v>44967</v>
          </cell>
          <cell r="F1441">
            <v>1603.99</v>
          </cell>
          <cell r="G1441" t="str">
            <v>Demitido em Meses Anteriores</v>
          </cell>
          <cell r="H1441">
            <v>44981</v>
          </cell>
          <cell r="I1441">
            <v>36655</v>
          </cell>
          <cell r="J1441" t="str">
            <v>424.304.288-81</v>
          </cell>
          <cell r="K1441" t="str">
            <v>203.91419.29.8</v>
          </cell>
          <cell r="L1441" t="str">
            <v>Salário Mensal</v>
          </cell>
          <cell r="M1441" t="str">
            <v>Empregado (CLT)</v>
          </cell>
        </row>
        <row r="1442">
          <cell r="D1442" t="str">
            <v>ECOSAMPA Pensionistas</v>
          </cell>
          <cell r="E1442">
            <v>43956</v>
          </cell>
          <cell r="F1442">
            <v>0.01</v>
          </cell>
          <cell r="G1442" t="str">
            <v>Demitido em Meses Anteriores</v>
          </cell>
          <cell r="H1442">
            <v>44034</v>
          </cell>
          <cell r="J1442" t="str">
            <v>461.984.448-99</v>
          </cell>
          <cell r="L1442" t="str">
            <v>Nenhuma</v>
          </cell>
          <cell r="M1442" t="str">
            <v>Pensionista</v>
          </cell>
        </row>
        <row r="1443">
          <cell r="D1443" t="str">
            <v>ECOSAMPA Operação Geral</v>
          </cell>
          <cell r="E1443">
            <v>43626</v>
          </cell>
          <cell r="F1443">
            <v>11629.43</v>
          </cell>
          <cell r="G1443" t="str">
            <v>Em Atividade Normal</v>
          </cell>
          <cell r="H1443">
            <v>44930</v>
          </cell>
          <cell r="I1443">
            <v>31650</v>
          </cell>
          <cell r="J1443" t="str">
            <v>339.966.838-47</v>
          </cell>
          <cell r="K1443" t="str">
            <v>203.92157.25.4</v>
          </cell>
          <cell r="L1443" t="str">
            <v>Salário Mensal</v>
          </cell>
          <cell r="M1443" t="str">
            <v>Empregado (CLT)</v>
          </cell>
        </row>
        <row r="1444">
          <cell r="D1444" t="str">
            <v>ECOSAMPA Campo Limpo</v>
          </cell>
          <cell r="E1444">
            <v>44419</v>
          </cell>
          <cell r="F1444">
            <v>1603.99</v>
          </cell>
          <cell r="G1444" t="str">
            <v>Em Atividade Normal</v>
          </cell>
          <cell r="H1444">
            <v>45086</v>
          </cell>
          <cell r="I1444">
            <v>37144</v>
          </cell>
          <cell r="J1444" t="str">
            <v>530.747.668-08</v>
          </cell>
          <cell r="K1444" t="str">
            <v>201.66126.92.0</v>
          </cell>
          <cell r="L1444" t="str">
            <v>Salário Mensal</v>
          </cell>
          <cell r="M1444" t="str">
            <v>Empregado (CLT)</v>
          </cell>
        </row>
        <row r="1445">
          <cell r="D1445" t="str">
            <v>ECOSAMPA Administração</v>
          </cell>
          <cell r="E1445">
            <v>45040</v>
          </cell>
          <cell r="F1445">
            <v>1320</v>
          </cell>
          <cell r="G1445" t="str">
            <v>Em Atividade Normal</v>
          </cell>
          <cell r="H1445">
            <v>45040</v>
          </cell>
          <cell r="I1445">
            <v>37065</v>
          </cell>
          <cell r="J1445" t="str">
            <v>515.556.108-62</v>
          </cell>
          <cell r="K1445" t="str">
            <v>209.79790.59.4</v>
          </cell>
          <cell r="L1445" t="str">
            <v>Salário Mensal</v>
          </cell>
          <cell r="M1445" t="str">
            <v>Menor Aprendiz</v>
          </cell>
        </row>
        <row r="1446">
          <cell r="D1446" t="str">
            <v>ECOSAMPA Santo Amaro</v>
          </cell>
          <cell r="E1446">
            <v>44046</v>
          </cell>
          <cell r="F1446">
            <v>1603.99</v>
          </cell>
          <cell r="G1446" t="str">
            <v>Em Atividade Normal</v>
          </cell>
          <cell r="H1446">
            <v>45086</v>
          </cell>
          <cell r="I1446">
            <v>32142</v>
          </cell>
          <cell r="J1446" t="str">
            <v>399.707.148-99</v>
          </cell>
          <cell r="K1446" t="str">
            <v>138.24692.89.8</v>
          </cell>
          <cell r="L1446" t="str">
            <v>Salário Mensal</v>
          </cell>
          <cell r="M1446" t="str">
            <v>Empregado (CLT)</v>
          </cell>
        </row>
        <row r="1447">
          <cell r="D1447" t="str">
            <v>ECOSAMPA Operação Geral</v>
          </cell>
          <cell r="E1447">
            <v>43617</v>
          </cell>
          <cell r="F1447">
            <v>1907.79</v>
          </cell>
          <cell r="G1447" t="str">
            <v>Em Atividade Normal</v>
          </cell>
          <cell r="H1447">
            <v>44960</v>
          </cell>
          <cell r="I1447">
            <v>33527</v>
          </cell>
          <cell r="J1447" t="str">
            <v>413.114.558-84</v>
          </cell>
          <cell r="K1447" t="str">
            <v>138.93627.89.7</v>
          </cell>
          <cell r="L1447" t="str">
            <v>Salário Mensal</v>
          </cell>
          <cell r="M1447" t="str">
            <v>Empregado (CLT)</v>
          </cell>
        </row>
        <row r="1448">
          <cell r="D1448" t="str">
            <v>ECOSAMPA Capela do Socorro</v>
          </cell>
          <cell r="E1448">
            <v>44048</v>
          </cell>
          <cell r="F1448">
            <v>1603.99</v>
          </cell>
          <cell r="G1448" t="str">
            <v>Auxílio-Doença</v>
          </cell>
          <cell r="H1448">
            <v>44932</v>
          </cell>
          <cell r="I1448">
            <v>29899</v>
          </cell>
          <cell r="J1448" t="str">
            <v>298.915.808-14</v>
          </cell>
          <cell r="K1448" t="str">
            <v>130.94207.89.7</v>
          </cell>
          <cell r="L1448" t="str">
            <v>Salário Mensal</v>
          </cell>
          <cell r="M1448" t="str">
            <v>Empregado (CLT)</v>
          </cell>
        </row>
        <row r="1449">
          <cell r="D1449" t="str">
            <v>ECOSAMPA Pensionistas</v>
          </cell>
          <cell r="E1449">
            <v>44406</v>
          </cell>
          <cell r="F1449">
            <v>0.01</v>
          </cell>
          <cell r="G1449" t="str">
            <v>Demitido em Meses Anteriores</v>
          </cell>
          <cell r="H1449">
            <v>44719</v>
          </cell>
          <cell r="J1449" t="str">
            <v>296.169.298-95</v>
          </cell>
          <cell r="L1449" t="str">
            <v>Nenhuma</v>
          </cell>
          <cell r="M1449" t="str">
            <v>Pensionista</v>
          </cell>
        </row>
        <row r="1450">
          <cell r="D1450" t="str">
            <v>ECOSAMPA Santo Amaro</v>
          </cell>
          <cell r="E1450">
            <v>43874</v>
          </cell>
          <cell r="F1450">
            <v>1319.67</v>
          </cell>
          <cell r="G1450" t="str">
            <v>Demitido em Meses Anteriores</v>
          </cell>
          <cell r="H1450">
            <v>44211</v>
          </cell>
          <cell r="I1450">
            <v>36633</v>
          </cell>
          <cell r="J1450" t="str">
            <v>489.328.938-10</v>
          </cell>
          <cell r="K1450" t="str">
            <v>154.51674.96.9</v>
          </cell>
          <cell r="L1450" t="str">
            <v>Salário Mensal</v>
          </cell>
          <cell r="M1450" t="str">
            <v>Empregado (CLT)</v>
          </cell>
        </row>
        <row r="1451">
          <cell r="D1451" t="str">
            <v>ECOSAMPA Operação Geral</v>
          </cell>
          <cell r="E1451">
            <v>43916</v>
          </cell>
          <cell r="F1451">
            <v>1603.99</v>
          </cell>
          <cell r="G1451" t="str">
            <v>Em Atividade Normal</v>
          </cell>
          <cell r="H1451">
            <v>44960</v>
          </cell>
          <cell r="I1451">
            <v>35262</v>
          </cell>
          <cell r="J1451" t="str">
            <v>053.193.303-24</v>
          </cell>
          <cell r="K1451" t="str">
            <v>163.91409.59.6</v>
          </cell>
          <cell r="L1451" t="str">
            <v>Salário Mensal</v>
          </cell>
          <cell r="M1451" t="str">
            <v>Empregado (CLT)</v>
          </cell>
        </row>
        <row r="1452">
          <cell r="D1452" t="str">
            <v>ECOSAMPA Parelheiros</v>
          </cell>
          <cell r="E1452">
            <v>43617</v>
          </cell>
          <cell r="F1452">
            <v>1464.83</v>
          </cell>
          <cell r="G1452" t="str">
            <v>Demitido em Meses Anteriores</v>
          </cell>
          <cell r="H1452">
            <v>44505</v>
          </cell>
          <cell r="I1452">
            <v>34601</v>
          </cell>
          <cell r="J1452" t="str">
            <v>422.631.368-27</v>
          </cell>
          <cell r="K1452" t="str">
            <v>210.72600.59.7</v>
          </cell>
          <cell r="L1452" t="str">
            <v>Salário Mensal</v>
          </cell>
          <cell r="M1452" t="str">
            <v>Empregado (CLT)</v>
          </cell>
        </row>
        <row r="1453">
          <cell r="D1453" t="str">
            <v>ECOSAMPA Capela do Socorro</v>
          </cell>
          <cell r="E1453">
            <v>43617</v>
          </cell>
          <cell r="F1453">
            <v>1603.99</v>
          </cell>
          <cell r="G1453" t="str">
            <v>Em Atividade Normal</v>
          </cell>
          <cell r="H1453">
            <v>45023</v>
          </cell>
          <cell r="I1453">
            <v>33611</v>
          </cell>
          <cell r="J1453" t="str">
            <v>471.145.958-83</v>
          </cell>
          <cell r="K1453" t="str">
            <v>210.32035.85.6</v>
          </cell>
          <cell r="L1453" t="str">
            <v>Salário Mensal</v>
          </cell>
          <cell r="M1453" t="str">
            <v>Empregado (CLT)</v>
          </cell>
        </row>
        <row r="1454">
          <cell r="D1454" t="str">
            <v>ECOSAMPA Santo Amaro</v>
          </cell>
          <cell r="E1454">
            <v>43617</v>
          </cell>
          <cell r="F1454">
            <v>5620.13</v>
          </cell>
          <cell r="G1454" t="str">
            <v>Demitido em Meses Anteriores</v>
          </cell>
          <cell r="H1454">
            <v>44778</v>
          </cell>
          <cell r="I1454">
            <v>31710</v>
          </cell>
          <cell r="J1454" t="str">
            <v>341.383.188-79</v>
          </cell>
          <cell r="K1454" t="str">
            <v>201.15485.04.4</v>
          </cell>
          <cell r="L1454" t="str">
            <v>Salário Mensal</v>
          </cell>
          <cell r="M1454" t="str">
            <v>Empregado (CLT)</v>
          </cell>
        </row>
        <row r="1455">
          <cell r="D1455" t="str">
            <v>ECOSAMPA Parelheiros</v>
          </cell>
          <cell r="E1455">
            <v>44328</v>
          </cell>
          <cell r="F1455">
            <v>1603.99</v>
          </cell>
          <cell r="G1455" t="str">
            <v>Em Atividade Normal</v>
          </cell>
          <cell r="H1455">
            <v>45177</v>
          </cell>
          <cell r="I1455">
            <v>37025</v>
          </cell>
          <cell r="J1455" t="str">
            <v>515.355.338-89</v>
          </cell>
          <cell r="K1455" t="str">
            <v>238.56840.65.2</v>
          </cell>
          <cell r="L1455" t="str">
            <v>Salário Mensal</v>
          </cell>
          <cell r="M1455" t="str">
            <v>Empregado (CLT)</v>
          </cell>
        </row>
        <row r="1456">
          <cell r="D1456" t="str">
            <v>ECOSAMPA Operação Geral</v>
          </cell>
          <cell r="E1456">
            <v>43617</v>
          </cell>
          <cell r="F1456">
            <v>2436.4499999999998</v>
          </cell>
          <cell r="G1456" t="str">
            <v>Demitido em Meses Anteriores</v>
          </cell>
          <cell r="H1456">
            <v>43801</v>
          </cell>
          <cell r="I1456">
            <v>28135</v>
          </cell>
          <cell r="J1456" t="str">
            <v>017.199.439-66</v>
          </cell>
          <cell r="K1456" t="str">
            <v>125.07983.04.5</v>
          </cell>
          <cell r="L1456" t="str">
            <v>Salário Mensal</v>
          </cell>
          <cell r="M1456" t="str">
            <v>Empregado (CLT)</v>
          </cell>
        </row>
        <row r="1457">
          <cell r="D1457" t="str">
            <v>ECOSAMPA Santo Amaro</v>
          </cell>
          <cell r="E1457">
            <v>43617</v>
          </cell>
          <cell r="F1457">
            <v>1603.99</v>
          </cell>
          <cell r="G1457" t="str">
            <v>Em Atividade Normal</v>
          </cell>
          <cell r="H1457">
            <v>44898</v>
          </cell>
          <cell r="I1457">
            <v>35339</v>
          </cell>
          <cell r="J1457" t="str">
            <v>441.441.398-24</v>
          </cell>
          <cell r="K1457" t="str">
            <v>164.73199.53.6</v>
          </cell>
          <cell r="L1457" t="str">
            <v>Salário Mensal</v>
          </cell>
          <cell r="M1457" t="str">
            <v>Empregado (CLT)</v>
          </cell>
        </row>
        <row r="1458">
          <cell r="D1458" t="str">
            <v>ECOSAMPA Santo Amaro</v>
          </cell>
          <cell r="E1458">
            <v>43617</v>
          </cell>
          <cell r="F1458">
            <v>1231.95</v>
          </cell>
          <cell r="G1458" t="str">
            <v>Demitido em Meses Anteriores</v>
          </cell>
          <cell r="H1458">
            <v>43721</v>
          </cell>
          <cell r="I1458">
            <v>28368</v>
          </cell>
          <cell r="J1458" t="str">
            <v>235.553.148-07</v>
          </cell>
          <cell r="K1458" t="str">
            <v>138.92392.89.6</v>
          </cell>
          <cell r="L1458" t="str">
            <v>Salário Mensal</v>
          </cell>
          <cell r="M1458" t="str">
            <v>Empregado (CLT)</v>
          </cell>
        </row>
        <row r="1459">
          <cell r="D1459" t="str">
            <v>ECOSAMPA Santo Amaro</v>
          </cell>
          <cell r="E1459">
            <v>43617</v>
          </cell>
          <cell r="F1459">
            <v>1603.99</v>
          </cell>
          <cell r="G1459" t="str">
            <v>Em Atividade Normal</v>
          </cell>
          <cell r="H1459">
            <v>45090</v>
          </cell>
          <cell r="I1459">
            <v>27931</v>
          </cell>
          <cell r="J1459" t="str">
            <v>164.876.698-65</v>
          </cell>
          <cell r="K1459" t="str">
            <v>124.58077.71.6</v>
          </cell>
          <cell r="L1459" t="str">
            <v>Salário Mensal</v>
          </cell>
          <cell r="M1459" t="str">
            <v>Empregado (CLT)</v>
          </cell>
        </row>
        <row r="1460">
          <cell r="D1460" t="str">
            <v>ECOSAMPA Operação Geral</v>
          </cell>
          <cell r="E1460">
            <v>43617</v>
          </cell>
          <cell r="F1460">
            <v>5555.31</v>
          </cell>
          <cell r="G1460" t="str">
            <v>Em Atividade Normal</v>
          </cell>
          <cell r="H1460">
            <v>44993</v>
          </cell>
          <cell r="I1460">
            <v>29780</v>
          </cell>
          <cell r="J1460" t="str">
            <v>325.689.568-95</v>
          </cell>
          <cell r="K1460" t="str">
            <v>210.14739.55.3</v>
          </cell>
          <cell r="L1460" t="str">
            <v>Salário Mensal</v>
          </cell>
          <cell r="M1460" t="str">
            <v>Empregado (CLT)</v>
          </cell>
        </row>
        <row r="1461">
          <cell r="D1461" t="str">
            <v>ECOSAMPA Operação Geral</v>
          </cell>
          <cell r="E1461">
            <v>43917</v>
          </cell>
          <cell r="F1461">
            <v>1319.67</v>
          </cell>
          <cell r="G1461" t="str">
            <v>Demitido em Meses Anteriores</v>
          </cell>
          <cell r="H1461">
            <v>44207</v>
          </cell>
          <cell r="I1461">
            <v>36419</v>
          </cell>
          <cell r="J1461" t="str">
            <v>393.241.868-92</v>
          </cell>
          <cell r="K1461" t="str">
            <v>201.15307.95.2</v>
          </cell>
          <cell r="L1461" t="str">
            <v>Salário Mensal</v>
          </cell>
          <cell r="M1461" t="str">
            <v>Empregado (CLT)</v>
          </cell>
        </row>
        <row r="1462">
          <cell r="D1462" t="str">
            <v>ECOSAMPA Operação Geral</v>
          </cell>
          <cell r="E1462">
            <v>44582</v>
          </cell>
          <cell r="F1462">
            <v>1603.99</v>
          </cell>
          <cell r="G1462" t="str">
            <v>Em Atividade Normal</v>
          </cell>
          <cell r="H1462">
            <v>44993</v>
          </cell>
          <cell r="I1462">
            <v>27713</v>
          </cell>
          <cell r="J1462" t="str">
            <v>920.340.124-53</v>
          </cell>
          <cell r="K1462" t="str">
            <v>129.13883.45.3</v>
          </cell>
          <cell r="L1462" t="str">
            <v>Salário Mensal</v>
          </cell>
          <cell r="M1462" t="str">
            <v>Empregado (CLT)</v>
          </cell>
        </row>
        <row r="1463">
          <cell r="D1463" t="str">
            <v>ECOSAMPA Santo Amaro</v>
          </cell>
          <cell r="E1463">
            <v>43917</v>
          </cell>
          <cell r="F1463">
            <v>1464.83</v>
          </cell>
          <cell r="G1463" t="str">
            <v>Demitido em Meses Anteriores</v>
          </cell>
          <cell r="H1463">
            <v>44505</v>
          </cell>
          <cell r="I1463">
            <v>24658</v>
          </cell>
          <cell r="J1463" t="str">
            <v>113.814.738-90</v>
          </cell>
          <cell r="K1463" t="str">
            <v>121.88804.61.0</v>
          </cell>
          <cell r="L1463" t="str">
            <v>Salário Mensal</v>
          </cell>
          <cell r="M1463" t="str">
            <v>Empregado (CLT)</v>
          </cell>
        </row>
        <row r="1464">
          <cell r="D1464" t="str">
            <v>ECOSAMPA Operação Geral</v>
          </cell>
          <cell r="E1464">
            <v>45131</v>
          </cell>
          <cell r="F1464">
            <v>3050.22</v>
          </cell>
          <cell r="G1464" t="str">
            <v>Em Atividade Normal</v>
          </cell>
          <cell r="H1464">
            <v>45131</v>
          </cell>
          <cell r="I1464">
            <v>25549</v>
          </cell>
          <cell r="J1464" t="str">
            <v>107.142.138-70</v>
          </cell>
          <cell r="K1464" t="str">
            <v>121.93405.85.0</v>
          </cell>
          <cell r="L1464" t="str">
            <v>Salário Mensal</v>
          </cell>
          <cell r="M1464" t="str">
            <v>Empregado (CLT)</v>
          </cell>
        </row>
        <row r="1465">
          <cell r="D1465" t="str">
            <v>ECOSAMPA Santo Amaro</v>
          </cell>
          <cell r="E1465">
            <v>43817</v>
          </cell>
          <cell r="F1465">
            <v>1319.67</v>
          </cell>
          <cell r="G1465" t="str">
            <v>Demitido em Meses Anteriores</v>
          </cell>
          <cell r="H1465">
            <v>44242</v>
          </cell>
          <cell r="I1465">
            <v>32051</v>
          </cell>
          <cell r="J1465" t="str">
            <v>382.127.538-32</v>
          </cell>
          <cell r="K1465" t="str">
            <v>135.41061.85.4</v>
          </cell>
          <cell r="L1465" t="str">
            <v>Salário Mensal</v>
          </cell>
          <cell r="M1465" t="str">
            <v>Empregado (CLT)</v>
          </cell>
        </row>
        <row r="1466">
          <cell r="D1466" t="str">
            <v>ECOSAMPA Campo Limpo</v>
          </cell>
          <cell r="E1466">
            <v>43617</v>
          </cell>
          <cell r="F1466">
            <v>1523.89</v>
          </cell>
          <cell r="G1466" t="str">
            <v>Demitido em Meses Anteriores</v>
          </cell>
          <cell r="H1466">
            <v>43900</v>
          </cell>
          <cell r="I1466">
            <v>31203</v>
          </cell>
          <cell r="J1466" t="str">
            <v>341.126.998-75</v>
          </cell>
          <cell r="K1466" t="str">
            <v>135.80678.89.1</v>
          </cell>
          <cell r="L1466" t="str">
            <v>Salário Mensal</v>
          </cell>
          <cell r="M1466" t="str">
            <v>Empregado (CLT)</v>
          </cell>
        </row>
        <row r="1467">
          <cell r="D1467" t="str">
            <v>ECOSAMPA Operação Geral</v>
          </cell>
          <cell r="E1467">
            <v>44967</v>
          </cell>
          <cell r="F1467">
            <v>1603.99</v>
          </cell>
          <cell r="G1467" t="str">
            <v>Em Atividade Normal</v>
          </cell>
          <cell r="H1467">
            <v>44967</v>
          </cell>
          <cell r="I1467">
            <v>35551</v>
          </cell>
          <cell r="J1467" t="str">
            <v>475.534.258-93</v>
          </cell>
          <cell r="K1467" t="str">
            <v>203.92078.02.8</v>
          </cell>
          <cell r="L1467" t="str">
            <v>Salário Mensal</v>
          </cell>
          <cell r="M1467" t="str">
            <v>Empregado (CLT)</v>
          </cell>
        </row>
        <row r="1468">
          <cell r="D1468" t="str">
            <v>ECOSAMPA Santo Amaro</v>
          </cell>
          <cell r="E1468">
            <v>43617</v>
          </cell>
          <cell r="F1468">
            <v>3222.08</v>
          </cell>
          <cell r="G1468" t="str">
            <v>Em Atividade Normal</v>
          </cell>
          <cell r="H1468">
            <v>45023</v>
          </cell>
          <cell r="I1468">
            <v>31679</v>
          </cell>
          <cell r="J1468" t="str">
            <v>379.438.378-86</v>
          </cell>
          <cell r="K1468" t="str">
            <v>207.24698.28.5</v>
          </cell>
          <cell r="L1468" t="str">
            <v>Salário Mensal</v>
          </cell>
          <cell r="M1468" t="str">
            <v>Empregado (CLT)</v>
          </cell>
        </row>
        <row r="1469">
          <cell r="D1469" t="str">
            <v>ECOSAMPA M'Boi Mirim</v>
          </cell>
          <cell r="E1469">
            <v>43617</v>
          </cell>
          <cell r="F1469">
            <v>1231.95</v>
          </cell>
          <cell r="G1469" t="str">
            <v>Demitido em Meses Anteriores</v>
          </cell>
          <cell r="H1469">
            <v>43703</v>
          </cell>
          <cell r="I1469">
            <v>34627</v>
          </cell>
          <cell r="J1469" t="str">
            <v>461.301.578-27</v>
          </cell>
          <cell r="K1469" t="str">
            <v>163.93051.57.5</v>
          </cell>
          <cell r="L1469" t="str">
            <v>Salário Mensal</v>
          </cell>
          <cell r="M1469" t="str">
            <v>Empregado (CLT)</v>
          </cell>
        </row>
        <row r="1470">
          <cell r="D1470" t="str">
            <v>ECOSAMPA Operação Geral</v>
          </cell>
          <cell r="E1470">
            <v>43617</v>
          </cell>
          <cell r="F1470">
            <v>1523.89</v>
          </cell>
          <cell r="G1470" t="str">
            <v>Demitido em Meses Anteriores</v>
          </cell>
          <cell r="H1470">
            <v>43974</v>
          </cell>
          <cell r="I1470">
            <v>30915</v>
          </cell>
          <cell r="J1470" t="str">
            <v>321.879.058-10</v>
          </cell>
          <cell r="K1470" t="str">
            <v>135.48369.81.1</v>
          </cell>
          <cell r="L1470" t="str">
            <v>Salário Mensal</v>
          </cell>
          <cell r="M1470" t="str">
            <v>Empregado (CLT)</v>
          </cell>
        </row>
        <row r="1471">
          <cell r="D1471" t="str">
            <v>ECOSAMPA Santo Amaro</v>
          </cell>
          <cell r="E1471">
            <v>43617</v>
          </cell>
          <cell r="F1471">
            <v>1603.99</v>
          </cell>
          <cell r="G1471" t="str">
            <v>Em Atividade Normal</v>
          </cell>
          <cell r="H1471">
            <v>45177</v>
          </cell>
          <cell r="I1471">
            <v>31904</v>
          </cell>
          <cell r="J1471" t="str">
            <v>374.023.678-78</v>
          </cell>
          <cell r="K1471" t="str">
            <v>207.29670.09.5</v>
          </cell>
          <cell r="L1471" t="str">
            <v>Salário Mensal</v>
          </cell>
          <cell r="M1471" t="str">
            <v>Empregado (CLT)</v>
          </cell>
        </row>
        <row r="1472">
          <cell r="D1472" t="str">
            <v>ECOSAMPA Operação Geral</v>
          </cell>
          <cell r="E1472">
            <v>43617</v>
          </cell>
          <cell r="F1472">
            <v>3050.22</v>
          </cell>
          <cell r="G1472" t="str">
            <v>Em Atividade Normal</v>
          </cell>
          <cell r="H1472">
            <v>44960</v>
          </cell>
          <cell r="I1472">
            <v>30401</v>
          </cell>
          <cell r="J1472" t="str">
            <v>015.723.466-55</v>
          </cell>
          <cell r="K1472" t="str">
            <v>128.44557.13.0</v>
          </cell>
          <cell r="L1472" t="str">
            <v>Salário Mensal</v>
          </cell>
          <cell r="M1472" t="str">
            <v>Empregado (CLT)</v>
          </cell>
        </row>
        <row r="1473">
          <cell r="D1473" t="str">
            <v>ECOSAMPA Operação Geral</v>
          </cell>
          <cell r="E1473">
            <v>43617</v>
          </cell>
          <cell r="F1473">
            <v>4387.7</v>
          </cell>
          <cell r="G1473" t="str">
            <v>Em Atividade Normal</v>
          </cell>
          <cell r="H1473">
            <v>45177</v>
          </cell>
          <cell r="I1473">
            <v>35095</v>
          </cell>
          <cell r="J1473" t="str">
            <v>122.281.244-43</v>
          </cell>
          <cell r="K1473" t="str">
            <v>207.59913.30.1</v>
          </cell>
          <cell r="L1473" t="str">
            <v>Salário Mensal</v>
          </cell>
          <cell r="M1473" t="str">
            <v>Empregado (CLT)</v>
          </cell>
        </row>
        <row r="1474">
          <cell r="D1474" t="str">
            <v>ECOSAMPA Operação Geral</v>
          </cell>
          <cell r="E1474">
            <v>43930</v>
          </cell>
          <cell r="F1474">
            <v>1603.99</v>
          </cell>
          <cell r="G1474" t="str">
            <v>Demitido em Meses Anteriores</v>
          </cell>
          <cell r="H1474">
            <v>45072</v>
          </cell>
          <cell r="I1474">
            <v>34424</v>
          </cell>
          <cell r="J1474" t="str">
            <v>069.221.145-40</v>
          </cell>
          <cell r="K1474" t="str">
            <v>163.53319.54.2</v>
          </cell>
          <cell r="L1474" t="str">
            <v>Salário Mensal</v>
          </cell>
          <cell r="M1474" t="str">
            <v>Empregado (CLT)</v>
          </cell>
        </row>
        <row r="1475">
          <cell r="D1475" t="str">
            <v>ECOSAMPA Santo Amaro</v>
          </cell>
          <cell r="E1475">
            <v>43617</v>
          </cell>
          <cell r="F1475">
            <v>1603.99</v>
          </cell>
          <cell r="G1475" t="str">
            <v>Em Atividade Normal</v>
          </cell>
          <cell r="H1475">
            <v>44806</v>
          </cell>
          <cell r="I1475">
            <v>33040</v>
          </cell>
          <cell r="J1475" t="str">
            <v>413.916.808-04</v>
          </cell>
          <cell r="K1475" t="str">
            <v>206.88398.44.2</v>
          </cell>
          <cell r="L1475" t="str">
            <v>Salário Mensal</v>
          </cell>
          <cell r="M1475" t="str">
            <v>Empregado (CLT)</v>
          </cell>
        </row>
        <row r="1476">
          <cell r="D1476" t="str">
            <v>ECOSAMPA Santo Amaro</v>
          </cell>
          <cell r="E1476">
            <v>44048</v>
          </cell>
          <cell r="F1476">
            <v>1603.99</v>
          </cell>
          <cell r="G1476" t="str">
            <v>Em Atividade Normal</v>
          </cell>
          <cell r="H1476">
            <v>45086</v>
          </cell>
          <cell r="I1476">
            <v>34551</v>
          </cell>
          <cell r="J1476" t="str">
            <v>395.880.068-80</v>
          </cell>
          <cell r="K1476" t="str">
            <v>164.74143.38.0</v>
          </cell>
          <cell r="L1476" t="str">
            <v>Salário Mensal</v>
          </cell>
          <cell r="M1476" t="str">
            <v>Empregado (CLT)</v>
          </cell>
        </row>
        <row r="1477">
          <cell r="D1477" t="str">
            <v>ECOSAMPA Santo Amaro</v>
          </cell>
          <cell r="E1477">
            <v>43617</v>
          </cell>
          <cell r="F1477">
            <v>1231.95</v>
          </cell>
          <cell r="G1477" t="str">
            <v>Demitido em Meses Anteriores</v>
          </cell>
          <cell r="H1477">
            <v>43703</v>
          </cell>
          <cell r="I1477">
            <v>33846</v>
          </cell>
          <cell r="J1477" t="str">
            <v>408.983.528-35</v>
          </cell>
          <cell r="K1477" t="str">
            <v>207.24753.02.2</v>
          </cell>
          <cell r="L1477" t="str">
            <v>Salário Mensal</v>
          </cell>
          <cell r="M1477" t="str">
            <v>Empregado (CLT)</v>
          </cell>
        </row>
        <row r="1478">
          <cell r="D1478" t="str">
            <v>ECOSAMPA Operação Geral</v>
          </cell>
          <cell r="E1478">
            <v>43617</v>
          </cell>
          <cell r="F1478">
            <v>3050.22</v>
          </cell>
          <cell r="G1478" t="str">
            <v>Em Atividade Normal</v>
          </cell>
          <cell r="H1478">
            <v>45177</v>
          </cell>
          <cell r="I1478">
            <v>29151</v>
          </cell>
          <cell r="J1478" t="str">
            <v>277.284.588-50</v>
          </cell>
          <cell r="K1478" t="str">
            <v>128.17704.89.6</v>
          </cell>
          <cell r="L1478" t="str">
            <v>Salário Mensal</v>
          </cell>
          <cell r="M1478" t="str">
            <v>Empregado (CLT)</v>
          </cell>
        </row>
        <row r="1479">
          <cell r="D1479" t="str">
            <v>ECOSAMPA Operação Geral</v>
          </cell>
          <cell r="E1479">
            <v>43617</v>
          </cell>
          <cell r="F1479">
            <v>1603.99</v>
          </cell>
          <cell r="G1479" t="str">
            <v>Em Atividade Normal</v>
          </cell>
          <cell r="H1479">
            <v>44974</v>
          </cell>
          <cell r="I1479">
            <v>33298</v>
          </cell>
          <cell r="J1479" t="str">
            <v>102.342.084-81</v>
          </cell>
          <cell r="K1479" t="str">
            <v>203.90971.08.6</v>
          </cell>
          <cell r="L1479" t="str">
            <v>Salário Mensal</v>
          </cell>
          <cell r="M1479" t="str">
            <v>Empregado (CLT)</v>
          </cell>
        </row>
        <row r="1480">
          <cell r="D1480" t="str">
            <v>ECOSAMPA M'Boi Mirim</v>
          </cell>
          <cell r="E1480">
            <v>43617</v>
          </cell>
          <cell r="F1480">
            <v>1603.99</v>
          </cell>
          <cell r="G1480" t="str">
            <v>Em Atividade Normal</v>
          </cell>
          <cell r="H1480">
            <v>44835</v>
          </cell>
          <cell r="I1480">
            <v>35271</v>
          </cell>
          <cell r="J1480" t="str">
            <v>133.668.016-46</v>
          </cell>
          <cell r="K1480" t="str">
            <v>154.83805.27.9</v>
          </cell>
          <cell r="L1480" t="str">
            <v>Salário Mensal</v>
          </cell>
          <cell r="M1480" t="str">
            <v>Empregado (CLT)</v>
          </cell>
        </row>
        <row r="1481">
          <cell r="D1481" t="str">
            <v>ECOSAMPA Operação Geral</v>
          </cell>
          <cell r="E1481">
            <v>43930</v>
          </cell>
          <cell r="F1481">
            <v>1281.23</v>
          </cell>
          <cell r="G1481" t="str">
            <v>Demitido em Meses Anteriores</v>
          </cell>
          <cell r="H1481">
            <v>43944</v>
          </cell>
          <cell r="I1481">
            <v>30965</v>
          </cell>
          <cell r="J1481" t="str">
            <v>338.074.708-40</v>
          </cell>
          <cell r="K1481" t="str">
            <v>133.96783.85.8</v>
          </cell>
          <cell r="L1481" t="str">
            <v>Salário Mensal</v>
          </cell>
          <cell r="M1481" t="str">
            <v>Empregado (CLT)</v>
          </cell>
        </row>
        <row r="1482">
          <cell r="D1482" t="str">
            <v>ECOSAMPA Operação Geral</v>
          </cell>
          <cell r="E1482">
            <v>43617</v>
          </cell>
          <cell r="F1482">
            <v>3050.22</v>
          </cell>
          <cell r="G1482" t="str">
            <v>Em Atividade Normal</v>
          </cell>
          <cell r="H1482">
            <v>45149</v>
          </cell>
          <cell r="I1482">
            <v>31869</v>
          </cell>
          <cell r="J1482" t="str">
            <v>349.827.678-66</v>
          </cell>
          <cell r="K1482" t="str">
            <v>163.60117.10.0</v>
          </cell>
          <cell r="L1482" t="str">
            <v>Salário Mensal</v>
          </cell>
          <cell r="M1482" t="str">
            <v>Empregado (CLT)</v>
          </cell>
        </row>
        <row r="1483">
          <cell r="D1483" t="str">
            <v>ECOSAMPA Santo Amaro</v>
          </cell>
          <cell r="E1483">
            <v>43617</v>
          </cell>
          <cell r="F1483">
            <v>1603.99</v>
          </cell>
          <cell r="G1483" t="str">
            <v>Em Atividade Normal</v>
          </cell>
          <cell r="H1483">
            <v>45023</v>
          </cell>
          <cell r="I1483">
            <v>33835</v>
          </cell>
          <cell r="J1483" t="str">
            <v>411.855.058-06</v>
          </cell>
          <cell r="K1483" t="str">
            <v>210.71958.57.9</v>
          </cell>
          <cell r="L1483" t="str">
            <v>Salário Mensal</v>
          </cell>
          <cell r="M1483" t="str">
            <v>Empregado (CLT)</v>
          </cell>
        </row>
        <row r="1484">
          <cell r="D1484" t="str">
            <v>ECOSAMPA Parelheiros</v>
          </cell>
          <cell r="E1484">
            <v>43874</v>
          </cell>
          <cell r="F1484">
            <v>1603.99</v>
          </cell>
          <cell r="G1484" t="str">
            <v>Em Atividade Normal</v>
          </cell>
          <cell r="H1484">
            <v>45113</v>
          </cell>
          <cell r="I1484">
            <v>30649</v>
          </cell>
          <cell r="J1484" t="str">
            <v>396.894.708-84</v>
          </cell>
          <cell r="K1484" t="str">
            <v>210.72695.21.0</v>
          </cell>
          <cell r="L1484" t="str">
            <v>Salário Mensal</v>
          </cell>
          <cell r="M1484" t="str">
            <v>Empregado (CLT)</v>
          </cell>
        </row>
        <row r="1485">
          <cell r="D1485" t="str">
            <v>ECOSAMPA Operação Geral</v>
          </cell>
          <cell r="E1485">
            <v>43617</v>
          </cell>
          <cell r="F1485">
            <v>1523.89</v>
          </cell>
          <cell r="G1485" t="str">
            <v>Demitido em Meses Anteriores</v>
          </cell>
          <cell r="H1485">
            <v>43974</v>
          </cell>
          <cell r="I1485">
            <v>33000</v>
          </cell>
          <cell r="J1485" t="str">
            <v>411.562.308-02</v>
          </cell>
          <cell r="K1485" t="str">
            <v>201.15709.24.4</v>
          </cell>
          <cell r="L1485" t="str">
            <v>Salário Mensal</v>
          </cell>
          <cell r="M1485" t="str">
            <v>Empregado (CLT)</v>
          </cell>
        </row>
        <row r="1486">
          <cell r="D1486" t="str">
            <v>ECOSAMPA Campo Limpo</v>
          </cell>
          <cell r="E1486">
            <v>44207</v>
          </cell>
          <cell r="F1486">
            <v>1603.99</v>
          </cell>
          <cell r="G1486" t="str">
            <v>Em Atividade Normal</v>
          </cell>
          <cell r="H1486">
            <v>45119</v>
          </cell>
          <cell r="I1486">
            <v>31619</v>
          </cell>
          <cell r="J1486" t="str">
            <v>365.310.098-45</v>
          </cell>
          <cell r="K1486" t="str">
            <v>201.15121.80.8</v>
          </cell>
          <cell r="L1486" t="str">
            <v>Salário Mensal</v>
          </cell>
          <cell r="M1486" t="str">
            <v>Empregado (CLT)</v>
          </cell>
        </row>
        <row r="1487">
          <cell r="D1487" t="str">
            <v>ECOSAMPA Operação Geral</v>
          </cell>
          <cell r="E1487">
            <v>43617</v>
          </cell>
          <cell r="F1487">
            <v>2444.37</v>
          </cell>
          <cell r="G1487" t="str">
            <v>Em Atividade Normal</v>
          </cell>
          <cell r="H1487">
            <v>44930</v>
          </cell>
          <cell r="I1487">
            <v>29927</v>
          </cell>
          <cell r="J1487" t="str">
            <v>223.671.208-11</v>
          </cell>
          <cell r="K1487" t="str">
            <v>125.81863.46.5</v>
          </cell>
          <cell r="L1487" t="str">
            <v>Salário Mensal</v>
          </cell>
          <cell r="M1487" t="str">
            <v>Empregado (CLT)</v>
          </cell>
        </row>
        <row r="1488">
          <cell r="D1488" t="str">
            <v>ECOSAMPA Capela do Socorro</v>
          </cell>
          <cell r="E1488">
            <v>43617</v>
          </cell>
          <cell r="F1488">
            <v>1603.99</v>
          </cell>
          <cell r="G1488" t="str">
            <v>Em Atividade Normal</v>
          </cell>
          <cell r="H1488">
            <v>44867</v>
          </cell>
          <cell r="I1488">
            <v>25757</v>
          </cell>
          <cell r="J1488" t="str">
            <v>176.232.458-05</v>
          </cell>
          <cell r="K1488" t="str">
            <v>123.75488.30.1</v>
          </cell>
          <cell r="L1488" t="str">
            <v>Salário Mensal</v>
          </cell>
          <cell r="M1488" t="str">
            <v>Empregado (CLT)</v>
          </cell>
        </row>
        <row r="1489">
          <cell r="D1489" t="str">
            <v>ECOSAMPA Campo Limpo</v>
          </cell>
          <cell r="E1489">
            <v>43617</v>
          </cell>
          <cell r="F1489">
            <v>1319.67</v>
          </cell>
          <cell r="G1489" t="str">
            <v>Demitido em Meses Anteriores</v>
          </cell>
          <cell r="H1489">
            <v>44109</v>
          </cell>
          <cell r="I1489">
            <v>33536</v>
          </cell>
          <cell r="J1489" t="str">
            <v>430.581.658-03</v>
          </cell>
          <cell r="K1489" t="str">
            <v>201.15436.95.7</v>
          </cell>
          <cell r="L1489" t="str">
            <v>Salário Mensal</v>
          </cell>
          <cell r="M1489" t="str">
            <v>Empregado (CLT)</v>
          </cell>
        </row>
        <row r="1490">
          <cell r="D1490" t="str">
            <v>ECOSAMPA Operação Geral</v>
          </cell>
          <cell r="E1490">
            <v>45061</v>
          </cell>
          <cell r="F1490">
            <v>1603.99</v>
          </cell>
          <cell r="G1490" t="str">
            <v>Em Atividade Normal</v>
          </cell>
          <cell r="H1490">
            <v>45061</v>
          </cell>
          <cell r="I1490">
            <v>33676</v>
          </cell>
          <cell r="J1490" t="str">
            <v>463.344.288-02</v>
          </cell>
          <cell r="K1490" t="str">
            <v>236.45570.61.2</v>
          </cell>
          <cell r="L1490" t="str">
            <v>Salário Mensal</v>
          </cell>
          <cell r="M1490" t="str">
            <v>Empregado (CLT)</v>
          </cell>
        </row>
        <row r="1491">
          <cell r="D1491" t="str">
            <v>ECOSAMPA Operação Geral</v>
          </cell>
          <cell r="E1491">
            <v>43617</v>
          </cell>
          <cell r="F1491">
            <v>3050.22</v>
          </cell>
          <cell r="G1491" t="str">
            <v>Demitido no Mês</v>
          </cell>
          <cell r="H1491">
            <v>45180</v>
          </cell>
          <cell r="I1491">
            <v>30865</v>
          </cell>
          <cell r="J1491" t="str">
            <v>322.054.428-21</v>
          </cell>
          <cell r="K1491" t="str">
            <v>131.92253.81.8</v>
          </cell>
          <cell r="L1491" t="str">
            <v>Salário Mensal</v>
          </cell>
          <cell r="M1491" t="str">
            <v>Empregado (CLT)</v>
          </cell>
        </row>
        <row r="1492">
          <cell r="D1492" t="str">
            <v>ECOSAMPA Administração</v>
          </cell>
          <cell r="E1492">
            <v>44734</v>
          </cell>
          <cell r="F1492">
            <v>1320</v>
          </cell>
          <cell r="G1492" t="str">
            <v>Em Atividade Normal</v>
          </cell>
          <cell r="H1492">
            <v>44734</v>
          </cell>
          <cell r="I1492">
            <v>37261</v>
          </cell>
          <cell r="J1492" t="str">
            <v>466.851.128-59</v>
          </cell>
          <cell r="K1492" t="str">
            <v>236.64185.78.8</v>
          </cell>
          <cell r="L1492" t="str">
            <v>Salário Mensal</v>
          </cell>
          <cell r="M1492" t="str">
            <v>Menor Aprendiz</v>
          </cell>
        </row>
        <row r="1493">
          <cell r="D1493" t="str">
            <v>ECOSAMPA Santo Amaro</v>
          </cell>
          <cell r="E1493">
            <v>44487</v>
          </cell>
          <cell r="F1493">
            <v>1464.83</v>
          </cell>
          <cell r="G1493" t="str">
            <v>Demitido em Meses Anteriores</v>
          </cell>
          <cell r="H1493">
            <v>44545</v>
          </cell>
          <cell r="I1493">
            <v>30114</v>
          </cell>
          <cell r="J1493" t="str">
            <v>039.599.154-46</v>
          </cell>
          <cell r="K1493" t="str">
            <v>131.02975.89.4</v>
          </cell>
          <cell r="L1493" t="str">
            <v>Salário Mensal</v>
          </cell>
          <cell r="M1493" t="str">
            <v>Empregado (CLT)</v>
          </cell>
        </row>
        <row r="1494">
          <cell r="D1494" t="str">
            <v>ECOSAMPA Operação Geral</v>
          </cell>
          <cell r="E1494">
            <v>44972</v>
          </cell>
          <cell r="F1494">
            <v>1603.99</v>
          </cell>
          <cell r="G1494" t="str">
            <v>Demitido em Meses Anteriores</v>
          </cell>
          <cell r="H1494">
            <v>44986</v>
          </cell>
          <cell r="I1494">
            <v>35383</v>
          </cell>
          <cell r="J1494" t="str">
            <v>466.589.538-48</v>
          </cell>
          <cell r="K1494" t="str">
            <v>201.17255.92.5</v>
          </cell>
          <cell r="L1494" t="str">
            <v>Salário Mensal</v>
          </cell>
          <cell r="M1494" t="str">
            <v>Empregado (CLT)</v>
          </cell>
        </row>
        <row r="1495">
          <cell r="D1495" t="str">
            <v>ECOSAMPA Santo Amaro</v>
          </cell>
          <cell r="E1495">
            <v>43622</v>
          </cell>
          <cell r="F1495">
            <v>3222.08</v>
          </cell>
          <cell r="G1495" t="str">
            <v>Em Atividade Normal</v>
          </cell>
          <cell r="H1495">
            <v>44867</v>
          </cell>
          <cell r="I1495">
            <v>30901</v>
          </cell>
          <cell r="J1495" t="str">
            <v>332.202.528-42</v>
          </cell>
          <cell r="K1495" t="str">
            <v>139.08856.19.0</v>
          </cell>
          <cell r="L1495" t="str">
            <v>Salário Mensal</v>
          </cell>
          <cell r="M1495" t="str">
            <v>Empregado (CLT)</v>
          </cell>
        </row>
        <row r="1496">
          <cell r="D1496" t="str">
            <v>ECOSAMPA Campo Limpo</v>
          </cell>
          <cell r="E1496">
            <v>43874</v>
          </cell>
          <cell r="F1496">
            <v>1603.99</v>
          </cell>
          <cell r="G1496" t="str">
            <v>Em Atividade Normal</v>
          </cell>
          <cell r="H1496">
            <v>45119</v>
          </cell>
          <cell r="I1496">
            <v>30239</v>
          </cell>
          <cell r="J1496" t="str">
            <v>046.263.194-08</v>
          </cell>
          <cell r="K1496" t="str">
            <v>130.92105.93.0</v>
          </cell>
          <cell r="L1496" t="str">
            <v>Salário Mensal</v>
          </cell>
          <cell r="M1496" t="str">
            <v>Empregado (CLT)</v>
          </cell>
        </row>
        <row r="1497">
          <cell r="D1497" t="str">
            <v>ECOSAMPA Operação Geral</v>
          </cell>
          <cell r="E1497">
            <v>43617</v>
          </cell>
          <cell r="F1497">
            <v>1907.79</v>
          </cell>
          <cell r="G1497" t="str">
            <v>Em Atividade Normal</v>
          </cell>
          <cell r="H1497">
            <v>45070</v>
          </cell>
          <cell r="I1497">
            <v>36822</v>
          </cell>
          <cell r="J1497" t="str">
            <v>498.010.798-27</v>
          </cell>
          <cell r="K1497" t="str">
            <v>165.24772.81.5</v>
          </cell>
          <cell r="L1497" t="str">
            <v>Salário Mensal</v>
          </cell>
          <cell r="M1497" t="str">
            <v>Empregado (CLT)</v>
          </cell>
        </row>
        <row r="1498">
          <cell r="D1498" t="str">
            <v>ECOSAMPA M'Boi Mirim</v>
          </cell>
          <cell r="E1498">
            <v>43617</v>
          </cell>
          <cell r="F1498">
            <v>1281.23</v>
          </cell>
          <cell r="G1498" t="str">
            <v>Demitido em Meses Anteriores</v>
          </cell>
          <cell r="H1498">
            <v>43850</v>
          </cell>
          <cell r="I1498">
            <v>34464</v>
          </cell>
          <cell r="J1498" t="str">
            <v>425.649.118-03</v>
          </cell>
          <cell r="K1498" t="str">
            <v>204.90874.28.7</v>
          </cell>
          <cell r="L1498" t="str">
            <v>Salário Mensal</v>
          </cell>
          <cell r="M1498" t="str">
            <v>Empregado (CLT)</v>
          </cell>
        </row>
        <row r="1499">
          <cell r="D1499" t="str">
            <v>ECOSAMPA Operação Geral</v>
          </cell>
          <cell r="E1499">
            <v>43617</v>
          </cell>
          <cell r="F1499">
            <v>3050.22</v>
          </cell>
          <cell r="G1499" t="str">
            <v>Em Atividade Normal</v>
          </cell>
          <cell r="H1499">
            <v>44960</v>
          </cell>
          <cell r="I1499">
            <v>29347</v>
          </cell>
          <cell r="J1499" t="str">
            <v>290.284.848-09</v>
          </cell>
          <cell r="K1499" t="str">
            <v>128.87726.85.6</v>
          </cell>
          <cell r="L1499" t="str">
            <v>Salário Mensal</v>
          </cell>
          <cell r="M1499" t="str">
            <v>Empregado (CLT)</v>
          </cell>
        </row>
        <row r="1500">
          <cell r="D1500" t="str">
            <v>ECOSAMPA Capela do Socorro</v>
          </cell>
          <cell r="E1500">
            <v>43817</v>
          </cell>
          <cell r="F1500">
            <v>1281.23</v>
          </cell>
          <cell r="G1500" t="str">
            <v>Demitido em Meses Anteriores</v>
          </cell>
          <cell r="H1500">
            <v>43895</v>
          </cell>
          <cell r="I1500">
            <v>36151</v>
          </cell>
          <cell r="J1500" t="str">
            <v>481.012.708-76</v>
          </cell>
          <cell r="K1500" t="str">
            <v>164.30358.98.5</v>
          </cell>
          <cell r="L1500" t="str">
            <v>Salário Mensal</v>
          </cell>
          <cell r="M1500" t="str">
            <v>Empregado (CLT)</v>
          </cell>
        </row>
        <row r="1501">
          <cell r="D1501" t="str">
            <v>ECOSAMPA Santo Amaro</v>
          </cell>
          <cell r="E1501">
            <v>43811</v>
          </cell>
          <cell r="F1501">
            <v>1319.67</v>
          </cell>
          <cell r="G1501" t="str">
            <v>Demitido em Meses Anteriores</v>
          </cell>
          <cell r="H1501">
            <v>44140</v>
          </cell>
          <cell r="I1501">
            <v>32233</v>
          </cell>
          <cell r="J1501" t="str">
            <v>386.523.848-35</v>
          </cell>
          <cell r="K1501" t="str">
            <v>210.71780.60.5</v>
          </cell>
          <cell r="L1501" t="str">
            <v>Salário Mensal</v>
          </cell>
          <cell r="M1501" t="str">
            <v>Empregado (CLT)</v>
          </cell>
        </row>
        <row r="1502">
          <cell r="D1502" t="str">
            <v>ECOSAMPA Capela do Socorro</v>
          </cell>
          <cell r="E1502">
            <v>43617</v>
          </cell>
          <cell r="F1502">
            <v>1603.99</v>
          </cell>
          <cell r="G1502" t="str">
            <v>Em Atividade Normal</v>
          </cell>
          <cell r="H1502">
            <v>44930</v>
          </cell>
          <cell r="I1502">
            <v>26763</v>
          </cell>
          <cell r="J1502" t="str">
            <v>253.589.728-89</v>
          </cell>
          <cell r="K1502" t="str">
            <v>125.20487.75.7</v>
          </cell>
          <cell r="L1502" t="str">
            <v>Salário Mensal</v>
          </cell>
          <cell r="M1502" t="str">
            <v>Empregado (CLT)</v>
          </cell>
        </row>
        <row r="1503">
          <cell r="D1503" t="str">
            <v>ECOSAMPA Campo Limpo</v>
          </cell>
          <cell r="E1503">
            <v>43617</v>
          </cell>
          <cell r="F1503">
            <v>1603.99</v>
          </cell>
          <cell r="G1503" t="str">
            <v>Em Atividade Normal</v>
          </cell>
          <cell r="H1503">
            <v>45124</v>
          </cell>
          <cell r="I1503">
            <v>30827</v>
          </cell>
          <cell r="J1503" t="str">
            <v>009.476.115-92</v>
          </cell>
          <cell r="K1503" t="str">
            <v>132.59080.77.4</v>
          </cell>
          <cell r="L1503" t="str">
            <v>Salário Mensal</v>
          </cell>
          <cell r="M1503" t="str">
            <v>Empregado (CLT)</v>
          </cell>
        </row>
        <row r="1504">
          <cell r="D1504" t="str">
            <v>ECOSAMPA Santo Amaro</v>
          </cell>
          <cell r="E1504">
            <v>43617</v>
          </cell>
          <cell r="F1504">
            <v>1603.99</v>
          </cell>
          <cell r="G1504" t="str">
            <v>Em Atividade Normal</v>
          </cell>
          <cell r="H1504">
            <v>44806</v>
          </cell>
          <cell r="I1504">
            <v>25127</v>
          </cell>
          <cell r="J1504" t="str">
            <v>734.633.106-00</v>
          </cell>
          <cell r="K1504" t="str">
            <v>123.74872.32.9</v>
          </cell>
          <cell r="L1504" t="str">
            <v>Salário Mensal</v>
          </cell>
          <cell r="M1504" t="str">
            <v>Empregado (CLT)</v>
          </cell>
        </row>
        <row r="1505">
          <cell r="D1505" t="str">
            <v>ECOSAMPA Campo Limpo</v>
          </cell>
          <cell r="E1505">
            <v>43617</v>
          </cell>
          <cell r="F1505">
            <v>1603.99</v>
          </cell>
          <cell r="G1505" t="str">
            <v>Gozando Férias</v>
          </cell>
          <cell r="H1505">
            <v>45180</v>
          </cell>
          <cell r="I1505">
            <v>29471</v>
          </cell>
          <cell r="J1505" t="str">
            <v>301.129.558-19</v>
          </cell>
          <cell r="K1505" t="str">
            <v>209.74137.88.4</v>
          </cell>
          <cell r="L1505" t="str">
            <v>Salário Mensal</v>
          </cell>
          <cell r="M1505" t="str">
            <v>Empregado (CLT)</v>
          </cell>
        </row>
        <row r="1506">
          <cell r="D1506" t="str">
            <v>ECOSAMPA Operação Geral</v>
          </cell>
          <cell r="E1506">
            <v>44154</v>
          </cell>
          <cell r="F1506">
            <v>2072.08</v>
          </cell>
          <cell r="G1506" t="str">
            <v>Auxílio-Doença</v>
          </cell>
          <cell r="H1506">
            <v>45146</v>
          </cell>
          <cell r="I1506">
            <v>29566</v>
          </cell>
          <cell r="J1506" t="str">
            <v>330.336.088-09</v>
          </cell>
          <cell r="K1506" t="str">
            <v>206.42190.49.0</v>
          </cell>
          <cell r="L1506" t="str">
            <v>Salário Mensal</v>
          </cell>
          <cell r="M1506" t="str">
            <v>Empregado (CLT)</v>
          </cell>
        </row>
        <row r="1507">
          <cell r="D1507" t="str">
            <v>ECOSAMPA Capela do Socorro</v>
          </cell>
          <cell r="E1507">
            <v>43710</v>
          </cell>
          <cell r="F1507">
            <v>1603.99</v>
          </cell>
          <cell r="G1507" t="str">
            <v>Em Atividade Normal</v>
          </cell>
          <cell r="H1507">
            <v>45119</v>
          </cell>
          <cell r="I1507">
            <v>31413</v>
          </cell>
          <cell r="J1507" t="str">
            <v>382.708.148-30</v>
          </cell>
          <cell r="K1507" t="str">
            <v>201.55583.54.3</v>
          </cell>
          <cell r="L1507" t="str">
            <v>Salário Mensal</v>
          </cell>
          <cell r="M1507" t="str">
            <v>Empregado (CLT)</v>
          </cell>
        </row>
        <row r="1508">
          <cell r="D1508" t="str">
            <v>ECOSAMPA Operação Geral</v>
          </cell>
          <cell r="E1508">
            <v>44972</v>
          </cell>
          <cell r="F1508">
            <v>1603.99</v>
          </cell>
          <cell r="G1508" t="str">
            <v>Demitido em Meses Anteriores</v>
          </cell>
          <cell r="H1508">
            <v>44986</v>
          </cell>
          <cell r="I1508">
            <v>35041</v>
          </cell>
          <cell r="J1508" t="str">
            <v>494.745.348-61</v>
          </cell>
          <cell r="K1508" t="str">
            <v>238.89685.00.1</v>
          </cell>
          <cell r="L1508" t="str">
            <v>Salário Mensal</v>
          </cell>
          <cell r="M1508" t="str">
            <v>Empregado (CLT)</v>
          </cell>
        </row>
        <row r="1509">
          <cell r="D1509" t="str">
            <v>ECOSAMPA Santo Amaro</v>
          </cell>
          <cell r="E1509">
            <v>43874</v>
          </cell>
          <cell r="F1509">
            <v>1319.67</v>
          </cell>
          <cell r="G1509" t="str">
            <v>Demitido em Meses Anteriores</v>
          </cell>
          <cell r="H1509">
            <v>44144</v>
          </cell>
          <cell r="I1509">
            <v>35028</v>
          </cell>
          <cell r="J1509" t="str">
            <v>469.513.818-28</v>
          </cell>
          <cell r="K1509" t="str">
            <v>203.90971.11.6</v>
          </cell>
          <cell r="L1509" t="str">
            <v>Salário Mensal</v>
          </cell>
          <cell r="M1509" t="str">
            <v>Empregado (CLT)</v>
          </cell>
        </row>
        <row r="1510">
          <cell r="D1510" t="str">
            <v>ECOSAMPA Campo Limpo</v>
          </cell>
          <cell r="E1510">
            <v>43617</v>
          </cell>
          <cell r="F1510">
            <v>1319.67</v>
          </cell>
          <cell r="G1510" t="str">
            <v>Demitido em Meses Anteriores</v>
          </cell>
          <cell r="H1510">
            <v>44356</v>
          </cell>
          <cell r="I1510">
            <v>27648</v>
          </cell>
          <cell r="J1510" t="str">
            <v>267.527.328-76</v>
          </cell>
          <cell r="K1510" t="str">
            <v>127.14897.85.3</v>
          </cell>
          <cell r="L1510" t="str">
            <v>Salário Mensal</v>
          </cell>
          <cell r="M1510" t="str">
            <v>Empregado (CLT)</v>
          </cell>
        </row>
        <row r="1511">
          <cell r="D1511" t="str">
            <v>ECOSAMPA Santo Amaro</v>
          </cell>
          <cell r="E1511">
            <v>44725</v>
          </cell>
          <cell r="F1511">
            <v>1603.99</v>
          </cell>
          <cell r="G1511" t="str">
            <v>Em Atividade Normal</v>
          </cell>
          <cell r="H1511">
            <v>44725</v>
          </cell>
          <cell r="I1511">
            <v>28875</v>
          </cell>
          <cell r="J1511" t="str">
            <v>213.963.288-58</v>
          </cell>
          <cell r="K1511" t="str">
            <v>128.23591.93.3</v>
          </cell>
          <cell r="L1511" t="str">
            <v>Salário Mensal</v>
          </cell>
          <cell r="M1511" t="str">
            <v>Empregado (CLT)</v>
          </cell>
        </row>
        <row r="1512">
          <cell r="D1512" t="str">
            <v>ECOSAMPA Administração</v>
          </cell>
          <cell r="E1512">
            <v>45040</v>
          </cell>
          <cell r="F1512">
            <v>1320</v>
          </cell>
          <cell r="G1512" t="str">
            <v>Em Atividade Normal</v>
          </cell>
          <cell r="H1512">
            <v>45040</v>
          </cell>
          <cell r="I1512">
            <v>38467</v>
          </cell>
          <cell r="J1512" t="str">
            <v>434.144.128-02</v>
          </cell>
          <cell r="K1512" t="str">
            <v>162.99822.72.5</v>
          </cell>
          <cell r="L1512" t="str">
            <v>Salário Mensal</v>
          </cell>
          <cell r="M1512" t="str">
            <v>Menor Aprendiz</v>
          </cell>
        </row>
        <row r="1513">
          <cell r="D1513" t="str">
            <v>ECOSAMPA Operação Geral</v>
          </cell>
          <cell r="E1513">
            <v>44328</v>
          </cell>
          <cell r="F1513">
            <v>3050.22</v>
          </cell>
          <cell r="G1513" t="str">
            <v>Em Atividade Normal</v>
          </cell>
          <cell r="H1513">
            <v>45177</v>
          </cell>
          <cell r="I1513">
            <v>23629</v>
          </cell>
          <cell r="J1513" t="str">
            <v>059.430.268-43</v>
          </cell>
          <cell r="K1513" t="str">
            <v>121.05405.61.6</v>
          </cell>
          <cell r="L1513" t="str">
            <v>Salário Mensal</v>
          </cell>
          <cell r="M1513" t="str">
            <v>Empregado (CLT)</v>
          </cell>
        </row>
        <row r="1514">
          <cell r="D1514" t="str">
            <v>ECOSAMPA M'Boi Mirim</v>
          </cell>
          <cell r="E1514">
            <v>43617</v>
          </cell>
          <cell r="F1514">
            <v>1603.99</v>
          </cell>
          <cell r="G1514" t="str">
            <v>Em Atividade Normal</v>
          </cell>
          <cell r="H1514">
            <v>45023</v>
          </cell>
          <cell r="I1514">
            <v>27746</v>
          </cell>
          <cell r="J1514" t="str">
            <v>261.810.868-03</v>
          </cell>
          <cell r="K1514" t="str">
            <v>125.98786.81.7</v>
          </cell>
          <cell r="L1514" t="str">
            <v>Salário Mensal</v>
          </cell>
          <cell r="M1514" t="str">
            <v>Empregado (CLT)</v>
          </cell>
        </row>
        <row r="1515">
          <cell r="D1515" t="str">
            <v>ECOSAMPA M'Boi Mirim</v>
          </cell>
          <cell r="E1515">
            <v>43617</v>
          </cell>
          <cell r="F1515">
            <v>1907.79</v>
          </cell>
          <cell r="G1515" t="str">
            <v>Em Atividade Normal</v>
          </cell>
          <cell r="H1515">
            <v>44806</v>
          </cell>
          <cell r="I1515">
            <v>29309</v>
          </cell>
          <cell r="J1515" t="str">
            <v>287.123.608-99</v>
          </cell>
          <cell r="K1515" t="str">
            <v>135.52735.77.0</v>
          </cell>
          <cell r="L1515" t="str">
            <v>Salário Mensal</v>
          </cell>
          <cell r="M1515" t="str">
            <v>Empregado (CLT)</v>
          </cell>
        </row>
        <row r="1516">
          <cell r="D1516" t="str">
            <v>ECOSAMPA Santo Amaro</v>
          </cell>
          <cell r="E1516">
            <v>43617</v>
          </cell>
          <cell r="F1516">
            <v>1603.99</v>
          </cell>
          <cell r="G1516" t="str">
            <v>Em Atividade Normal</v>
          </cell>
          <cell r="H1516">
            <v>45119</v>
          </cell>
          <cell r="I1516">
            <v>21182</v>
          </cell>
          <cell r="J1516" t="str">
            <v>076.930.208-45</v>
          </cell>
          <cell r="K1516" t="str">
            <v>108.82371.95.6</v>
          </cell>
          <cell r="L1516" t="str">
            <v>Salário Mensal</v>
          </cell>
          <cell r="M1516" t="str">
            <v>Empregado (CLT)</v>
          </cell>
        </row>
        <row r="1517">
          <cell r="D1517" t="str">
            <v>ECOSAMPA Capela do Socorro</v>
          </cell>
          <cell r="E1517">
            <v>43811</v>
          </cell>
          <cell r="F1517">
            <v>1464.83</v>
          </cell>
          <cell r="G1517" t="str">
            <v>Demitido em Meses Anteriores</v>
          </cell>
          <cell r="H1517">
            <v>44505</v>
          </cell>
          <cell r="I1517">
            <v>34547</v>
          </cell>
          <cell r="J1517" t="str">
            <v>397.129.618-18</v>
          </cell>
          <cell r="K1517" t="str">
            <v>142.99798.41.0</v>
          </cell>
          <cell r="L1517" t="str">
            <v>Salário Mensal</v>
          </cell>
          <cell r="M1517" t="str">
            <v>Empregado (CLT)</v>
          </cell>
        </row>
        <row r="1518">
          <cell r="D1518" t="str">
            <v>ECOSAMPA Operação Geral</v>
          </cell>
          <cell r="E1518">
            <v>44760</v>
          </cell>
          <cell r="F1518">
            <v>1603.99</v>
          </cell>
          <cell r="G1518" t="str">
            <v>Em Atividade Normal</v>
          </cell>
          <cell r="H1518">
            <v>45177</v>
          </cell>
          <cell r="I1518">
            <v>36304</v>
          </cell>
          <cell r="J1518" t="str">
            <v>243.218.798-92</v>
          </cell>
          <cell r="K1518" t="str">
            <v>165.18968.05.3</v>
          </cell>
          <cell r="L1518" t="str">
            <v>Salário Mensal</v>
          </cell>
          <cell r="M1518" t="str">
            <v>Empregado (CLT)</v>
          </cell>
        </row>
        <row r="1519">
          <cell r="D1519" t="str">
            <v>ECOSAMPA Operação Geral</v>
          </cell>
          <cell r="E1519">
            <v>44636</v>
          </cell>
          <cell r="F1519">
            <v>2610.2399999999998</v>
          </cell>
          <cell r="G1519" t="str">
            <v>Demitido em Meses Anteriores</v>
          </cell>
          <cell r="H1519">
            <v>44986</v>
          </cell>
          <cell r="I1519">
            <v>35355</v>
          </cell>
          <cell r="J1519" t="str">
            <v>444.815.848-90</v>
          </cell>
          <cell r="K1519" t="str">
            <v>204.16001.98.4</v>
          </cell>
          <cell r="L1519" t="str">
            <v>Salário Mensal</v>
          </cell>
          <cell r="M1519" t="str">
            <v>Empregado (CLT)</v>
          </cell>
        </row>
        <row r="1520">
          <cell r="D1520" t="str">
            <v>ECOSAMPA Operação Geral</v>
          </cell>
          <cell r="E1520">
            <v>43617</v>
          </cell>
          <cell r="F1520">
            <v>1523.89</v>
          </cell>
          <cell r="G1520" t="str">
            <v>Demitido em Meses Anteriores</v>
          </cell>
          <cell r="H1520">
            <v>43974</v>
          </cell>
          <cell r="I1520">
            <v>33334</v>
          </cell>
          <cell r="J1520" t="str">
            <v>415.595.608-00</v>
          </cell>
          <cell r="K1520" t="str">
            <v>164.63425.76.2</v>
          </cell>
          <cell r="L1520" t="str">
            <v>Salário Mensal</v>
          </cell>
          <cell r="M1520" t="str">
            <v>Empregado (CLT)</v>
          </cell>
        </row>
        <row r="1521">
          <cell r="D1521" t="str">
            <v>ECOSAMPA Santo Amaro</v>
          </cell>
          <cell r="E1521">
            <v>44567</v>
          </cell>
          <cell r="F1521">
            <v>1603.99</v>
          </cell>
          <cell r="G1521" t="str">
            <v>Em Atividade Normal</v>
          </cell>
          <cell r="H1521">
            <v>45171</v>
          </cell>
          <cell r="I1521">
            <v>34842</v>
          </cell>
          <cell r="J1521" t="str">
            <v>459.629.518-24</v>
          </cell>
          <cell r="K1521" t="str">
            <v>164.46089.29.6</v>
          </cell>
          <cell r="L1521" t="str">
            <v>Salário Mensal</v>
          </cell>
          <cell r="M1521" t="str">
            <v>Empregado (CLT)</v>
          </cell>
        </row>
        <row r="1522">
          <cell r="D1522" t="str">
            <v>ECOSAMPA Campo Limpo</v>
          </cell>
          <cell r="E1522">
            <v>44207</v>
          </cell>
          <cell r="F1522">
            <v>1319.67</v>
          </cell>
          <cell r="G1522" t="str">
            <v>Demitido em Meses Anteriores</v>
          </cell>
          <cell r="H1522">
            <v>44217</v>
          </cell>
          <cell r="I1522">
            <v>34616</v>
          </cell>
          <cell r="J1522" t="str">
            <v>475.187.468-32</v>
          </cell>
          <cell r="K1522" t="str">
            <v>145.86339.43.4</v>
          </cell>
          <cell r="L1522" t="str">
            <v>Salário Mensal</v>
          </cell>
          <cell r="M1522" t="str">
            <v>Empregado (CLT)</v>
          </cell>
        </row>
        <row r="1523">
          <cell r="D1523" t="str">
            <v>ECOSAMPA Operação Geral</v>
          </cell>
          <cell r="E1523">
            <v>43617</v>
          </cell>
          <cell r="F1523">
            <v>3050.22</v>
          </cell>
          <cell r="G1523" t="str">
            <v>Demitido em Meses Anteriores</v>
          </cell>
          <cell r="H1523">
            <v>45061</v>
          </cell>
          <cell r="I1523">
            <v>32787</v>
          </cell>
          <cell r="J1523" t="str">
            <v>076.493.164-40</v>
          </cell>
          <cell r="K1523" t="str">
            <v>163.82294.53.6</v>
          </cell>
          <cell r="L1523" t="str">
            <v>Salário Mensal</v>
          </cell>
          <cell r="M1523" t="str">
            <v>Empregado (CLT)</v>
          </cell>
        </row>
        <row r="1524">
          <cell r="D1524" t="str">
            <v>ECOSAMPA Santo Amaro</v>
          </cell>
          <cell r="E1524">
            <v>43617</v>
          </cell>
          <cell r="F1524">
            <v>1231.95</v>
          </cell>
          <cell r="G1524" t="str">
            <v>Demitido em Meses Anteriores</v>
          </cell>
          <cell r="H1524">
            <v>43703</v>
          </cell>
          <cell r="I1524">
            <v>34506</v>
          </cell>
          <cell r="J1524" t="str">
            <v>422.118.568-61</v>
          </cell>
          <cell r="K1524" t="str">
            <v>201.15180.19.7</v>
          </cell>
          <cell r="L1524" t="str">
            <v>Salário Mensal</v>
          </cell>
          <cell r="M1524" t="str">
            <v>Empregado (CLT)</v>
          </cell>
        </row>
        <row r="1525">
          <cell r="D1525" t="str">
            <v>ECOSAMPA Operação Geral</v>
          </cell>
          <cell r="E1525">
            <v>44967</v>
          </cell>
          <cell r="F1525">
            <v>1603.99</v>
          </cell>
          <cell r="G1525" t="str">
            <v>Demitido em Meses Anteriores</v>
          </cell>
          <cell r="H1525">
            <v>44981</v>
          </cell>
          <cell r="I1525">
            <v>35688</v>
          </cell>
          <cell r="J1525" t="str">
            <v>458.413.408-16</v>
          </cell>
          <cell r="K1525" t="str">
            <v>163.90396.81.4</v>
          </cell>
          <cell r="L1525" t="str">
            <v>Salário Mensal</v>
          </cell>
          <cell r="M1525" t="str">
            <v>Empregado (CLT)</v>
          </cell>
        </row>
        <row r="1526">
          <cell r="D1526" t="str">
            <v>ECOSAMPA Parelheiros</v>
          </cell>
          <cell r="E1526">
            <v>43617</v>
          </cell>
          <cell r="F1526">
            <v>1319.67</v>
          </cell>
          <cell r="G1526" t="str">
            <v>Demitido em Meses Anteriores</v>
          </cell>
          <cell r="H1526">
            <v>44169</v>
          </cell>
          <cell r="I1526">
            <v>31781</v>
          </cell>
          <cell r="J1526" t="str">
            <v>038.384.235-26</v>
          </cell>
          <cell r="K1526" t="str">
            <v>163.70760.96.0</v>
          </cell>
          <cell r="L1526" t="str">
            <v>Salário Mensal</v>
          </cell>
          <cell r="M1526" t="str">
            <v>Empregado (CLT)</v>
          </cell>
        </row>
        <row r="1527">
          <cell r="D1527" t="str">
            <v>ECOSAMPA Parelheiros</v>
          </cell>
          <cell r="E1527">
            <v>44582</v>
          </cell>
          <cell r="F1527">
            <v>1603.99</v>
          </cell>
          <cell r="G1527" t="str">
            <v>Demitido em Meses Anteriores</v>
          </cell>
          <cell r="H1527">
            <v>44844</v>
          </cell>
          <cell r="I1527">
            <v>36346</v>
          </cell>
          <cell r="J1527" t="str">
            <v>534.776.578-02</v>
          </cell>
          <cell r="K1527" t="str">
            <v>164.06076.63.0</v>
          </cell>
          <cell r="L1527" t="str">
            <v>Salário Mensal</v>
          </cell>
          <cell r="M1527" t="str">
            <v>Empregado (CLT)</v>
          </cell>
        </row>
        <row r="1528">
          <cell r="D1528" t="str">
            <v>ECOSAMPA Santo Amaro</v>
          </cell>
          <cell r="E1528">
            <v>43617</v>
          </cell>
          <cell r="F1528">
            <v>1603.99</v>
          </cell>
          <cell r="G1528" t="str">
            <v>Em Atividade Normal</v>
          </cell>
          <cell r="H1528">
            <v>44960</v>
          </cell>
          <cell r="I1528">
            <v>36517</v>
          </cell>
          <cell r="J1528" t="str">
            <v>518.098.658-32</v>
          </cell>
          <cell r="K1528" t="str">
            <v>267.97127.95.3</v>
          </cell>
          <cell r="L1528" t="str">
            <v>Salário Mensal</v>
          </cell>
          <cell r="M1528" t="str">
            <v>Empregado (CLT)</v>
          </cell>
        </row>
        <row r="1529">
          <cell r="D1529" t="str">
            <v>ECOSAMPA Santo Amaro</v>
          </cell>
          <cell r="E1529">
            <v>43617</v>
          </cell>
          <cell r="F1529">
            <v>1231.95</v>
          </cell>
          <cell r="G1529" t="str">
            <v>Demitido em Meses Anteriores</v>
          </cell>
          <cell r="H1529">
            <v>43683</v>
          </cell>
          <cell r="I1529">
            <v>34689</v>
          </cell>
          <cell r="J1529" t="str">
            <v>456.784.818-78</v>
          </cell>
          <cell r="K1529" t="str">
            <v>207.24647.53.2</v>
          </cell>
          <cell r="L1529" t="str">
            <v>Salário Mensal</v>
          </cell>
          <cell r="M1529" t="str">
            <v>Empregado (CLT)</v>
          </cell>
        </row>
        <row r="1530">
          <cell r="D1530" t="str">
            <v>ECOSAMPA Santo Amaro</v>
          </cell>
          <cell r="E1530">
            <v>43804</v>
          </cell>
          <cell r="F1530">
            <v>1319.67</v>
          </cell>
          <cell r="G1530" t="str">
            <v>Demitido em Meses Anteriores</v>
          </cell>
          <cell r="H1530">
            <v>44147</v>
          </cell>
          <cell r="I1530">
            <v>36508</v>
          </cell>
          <cell r="J1530" t="str">
            <v>492.471.998-67</v>
          </cell>
          <cell r="K1530" t="str">
            <v>267.90940.69.1</v>
          </cell>
          <cell r="L1530" t="str">
            <v>Salário Mensal</v>
          </cell>
          <cell r="M1530" t="str">
            <v>Empregado (CLT)</v>
          </cell>
        </row>
        <row r="1531">
          <cell r="D1531" t="str">
            <v>ECOSAMPA Santo Amaro</v>
          </cell>
          <cell r="E1531">
            <v>43617</v>
          </cell>
          <cell r="F1531">
            <v>1281.23</v>
          </cell>
          <cell r="G1531" t="str">
            <v>Demitido em Meses Anteriores</v>
          </cell>
          <cell r="H1531">
            <v>43874</v>
          </cell>
          <cell r="I1531">
            <v>34141</v>
          </cell>
          <cell r="J1531" t="str">
            <v>402.650.378-08</v>
          </cell>
          <cell r="K1531" t="str">
            <v>207.25013.84.7</v>
          </cell>
          <cell r="L1531" t="str">
            <v>Salário Mensal</v>
          </cell>
          <cell r="M1531" t="str">
            <v>Empregado (CLT)</v>
          </cell>
        </row>
        <row r="1532">
          <cell r="D1532" t="str">
            <v>ECOSAMPA Campo Limpo</v>
          </cell>
          <cell r="E1532">
            <v>43617</v>
          </cell>
          <cell r="F1532">
            <v>1603.99</v>
          </cell>
          <cell r="G1532" t="str">
            <v>Em Atividade Normal</v>
          </cell>
          <cell r="H1532">
            <v>45023</v>
          </cell>
          <cell r="I1532">
            <v>35503</v>
          </cell>
          <cell r="J1532" t="str">
            <v>236.823.758-56</v>
          </cell>
          <cell r="K1532" t="str">
            <v>206.88122.68.4</v>
          </cell>
          <cell r="L1532" t="str">
            <v>Salário Mensal</v>
          </cell>
          <cell r="M1532" t="str">
            <v>Empregado (CLT)</v>
          </cell>
        </row>
        <row r="1533">
          <cell r="D1533" t="str">
            <v>ECOSAMPA Campo Limpo</v>
          </cell>
          <cell r="E1533">
            <v>43617</v>
          </cell>
          <cell r="F1533">
            <v>1231.95</v>
          </cell>
          <cell r="G1533" t="str">
            <v>Demitido em Meses Anteriores</v>
          </cell>
          <cell r="H1533">
            <v>43704</v>
          </cell>
          <cell r="I1533">
            <v>34407</v>
          </cell>
          <cell r="J1533" t="str">
            <v>449.971.008-11</v>
          </cell>
          <cell r="K1533" t="str">
            <v>204.16100.64.8</v>
          </cell>
          <cell r="L1533" t="str">
            <v>Salário Mensal</v>
          </cell>
          <cell r="M1533" t="str">
            <v>Empregado (CLT)</v>
          </cell>
        </row>
        <row r="1534">
          <cell r="D1534" t="str">
            <v>ECOSAMPA Campo Limpo</v>
          </cell>
          <cell r="E1534">
            <v>43617</v>
          </cell>
          <cell r="F1534">
            <v>1319.67</v>
          </cell>
          <cell r="G1534" t="str">
            <v>Demitido em Meses Anteriores</v>
          </cell>
          <cell r="H1534">
            <v>44109</v>
          </cell>
          <cell r="I1534">
            <v>34924</v>
          </cell>
          <cell r="J1534" t="str">
            <v>436.564.798-95</v>
          </cell>
          <cell r="K1534" t="str">
            <v>206.88050.31.4</v>
          </cell>
          <cell r="L1534" t="str">
            <v>Salário Mensal</v>
          </cell>
          <cell r="M1534" t="str">
            <v>Empregado (CLT)</v>
          </cell>
        </row>
        <row r="1535">
          <cell r="D1535" t="str">
            <v>ECOSAMPA Capela do Socorro</v>
          </cell>
          <cell r="E1535">
            <v>43874</v>
          </cell>
          <cell r="F1535">
            <v>1281.23</v>
          </cell>
          <cell r="G1535" t="str">
            <v>Demitido em Meses Anteriores</v>
          </cell>
          <cell r="H1535">
            <v>43888</v>
          </cell>
          <cell r="I1535">
            <v>37089</v>
          </cell>
          <cell r="J1535" t="str">
            <v>435.537.388-63</v>
          </cell>
          <cell r="K1535" t="str">
            <v>163.96759.85.4</v>
          </cell>
          <cell r="L1535" t="str">
            <v>Salário Mensal</v>
          </cell>
          <cell r="M1535" t="str">
            <v>Empregado (CLT)</v>
          </cell>
        </row>
        <row r="1536">
          <cell r="D1536" t="str">
            <v>ECOSAMPA Operação Geral</v>
          </cell>
          <cell r="E1536">
            <v>43617</v>
          </cell>
          <cell r="F1536">
            <v>1464.83</v>
          </cell>
          <cell r="G1536" t="str">
            <v>Demitido em Meses Anteriores</v>
          </cell>
          <cell r="H1536">
            <v>44659</v>
          </cell>
          <cell r="I1536">
            <v>35810</v>
          </cell>
          <cell r="J1536" t="str">
            <v>469.401.428-51</v>
          </cell>
          <cell r="K1536" t="str">
            <v>210.71101.26.0</v>
          </cell>
          <cell r="L1536" t="str">
            <v>Salário Mensal</v>
          </cell>
          <cell r="M1536" t="str">
            <v>Empregado (CLT)</v>
          </cell>
        </row>
        <row r="1537">
          <cell r="D1537" t="str">
            <v>ECOSAMPA Operação Geral</v>
          </cell>
          <cell r="E1537">
            <v>44972</v>
          </cell>
          <cell r="F1537">
            <v>1603.99</v>
          </cell>
          <cell r="G1537" t="str">
            <v>Demitido em Meses Anteriores</v>
          </cell>
          <cell r="H1537">
            <v>44981</v>
          </cell>
          <cell r="I1537">
            <v>37593</v>
          </cell>
          <cell r="J1537" t="str">
            <v>542.798.148-99</v>
          </cell>
          <cell r="K1537" t="str">
            <v>165.19834.01.8</v>
          </cell>
          <cell r="L1537" t="str">
            <v>Salário Mensal</v>
          </cell>
          <cell r="M1537" t="str">
            <v>Empregado (CLT)</v>
          </cell>
        </row>
        <row r="1538">
          <cell r="D1538" t="str">
            <v>ECOSAMPA Campo Limpo</v>
          </cell>
          <cell r="E1538">
            <v>43617</v>
          </cell>
          <cell r="F1538">
            <v>1319.67</v>
          </cell>
          <cell r="G1538" t="str">
            <v>Demitido em Meses Anteriores</v>
          </cell>
          <cell r="H1538">
            <v>44109</v>
          </cell>
          <cell r="I1538">
            <v>34343</v>
          </cell>
          <cell r="J1538" t="str">
            <v>441.210.988-70</v>
          </cell>
          <cell r="K1538" t="str">
            <v>228.08586.61.1</v>
          </cell>
          <cell r="L1538" t="str">
            <v>Salário Mensal</v>
          </cell>
          <cell r="M1538" t="str">
            <v>Empregado (CLT)</v>
          </cell>
        </row>
        <row r="1539">
          <cell r="D1539" t="str">
            <v>ECOSAMPA Operação Geral</v>
          </cell>
          <cell r="E1539">
            <v>43617</v>
          </cell>
          <cell r="F1539">
            <v>3050.22</v>
          </cell>
          <cell r="G1539" t="str">
            <v>Em Atividade Normal</v>
          </cell>
          <cell r="H1539">
            <v>44867</v>
          </cell>
          <cell r="I1539">
            <v>32424</v>
          </cell>
          <cell r="J1539" t="str">
            <v>045.349.375-04</v>
          </cell>
          <cell r="K1539" t="str">
            <v>163.61380.07.7</v>
          </cell>
          <cell r="L1539" t="str">
            <v>Salário Mensal</v>
          </cell>
          <cell r="M1539" t="str">
            <v>Empregado (CLT)</v>
          </cell>
        </row>
        <row r="1540">
          <cell r="D1540" t="str">
            <v>ECOSAMPA Santo Amaro</v>
          </cell>
          <cell r="E1540">
            <v>43617</v>
          </cell>
          <cell r="F1540">
            <v>1603.99</v>
          </cell>
          <cell r="G1540" t="str">
            <v>Em Atividade Normal</v>
          </cell>
          <cell r="H1540">
            <v>44867</v>
          </cell>
          <cell r="I1540">
            <v>30899</v>
          </cell>
          <cell r="J1540" t="str">
            <v>333.709.728-67</v>
          </cell>
          <cell r="K1540" t="str">
            <v>137.42665.85.4</v>
          </cell>
          <cell r="L1540" t="str">
            <v>Salário Mensal</v>
          </cell>
          <cell r="M1540" t="str">
            <v>Empregado (CLT)</v>
          </cell>
        </row>
        <row r="1541">
          <cell r="D1541" t="str">
            <v>ECOSAMPA Administração</v>
          </cell>
          <cell r="E1541">
            <v>44658</v>
          </cell>
          <cell r="F1541">
            <v>2610.2399999999998</v>
          </cell>
          <cell r="G1541" t="str">
            <v>Gozando Férias</v>
          </cell>
          <cell r="H1541">
            <v>45180</v>
          </cell>
          <cell r="I1541">
            <v>30461</v>
          </cell>
          <cell r="J1541" t="str">
            <v>220.337.638-46</v>
          </cell>
          <cell r="K1541" t="str">
            <v>131.67046.81.2</v>
          </cell>
          <cell r="L1541" t="str">
            <v>Salário Mensal</v>
          </cell>
          <cell r="M1541" t="str">
            <v>Empregado (CLT)</v>
          </cell>
        </row>
        <row r="1542">
          <cell r="D1542" t="str">
            <v>ECOSAMPA Santo Amaro</v>
          </cell>
          <cell r="E1542">
            <v>43617</v>
          </cell>
          <cell r="F1542">
            <v>1907.79</v>
          </cell>
          <cell r="G1542" t="str">
            <v>Em Atividade Normal</v>
          </cell>
          <cell r="H1542">
            <v>45093</v>
          </cell>
          <cell r="I1542">
            <v>26550</v>
          </cell>
          <cell r="J1542" t="str">
            <v>260.641.908-17</v>
          </cell>
          <cell r="K1542" t="str">
            <v>125.43861.31.0</v>
          </cell>
          <cell r="L1542" t="str">
            <v>Salário Mensal</v>
          </cell>
          <cell r="M1542" t="str">
            <v>Empregado (CLT)</v>
          </cell>
        </row>
        <row r="1543">
          <cell r="D1543" t="str">
            <v>ECOSAMPA M'Boi Mirim</v>
          </cell>
          <cell r="E1543">
            <v>43617</v>
          </cell>
          <cell r="F1543">
            <v>1231.95</v>
          </cell>
          <cell r="G1543" t="str">
            <v>Demitido em Meses Anteriores</v>
          </cell>
          <cell r="H1543">
            <v>43703</v>
          </cell>
          <cell r="I1543">
            <v>28103</v>
          </cell>
          <cell r="J1543" t="str">
            <v>189.673.358-14</v>
          </cell>
          <cell r="K1543" t="str">
            <v>126.11045.81.1</v>
          </cell>
          <cell r="L1543" t="str">
            <v>Salário Mensal</v>
          </cell>
          <cell r="M1543" t="str">
            <v>Empregado (CLT)</v>
          </cell>
        </row>
        <row r="1544">
          <cell r="D1544" t="str">
            <v>ECOSAMPA Operação Geral</v>
          </cell>
          <cell r="E1544">
            <v>44540</v>
          </cell>
          <cell r="F1544">
            <v>1783.55</v>
          </cell>
          <cell r="G1544" t="str">
            <v>Demitido em Meses Anteriores</v>
          </cell>
          <cell r="H1544">
            <v>44622</v>
          </cell>
          <cell r="I1544">
            <v>35300</v>
          </cell>
          <cell r="J1544" t="str">
            <v>415.895.628-52</v>
          </cell>
          <cell r="K1544" t="str">
            <v>206.86387.59.1</v>
          </cell>
          <cell r="L1544" t="str">
            <v>Salário Mensal</v>
          </cell>
          <cell r="M1544" t="str">
            <v>Empregado (CLT)</v>
          </cell>
        </row>
        <row r="1545">
          <cell r="D1545" t="str">
            <v>ECOSAMPA Operação Geral</v>
          </cell>
          <cell r="E1545">
            <v>43619</v>
          </cell>
          <cell r="F1545">
            <v>2625.13</v>
          </cell>
          <cell r="G1545" t="str">
            <v>Demitido em Meses Anteriores</v>
          </cell>
          <cell r="H1545">
            <v>43895</v>
          </cell>
          <cell r="I1545">
            <v>27906</v>
          </cell>
          <cell r="J1545" t="str">
            <v>272.210.498-90</v>
          </cell>
          <cell r="K1545" t="str">
            <v>127.86349.85.2</v>
          </cell>
          <cell r="L1545" t="str">
            <v>Salário Mensal</v>
          </cell>
          <cell r="M1545" t="str">
            <v>Empregado (CLT)</v>
          </cell>
        </row>
        <row r="1546">
          <cell r="D1546" t="str">
            <v>ECOSAMPA Operação Geral</v>
          </cell>
          <cell r="E1546">
            <v>45145</v>
          </cell>
          <cell r="F1546">
            <v>3050.22</v>
          </cell>
          <cell r="G1546" t="str">
            <v>Em Atividade Normal</v>
          </cell>
          <cell r="H1546">
            <v>45145</v>
          </cell>
          <cell r="I1546">
            <v>30297</v>
          </cell>
          <cell r="J1546" t="str">
            <v>293.708.028-60</v>
          </cell>
          <cell r="K1546" t="str">
            <v>206.06058.33.2</v>
          </cell>
          <cell r="L1546" t="str">
            <v>Salário Mensal</v>
          </cell>
          <cell r="M1546" t="str">
            <v>Empregado (CLT)</v>
          </cell>
        </row>
        <row r="1547">
          <cell r="D1547" t="str">
            <v>ECOSAMPA Santo Amaro</v>
          </cell>
          <cell r="E1547">
            <v>43813</v>
          </cell>
          <cell r="F1547">
            <v>1603.99</v>
          </cell>
          <cell r="G1547" t="str">
            <v>Em Atividade Normal</v>
          </cell>
          <cell r="H1547">
            <v>45149</v>
          </cell>
          <cell r="I1547">
            <v>22367</v>
          </cell>
          <cell r="J1547" t="str">
            <v>013.084.338-59</v>
          </cell>
          <cell r="K1547" t="str">
            <v>107.83547.58.4</v>
          </cell>
          <cell r="L1547" t="str">
            <v>Salário Mensal</v>
          </cell>
          <cell r="M1547" t="str">
            <v>Empregado (CLT)</v>
          </cell>
        </row>
        <row r="1548">
          <cell r="D1548" t="str">
            <v>ECOSAMPA Santo Amaro</v>
          </cell>
          <cell r="E1548">
            <v>43617</v>
          </cell>
          <cell r="F1548">
            <v>1603.99</v>
          </cell>
          <cell r="G1548" t="str">
            <v>Em Atividade Normal</v>
          </cell>
          <cell r="H1548">
            <v>44835</v>
          </cell>
          <cell r="I1548">
            <v>34770</v>
          </cell>
          <cell r="J1548" t="str">
            <v>442.212.918-00</v>
          </cell>
          <cell r="K1548" t="str">
            <v>228.09141.39.7</v>
          </cell>
          <cell r="L1548" t="str">
            <v>Salário Mensal</v>
          </cell>
          <cell r="M1548" t="str">
            <v>Empregado (CLT)</v>
          </cell>
        </row>
        <row r="1549">
          <cell r="D1549" t="str">
            <v>ECOSAMPA Capela do Socorro</v>
          </cell>
          <cell r="E1549">
            <v>43621</v>
          </cell>
          <cell r="F1549">
            <v>1603.99</v>
          </cell>
          <cell r="G1549" t="str">
            <v>Em Atividade Normal</v>
          </cell>
          <cell r="H1549">
            <v>45023</v>
          </cell>
          <cell r="I1549">
            <v>31012</v>
          </cell>
          <cell r="J1549" t="str">
            <v>353.937.558-99</v>
          </cell>
          <cell r="K1549" t="str">
            <v>133.02635.77.9</v>
          </cell>
          <cell r="L1549" t="str">
            <v>Salário Mensal</v>
          </cell>
          <cell r="M1549" t="str">
            <v>Empregado (CLT)</v>
          </cell>
        </row>
        <row r="1550">
          <cell r="D1550" t="str">
            <v>ECOSAMPA Operação Geral</v>
          </cell>
          <cell r="E1550">
            <v>44419</v>
          </cell>
          <cell r="F1550">
            <v>3050.22</v>
          </cell>
          <cell r="G1550" t="str">
            <v>Em Atividade Normal</v>
          </cell>
          <cell r="H1550">
            <v>44835</v>
          </cell>
          <cell r="I1550">
            <v>25763</v>
          </cell>
          <cell r="J1550" t="str">
            <v>114.443.158-11</v>
          </cell>
          <cell r="K1550" t="str">
            <v>122.84487.28.0</v>
          </cell>
          <cell r="L1550" t="str">
            <v>Salário Mensal</v>
          </cell>
          <cell r="M1550" t="str">
            <v>Empregado (CLT)</v>
          </cell>
        </row>
        <row r="1551">
          <cell r="D1551" t="str">
            <v>ECOSAMPA Campo Limpo</v>
          </cell>
          <cell r="E1551">
            <v>44945</v>
          </cell>
          <cell r="F1551">
            <v>1603.99</v>
          </cell>
          <cell r="G1551" t="str">
            <v>Em Atividade Normal</v>
          </cell>
          <cell r="H1551">
            <v>44945</v>
          </cell>
          <cell r="I1551">
            <v>29136</v>
          </cell>
          <cell r="J1551" t="str">
            <v>326.132.308-60</v>
          </cell>
          <cell r="K1551" t="str">
            <v>132.95614.81.3</v>
          </cell>
          <cell r="L1551" t="str">
            <v>Salário Mensal</v>
          </cell>
          <cell r="M1551" t="str">
            <v>Empregado (CLT)</v>
          </cell>
        </row>
        <row r="1552">
          <cell r="D1552" t="str">
            <v>ECOSAMPA Campo Limpo</v>
          </cell>
          <cell r="E1552">
            <v>43617</v>
          </cell>
          <cell r="F1552">
            <v>1603.99</v>
          </cell>
          <cell r="G1552" t="str">
            <v>Em Atividade Normal</v>
          </cell>
          <cell r="H1552">
            <v>44960</v>
          </cell>
          <cell r="I1552">
            <v>35289</v>
          </cell>
          <cell r="J1552" t="str">
            <v>501.073.758-26</v>
          </cell>
          <cell r="K1552" t="str">
            <v>228.08587.39.1</v>
          </cell>
          <cell r="L1552" t="str">
            <v>Salário Mensal</v>
          </cell>
          <cell r="M1552" t="str">
            <v>Empregado (CLT)</v>
          </cell>
        </row>
        <row r="1553">
          <cell r="D1553" t="str">
            <v>ECOSAMPA Operação Geral</v>
          </cell>
          <cell r="E1553">
            <v>43617</v>
          </cell>
          <cell r="F1553">
            <v>3254.98</v>
          </cell>
          <cell r="G1553" t="str">
            <v>Demitido em Meses Anteriores</v>
          </cell>
          <cell r="H1553">
            <v>44844</v>
          </cell>
          <cell r="I1553">
            <v>29902</v>
          </cell>
          <cell r="J1553" t="str">
            <v>321.827.868-64</v>
          </cell>
          <cell r="K1553" t="str">
            <v>164.81079.26.9</v>
          </cell>
          <cell r="L1553" t="str">
            <v>Salário Mensal</v>
          </cell>
          <cell r="M1553" t="str">
            <v>Empregado (CLT)</v>
          </cell>
        </row>
        <row r="1554">
          <cell r="D1554" t="str">
            <v>ECOSAMPA Operação Geral</v>
          </cell>
          <cell r="E1554">
            <v>43617</v>
          </cell>
          <cell r="F1554">
            <v>3050.22</v>
          </cell>
          <cell r="G1554" t="str">
            <v>Gozando Férias</v>
          </cell>
          <cell r="H1554">
            <v>45180</v>
          </cell>
          <cell r="I1554">
            <v>31569</v>
          </cell>
          <cell r="J1554" t="str">
            <v>060.810.914-22</v>
          </cell>
          <cell r="K1554" t="str">
            <v>206.95803.44.6</v>
          </cell>
          <cell r="L1554" t="str">
            <v>Salário Mensal</v>
          </cell>
          <cell r="M1554" t="str">
            <v>Empregado (CLT)</v>
          </cell>
        </row>
        <row r="1555">
          <cell r="D1555" t="str">
            <v>ECOSAMPA M'Boi Mirim</v>
          </cell>
          <cell r="E1555">
            <v>45061</v>
          </cell>
          <cell r="F1555">
            <v>1603.99</v>
          </cell>
          <cell r="G1555" t="str">
            <v>Auxílio-Doença</v>
          </cell>
          <cell r="H1555">
            <v>45101</v>
          </cell>
          <cell r="I1555">
            <v>28423</v>
          </cell>
          <cell r="J1555" t="str">
            <v>354.710.248-00</v>
          </cell>
          <cell r="K1555" t="str">
            <v>165.23188.12.5</v>
          </cell>
          <cell r="L1555" t="str">
            <v>Salário Mensal</v>
          </cell>
          <cell r="M1555" t="str">
            <v>Empregado (CLT)</v>
          </cell>
        </row>
        <row r="1556">
          <cell r="D1556" t="str">
            <v>ECOSAMPA Santo Amaro</v>
          </cell>
          <cell r="E1556">
            <v>43617</v>
          </cell>
          <cell r="F1556">
            <v>1281.23</v>
          </cell>
          <cell r="G1556" t="str">
            <v>Demitido em Meses Anteriores</v>
          </cell>
          <cell r="H1556">
            <v>43808</v>
          </cell>
          <cell r="I1556">
            <v>31215</v>
          </cell>
          <cell r="J1556" t="str">
            <v>357.700.448-70</v>
          </cell>
          <cell r="K1556" t="str">
            <v>135.14821.81.9</v>
          </cell>
          <cell r="L1556" t="str">
            <v>Salário Mensal</v>
          </cell>
          <cell r="M1556" t="str">
            <v>Empregado (CLT)</v>
          </cell>
        </row>
        <row r="1557">
          <cell r="D1557" t="str">
            <v>ECOSAMPA Campo Limpo</v>
          </cell>
          <cell r="E1557">
            <v>44994</v>
          </cell>
          <cell r="F1557">
            <v>1603.99</v>
          </cell>
          <cell r="G1557" t="str">
            <v>Em Atividade Normal</v>
          </cell>
          <cell r="H1557">
            <v>44994</v>
          </cell>
          <cell r="I1557">
            <v>30109</v>
          </cell>
          <cell r="J1557" t="str">
            <v>330.064.778-98</v>
          </cell>
          <cell r="K1557" t="str">
            <v>167.02112.99.9</v>
          </cell>
          <cell r="L1557" t="str">
            <v>Salário Mensal</v>
          </cell>
          <cell r="M1557" t="str">
            <v>Empregado (CLT)</v>
          </cell>
        </row>
        <row r="1558">
          <cell r="D1558" t="str">
            <v>ECOSAMPA Operação Geral</v>
          </cell>
          <cell r="E1558">
            <v>43916</v>
          </cell>
          <cell r="F1558">
            <v>1603.99</v>
          </cell>
          <cell r="G1558" t="str">
            <v>Demitido em Meses Anteriores</v>
          </cell>
          <cell r="H1558">
            <v>44967</v>
          </cell>
          <cell r="I1558">
            <v>28364</v>
          </cell>
          <cell r="J1558" t="str">
            <v>022.052.484-05</v>
          </cell>
          <cell r="K1558" t="str">
            <v>127.63770.77.2</v>
          </cell>
          <cell r="L1558" t="str">
            <v>Salário Mensal</v>
          </cell>
          <cell r="M1558" t="str">
            <v>Empregado (CLT)</v>
          </cell>
        </row>
        <row r="1559">
          <cell r="D1559" t="str">
            <v>ECOSAMPA Santo Amaro</v>
          </cell>
          <cell r="E1559">
            <v>43617</v>
          </cell>
          <cell r="F1559">
            <v>1281.23</v>
          </cell>
          <cell r="G1559" t="str">
            <v>Demitido em Meses Anteriores</v>
          </cell>
          <cell r="H1559">
            <v>43808</v>
          </cell>
          <cell r="I1559">
            <v>18447</v>
          </cell>
          <cell r="J1559" t="str">
            <v>047.241.838-61</v>
          </cell>
          <cell r="K1559" t="str">
            <v>120.46065.52.4</v>
          </cell>
          <cell r="L1559" t="str">
            <v>Salário Mensal</v>
          </cell>
          <cell r="M1559" t="str">
            <v>Empregado (CLT)</v>
          </cell>
        </row>
        <row r="1560">
          <cell r="D1560" t="str">
            <v>ECOSAMPA Santo Amaro</v>
          </cell>
          <cell r="E1560">
            <v>43617</v>
          </cell>
          <cell r="F1560">
            <v>1319.67</v>
          </cell>
          <cell r="G1560" t="str">
            <v>Demitido em Meses Anteriores</v>
          </cell>
          <cell r="H1560">
            <v>44140</v>
          </cell>
          <cell r="I1560">
            <v>27934</v>
          </cell>
          <cell r="J1560" t="str">
            <v>322.017.858-80</v>
          </cell>
          <cell r="K1560" t="str">
            <v>201.66130.55.3</v>
          </cell>
          <cell r="L1560" t="str">
            <v>Salário Mensal</v>
          </cell>
          <cell r="M1560" t="str">
            <v>Empregado (CLT)</v>
          </cell>
        </row>
        <row r="1561">
          <cell r="D1561" t="str">
            <v>ECOSAMPA Operação Geral</v>
          </cell>
          <cell r="E1561">
            <v>43619</v>
          </cell>
          <cell r="F1561">
            <v>2285.98</v>
          </cell>
          <cell r="G1561" t="str">
            <v>Demitido em Meses Anteriores</v>
          </cell>
          <cell r="H1561">
            <v>43703</v>
          </cell>
          <cell r="I1561">
            <v>29909</v>
          </cell>
          <cell r="J1561" t="str">
            <v>003.969.295-75</v>
          </cell>
          <cell r="K1561" t="str">
            <v>129.41694.85.6</v>
          </cell>
          <cell r="L1561" t="str">
            <v>Salário Mensal</v>
          </cell>
          <cell r="M1561" t="str">
            <v>Empregado (CLT)</v>
          </cell>
        </row>
        <row r="1562">
          <cell r="D1562" t="str">
            <v>ECOSAMPA Operação Geral</v>
          </cell>
          <cell r="E1562">
            <v>44967</v>
          </cell>
          <cell r="F1562">
            <v>1603.99</v>
          </cell>
          <cell r="G1562" t="str">
            <v>Demitido em Meses Anteriores</v>
          </cell>
          <cell r="H1562">
            <v>44981</v>
          </cell>
          <cell r="I1562">
            <v>31698</v>
          </cell>
          <cell r="J1562" t="str">
            <v>374.028.518-42</v>
          </cell>
          <cell r="K1562" t="str">
            <v>132.76891.93.9</v>
          </cell>
          <cell r="L1562" t="str">
            <v>Salário Mensal</v>
          </cell>
          <cell r="M1562" t="str">
            <v>Empregado (CLT)</v>
          </cell>
        </row>
        <row r="1563">
          <cell r="D1563" t="str">
            <v>ECOSAMPA Pensionistas</v>
          </cell>
          <cell r="E1563">
            <v>43892</v>
          </cell>
          <cell r="F1563">
            <v>0.01</v>
          </cell>
          <cell r="G1563" t="str">
            <v>Em Atividade Normal</v>
          </cell>
          <cell r="H1563">
            <v>43892</v>
          </cell>
          <cell r="J1563" t="str">
            <v>703.407.554-90</v>
          </cell>
          <cell r="L1563" t="str">
            <v>Nenhuma</v>
          </cell>
          <cell r="M1563" t="str">
            <v>Pensionista</v>
          </cell>
        </row>
        <row r="1564">
          <cell r="D1564" t="str">
            <v>ECOSAMPA Operação Geral</v>
          </cell>
          <cell r="E1564">
            <v>43617</v>
          </cell>
          <cell r="F1564">
            <v>2610.2399999999998</v>
          </cell>
          <cell r="G1564" t="str">
            <v>Gozando Férias</v>
          </cell>
          <cell r="H1564">
            <v>45180</v>
          </cell>
          <cell r="I1564">
            <v>36434</v>
          </cell>
          <cell r="J1564" t="str">
            <v>075.089.635-39</v>
          </cell>
          <cell r="K1564" t="str">
            <v>206.14099.87.5</v>
          </cell>
          <cell r="L1564" t="str">
            <v>Salário Mensal</v>
          </cell>
          <cell r="M1564" t="str">
            <v>Empregado (CLT)</v>
          </cell>
        </row>
        <row r="1565">
          <cell r="D1565" t="str">
            <v>ECOSAMPA Capela do Socorro</v>
          </cell>
          <cell r="E1565">
            <v>43617</v>
          </cell>
          <cell r="F1565">
            <v>1603.99</v>
          </cell>
          <cell r="G1565" t="str">
            <v>Em Atividade Normal</v>
          </cell>
          <cell r="H1565">
            <v>45177</v>
          </cell>
          <cell r="I1565">
            <v>24600</v>
          </cell>
          <cell r="J1565" t="str">
            <v>127.350.818-18</v>
          </cell>
          <cell r="K1565" t="str">
            <v>123.30808.36.6</v>
          </cell>
          <cell r="L1565" t="str">
            <v>Salário Mensal</v>
          </cell>
          <cell r="M1565" t="str">
            <v>Empregado (CLT)</v>
          </cell>
        </row>
        <row r="1566">
          <cell r="D1566" t="str">
            <v>ECOSAMPA Capela do Socorro</v>
          </cell>
          <cell r="E1566">
            <v>43617</v>
          </cell>
          <cell r="F1566">
            <v>1603.99</v>
          </cell>
          <cell r="G1566" t="str">
            <v>Em Atividade Normal</v>
          </cell>
          <cell r="H1566">
            <v>44924</v>
          </cell>
          <cell r="I1566">
            <v>25847</v>
          </cell>
          <cell r="J1566" t="str">
            <v>157.991.578-77</v>
          </cell>
          <cell r="K1566" t="str">
            <v>124.42679.19.3</v>
          </cell>
          <cell r="L1566" t="str">
            <v>Salário Mensal</v>
          </cell>
          <cell r="M1566" t="str">
            <v>Empregado (CLT)</v>
          </cell>
        </row>
        <row r="1567">
          <cell r="D1567" t="str">
            <v>ECOSAMPA Capela do Socorro</v>
          </cell>
          <cell r="E1567">
            <v>45040</v>
          </cell>
          <cell r="F1567">
            <v>1603.99</v>
          </cell>
          <cell r="G1567" t="str">
            <v>Em Atividade Normal</v>
          </cell>
          <cell r="H1567">
            <v>45040</v>
          </cell>
          <cell r="I1567">
            <v>37043</v>
          </cell>
          <cell r="J1567" t="str">
            <v>581.024.898-55</v>
          </cell>
          <cell r="K1567" t="str">
            <v>236.79747.97.3</v>
          </cell>
          <cell r="L1567" t="str">
            <v>Salário Mensal</v>
          </cell>
          <cell r="M1567" t="str">
            <v>Empregado (CLT)</v>
          </cell>
        </row>
        <row r="1568">
          <cell r="D1568" t="str">
            <v>ECOSAMPA Santo Amaro</v>
          </cell>
          <cell r="E1568">
            <v>43617</v>
          </cell>
          <cell r="F1568">
            <v>1603.99</v>
          </cell>
          <cell r="G1568" t="str">
            <v>Em Atividade Normal</v>
          </cell>
          <cell r="H1568">
            <v>45056</v>
          </cell>
          <cell r="I1568">
            <v>25588</v>
          </cell>
          <cell r="J1568" t="str">
            <v>007.834.646-06</v>
          </cell>
          <cell r="K1568" t="str">
            <v>125.38556.48.3</v>
          </cell>
          <cell r="L1568" t="str">
            <v>Salário Mensal</v>
          </cell>
          <cell r="M1568" t="str">
            <v>Empregado (CLT)</v>
          </cell>
        </row>
        <row r="1569">
          <cell r="D1569" t="str">
            <v>ECOSAMPA Santo Amaro</v>
          </cell>
          <cell r="E1569">
            <v>43617</v>
          </cell>
          <cell r="F1569">
            <v>1319.67</v>
          </cell>
          <cell r="G1569" t="str">
            <v>Demitido em Meses Anteriores</v>
          </cell>
          <cell r="H1569">
            <v>44361</v>
          </cell>
          <cell r="I1569">
            <v>20741</v>
          </cell>
          <cell r="J1569" t="str">
            <v>125.881.748-92</v>
          </cell>
          <cell r="K1569" t="str">
            <v>120.59800.37.6</v>
          </cell>
          <cell r="L1569" t="str">
            <v>Salário Mensal</v>
          </cell>
          <cell r="M1569" t="str">
            <v>Empregado (CLT)</v>
          </cell>
        </row>
        <row r="1570">
          <cell r="D1570" t="str">
            <v>ECOSAMPA Operação Geral</v>
          </cell>
          <cell r="E1570">
            <v>43627</v>
          </cell>
          <cell r="F1570">
            <v>3050.22</v>
          </cell>
          <cell r="G1570" t="str">
            <v>Em Atividade Normal</v>
          </cell>
          <cell r="H1570">
            <v>44960</v>
          </cell>
          <cell r="I1570">
            <v>26548</v>
          </cell>
          <cell r="J1570" t="str">
            <v>800.401.604-91</v>
          </cell>
          <cell r="K1570" t="str">
            <v>124.59102.81.1</v>
          </cell>
          <cell r="L1570" t="str">
            <v>Salário Mensal</v>
          </cell>
          <cell r="M1570" t="str">
            <v>Empregado (CLT)</v>
          </cell>
        </row>
        <row r="1571">
          <cell r="D1571" t="str">
            <v>ECOSAMPA Santo Amaro</v>
          </cell>
          <cell r="E1571">
            <v>43617</v>
          </cell>
          <cell r="F1571">
            <v>1231.95</v>
          </cell>
          <cell r="G1571" t="str">
            <v>Demitido em Meses Anteriores</v>
          </cell>
          <cell r="H1571">
            <v>43704</v>
          </cell>
          <cell r="I1571">
            <v>29931</v>
          </cell>
          <cell r="J1571" t="str">
            <v>321.102.728-99</v>
          </cell>
          <cell r="K1571" t="str">
            <v>228.12336.86.1</v>
          </cell>
          <cell r="L1571" t="str">
            <v>Salário Mensal</v>
          </cell>
          <cell r="M1571" t="str">
            <v>Empregado (CLT)</v>
          </cell>
        </row>
        <row r="1572">
          <cell r="D1572" t="str">
            <v>ECOSAMPA Operação Geral</v>
          </cell>
          <cell r="E1572">
            <v>43916</v>
          </cell>
          <cell r="F1572">
            <v>1603.99</v>
          </cell>
          <cell r="G1572" t="str">
            <v>Demitido em Meses Anteriores</v>
          </cell>
          <cell r="H1572">
            <v>44844</v>
          </cell>
          <cell r="I1572">
            <v>37007</v>
          </cell>
          <cell r="J1572" t="str">
            <v>465.140.428-64</v>
          </cell>
          <cell r="K1572" t="str">
            <v>165.17986.32.5</v>
          </cell>
          <cell r="L1572" t="str">
            <v>Salário Mensal</v>
          </cell>
          <cell r="M1572" t="str">
            <v>Empregado (CLT)</v>
          </cell>
        </row>
        <row r="1573">
          <cell r="D1573" t="str">
            <v>ECOSAMPA Santo Amaro</v>
          </cell>
          <cell r="E1573">
            <v>43617</v>
          </cell>
          <cell r="F1573">
            <v>1319.67</v>
          </cell>
          <cell r="G1573" t="str">
            <v>Demitido em Meses Anteriores</v>
          </cell>
          <cell r="H1573">
            <v>44140</v>
          </cell>
          <cell r="I1573">
            <v>21111</v>
          </cell>
          <cell r="J1573" t="str">
            <v>022.910.258-13</v>
          </cell>
          <cell r="K1573" t="str">
            <v>108.36995.72.1</v>
          </cell>
          <cell r="L1573" t="str">
            <v>Salário Mensal</v>
          </cell>
          <cell r="M1573" t="str">
            <v>Empregado (CLT)</v>
          </cell>
        </row>
        <row r="1574">
          <cell r="D1574" t="str">
            <v>ECOSAMPA Operação Geral</v>
          </cell>
          <cell r="E1574">
            <v>43617</v>
          </cell>
          <cell r="F1574">
            <v>1523.89</v>
          </cell>
          <cell r="G1574" t="str">
            <v>Demitido em Meses Anteriores</v>
          </cell>
          <cell r="H1574">
            <v>43974</v>
          </cell>
          <cell r="I1574">
            <v>24718</v>
          </cell>
          <cell r="J1574" t="str">
            <v>085.902.628-04</v>
          </cell>
          <cell r="K1574" t="str">
            <v>122.71407.34.8</v>
          </cell>
          <cell r="L1574" t="str">
            <v>Salário Mensal</v>
          </cell>
          <cell r="M1574" t="str">
            <v>Empregado (CLT)</v>
          </cell>
        </row>
        <row r="1575">
          <cell r="D1575" t="str">
            <v>ECOSAMPA Operação Geral</v>
          </cell>
          <cell r="E1575">
            <v>43617</v>
          </cell>
          <cell r="F1575">
            <v>6154.04</v>
          </cell>
          <cell r="G1575" t="str">
            <v>Em Atividade Normal</v>
          </cell>
          <cell r="H1575">
            <v>44945</v>
          </cell>
          <cell r="I1575">
            <v>23417</v>
          </cell>
          <cell r="J1575" t="str">
            <v>310.124.182-00</v>
          </cell>
          <cell r="K1575" t="str">
            <v>121.52788.48.8</v>
          </cell>
          <cell r="L1575" t="str">
            <v>Salário Mensal</v>
          </cell>
          <cell r="M1575" t="str">
            <v>Empregado (CLT)</v>
          </cell>
        </row>
        <row r="1576">
          <cell r="D1576" t="str">
            <v>ECOSAMPA Operação Geral</v>
          </cell>
          <cell r="E1576">
            <v>44972</v>
          </cell>
          <cell r="F1576">
            <v>1603.99</v>
          </cell>
          <cell r="G1576" t="str">
            <v>Demitido em Meses Anteriores</v>
          </cell>
          <cell r="H1576">
            <v>44986</v>
          </cell>
          <cell r="I1576">
            <v>28173</v>
          </cell>
          <cell r="J1576" t="str">
            <v>268.687.058-32</v>
          </cell>
          <cell r="K1576" t="str">
            <v>127.45120.85.0</v>
          </cell>
          <cell r="L1576" t="str">
            <v>Salário Mensal</v>
          </cell>
          <cell r="M1576" t="str">
            <v>Empregado (CLT)</v>
          </cell>
        </row>
        <row r="1577">
          <cell r="D1577" t="str">
            <v>ECOSAMPA Santo Amaro</v>
          </cell>
          <cell r="E1577">
            <v>44273</v>
          </cell>
          <cell r="F1577">
            <v>1603.99</v>
          </cell>
          <cell r="G1577" t="str">
            <v>Demitido em Meses Anteriores</v>
          </cell>
          <cell r="H1577">
            <v>44935</v>
          </cell>
          <cell r="I1577">
            <v>26871</v>
          </cell>
          <cell r="J1577" t="str">
            <v>146.966.828-97</v>
          </cell>
          <cell r="K1577" t="str">
            <v>123.72756.23.2</v>
          </cell>
          <cell r="L1577" t="str">
            <v>Salário Mensal</v>
          </cell>
          <cell r="M1577" t="str">
            <v>Empregado (CLT)</v>
          </cell>
        </row>
        <row r="1578">
          <cell r="D1578" t="str">
            <v>ECOSAMPA Operação Geral</v>
          </cell>
          <cell r="E1578">
            <v>44972</v>
          </cell>
          <cell r="F1578">
            <v>3050.22</v>
          </cell>
          <cell r="G1578" t="str">
            <v>Demitido em Meses Anteriores</v>
          </cell>
          <cell r="H1578">
            <v>44986</v>
          </cell>
          <cell r="I1578">
            <v>23891</v>
          </cell>
          <cell r="J1578" t="str">
            <v>738.137.887-68</v>
          </cell>
          <cell r="K1578" t="str">
            <v>108.98263.70.8</v>
          </cell>
          <cell r="L1578" t="str">
            <v>Salário Mensal</v>
          </cell>
          <cell r="M1578" t="str">
            <v>Empregado (CLT)</v>
          </cell>
        </row>
        <row r="1579">
          <cell r="D1579" t="str">
            <v>ECOSAMPA Operação Geral</v>
          </cell>
          <cell r="E1579">
            <v>45089</v>
          </cell>
          <cell r="F1579">
            <v>3050.22</v>
          </cell>
          <cell r="G1579" t="str">
            <v>Em Atividade Normal</v>
          </cell>
          <cell r="H1579">
            <v>45089</v>
          </cell>
          <cell r="I1579">
            <v>23891</v>
          </cell>
          <cell r="J1579" t="str">
            <v>738.137.887-68</v>
          </cell>
          <cell r="K1579" t="str">
            <v>108.98263.70.8</v>
          </cell>
          <cell r="L1579" t="str">
            <v>Salário Mensal</v>
          </cell>
          <cell r="M1579" t="str">
            <v>Empregado (CLT)</v>
          </cell>
        </row>
        <row r="1580">
          <cell r="D1580" t="str">
            <v>ECOSAMPA Operação Geral</v>
          </cell>
          <cell r="E1580">
            <v>43617</v>
          </cell>
          <cell r="F1580">
            <v>1281.23</v>
          </cell>
          <cell r="G1580" t="str">
            <v>Demitido em Meses Anteriores</v>
          </cell>
          <cell r="H1580">
            <v>43959</v>
          </cell>
          <cell r="I1580">
            <v>24110</v>
          </cell>
          <cell r="J1580" t="str">
            <v>177.773.618-80</v>
          </cell>
          <cell r="K1580" t="str">
            <v>123.23422.52.0</v>
          </cell>
          <cell r="L1580" t="str">
            <v>Salário Mensal</v>
          </cell>
          <cell r="M1580" t="str">
            <v>Empregado (CLT)</v>
          </cell>
        </row>
        <row r="1581">
          <cell r="D1581" t="str">
            <v>ECOSAMPA Capela do Socorro</v>
          </cell>
          <cell r="E1581">
            <v>43617</v>
          </cell>
          <cell r="F1581">
            <v>1231.95</v>
          </cell>
          <cell r="G1581" t="str">
            <v>Demitido em Meses Anteriores</v>
          </cell>
          <cell r="H1581">
            <v>43704</v>
          </cell>
          <cell r="I1581">
            <v>29861</v>
          </cell>
          <cell r="J1581" t="str">
            <v>223.367.038-82</v>
          </cell>
          <cell r="K1581" t="str">
            <v>132.75433.89.9</v>
          </cell>
          <cell r="L1581" t="str">
            <v>Salário Mensal</v>
          </cell>
          <cell r="M1581" t="str">
            <v>Empregado (CLT)</v>
          </cell>
        </row>
        <row r="1582">
          <cell r="D1582" t="str">
            <v>ECOSAMPA Operação Geral</v>
          </cell>
          <cell r="E1582">
            <v>43617</v>
          </cell>
          <cell r="F1582">
            <v>2436.4499999999998</v>
          </cell>
          <cell r="G1582" t="str">
            <v>Demitido em Meses Anteriores</v>
          </cell>
          <cell r="H1582">
            <v>43895</v>
          </cell>
          <cell r="I1582">
            <v>27968</v>
          </cell>
          <cell r="J1582" t="str">
            <v>029.981.137-96</v>
          </cell>
          <cell r="K1582" t="str">
            <v>124.37764.42.0</v>
          </cell>
          <cell r="L1582" t="str">
            <v>Salário Mensal</v>
          </cell>
          <cell r="M1582" t="str">
            <v>Empregado (CLT)</v>
          </cell>
        </row>
        <row r="1583">
          <cell r="D1583" t="str">
            <v>ECOSAMPA Capela do Socorro</v>
          </cell>
          <cell r="E1583">
            <v>43617</v>
          </cell>
          <cell r="F1583">
            <v>1603.99</v>
          </cell>
          <cell r="G1583" t="str">
            <v>Em Atividade Normal</v>
          </cell>
          <cell r="H1583">
            <v>45056</v>
          </cell>
          <cell r="I1583">
            <v>32227</v>
          </cell>
          <cell r="J1583" t="str">
            <v>389.682.958-08</v>
          </cell>
          <cell r="K1583" t="str">
            <v>203.90971.05.1</v>
          </cell>
          <cell r="L1583" t="str">
            <v>Salário Mensal</v>
          </cell>
          <cell r="M1583" t="str">
            <v>Empregado (CLT)</v>
          </cell>
        </row>
        <row r="1584">
          <cell r="D1584" t="str">
            <v>ECOSAMPA Capela do Socorro</v>
          </cell>
          <cell r="E1584">
            <v>43617</v>
          </cell>
          <cell r="F1584">
            <v>1319.67</v>
          </cell>
          <cell r="G1584" t="str">
            <v>Demitido em Meses Anteriores</v>
          </cell>
          <cell r="H1584">
            <v>44347</v>
          </cell>
          <cell r="I1584">
            <v>21895</v>
          </cell>
          <cell r="J1584" t="str">
            <v>038.872.118-98</v>
          </cell>
          <cell r="K1584" t="str">
            <v>107.20801.33.5</v>
          </cell>
          <cell r="L1584" t="str">
            <v>Salário Mensal</v>
          </cell>
          <cell r="M1584" t="str">
            <v>Empregado (CLT)</v>
          </cell>
        </row>
        <row r="1585">
          <cell r="D1585" t="str">
            <v>ECOSAMPA Operação Geral</v>
          </cell>
          <cell r="E1585">
            <v>43916</v>
          </cell>
          <cell r="F1585">
            <v>1281.23</v>
          </cell>
          <cell r="G1585" t="str">
            <v>Demitido em Meses Anteriores</v>
          </cell>
          <cell r="H1585">
            <v>43927</v>
          </cell>
          <cell r="I1585">
            <v>22330</v>
          </cell>
          <cell r="J1585" t="str">
            <v>112.505.808-03</v>
          </cell>
          <cell r="K1585" t="str">
            <v>121.30217.49.6</v>
          </cell>
          <cell r="L1585" t="str">
            <v>Salário Mensal</v>
          </cell>
          <cell r="M1585" t="str">
            <v>Empregado (CLT)</v>
          </cell>
        </row>
        <row r="1586">
          <cell r="D1586" t="str">
            <v>ECOSAMPA Santo Amaro</v>
          </cell>
          <cell r="E1586">
            <v>43617</v>
          </cell>
          <cell r="F1586">
            <v>1603.99</v>
          </cell>
          <cell r="G1586" t="str">
            <v>Em Atividade Normal</v>
          </cell>
          <cell r="H1586">
            <v>44867</v>
          </cell>
          <cell r="I1586">
            <v>22169</v>
          </cell>
          <cell r="J1586" t="str">
            <v>103.173.938-63</v>
          </cell>
          <cell r="K1586" t="str">
            <v>121.05230.25.5</v>
          </cell>
          <cell r="L1586" t="str">
            <v>Salário Mensal</v>
          </cell>
          <cell r="M1586" t="str">
            <v>Empregado (CLT)</v>
          </cell>
        </row>
        <row r="1587">
          <cell r="D1587" t="str">
            <v>ECOSAMPA Santo Amaro</v>
          </cell>
          <cell r="E1587">
            <v>44273</v>
          </cell>
          <cell r="F1587">
            <v>1603.99</v>
          </cell>
          <cell r="G1587" t="str">
            <v>Demitido em Meses Anteriores</v>
          </cell>
          <cell r="H1587">
            <v>44935</v>
          </cell>
          <cell r="I1587">
            <v>31744</v>
          </cell>
          <cell r="J1587" t="str">
            <v>347.660.388-19</v>
          </cell>
          <cell r="K1587" t="str">
            <v>206.87117.43.1</v>
          </cell>
          <cell r="L1587" t="str">
            <v>Salário Mensal</v>
          </cell>
          <cell r="M1587" t="str">
            <v>Empregado (CLT)</v>
          </cell>
        </row>
        <row r="1588">
          <cell r="D1588" t="str">
            <v>ECOSAMPA Santo Amaro</v>
          </cell>
          <cell r="E1588">
            <v>43617</v>
          </cell>
          <cell r="F1588">
            <v>1603.99</v>
          </cell>
          <cell r="G1588" t="str">
            <v>Demitido em Meses Anteriores</v>
          </cell>
          <cell r="H1588">
            <v>44872</v>
          </cell>
          <cell r="I1588">
            <v>31904</v>
          </cell>
          <cell r="J1588" t="str">
            <v>395.938.248-04</v>
          </cell>
          <cell r="K1588" t="str">
            <v>206.87125.88.4</v>
          </cell>
          <cell r="L1588" t="str">
            <v>Salário Mensal</v>
          </cell>
          <cell r="M1588" t="str">
            <v>Empregado (CLT)</v>
          </cell>
        </row>
        <row r="1589">
          <cell r="D1589" t="str">
            <v>ECOSAMPA Operação Geral</v>
          </cell>
          <cell r="E1589">
            <v>44760</v>
          </cell>
          <cell r="F1589">
            <v>1603.99</v>
          </cell>
          <cell r="G1589" t="str">
            <v>Em Atividade Normal</v>
          </cell>
          <cell r="H1589">
            <v>44760</v>
          </cell>
          <cell r="I1589">
            <v>34959</v>
          </cell>
          <cell r="J1589" t="str">
            <v>241.531.588-52</v>
          </cell>
          <cell r="K1589" t="str">
            <v>209.60152.22.3</v>
          </cell>
          <cell r="L1589" t="str">
            <v>Salário Mensal</v>
          </cell>
          <cell r="M1589" t="str">
            <v>Empregado (CLT)</v>
          </cell>
        </row>
        <row r="1590">
          <cell r="D1590" t="str">
            <v>ECOSAMPA Capela do Socorro</v>
          </cell>
          <cell r="E1590">
            <v>43617</v>
          </cell>
          <cell r="F1590">
            <v>1464.83</v>
          </cell>
          <cell r="G1590" t="str">
            <v>Demitido em Meses Anteriores</v>
          </cell>
          <cell r="H1590">
            <v>44806</v>
          </cell>
          <cell r="I1590">
            <v>34613</v>
          </cell>
          <cell r="J1590" t="str">
            <v>423.865.488-99</v>
          </cell>
          <cell r="K1590" t="str">
            <v>190.47175.54.1</v>
          </cell>
          <cell r="L1590" t="str">
            <v>Salário Mensal</v>
          </cell>
          <cell r="M1590" t="str">
            <v>Empregado (CLT)</v>
          </cell>
        </row>
        <row r="1591">
          <cell r="D1591" t="str">
            <v>ECOSAMPA Santo Amaro</v>
          </cell>
          <cell r="E1591">
            <v>43617</v>
          </cell>
          <cell r="F1591">
            <v>1907.79</v>
          </cell>
          <cell r="G1591" t="str">
            <v>Gozando Férias</v>
          </cell>
          <cell r="H1591">
            <v>45180</v>
          </cell>
          <cell r="I1591">
            <v>34558</v>
          </cell>
          <cell r="J1591" t="str">
            <v>423.862.498-08</v>
          </cell>
          <cell r="K1591" t="str">
            <v>209.79797.08.4</v>
          </cell>
          <cell r="L1591" t="str">
            <v>Salário Mensal</v>
          </cell>
          <cell r="M1591" t="str">
            <v>Empregado (CLT)</v>
          </cell>
        </row>
        <row r="1592">
          <cell r="D1592" t="str">
            <v>ECOSAMPA Operação Geral</v>
          </cell>
          <cell r="E1592">
            <v>43617</v>
          </cell>
          <cell r="F1592">
            <v>3050.22</v>
          </cell>
          <cell r="G1592" t="str">
            <v>Gozando Férias</v>
          </cell>
          <cell r="H1592">
            <v>45180</v>
          </cell>
          <cell r="I1592">
            <v>25846</v>
          </cell>
          <cell r="J1592" t="str">
            <v>789.785.214-87</v>
          </cell>
          <cell r="K1592" t="str">
            <v>124.08524.90.5</v>
          </cell>
          <cell r="L1592" t="str">
            <v>Salário Mensal</v>
          </cell>
          <cell r="M1592" t="str">
            <v>Empregado (CLT)</v>
          </cell>
        </row>
        <row r="1593">
          <cell r="D1593" t="str">
            <v>ECOSAMPA Capela do Socorro</v>
          </cell>
          <cell r="E1593">
            <v>43617</v>
          </cell>
          <cell r="F1593">
            <v>1281.23</v>
          </cell>
          <cell r="G1593" t="str">
            <v>Demitido em Meses Anteriores</v>
          </cell>
          <cell r="H1593">
            <v>43896</v>
          </cell>
          <cell r="I1593">
            <v>35012</v>
          </cell>
          <cell r="J1593" t="str">
            <v>438.669.918-00</v>
          </cell>
          <cell r="K1593" t="str">
            <v>204.16235.79.9</v>
          </cell>
          <cell r="L1593" t="str">
            <v>Salário Mensal</v>
          </cell>
          <cell r="M1593" t="str">
            <v>Empregado (CLT)</v>
          </cell>
        </row>
        <row r="1594">
          <cell r="D1594" t="str">
            <v>ECOSAMPA Santo Amaro</v>
          </cell>
          <cell r="E1594">
            <v>44207</v>
          </cell>
          <cell r="F1594">
            <v>1603.99</v>
          </cell>
          <cell r="G1594" t="str">
            <v>Em Atividade Normal</v>
          </cell>
          <cell r="H1594">
            <v>45177</v>
          </cell>
          <cell r="I1594">
            <v>31502</v>
          </cell>
          <cell r="J1594" t="str">
            <v>331.438.138-73</v>
          </cell>
          <cell r="K1594" t="str">
            <v>135.18352.81.3</v>
          </cell>
          <cell r="L1594" t="str">
            <v>Salário Mensal</v>
          </cell>
          <cell r="M1594" t="str">
            <v>Empregado (CLT)</v>
          </cell>
        </row>
        <row r="1595">
          <cell r="D1595" t="str">
            <v>ECOSAMPA Santo Amaro</v>
          </cell>
          <cell r="E1595">
            <v>43617</v>
          </cell>
          <cell r="F1595">
            <v>1603.99</v>
          </cell>
          <cell r="G1595" t="str">
            <v>Em Atividade Normal</v>
          </cell>
          <cell r="H1595">
            <v>45056</v>
          </cell>
          <cell r="I1595">
            <v>32716</v>
          </cell>
          <cell r="J1595" t="str">
            <v>373.849.338-70</v>
          </cell>
          <cell r="K1595" t="str">
            <v>203.92071.58.9</v>
          </cell>
          <cell r="L1595" t="str">
            <v>Salário Mensal</v>
          </cell>
          <cell r="M1595" t="str">
            <v>Empregado (CLT)</v>
          </cell>
        </row>
        <row r="1596">
          <cell r="D1596" t="str">
            <v>ECOSAMPA Operação Geral</v>
          </cell>
          <cell r="E1596">
            <v>43620</v>
          </cell>
          <cell r="F1596">
            <v>2785.59</v>
          </cell>
          <cell r="G1596" t="str">
            <v>Demitido em Meses Anteriores</v>
          </cell>
          <cell r="H1596">
            <v>44638</v>
          </cell>
          <cell r="I1596">
            <v>26646</v>
          </cell>
          <cell r="J1596" t="str">
            <v>163.824.648-30</v>
          </cell>
          <cell r="K1596" t="str">
            <v>123.40351.28.8</v>
          </cell>
          <cell r="L1596" t="str">
            <v>Salário Mensal</v>
          </cell>
          <cell r="M1596" t="str">
            <v>Empregado (CLT)</v>
          </cell>
        </row>
        <row r="1597">
          <cell r="D1597" t="str">
            <v>ECOSAMPA Campo Limpo</v>
          </cell>
          <cell r="E1597">
            <v>44487</v>
          </cell>
          <cell r="F1597">
            <v>6154.04</v>
          </cell>
          <cell r="G1597" t="str">
            <v>Em Atividade Normal</v>
          </cell>
          <cell r="H1597">
            <v>45177</v>
          </cell>
          <cell r="I1597">
            <v>21344</v>
          </cell>
          <cell r="J1597" t="str">
            <v>329.238.649-72</v>
          </cell>
          <cell r="K1597" t="str">
            <v>108.42029.97.1</v>
          </cell>
          <cell r="L1597" t="str">
            <v>Salário Mensal</v>
          </cell>
          <cell r="M1597" t="str">
            <v>Empregado (CLT)</v>
          </cell>
        </row>
        <row r="1598">
          <cell r="D1598" t="str">
            <v>ECOSAMPA Santo Amaro</v>
          </cell>
          <cell r="E1598">
            <v>44308</v>
          </cell>
          <cell r="F1598">
            <v>1603.99</v>
          </cell>
          <cell r="G1598" t="str">
            <v>Em Atividade Normal</v>
          </cell>
          <cell r="H1598">
            <v>44987</v>
          </cell>
          <cell r="I1598">
            <v>37210</v>
          </cell>
          <cell r="J1598" t="str">
            <v>559.321.748-38</v>
          </cell>
          <cell r="K1598" t="str">
            <v>228.22259.00.2</v>
          </cell>
          <cell r="L1598" t="str">
            <v>Salário Mensal</v>
          </cell>
          <cell r="M1598" t="str">
            <v>Empregado (CLT)</v>
          </cell>
        </row>
        <row r="1599">
          <cell r="D1599" t="str">
            <v>ECOSAMPA M'Boi Mirim</v>
          </cell>
          <cell r="E1599">
            <v>43617</v>
          </cell>
          <cell r="F1599">
            <v>1603.99</v>
          </cell>
          <cell r="G1599" t="str">
            <v>Em Atividade Normal</v>
          </cell>
          <cell r="H1599">
            <v>45023</v>
          </cell>
          <cell r="I1599">
            <v>26711</v>
          </cell>
          <cell r="J1599" t="str">
            <v>934.993.614-34</v>
          </cell>
          <cell r="K1599" t="str">
            <v>125.39775.23.5</v>
          </cell>
          <cell r="L1599" t="str">
            <v>Salário Mensal</v>
          </cell>
          <cell r="M1599" t="str">
            <v>Empregado (CLT)</v>
          </cell>
        </row>
        <row r="1600">
          <cell r="D1600" t="str">
            <v>ECOSAMPA Campo Limpo</v>
          </cell>
          <cell r="E1600">
            <v>43617</v>
          </cell>
          <cell r="F1600">
            <v>1319.67</v>
          </cell>
          <cell r="G1600" t="str">
            <v>Demitido em Meses Anteriores</v>
          </cell>
          <cell r="H1600">
            <v>44140</v>
          </cell>
          <cell r="I1600">
            <v>31771</v>
          </cell>
          <cell r="J1600" t="str">
            <v>036.536.805-90</v>
          </cell>
          <cell r="K1600" t="str">
            <v>160.58589.01.1</v>
          </cell>
          <cell r="L1600" t="str">
            <v>Salário Mensal</v>
          </cell>
          <cell r="M1600" t="str">
            <v>Empregado (CLT)</v>
          </cell>
        </row>
        <row r="1601">
          <cell r="D1601" t="str">
            <v>ECOSAMPA Santo Amaro</v>
          </cell>
          <cell r="E1601">
            <v>43617</v>
          </cell>
          <cell r="F1601">
            <v>1603.99</v>
          </cell>
          <cell r="G1601" t="str">
            <v>Em Atividade Normal</v>
          </cell>
          <cell r="H1601">
            <v>44867</v>
          </cell>
          <cell r="I1601">
            <v>24945</v>
          </cell>
          <cell r="J1601" t="str">
            <v>276.642.398-26</v>
          </cell>
          <cell r="K1601" t="str">
            <v>123.18826.16.3</v>
          </cell>
          <cell r="L1601" t="str">
            <v>Salário Mensal</v>
          </cell>
          <cell r="M1601" t="str">
            <v>Empregado (CLT)</v>
          </cell>
        </row>
        <row r="1602">
          <cell r="D1602" t="str">
            <v>ECOSAMPA Operação Geral</v>
          </cell>
          <cell r="E1602">
            <v>44725</v>
          </cell>
          <cell r="F1602">
            <v>1464.83</v>
          </cell>
          <cell r="G1602" t="str">
            <v>Demitido em Meses Anteriores</v>
          </cell>
          <cell r="H1602">
            <v>44799</v>
          </cell>
          <cell r="I1602">
            <v>33957</v>
          </cell>
          <cell r="J1602" t="str">
            <v>397.118.678-50</v>
          </cell>
          <cell r="K1602" t="str">
            <v>209.73713.20.2</v>
          </cell>
          <cell r="L1602" t="str">
            <v>Salário Mensal</v>
          </cell>
          <cell r="M1602" t="str">
            <v>Empregado (CLT)</v>
          </cell>
        </row>
        <row r="1603">
          <cell r="D1603" t="str">
            <v>ECOSAMPA Operação Geral</v>
          </cell>
          <cell r="E1603">
            <v>44967</v>
          </cell>
          <cell r="F1603">
            <v>1603.99</v>
          </cell>
          <cell r="G1603" t="str">
            <v>Demitido em Meses Anteriores</v>
          </cell>
          <cell r="H1603">
            <v>44981</v>
          </cell>
          <cell r="I1603">
            <v>32203</v>
          </cell>
          <cell r="J1603" t="str">
            <v>384.326.158-03</v>
          </cell>
          <cell r="K1603" t="str">
            <v>203.91209.13.7</v>
          </cell>
          <cell r="L1603" t="str">
            <v>Salário Mensal</v>
          </cell>
          <cell r="M1603" t="str">
            <v>Empregado (CLT)</v>
          </cell>
        </row>
        <row r="1604">
          <cell r="D1604" t="str">
            <v>ECOSAMPA Operação Geral</v>
          </cell>
          <cell r="E1604">
            <v>43617</v>
          </cell>
          <cell r="F1604">
            <v>1523.89</v>
          </cell>
          <cell r="G1604" t="str">
            <v>Demitido em Meses Anteriores</v>
          </cell>
          <cell r="H1604">
            <v>43974</v>
          </cell>
          <cell r="I1604">
            <v>31186</v>
          </cell>
          <cell r="J1604" t="str">
            <v>343.138.628-89</v>
          </cell>
          <cell r="K1604" t="str">
            <v>210.24438.03.3</v>
          </cell>
          <cell r="L1604" t="str">
            <v>Salário Mensal</v>
          </cell>
          <cell r="M1604" t="str">
            <v>Empregado (CLT)</v>
          </cell>
        </row>
        <row r="1605">
          <cell r="D1605" t="str">
            <v>ECOSAMPA Campo Limpo</v>
          </cell>
          <cell r="E1605">
            <v>45022</v>
          </cell>
          <cell r="F1605">
            <v>1603.99</v>
          </cell>
          <cell r="G1605" t="str">
            <v>Em Atividade Normal</v>
          </cell>
          <cell r="H1605">
            <v>45022</v>
          </cell>
          <cell r="I1605">
            <v>35478</v>
          </cell>
          <cell r="J1605" t="str">
            <v>084.614.985-00</v>
          </cell>
          <cell r="K1605" t="str">
            <v>272.20477.95.9</v>
          </cell>
          <cell r="L1605" t="str">
            <v>Salário Mensal</v>
          </cell>
          <cell r="M1605" t="str">
            <v>Empregado (CLT)</v>
          </cell>
        </row>
        <row r="1606">
          <cell r="D1606" t="str">
            <v>ECOSAMPA Operação Geral</v>
          </cell>
          <cell r="E1606">
            <v>44972</v>
          </cell>
          <cell r="F1606">
            <v>1603.99</v>
          </cell>
          <cell r="G1606" t="str">
            <v>Demitido em Meses Anteriores</v>
          </cell>
          <cell r="H1606">
            <v>44986</v>
          </cell>
          <cell r="I1606">
            <v>34609</v>
          </cell>
          <cell r="J1606" t="str">
            <v>425.894.348-71</v>
          </cell>
          <cell r="K1606" t="str">
            <v>204.85239.09.9</v>
          </cell>
          <cell r="L1606" t="str">
            <v>Salário Mensal</v>
          </cell>
          <cell r="M1606" t="str">
            <v>Empregado (CLT)</v>
          </cell>
        </row>
        <row r="1607">
          <cell r="D1607" t="str">
            <v>ECOSAMPA Campo Limpo</v>
          </cell>
          <cell r="E1607">
            <v>43617</v>
          </cell>
          <cell r="F1607">
            <v>3222.08</v>
          </cell>
          <cell r="G1607" t="str">
            <v>Em Atividade Normal</v>
          </cell>
          <cell r="H1607">
            <v>44835</v>
          </cell>
          <cell r="I1607">
            <v>30747</v>
          </cell>
          <cell r="J1607" t="str">
            <v>311.982.228-08</v>
          </cell>
          <cell r="K1607" t="str">
            <v>132.14571.81.7</v>
          </cell>
          <cell r="L1607" t="str">
            <v>Salário Mensal</v>
          </cell>
          <cell r="M1607" t="str">
            <v>Empregado (CLT)</v>
          </cell>
        </row>
        <row r="1608">
          <cell r="D1608" t="str">
            <v>ECOSAMPA Operação Geral</v>
          </cell>
          <cell r="E1608">
            <v>44508</v>
          </cell>
          <cell r="F1608">
            <v>3050.22</v>
          </cell>
          <cell r="G1608" t="str">
            <v>Demitido em Meses Anteriores</v>
          </cell>
          <cell r="H1608">
            <v>45091</v>
          </cell>
          <cell r="I1608">
            <v>26269</v>
          </cell>
          <cell r="J1608" t="str">
            <v>594.834.904-72</v>
          </cell>
          <cell r="K1608" t="str">
            <v>124.53541.50.3</v>
          </cell>
          <cell r="L1608" t="str">
            <v>Salário Mensal</v>
          </cell>
          <cell r="M1608" t="str">
            <v>Empregado (CLT)</v>
          </cell>
        </row>
        <row r="1609">
          <cell r="D1609" t="str">
            <v>ECOSAMPA Capela do Socorro</v>
          </cell>
          <cell r="E1609">
            <v>43617</v>
          </cell>
          <cell r="F1609">
            <v>1603.99</v>
          </cell>
          <cell r="G1609" t="str">
            <v>Em Atividade Normal</v>
          </cell>
          <cell r="H1609">
            <v>44930</v>
          </cell>
          <cell r="I1609">
            <v>23799</v>
          </cell>
          <cell r="J1609" t="str">
            <v>650.418.014-87</v>
          </cell>
          <cell r="K1609" t="str">
            <v>122.19098.03.8</v>
          </cell>
          <cell r="L1609" t="str">
            <v>Salário Mensal</v>
          </cell>
          <cell r="M1609" t="str">
            <v>Empregado (CLT)</v>
          </cell>
        </row>
        <row r="1610">
          <cell r="D1610" t="str">
            <v>ECOSAMPA M'Boi Mirim</v>
          </cell>
          <cell r="E1610">
            <v>43817</v>
          </cell>
          <cell r="F1610">
            <v>1603.99</v>
          </cell>
          <cell r="G1610" t="str">
            <v>Demitido em Meses Anteriores</v>
          </cell>
          <cell r="H1610">
            <v>45061</v>
          </cell>
          <cell r="I1610">
            <v>26000</v>
          </cell>
          <cell r="J1610" t="str">
            <v>842.758.634-53</v>
          </cell>
          <cell r="K1610" t="str">
            <v>125.18079.32.9</v>
          </cell>
          <cell r="L1610" t="str">
            <v>Salário Mensal</v>
          </cell>
          <cell r="M1610" t="str">
            <v>Empregado (CLT)</v>
          </cell>
        </row>
        <row r="1611">
          <cell r="D1611" t="str">
            <v>ECOSAMPA Santo Amaro</v>
          </cell>
          <cell r="E1611">
            <v>43617</v>
          </cell>
          <cell r="F1611">
            <v>1603.99</v>
          </cell>
          <cell r="G1611" t="str">
            <v>Em Atividade Normal</v>
          </cell>
          <cell r="H1611">
            <v>45177</v>
          </cell>
          <cell r="I1611">
            <v>18678</v>
          </cell>
          <cell r="J1611" t="str">
            <v>031.594.048-46</v>
          </cell>
          <cell r="K1611" t="str">
            <v>107.74402.16.1</v>
          </cell>
          <cell r="L1611" t="str">
            <v>Salário Mensal</v>
          </cell>
          <cell r="M1611" t="str">
            <v>Empregado (CLT)</v>
          </cell>
        </row>
        <row r="1612">
          <cell r="D1612" t="str">
            <v>ECOSAMPA Capela do Socorro</v>
          </cell>
          <cell r="E1612">
            <v>43617</v>
          </cell>
          <cell r="F1612">
            <v>1603.99</v>
          </cell>
          <cell r="G1612" t="str">
            <v>Em Atividade Normal</v>
          </cell>
          <cell r="H1612">
            <v>45056</v>
          </cell>
          <cell r="I1612">
            <v>22685</v>
          </cell>
          <cell r="J1612" t="str">
            <v>073.952.528-02</v>
          </cell>
          <cell r="K1612" t="str">
            <v>121.19394.42.5</v>
          </cell>
          <cell r="L1612" t="str">
            <v>Salário Mensal</v>
          </cell>
          <cell r="M1612" t="str">
            <v>Empregado (CLT)</v>
          </cell>
        </row>
        <row r="1613">
          <cell r="D1613" t="str">
            <v>ECOSAMPA Campo Limpo</v>
          </cell>
          <cell r="E1613">
            <v>43617</v>
          </cell>
          <cell r="F1613">
            <v>1603.99</v>
          </cell>
          <cell r="G1613" t="str">
            <v>Em Atividade Normal</v>
          </cell>
          <cell r="H1613">
            <v>45056</v>
          </cell>
          <cell r="I1613">
            <v>26409</v>
          </cell>
          <cell r="J1613" t="str">
            <v>127.359.528-94</v>
          </cell>
          <cell r="K1613" t="str">
            <v>123.01427.42.2</v>
          </cell>
          <cell r="L1613" t="str">
            <v>Salário Mensal</v>
          </cell>
          <cell r="M1613" t="str">
            <v>Empregado (CLT)</v>
          </cell>
        </row>
        <row r="1614">
          <cell r="D1614" t="str">
            <v>ECOSAMPA Santo Amaro</v>
          </cell>
          <cell r="E1614">
            <v>43617</v>
          </cell>
          <cell r="F1614">
            <v>1603.99</v>
          </cell>
          <cell r="G1614" t="str">
            <v>Em Atividade Normal</v>
          </cell>
          <cell r="H1614">
            <v>45068</v>
          </cell>
          <cell r="I1614">
            <v>24914</v>
          </cell>
          <cell r="J1614" t="str">
            <v>581.038.724-15</v>
          </cell>
          <cell r="K1614" t="str">
            <v>123.21130.55.7</v>
          </cell>
          <cell r="L1614" t="str">
            <v>Salário Mensal</v>
          </cell>
          <cell r="M1614" t="str">
            <v>Empregado (CLT)</v>
          </cell>
        </row>
        <row r="1615">
          <cell r="D1615" t="str">
            <v>ECOSAMPA Campo Limpo</v>
          </cell>
          <cell r="E1615">
            <v>43617</v>
          </cell>
          <cell r="F1615">
            <v>1603.99</v>
          </cell>
          <cell r="G1615" t="str">
            <v>Gozando Férias</v>
          </cell>
          <cell r="H1615">
            <v>45180</v>
          </cell>
          <cell r="I1615">
            <v>25141</v>
          </cell>
          <cell r="J1615" t="str">
            <v>668.464.634-53</v>
          </cell>
          <cell r="K1615" t="str">
            <v>123.49131.46.9</v>
          </cell>
          <cell r="L1615" t="str">
            <v>Salário Mensal</v>
          </cell>
          <cell r="M1615" t="str">
            <v>Empregado (CLT)</v>
          </cell>
        </row>
        <row r="1616">
          <cell r="D1616" t="str">
            <v>ECOSAMPA Santo Amaro</v>
          </cell>
          <cell r="E1616">
            <v>43617</v>
          </cell>
          <cell r="F1616">
            <v>1281.23</v>
          </cell>
          <cell r="G1616" t="str">
            <v>Demitido em Meses Anteriores</v>
          </cell>
          <cell r="H1616">
            <v>43808</v>
          </cell>
          <cell r="I1616">
            <v>18870</v>
          </cell>
          <cell r="J1616" t="str">
            <v>048.703.208-00</v>
          </cell>
          <cell r="K1616" t="str">
            <v>105.56194.81.8</v>
          </cell>
          <cell r="L1616" t="str">
            <v>Salário Mensal</v>
          </cell>
          <cell r="M1616" t="str">
            <v>Empregado (CLT)</v>
          </cell>
        </row>
        <row r="1617">
          <cell r="D1617" t="str">
            <v>ECOSAMPA Operação Geral</v>
          </cell>
          <cell r="E1617">
            <v>43617</v>
          </cell>
          <cell r="F1617">
            <v>1907.79</v>
          </cell>
          <cell r="G1617" t="str">
            <v>Em Atividade Normal</v>
          </cell>
          <cell r="H1617">
            <v>45149</v>
          </cell>
          <cell r="I1617">
            <v>32556</v>
          </cell>
          <cell r="J1617" t="str">
            <v>386.542.528-39</v>
          </cell>
          <cell r="K1617" t="str">
            <v>207.89519.47.4</v>
          </cell>
          <cell r="L1617" t="str">
            <v>Salário Mensal</v>
          </cell>
          <cell r="M1617" t="str">
            <v>Empregado (CLT)</v>
          </cell>
        </row>
        <row r="1618">
          <cell r="D1618" t="str">
            <v>ECOSAMPA Santo Amaro</v>
          </cell>
          <cell r="E1618">
            <v>43617</v>
          </cell>
          <cell r="F1618">
            <v>1603.99</v>
          </cell>
          <cell r="G1618" t="str">
            <v>Em Atividade Normal</v>
          </cell>
          <cell r="H1618">
            <v>44867</v>
          </cell>
          <cell r="I1618">
            <v>23626</v>
          </cell>
          <cell r="J1618" t="str">
            <v>086.590.568-17</v>
          </cell>
          <cell r="K1618" t="str">
            <v>121.25729.87.5</v>
          </cell>
          <cell r="L1618" t="str">
            <v>Salário Mensal</v>
          </cell>
          <cell r="M1618" t="str">
            <v>Empregado (CLT)</v>
          </cell>
        </row>
        <row r="1619">
          <cell r="D1619" t="str">
            <v>ECOSAMPA Operação Geral</v>
          </cell>
          <cell r="E1619">
            <v>43617</v>
          </cell>
          <cell r="F1619">
            <v>1907.79</v>
          </cell>
          <cell r="G1619" t="str">
            <v>Em Atividade Normal</v>
          </cell>
          <cell r="H1619">
            <v>45177</v>
          </cell>
          <cell r="I1619">
            <v>30121</v>
          </cell>
          <cell r="J1619" t="str">
            <v>313.092.938-05</v>
          </cell>
          <cell r="K1619" t="str">
            <v>130.01855.93.1</v>
          </cell>
          <cell r="L1619" t="str">
            <v>Salário Mensal</v>
          </cell>
          <cell r="M1619" t="str">
            <v>Empregado (CLT)</v>
          </cell>
        </row>
        <row r="1620">
          <cell r="D1620" t="str">
            <v>ECOSAMPA Capela do Socorro</v>
          </cell>
          <cell r="E1620">
            <v>43617</v>
          </cell>
          <cell r="F1620">
            <v>1319.67</v>
          </cell>
          <cell r="G1620" t="str">
            <v>Demitido em Meses Anteriores</v>
          </cell>
          <cell r="H1620">
            <v>44326</v>
          </cell>
          <cell r="I1620">
            <v>27772</v>
          </cell>
          <cell r="J1620" t="str">
            <v>252.882.488-26</v>
          </cell>
          <cell r="K1620" t="str">
            <v>125.15653.20.2</v>
          </cell>
          <cell r="L1620" t="str">
            <v>Salário Mensal</v>
          </cell>
          <cell r="M1620" t="str">
            <v>Empregado (CLT)</v>
          </cell>
        </row>
        <row r="1621">
          <cell r="D1621" t="str">
            <v>ECOSAMPA Campo Limpo</v>
          </cell>
          <cell r="E1621">
            <v>43617</v>
          </cell>
          <cell r="F1621">
            <v>1603.99</v>
          </cell>
          <cell r="G1621" t="str">
            <v>Em Atividade Normal</v>
          </cell>
          <cell r="H1621">
            <v>44930</v>
          </cell>
          <cell r="I1621">
            <v>22835</v>
          </cell>
          <cell r="J1621" t="str">
            <v>035.182.638-62</v>
          </cell>
          <cell r="K1621" t="str">
            <v>108.25014.40.6</v>
          </cell>
          <cell r="L1621" t="str">
            <v>Salário Mensal</v>
          </cell>
          <cell r="M1621" t="str">
            <v>Empregado (CLT)</v>
          </cell>
        </row>
        <row r="1622">
          <cell r="D1622" t="str">
            <v>ECOSAMPA M'Boi Mirim</v>
          </cell>
          <cell r="E1622">
            <v>43617</v>
          </cell>
          <cell r="F1622">
            <v>1603.99</v>
          </cell>
          <cell r="G1622" t="str">
            <v>Em Atividade Normal</v>
          </cell>
          <cell r="H1622">
            <v>45023</v>
          </cell>
          <cell r="I1622">
            <v>25633</v>
          </cell>
          <cell r="J1622" t="str">
            <v>736.313.375-15</v>
          </cell>
          <cell r="K1622" t="str">
            <v>125.56243.88.2</v>
          </cell>
          <cell r="L1622" t="str">
            <v>Salário Mensal</v>
          </cell>
          <cell r="M1622" t="str">
            <v>Empregado (CLT)</v>
          </cell>
        </row>
        <row r="1623">
          <cell r="D1623" t="str">
            <v>ECOSAMPA Operação Geral</v>
          </cell>
          <cell r="E1623">
            <v>43617</v>
          </cell>
          <cell r="F1623">
            <v>3050.22</v>
          </cell>
          <cell r="G1623" t="str">
            <v>Em Atividade Normal</v>
          </cell>
          <cell r="H1623">
            <v>44806</v>
          </cell>
          <cell r="I1623">
            <v>26104</v>
          </cell>
          <cell r="J1623" t="str">
            <v>780.717.124-34</v>
          </cell>
          <cell r="K1623" t="str">
            <v>123.93050.35.5</v>
          </cell>
          <cell r="L1623" t="str">
            <v>Salário Mensal</v>
          </cell>
          <cell r="M1623" t="str">
            <v>Empregado (CLT)</v>
          </cell>
        </row>
        <row r="1624">
          <cell r="D1624" t="str">
            <v>ECOSAMPA Santo Amaro</v>
          </cell>
          <cell r="E1624">
            <v>43617</v>
          </cell>
          <cell r="F1624">
            <v>1603.99</v>
          </cell>
          <cell r="G1624" t="str">
            <v>Em Atividade Normal</v>
          </cell>
          <cell r="H1624">
            <v>45050</v>
          </cell>
          <cell r="I1624">
            <v>26864</v>
          </cell>
          <cell r="J1624" t="str">
            <v>865.611.704-15</v>
          </cell>
          <cell r="K1624" t="str">
            <v>125.46680.08.2</v>
          </cell>
          <cell r="L1624" t="str">
            <v>Salário Mensal</v>
          </cell>
          <cell r="M1624" t="str">
            <v>Empregado (CLT)</v>
          </cell>
        </row>
        <row r="1625">
          <cell r="D1625" t="str">
            <v>ECOSAMPA M'Boi Mirim</v>
          </cell>
          <cell r="E1625">
            <v>43617</v>
          </cell>
          <cell r="F1625">
            <v>1603.99</v>
          </cell>
          <cell r="G1625" t="str">
            <v>Em Atividade Normal</v>
          </cell>
          <cell r="H1625">
            <v>45107</v>
          </cell>
          <cell r="I1625">
            <v>27851</v>
          </cell>
          <cell r="J1625" t="str">
            <v>142.303.608-51</v>
          </cell>
          <cell r="K1625" t="str">
            <v>124.22395.90.4</v>
          </cell>
          <cell r="L1625" t="str">
            <v>Salário Mensal</v>
          </cell>
          <cell r="M1625" t="str">
            <v>Empregado (CLT)</v>
          </cell>
        </row>
        <row r="1626">
          <cell r="D1626" t="str">
            <v>ECOSAMPA Santo Amaro</v>
          </cell>
          <cell r="E1626">
            <v>43617</v>
          </cell>
          <cell r="F1626">
            <v>1603.99</v>
          </cell>
          <cell r="G1626" t="str">
            <v>Em Atividade Normal</v>
          </cell>
          <cell r="H1626">
            <v>44867</v>
          </cell>
          <cell r="I1626">
            <v>26679</v>
          </cell>
          <cell r="J1626" t="str">
            <v>657.527.245-20</v>
          </cell>
          <cell r="K1626" t="str">
            <v>124.88851.28.2</v>
          </cell>
          <cell r="L1626" t="str">
            <v>Salário Mensal</v>
          </cell>
          <cell r="M1626" t="str">
            <v>Empregado (CLT)</v>
          </cell>
        </row>
        <row r="1627">
          <cell r="D1627" t="str">
            <v>ECOSAMPA Operação Geral</v>
          </cell>
          <cell r="E1627">
            <v>43617</v>
          </cell>
          <cell r="F1627">
            <v>2509.54</v>
          </cell>
          <cell r="G1627" t="str">
            <v>Demitido em Meses Anteriores</v>
          </cell>
          <cell r="H1627">
            <v>44148</v>
          </cell>
          <cell r="I1627">
            <v>27631</v>
          </cell>
          <cell r="J1627" t="str">
            <v>914.301.435-68</v>
          </cell>
          <cell r="K1627" t="str">
            <v>127.62049.85.9</v>
          </cell>
          <cell r="L1627" t="str">
            <v>Salário Mensal</v>
          </cell>
          <cell r="M1627" t="str">
            <v>Empregado (CLT)</v>
          </cell>
        </row>
        <row r="1628">
          <cell r="D1628" t="str">
            <v>ECOSAMPA Campo Limpo</v>
          </cell>
          <cell r="E1628">
            <v>43617</v>
          </cell>
          <cell r="F1628">
            <v>1231.95</v>
          </cell>
          <cell r="G1628" t="str">
            <v>Demitido em Meses Anteriores</v>
          </cell>
          <cell r="H1628">
            <v>43704</v>
          </cell>
          <cell r="I1628">
            <v>22709</v>
          </cell>
          <cell r="J1628" t="str">
            <v>272.806.323-00</v>
          </cell>
          <cell r="K1628" t="str">
            <v>120.55362.23.4</v>
          </cell>
          <cell r="L1628" t="str">
            <v>Salário Mensal</v>
          </cell>
          <cell r="M1628" t="str">
            <v>Empregado (CLT)</v>
          </cell>
        </row>
        <row r="1629">
          <cell r="D1629" t="str">
            <v>ECOSAMPA Operação Geral</v>
          </cell>
          <cell r="E1629">
            <v>44967</v>
          </cell>
          <cell r="F1629">
            <v>1603.99</v>
          </cell>
          <cell r="G1629" t="str">
            <v>Demitido em Meses Anteriores</v>
          </cell>
          <cell r="H1629">
            <v>44981</v>
          </cell>
          <cell r="I1629">
            <v>22709</v>
          </cell>
          <cell r="J1629" t="str">
            <v>272.806.323-00</v>
          </cell>
          <cell r="K1629" t="str">
            <v>120.55362.23.4</v>
          </cell>
          <cell r="L1629" t="str">
            <v>Salário Mensal</v>
          </cell>
          <cell r="M1629" t="str">
            <v>Empregado (CLT)</v>
          </cell>
        </row>
        <row r="1630">
          <cell r="D1630" t="str">
            <v>ECOSAMPA Campo Limpo</v>
          </cell>
          <cell r="E1630">
            <v>43617</v>
          </cell>
          <cell r="F1630">
            <v>1603.99</v>
          </cell>
          <cell r="G1630" t="str">
            <v>Em Atividade Normal</v>
          </cell>
          <cell r="H1630">
            <v>44930</v>
          </cell>
          <cell r="I1630">
            <v>24808</v>
          </cell>
          <cell r="J1630" t="str">
            <v>252.009.318-86</v>
          </cell>
          <cell r="K1630" t="str">
            <v>123.58553.18.4</v>
          </cell>
          <cell r="L1630" t="str">
            <v>Salário Mensal</v>
          </cell>
          <cell r="M1630" t="str">
            <v>Empregado (CLT)</v>
          </cell>
        </row>
        <row r="1631">
          <cell r="D1631" t="str">
            <v>ECOSAMPA Operação Geral</v>
          </cell>
          <cell r="E1631">
            <v>43617</v>
          </cell>
          <cell r="F1631">
            <v>2509.54</v>
          </cell>
          <cell r="G1631" t="str">
            <v>Demitido em Meses Anteriores</v>
          </cell>
          <cell r="H1631">
            <v>44204</v>
          </cell>
          <cell r="I1631">
            <v>29415</v>
          </cell>
          <cell r="J1631" t="str">
            <v>309.417.758-10</v>
          </cell>
          <cell r="K1631" t="str">
            <v>131.23973.77.7</v>
          </cell>
          <cell r="L1631" t="str">
            <v>Salário Mensal</v>
          </cell>
          <cell r="M1631" t="str">
            <v>Empregado (CLT)</v>
          </cell>
        </row>
        <row r="1632">
          <cell r="D1632" t="str">
            <v>ECOSAMPA Operação Geral</v>
          </cell>
          <cell r="E1632">
            <v>43617</v>
          </cell>
          <cell r="F1632">
            <v>3050.22</v>
          </cell>
          <cell r="G1632" t="str">
            <v>Em Atividade Normal</v>
          </cell>
          <cell r="H1632">
            <v>44993</v>
          </cell>
          <cell r="I1632">
            <v>26460</v>
          </cell>
          <cell r="J1632" t="str">
            <v>116.953.118-09</v>
          </cell>
          <cell r="K1632" t="str">
            <v>123.44388.30.5</v>
          </cell>
          <cell r="L1632" t="str">
            <v>Salário Mensal</v>
          </cell>
          <cell r="M1632" t="str">
            <v>Empregado (CLT)</v>
          </cell>
        </row>
        <row r="1633">
          <cell r="D1633" t="str">
            <v>ECOSAMPA Operação Geral</v>
          </cell>
          <cell r="E1633">
            <v>43617</v>
          </cell>
          <cell r="F1633">
            <v>1907.79</v>
          </cell>
          <cell r="G1633" t="str">
            <v>Em Atividade Normal</v>
          </cell>
          <cell r="H1633">
            <v>44898</v>
          </cell>
          <cell r="I1633">
            <v>32681</v>
          </cell>
          <cell r="J1633" t="str">
            <v>410.766.578-00</v>
          </cell>
          <cell r="K1633" t="str">
            <v>163.93573.91.1</v>
          </cell>
          <cell r="L1633" t="str">
            <v>Salário Mensal</v>
          </cell>
          <cell r="M1633" t="str">
            <v>Empregado (CLT)</v>
          </cell>
        </row>
        <row r="1634">
          <cell r="D1634" t="str">
            <v>ECOSAMPA Administração</v>
          </cell>
          <cell r="E1634">
            <v>43619</v>
          </cell>
          <cell r="F1634">
            <v>3286.43</v>
          </cell>
          <cell r="G1634" t="str">
            <v>Em Atividade Normal</v>
          </cell>
          <cell r="H1634">
            <v>45139</v>
          </cell>
          <cell r="I1634">
            <v>27484</v>
          </cell>
          <cell r="J1634" t="str">
            <v>258.170.288-59</v>
          </cell>
          <cell r="K1634" t="str">
            <v>125.39539.30.2</v>
          </cell>
          <cell r="L1634" t="str">
            <v>Salário Mensal</v>
          </cell>
          <cell r="M1634" t="str">
            <v>Empregado (CLT)</v>
          </cell>
        </row>
        <row r="1635">
          <cell r="D1635" t="str">
            <v>ECOSAMPA M'Boi Mirim</v>
          </cell>
          <cell r="E1635">
            <v>43617</v>
          </cell>
          <cell r="F1635">
            <v>1231.95</v>
          </cell>
          <cell r="G1635" t="str">
            <v>Demitido em Meses Anteriores</v>
          </cell>
          <cell r="H1635">
            <v>43704</v>
          </cell>
          <cell r="I1635">
            <v>31243</v>
          </cell>
          <cell r="J1635" t="str">
            <v>321.154.988-95</v>
          </cell>
          <cell r="K1635" t="str">
            <v>164.07271.63.1</v>
          </cell>
          <cell r="L1635" t="str">
            <v>Salário Mensal</v>
          </cell>
          <cell r="M1635" t="str">
            <v>Empregado (CLT)</v>
          </cell>
        </row>
        <row r="1636">
          <cell r="D1636" t="str">
            <v>ECOSAMPA M'Boi Mirim</v>
          </cell>
          <cell r="E1636">
            <v>43617</v>
          </cell>
          <cell r="F1636">
            <v>3222.08</v>
          </cell>
          <cell r="G1636" t="str">
            <v>Em Atividade Normal</v>
          </cell>
          <cell r="H1636">
            <v>44993</v>
          </cell>
          <cell r="I1636">
            <v>30045</v>
          </cell>
          <cell r="J1636" t="str">
            <v>226.589.998-44</v>
          </cell>
          <cell r="K1636" t="str">
            <v>135.27040.93.4</v>
          </cell>
          <cell r="L1636" t="str">
            <v>Salário Mensal</v>
          </cell>
          <cell r="M1636" t="str">
            <v>Empregado (CLT)</v>
          </cell>
        </row>
        <row r="1637">
          <cell r="D1637" t="str">
            <v>ECOSAMPA Santo Amaro</v>
          </cell>
          <cell r="E1637">
            <v>43617</v>
          </cell>
          <cell r="F1637">
            <v>1603.99</v>
          </cell>
          <cell r="G1637" t="str">
            <v>Em Atividade Normal</v>
          </cell>
          <cell r="H1637">
            <v>45023</v>
          </cell>
          <cell r="I1637">
            <v>35257</v>
          </cell>
          <cell r="J1637" t="str">
            <v>496.773.328-05</v>
          </cell>
          <cell r="K1637" t="str">
            <v>163.94243.16.8</v>
          </cell>
          <cell r="L1637" t="str">
            <v>Salário Mensal</v>
          </cell>
          <cell r="M1637" t="str">
            <v>Empregado (CLT)</v>
          </cell>
        </row>
        <row r="1638">
          <cell r="D1638" t="str">
            <v>ECOSAMPA Santo Amaro</v>
          </cell>
          <cell r="E1638">
            <v>43874</v>
          </cell>
          <cell r="F1638">
            <v>1603.99</v>
          </cell>
          <cell r="G1638" t="str">
            <v>Em Atividade Normal</v>
          </cell>
          <cell r="H1638">
            <v>45177</v>
          </cell>
          <cell r="I1638">
            <v>27211</v>
          </cell>
          <cell r="J1638" t="str">
            <v>152.541.878-59</v>
          </cell>
          <cell r="K1638" t="str">
            <v>123.81734.55.6</v>
          </cell>
          <cell r="L1638" t="str">
            <v>Salário Mensal</v>
          </cell>
          <cell r="M1638" t="str">
            <v>Empregado (CLT)</v>
          </cell>
        </row>
        <row r="1639">
          <cell r="D1639" t="str">
            <v>ECOSAMPA Santo Amaro</v>
          </cell>
          <cell r="E1639">
            <v>43617</v>
          </cell>
          <cell r="F1639">
            <v>1603.99</v>
          </cell>
          <cell r="G1639" t="str">
            <v>Em Atividade Normal</v>
          </cell>
          <cell r="H1639">
            <v>44867</v>
          </cell>
          <cell r="I1639">
            <v>32186</v>
          </cell>
          <cell r="J1639" t="str">
            <v>384.761.098-81</v>
          </cell>
          <cell r="K1639" t="str">
            <v>210.23905.88.6</v>
          </cell>
          <cell r="L1639" t="str">
            <v>Salário Mensal</v>
          </cell>
          <cell r="M1639" t="str">
            <v>Empregado (CLT)</v>
          </cell>
        </row>
        <row r="1640">
          <cell r="D1640" t="str">
            <v>ECOSAMPA Santo Amaro</v>
          </cell>
          <cell r="E1640">
            <v>44048</v>
          </cell>
          <cell r="F1640">
            <v>1603.99</v>
          </cell>
          <cell r="G1640" t="str">
            <v>Em Atividade Normal</v>
          </cell>
          <cell r="H1640">
            <v>45086</v>
          </cell>
          <cell r="I1640">
            <v>35253</v>
          </cell>
          <cell r="J1640" t="str">
            <v>457.494.558-31</v>
          </cell>
          <cell r="K1640" t="str">
            <v>203.90684.14.1</v>
          </cell>
          <cell r="L1640" t="str">
            <v>Salário Mensal</v>
          </cell>
          <cell r="M1640" t="str">
            <v>Empregado (CLT)</v>
          </cell>
        </row>
        <row r="1641">
          <cell r="D1641" t="str">
            <v>ECOSAMPA M'Boi Mirim</v>
          </cell>
          <cell r="E1641">
            <v>43617</v>
          </cell>
          <cell r="F1641">
            <v>1603.99</v>
          </cell>
          <cell r="G1641" t="str">
            <v>Em Atividade Normal</v>
          </cell>
          <cell r="H1641">
            <v>44898</v>
          </cell>
          <cell r="I1641">
            <v>29702</v>
          </cell>
          <cell r="J1641" t="str">
            <v>330.721.548-56</v>
          </cell>
          <cell r="K1641" t="str">
            <v>134.76101.85.0</v>
          </cell>
          <cell r="L1641" t="str">
            <v>Salário Mensal</v>
          </cell>
          <cell r="M1641" t="str">
            <v>Empregado (CLT)</v>
          </cell>
        </row>
        <row r="1642">
          <cell r="D1642" t="str">
            <v>ECOSAMPA Operação Geral</v>
          </cell>
          <cell r="E1642">
            <v>43916</v>
          </cell>
          <cell r="F1642">
            <v>1464.83</v>
          </cell>
          <cell r="G1642" t="str">
            <v>Demitido em Meses Anteriores</v>
          </cell>
          <cell r="H1642">
            <v>44536</v>
          </cell>
          <cell r="I1642">
            <v>35852</v>
          </cell>
          <cell r="J1642" t="str">
            <v>479.920.848-96</v>
          </cell>
          <cell r="K1642" t="str">
            <v>209.79255.26.5</v>
          </cell>
          <cell r="L1642" t="str">
            <v>Salário Mensal</v>
          </cell>
          <cell r="M1642" t="str">
            <v>Empregado (CLT)</v>
          </cell>
        </row>
        <row r="1643">
          <cell r="D1643" t="str">
            <v>ECOSAMPA Operação Geral</v>
          </cell>
          <cell r="E1643">
            <v>44508</v>
          </cell>
          <cell r="F1643">
            <v>3050.22</v>
          </cell>
          <cell r="G1643" t="str">
            <v>Em Atividade Normal</v>
          </cell>
          <cell r="H1643">
            <v>45056</v>
          </cell>
          <cell r="I1643">
            <v>28597</v>
          </cell>
          <cell r="J1643" t="str">
            <v>225.751.108-58</v>
          </cell>
          <cell r="K1643" t="str">
            <v>132.72344.93.3</v>
          </cell>
          <cell r="L1643" t="str">
            <v>Salário Mensal</v>
          </cell>
          <cell r="M1643" t="str">
            <v>Empregado (CLT)</v>
          </cell>
        </row>
        <row r="1644">
          <cell r="D1644" t="str">
            <v>ECOSAMPA Operação Geral</v>
          </cell>
          <cell r="E1644">
            <v>43811</v>
          </cell>
          <cell r="F1644">
            <v>1997.88</v>
          </cell>
          <cell r="G1644" t="str">
            <v>Demitido em Meses Anteriores</v>
          </cell>
          <cell r="H1644">
            <v>44505</v>
          </cell>
          <cell r="I1644">
            <v>32659</v>
          </cell>
          <cell r="J1644" t="str">
            <v>395.529.198-78</v>
          </cell>
          <cell r="K1644" t="str">
            <v>206.87416.44.7</v>
          </cell>
          <cell r="L1644" t="str">
            <v>Salário Mensal</v>
          </cell>
          <cell r="M1644" t="str">
            <v>Empregado (CLT)</v>
          </cell>
        </row>
        <row r="1645">
          <cell r="D1645" t="str">
            <v>ECOSAMPA Campo Limpo</v>
          </cell>
          <cell r="E1645">
            <v>44207</v>
          </cell>
          <cell r="F1645">
            <v>1319.67</v>
          </cell>
          <cell r="G1645" t="str">
            <v>Demitido em Meses Anteriores</v>
          </cell>
          <cell r="H1645">
            <v>44294</v>
          </cell>
          <cell r="I1645">
            <v>29659</v>
          </cell>
          <cell r="J1645" t="str">
            <v>312.681.698-38</v>
          </cell>
          <cell r="K1645" t="str">
            <v>131.78699.77.4</v>
          </cell>
          <cell r="L1645" t="str">
            <v>Salário Mensal</v>
          </cell>
          <cell r="M1645" t="str">
            <v>Empregado (CLT)</v>
          </cell>
        </row>
        <row r="1646">
          <cell r="D1646" t="str">
            <v>ECOSAMPA Operação Geral</v>
          </cell>
          <cell r="E1646">
            <v>43617</v>
          </cell>
          <cell r="F1646">
            <v>1231.95</v>
          </cell>
          <cell r="G1646" t="str">
            <v>Demitido em Meses Anteriores</v>
          </cell>
          <cell r="H1646">
            <v>43703</v>
          </cell>
          <cell r="I1646">
            <v>31938</v>
          </cell>
          <cell r="J1646" t="str">
            <v>346.441.048-09</v>
          </cell>
          <cell r="K1646" t="str">
            <v>204.88504.36.2</v>
          </cell>
          <cell r="L1646" t="str">
            <v>Salário Mensal</v>
          </cell>
          <cell r="M1646" t="str">
            <v>Empregado (CLT)</v>
          </cell>
        </row>
        <row r="1647">
          <cell r="D1647" t="str">
            <v>ECOSAMPA Campo Limpo</v>
          </cell>
          <cell r="E1647">
            <v>43617</v>
          </cell>
          <cell r="F1647">
            <v>1603.99</v>
          </cell>
          <cell r="G1647" t="str">
            <v>Em Atividade Normal</v>
          </cell>
          <cell r="H1647">
            <v>44835</v>
          </cell>
          <cell r="I1647">
            <v>34005</v>
          </cell>
          <cell r="J1647" t="str">
            <v>453.699.018-64</v>
          </cell>
          <cell r="K1647" t="str">
            <v>201.15157.16.0</v>
          </cell>
          <cell r="L1647" t="str">
            <v>Salário Mensal</v>
          </cell>
          <cell r="M1647" t="str">
            <v>Empregado (CLT)</v>
          </cell>
        </row>
        <row r="1648">
          <cell r="D1648" t="str">
            <v>ECOSAMPA M'Boi Mirim</v>
          </cell>
          <cell r="E1648">
            <v>43617</v>
          </cell>
          <cell r="F1648">
            <v>1603.99</v>
          </cell>
          <cell r="G1648" t="str">
            <v>Demitido em Meses Anteriores</v>
          </cell>
          <cell r="H1648">
            <v>44844</v>
          </cell>
          <cell r="I1648">
            <v>28281</v>
          </cell>
          <cell r="J1648" t="str">
            <v>280.372.588-66</v>
          </cell>
          <cell r="K1648" t="str">
            <v>126.18007.22.2</v>
          </cell>
          <cell r="L1648" t="str">
            <v>Salário Mensal</v>
          </cell>
          <cell r="M1648" t="str">
            <v>Empregado (CLT)</v>
          </cell>
        </row>
        <row r="1649">
          <cell r="D1649" t="str">
            <v>ECOSAMPA Operação Geral</v>
          </cell>
          <cell r="E1649">
            <v>43617</v>
          </cell>
          <cell r="F1649">
            <v>3050.22</v>
          </cell>
          <cell r="G1649" t="str">
            <v>Demitido em Meses Anteriores</v>
          </cell>
          <cell r="H1649">
            <v>44903</v>
          </cell>
          <cell r="I1649">
            <v>30901</v>
          </cell>
          <cell r="J1649" t="str">
            <v>339.035.758-01</v>
          </cell>
          <cell r="K1649" t="str">
            <v>132.65680.81.8</v>
          </cell>
          <cell r="L1649" t="str">
            <v>Salário Mensal</v>
          </cell>
          <cell r="M1649" t="str">
            <v>Empregado (CLT)</v>
          </cell>
        </row>
        <row r="1650">
          <cell r="D1650" t="str">
            <v>ECOSAMPA Parelheiros</v>
          </cell>
          <cell r="E1650">
            <v>44725</v>
          </cell>
          <cell r="F1650">
            <v>1603.99</v>
          </cell>
          <cell r="G1650" t="str">
            <v>Demitido em Meses Anteriores</v>
          </cell>
          <cell r="H1650">
            <v>44887</v>
          </cell>
          <cell r="I1650">
            <v>35585</v>
          </cell>
          <cell r="J1650" t="str">
            <v>456.512.868-37</v>
          </cell>
          <cell r="K1650" t="str">
            <v>201.52737.18.3</v>
          </cell>
          <cell r="L1650" t="str">
            <v>Salário Mensal</v>
          </cell>
          <cell r="M1650" t="str">
            <v>Empregado (CLT)</v>
          </cell>
        </row>
        <row r="1651">
          <cell r="D1651" t="str">
            <v>ECOSAMPA Operação Geral</v>
          </cell>
          <cell r="E1651">
            <v>43617</v>
          </cell>
          <cell r="F1651">
            <v>3050.22</v>
          </cell>
          <cell r="G1651" t="str">
            <v>Em Atividade Normal</v>
          </cell>
          <cell r="H1651">
            <v>45177</v>
          </cell>
          <cell r="I1651">
            <v>28903</v>
          </cell>
          <cell r="J1651" t="str">
            <v>248.726.748-80</v>
          </cell>
          <cell r="K1651" t="str">
            <v>125.00999.96.5</v>
          </cell>
          <cell r="L1651" t="str">
            <v>Salário Mensal</v>
          </cell>
          <cell r="M1651" t="str">
            <v>Empregado (CLT)</v>
          </cell>
        </row>
        <row r="1652">
          <cell r="D1652" t="str">
            <v>ECOSAMPA Santo Amaro</v>
          </cell>
          <cell r="E1652">
            <v>45180</v>
          </cell>
          <cell r="F1652">
            <v>1603.99</v>
          </cell>
          <cell r="G1652" t="str">
            <v>Em Atividade Normal</v>
          </cell>
          <cell r="H1652">
            <v>45180</v>
          </cell>
          <cell r="I1652">
            <v>36051</v>
          </cell>
          <cell r="J1652" t="str">
            <v>229.500.748-80</v>
          </cell>
          <cell r="K1652" t="str">
            <v>167.12889.91.0</v>
          </cell>
          <cell r="L1652" t="str">
            <v>Salário Mensal</v>
          </cell>
          <cell r="M1652" t="str">
            <v>Empregado (CLT)</v>
          </cell>
        </row>
        <row r="1653">
          <cell r="D1653" t="str">
            <v>ECOSAMPA Operação Geral</v>
          </cell>
          <cell r="E1653">
            <v>43617</v>
          </cell>
          <cell r="F1653">
            <v>2436.4499999999998</v>
          </cell>
          <cell r="G1653" t="str">
            <v>Demitido em Meses Anteriores</v>
          </cell>
          <cell r="H1653">
            <v>43804</v>
          </cell>
          <cell r="I1653">
            <v>28135</v>
          </cell>
          <cell r="J1653" t="str">
            <v>213.997.148-56</v>
          </cell>
          <cell r="K1653" t="str">
            <v>124.97493.26.1</v>
          </cell>
          <cell r="L1653" t="str">
            <v>Salário Mensal</v>
          </cell>
          <cell r="M1653" t="str">
            <v>Empregado (CLT)</v>
          </cell>
        </row>
        <row r="1654">
          <cell r="D1654" t="str">
            <v>ECOSAMPA Capela do Socorro</v>
          </cell>
          <cell r="E1654">
            <v>44018</v>
          </cell>
          <cell r="F1654">
            <v>1603.99</v>
          </cell>
          <cell r="G1654" t="str">
            <v>Em Atividade Normal</v>
          </cell>
          <cell r="H1654">
            <v>45086</v>
          </cell>
          <cell r="I1654">
            <v>33538</v>
          </cell>
          <cell r="J1654" t="str">
            <v>391.984.928-02</v>
          </cell>
          <cell r="K1654" t="str">
            <v>207.24852.77.2</v>
          </cell>
          <cell r="L1654" t="str">
            <v>Salário Mensal</v>
          </cell>
          <cell r="M1654" t="str">
            <v>Empregado (CLT)</v>
          </cell>
        </row>
        <row r="1655">
          <cell r="D1655" t="str">
            <v>ECOSAMPA Santo Amaro</v>
          </cell>
          <cell r="E1655">
            <v>44582</v>
          </cell>
          <cell r="F1655">
            <v>1603.99</v>
          </cell>
          <cell r="G1655" t="str">
            <v>Em Atividade Normal</v>
          </cell>
          <cell r="H1655">
            <v>45042</v>
          </cell>
          <cell r="I1655">
            <v>25370</v>
          </cell>
          <cell r="J1655" t="str">
            <v>101.947.138-73</v>
          </cell>
          <cell r="K1655" t="str">
            <v>122.36520.04.4</v>
          </cell>
          <cell r="L1655" t="str">
            <v>Salário Mensal</v>
          </cell>
          <cell r="M1655" t="str">
            <v>Empregado (CLT)</v>
          </cell>
        </row>
        <row r="1656">
          <cell r="D1656" t="str">
            <v>ECOSAMPA Campo Limpo</v>
          </cell>
          <cell r="E1656">
            <v>43710</v>
          </cell>
          <cell r="F1656">
            <v>3222.08</v>
          </cell>
          <cell r="G1656" t="str">
            <v>Em Atividade Normal</v>
          </cell>
          <cell r="H1656">
            <v>44867</v>
          </cell>
          <cell r="I1656">
            <v>27988</v>
          </cell>
          <cell r="J1656" t="str">
            <v>162.918.418-78</v>
          </cell>
          <cell r="K1656" t="str">
            <v>124.50908.65.1</v>
          </cell>
          <cell r="L1656" t="str">
            <v>Salário Mensal</v>
          </cell>
          <cell r="M1656" t="str">
            <v>Empregado (CLT)</v>
          </cell>
        </row>
        <row r="1657">
          <cell r="D1657" t="str">
            <v>ECOSAMPA Santo Amaro</v>
          </cell>
          <cell r="E1657">
            <v>44567</v>
          </cell>
          <cell r="F1657">
            <v>1603.99</v>
          </cell>
          <cell r="G1657" t="str">
            <v>Em Atividade Normal</v>
          </cell>
          <cell r="H1657">
            <v>44567</v>
          </cell>
          <cell r="I1657">
            <v>37223</v>
          </cell>
          <cell r="J1657" t="str">
            <v>497.403.798-69</v>
          </cell>
          <cell r="K1657" t="str">
            <v>212.99058.31.2</v>
          </cell>
          <cell r="L1657" t="str">
            <v>Salário Mensal</v>
          </cell>
          <cell r="M1657" t="str">
            <v>Empregado (CLT)</v>
          </cell>
        </row>
        <row r="1658">
          <cell r="D1658" t="str">
            <v>ECOSAMPA Parelheiros</v>
          </cell>
          <cell r="E1658">
            <v>45022</v>
          </cell>
          <cell r="F1658">
            <v>1603.99</v>
          </cell>
          <cell r="G1658" t="str">
            <v>Demitido em Meses Anteriores</v>
          </cell>
          <cell r="H1658">
            <v>45100</v>
          </cell>
          <cell r="I1658">
            <v>28593</v>
          </cell>
          <cell r="J1658" t="str">
            <v>323.514.948-14</v>
          </cell>
          <cell r="K1658" t="str">
            <v>136.92750.77.2</v>
          </cell>
          <cell r="L1658" t="str">
            <v>Salário Mensal</v>
          </cell>
          <cell r="M1658" t="str">
            <v>Empregado (CLT)</v>
          </cell>
        </row>
        <row r="1659">
          <cell r="D1659" t="str">
            <v>ECOSAMPA M'Boi Mirim</v>
          </cell>
          <cell r="E1659">
            <v>45061</v>
          </cell>
          <cell r="F1659">
            <v>1603.99</v>
          </cell>
          <cell r="G1659" t="str">
            <v>Em Atividade Normal</v>
          </cell>
          <cell r="H1659">
            <v>45061</v>
          </cell>
          <cell r="I1659">
            <v>30081</v>
          </cell>
          <cell r="J1659" t="str">
            <v>325.122.358-58</v>
          </cell>
          <cell r="K1659" t="str">
            <v>167.45268.37.0</v>
          </cell>
          <cell r="L1659" t="str">
            <v>Salário Mensal</v>
          </cell>
          <cell r="M1659" t="str">
            <v>Empregado (CLT)</v>
          </cell>
        </row>
        <row r="1660">
          <cell r="D1660" t="str">
            <v>ECOSAMPA Campo Limpo</v>
          </cell>
          <cell r="E1660">
            <v>43617</v>
          </cell>
          <cell r="F1660">
            <v>1603.99</v>
          </cell>
          <cell r="G1660" t="str">
            <v>Em Atividade Normal</v>
          </cell>
          <cell r="H1660">
            <v>44930</v>
          </cell>
          <cell r="I1660">
            <v>23099</v>
          </cell>
          <cell r="J1660" t="str">
            <v>416.718.564-49</v>
          </cell>
          <cell r="K1660" t="str">
            <v>120.92798.70.9</v>
          </cell>
          <cell r="L1660" t="str">
            <v>Salário Mensal</v>
          </cell>
          <cell r="M1660" t="str">
            <v>Empregado (CLT)</v>
          </cell>
        </row>
        <row r="1661">
          <cell r="D1661" t="str">
            <v>ECOSAMPA Campo Limpo</v>
          </cell>
          <cell r="E1661">
            <v>43617</v>
          </cell>
          <cell r="F1661">
            <v>1603.99</v>
          </cell>
          <cell r="G1661" t="str">
            <v>Auxílio-Doença</v>
          </cell>
          <cell r="H1661">
            <v>44149</v>
          </cell>
          <cell r="I1661">
            <v>23095</v>
          </cell>
          <cell r="J1661" t="str">
            <v>904.634.807-59</v>
          </cell>
          <cell r="K1661" t="str">
            <v>122.28316.21.2</v>
          </cell>
          <cell r="L1661" t="str">
            <v>Salário Mensal</v>
          </cell>
          <cell r="M1661" t="str">
            <v>Empregado (CLT)</v>
          </cell>
        </row>
        <row r="1662">
          <cell r="D1662" t="str">
            <v>ECOSAMPA M'Boi Mirim</v>
          </cell>
          <cell r="E1662">
            <v>43617</v>
          </cell>
          <cell r="F1662">
            <v>1603.99</v>
          </cell>
          <cell r="G1662" t="str">
            <v>Em Atividade Normal</v>
          </cell>
          <cell r="H1662">
            <v>45023</v>
          </cell>
          <cell r="I1662">
            <v>27690</v>
          </cell>
          <cell r="J1662" t="str">
            <v>265.976.398-47</v>
          </cell>
          <cell r="K1662" t="str">
            <v>124.62809.79.3</v>
          </cell>
          <cell r="L1662" t="str">
            <v>Salário Mensal</v>
          </cell>
          <cell r="M1662" t="str">
            <v>Empregado (CLT)</v>
          </cell>
        </row>
        <row r="1663">
          <cell r="D1663" t="str">
            <v>ECOSAMPA Santo Amaro</v>
          </cell>
          <cell r="E1663">
            <v>43617</v>
          </cell>
          <cell r="F1663">
            <v>1603.99</v>
          </cell>
          <cell r="G1663" t="str">
            <v>Em Atividade Normal</v>
          </cell>
          <cell r="H1663">
            <v>44898</v>
          </cell>
          <cell r="I1663">
            <v>27986</v>
          </cell>
          <cell r="J1663" t="str">
            <v>249.598.098-84</v>
          </cell>
          <cell r="K1663" t="str">
            <v>127.25453.89.7</v>
          </cell>
          <cell r="L1663" t="str">
            <v>Salário Mensal</v>
          </cell>
          <cell r="M1663" t="str">
            <v>Empregado (CLT)</v>
          </cell>
        </row>
        <row r="1664">
          <cell r="D1664" t="str">
            <v>ECOSAMPA M'Boi Mirim</v>
          </cell>
          <cell r="E1664">
            <v>44273</v>
          </cell>
          <cell r="F1664">
            <v>1603.99</v>
          </cell>
          <cell r="G1664" t="str">
            <v>Em Atividade Normal</v>
          </cell>
          <cell r="H1664">
            <v>45149</v>
          </cell>
          <cell r="I1664">
            <v>23768</v>
          </cell>
          <cell r="J1664" t="str">
            <v>084.500.498-06</v>
          </cell>
          <cell r="K1664" t="str">
            <v>120.02784.31.2</v>
          </cell>
          <cell r="L1664" t="str">
            <v>Salário Mensal</v>
          </cell>
          <cell r="M1664" t="str">
            <v>Empregado (CLT)</v>
          </cell>
        </row>
        <row r="1665">
          <cell r="D1665" t="str">
            <v>ECOSAMPA M'Boi Mirim</v>
          </cell>
          <cell r="E1665">
            <v>43617</v>
          </cell>
          <cell r="F1665">
            <v>1603.99</v>
          </cell>
          <cell r="G1665" t="str">
            <v>Demitido em Meses Anteriores</v>
          </cell>
          <cell r="H1665">
            <v>44848</v>
          </cell>
          <cell r="I1665">
            <v>26908</v>
          </cell>
          <cell r="J1665" t="str">
            <v>324.894.508-75</v>
          </cell>
          <cell r="K1665" t="str">
            <v>132.92920.89.1</v>
          </cell>
          <cell r="L1665" t="str">
            <v>Salário Mensal</v>
          </cell>
          <cell r="M1665" t="str">
            <v>Empregado (CLT)</v>
          </cell>
        </row>
        <row r="1666">
          <cell r="D1666" t="str">
            <v>ECOSAMPA Campo Limpo</v>
          </cell>
          <cell r="E1666">
            <v>43617</v>
          </cell>
          <cell r="F1666">
            <v>1603.99</v>
          </cell>
          <cell r="G1666" t="str">
            <v>Em Atividade Normal</v>
          </cell>
          <cell r="H1666">
            <v>44930</v>
          </cell>
          <cell r="I1666">
            <v>29340</v>
          </cell>
          <cell r="J1666" t="str">
            <v>296.787.948-70</v>
          </cell>
          <cell r="K1666" t="str">
            <v>128.91845.81.3</v>
          </cell>
          <cell r="L1666" t="str">
            <v>Salário Mensal</v>
          </cell>
          <cell r="M1666" t="str">
            <v>Empregado (CLT)</v>
          </cell>
        </row>
        <row r="1667">
          <cell r="D1667" t="str">
            <v>ECOSAMPA Operação Geral</v>
          </cell>
          <cell r="E1667">
            <v>43617</v>
          </cell>
          <cell r="F1667">
            <v>3175.41</v>
          </cell>
          <cell r="G1667" t="str">
            <v>Demitido em Meses Anteriores</v>
          </cell>
          <cell r="H1667">
            <v>44998</v>
          </cell>
          <cell r="I1667">
            <v>29607</v>
          </cell>
          <cell r="J1667" t="str">
            <v>279.322.458-85</v>
          </cell>
          <cell r="K1667" t="str">
            <v>126.34729.77.6</v>
          </cell>
          <cell r="L1667" t="str">
            <v>Salário Mensal</v>
          </cell>
          <cell r="M1667" t="str">
            <v>Empregado (CLT)</v>
          </cell>
        </row>
        <row r="1668">
          <cell r="D1668" t="str">
            <v>ECOSAMPA Parelheiros</v>
          </cell>
          <cell r="E1668">
            <v>43617</v>
          </cell>
          <cell r="F1668">
            <v>1603.99</v>
          </cell>
          <cell r="G1668" t="str">
            <v>Demitido em Meses Anteriores</v>
          </cell>
          <cell r="H1668">
            <v>45091</v>
          </cell>
          <cell r="I1668">
            <v>32005</v>
          </cell>
          <cell r="J1668" t="str">
            <v>354.973.488-31</v>
          </cell>
          <cell r="K1668" t="str">
            <v>135.44510.89.7</v>
          </cell>
          <cell r="L1668" t="str">
            <v>Salário Mensal</v>
          </cell>
          <cell r="M1668" t="str">
            <v>Empregado (CLT)</v>
          </cell>
        </row>
        <row r="1669">
          <cell r="D1669" t="str">
            <v>ECOSAMPA Santo Amaro</v>
          </cell>
          <cell r="E1669">
            <v>44760</v>
          </cell>
          <cell r="F1669">
            <v>1603.99</v>
          </cell>
          <cell r="G1669" t="str">
            <v>Em Atividade Normal</v>
          </cell>
          <cell r="H1669">
            <v>44760</v>
          </cell>
          <cell r="I1669">
            <v>26074</v>
          </cell>
          <cell r="J1669" t="str">
            <v>178.314.948-55</v>
          </cell>
          <cell r="K1669" t="str">
            <v>123.45473.00.4</v>
          </cell>
          <cell r="L1669" t="str">
            <v>Salário Mensal</v>
          </cell>
          <cell r="M1669" t="str">
            <v>Empregado (CLT)</v>
          </cell>
        </row>
        <row r="1670">
          <cell r="D1670" t="str">
            <v>ECOSAMPA Campo Limpo</v>
          </cell>
          <cell r="E1670">
            <v>43617</v>
          </cell>
          <cell r="F1670">
            <v>2474.7399999999998</v>
          </cell>
          <cell r="G1670" t="str">
            <v>Demitido em Meses Anteriores</v>
          </cell>
          <cell r="H1670">
            <v>43658</v>
          </cell>
          <cell r="I1670">
            <v>29745</v>
          </cell>
          <cell r="J1670" t="str">
            <v>281.441.348-18</v>
          </cell>
          <cell r="K1670" t="str">
            <v>126.96840.77.8</v>
          </cell>
          <cell r="L1670" t="str">
            <v>Salário Mensal</v>
          </cell>
          <cell r="M1670" t="str">
            <v>Empregado (CLT)</v>
          </cell>
        </row>
        <row r="1671">
          <cell r="D1671" t="str">
            <v>ECOSAMPA Campo Limpo</v>
          </cell>
          <cell r="E1671">
            <v>43617</v>
          </cell>
          <cell r="F1671">
            <v>1603.99</v>
          </cell>
          <cell r="G1671" t="str">
            <v>Em Atividade Normal</v>
          </cell>
          <cell r="H1671">
            <v>45056</v>
          </cell>
          <cell r="I1671">
            <v>30679</v>
          </cell>
          <cell r="J1671" t="str">
            <v>355.940.878-42</v>
          </cell>
          <cell r="K1671" t="str">
            <v>134.49004.81.5</v>
          </cell>
          <cell r="L1671" t="str">
            <v>Salário Mensal</v>
          </cell>
          <cell r="M1671" t="str">
            <v>Empregado (CLT)</v>
          </cell>
        </row>
        <row r="1672">
          <cell r="D1672" t="str">
            <v>ECOSAMPA Operação Geral</v>
          </cell>
          <cell r="E1672">
            <v>43620</v>
          </cell>
          <cell r="F1672">
            <v>2342.7399999999998</v>
          </cell>
          <cell r="G1672" t="str">
            <v>Demitido em Meses Anteriores</v>
          </cell>
          <cell r="H1672">
            <v>43714</v>
          </cell>
          <cell r="I1672">
            <v>28700</v>
          </cell>
          <cell r="J1672" t="str">
            <v>247.162.388-30</v>
          </cell>
          <cell r="K1672" t="str">
            <v>125.53828.48.0</v>
          </cell>
          <cell r="L1672" t="str">
            <v>Salário Mensal</v>
          </cell>
          <cell r="M1672" t="str">
            <v>Empregado (CLT)</v>
          </cell>
        </row>
        <row r="1673">
          <cell r="D1673" t="str">
            <v>ECOSAMPA Santo Amaro</v>
          </cell>
          <cell r="E1673">
            <v>43617</v>
          </cell>
          <cell r="F1673">
            <v>1464.83</v>
          </cell>
          <cell r="G1673" t="str">
            <v>Demitido em Meses Anteriores</v>
          </cell>
          <cell r="H1673">
            <v>44781</v>
          </cell>
          <cell r="I1673">
            <v>28568</v>
          </cell>
          <cell r="J1673" t="str">
            <v>271.529.918-47</v>
          </cell>
          <cell r="K1673" t="str">
            <v>127.73637.81.1</v>
          </cell>
          <cell r="L1673" t="str">
            <v>Salário Mensal</v>
          </cell>
          <cell r="M1673" t="str">
            <v>Empregado (CLT)</v>
          </cell>
        </row>
        <row r="1674">
          <cell r="D1674" t="str">
            <v>ECOSAMPA Parelheiros</v>
          </cell>
          <cell r="E1674">
            <v>43621</v>
          </cell>
          <cell r="F1674">
            <v>2942.54</v>
          </cell>
          <cell r="G1674" t="str">
            <v>Demitido em Meses Anteriores</v>
          </cell>
          <cell r="H1674">
            <v>44516</v>
          </cell>
          <cell r="I1674">
            <v>28566</v>
          </cell>
          <cell r="J1674" t="str">
            <v>289.359.728-94</v>
          </cell>
          <cell r="K1674" t="str">
            <v>128.35988.93.0</v>
          </cell>
          <cell r="L1674" t="str">
            <v>Salário Mensal</v>
          </cell>
          <cell r="M1674" t="str">
            <v>Empregado (CLT)</v>
          </cell>
        </row>
        <row r="1675">
          <cell r="D1675" t="str">
            <v>ECOSAMPA Operação Geral</v>
          </cell>
          <cell r="E1675">
            <v>43617</v>
          </cell>
          <cell r="F1675">
            <v>1907.79</v>
          </cell>
          <cell r="G1675" t="str">
            <v>Gozando Férias</v>
          </cell>
          <cell r="H1675">
            <v>45180</v>
          </cell>
          <cell r="I1675">
            <v>32325</v>
          </cell>
          <cell r="J1675" t="str">
            <v>376.759.138-33</v>
          </cell>
          <cell r="K1675" t="str">
            <v>209.79552.47.2</v>
          </cell>
          <cell r="L1675" t="str">
            <v>Salário Mensal</v>
          </cell>
          <cell r="M1675" t="str">
            <v>Empregado (CLT)</v>
          </cell>
        </row>
        <row r="1676">
          <cell r="D1676" t="str">
            <v>ECOSAMPA Parelheiros</v>
          </cell>
          <cell r="E1676">
            <v>43617</v>
          </cell>
          <cell r="F1676">
            <v>1464.83</v>
          </cell>
          <cell r="G1676" t="str">
            <v>Demitido em Meses Anteriores</v>
          </cell>
          <cell r="H1676">
            <v>44599</v>
          </cell>
          <cell r="I1676">
            <v>24484</v>
          </cell>
          <cell r="J1676" t="str">
            <v>087.510.988-81</v>
          </cell>
          <cell r="K1676" t="str">
            <v>120.77947.03.0</v>
          </cell>
          <cell r="L1676" t="str">
            <v>Salário Mensal</v>
          </cell>
          <cell r="M1676" t="str">
            <v>Empregado (CLT)</v>
          </cell>
        </row>
        <row r="1677">
          <cell r="D1677" t="str">
            <v>ECOSAMPA Operação Geral</v>
          </cell>
          <cell r="E1677">
            <v>43617</v>
          </cell>
          <cell r="F1677">
            <v>1907.79</v>
          </cell>
          <cell r="G1677" t="str">
            <v>Em Atividade Normal</v>
          </cell>
          <cell r="H1677">
            <v>44993</v>
          </cell>
          <cell r="I1677">
            <v>26222</v>
          </cell>
          <cell r="J1677" t="str">
            <v>157.150.078-28</v>
          </cell>
          <cell r="K1677" t="str">
            <v>121.43864.95.9</v>
          </cell>
          <cell r="L1677" t="str">
            <v>Salário Mensal</v>
          </cell>
          <cell r="M1677" t="str">
            <v>Empregado (CLT)</v>
          </cell>
        </row>
        <row r="1678">
          <cell r="D1678" t="str">
            <v>ECOSAMPA Campo Limpo</v>
          </cell>
          <cell r="E1678">
            <v>43617</v>
          </cell>
          <cell r="F1678">
            <v>1603.99</v>
          </cell>
          <cell r="G1678" t="str">
            <v>Em Atividade Normal</v>
          </cell>
          <cell r="H1678">
            <v>44806</v>
          </cell>
          <cell r="I1678">
            <v>24067</v>
          </cell>
          <cell r="J1678" t="str">
            <v>074.904.138-26</v>
          </cell>
          <cell r="K1678" t="str">
            <v>121.71309.50.6</v>
          </cell>
          <cell r="L1678" t="str">
            <v>Salário Mensal</v>
          </cell>
          <cell r="M1678" t="str">
            <v>Empregado (CLT)</v>
          </cell>
        </row>
        <row r="1679">
          <cell r="D1679" t="str">
            <v>ECOSAMPA Santo Amaro</v>
          </cell>
          <cell r="E1679">
            <v>43811</v>
          </cell>
          <cell r="F1679">
            <v>1319.67</v>
          </cell>
          <cell r="G1679" t="str">
            <v>Demitido em Meses Anteriores</v>
          </cell>
          <cell r="H1679">
            <v>44257</v>
          </cell>
          <cell r="I1679">
            <v>30618</v>
          </cell>
          <cell r="J1679" t="str">
            <v>050.335.814-22</v>
          </cell>
          <cell r="K1679" t="str">
            <v>163.98267.09.6</v>
          </cell>
          <cell r="L1679" t="str">
            <v>Salário Mensal</v>
          </cell>
          <cell r="M1679" t="str">
            <v>Empregado (CLT)</v>
          </cell>
        </row>
        <row r="1680">
          <cell r="D1680" t="str">
            <v>ECOSAMPA Operação Geral</v>
          </cell>
          <cell r="E1680">
            <v>43617</v>
          </cell>
          <cell r="F1680">
            <v>4202.05</v>
          </cell>
          <cell r="G1680" t="str">
            <v>Gozando Férias</v>
          </cell>
          <cell r="H1680">
            <v>45180</v>
          </cell>
          <cell r="I1680">
            <v>26969</v>
          </cell>
          <cell r="J1680" t="str">
            <v>035.383.147-64</v>
          </cell>
          <cell r="K1680" t="str">
            <v>124.72806.45.2</v>
          </cell>
          <cell r="L1680" t="str">
            <v>Salário Mensal</v>
          </cell>
          <cell r="M1680" t="str">
            <v>Empregado (CLT)</v>
          </cell>
        </row>
        <row r="1681">
          <cell r="D1681" t="str">
            <v>ECOSAMPA Operação Geral</v>
          </cell>
          <cell r="E1681">
            <v>43617</v>
          </cell>
          <cell r="F1681">
            <v>3050.22</v>
          </cell>
          <cell r="G1681" t="str">
            <v>Gozando Férias</v>
          </cell>
          <cell r="H1681">
            <v>45180</v>
          </cell>
          <cell r="I1681">
            <v>31227</v>
          </cell>
          <cell r="J1681" t="str">
            <v>332.445.548-06</v>
          </cell>
          <cell r="K1681" t="str">
            <v>135.38206.93.6</v>
          </cell>
          <cell r="L1681" t="str">
            <v>Salário Mensal</v>
          </cell>
          <cell r="M1681" t="str">
            <v>Empregado (CLT)</v>
          </cell>
        </row>
        <row r="1682">
          <cell r="D1682" t="str">
            <v>ECOSAMPA Campo Limpo</v>
          </cell>
          <cell r="E1682">
            <v>43617</v>
          </cell>
          <cell r="F1682">
            <v>1319.67</v>
          </cell>
          <cell r="G1682" t="str">
            <v>Demitido em Meses Anteriores</v>
          </cell>
          <cell r="H1682">
            <v>44323</v>
          </cell>
          <cell r="I1682">
            <v>26954</v>
          </cell>
          <cell r="J1682" t="str">
            <v>766.120.314-68</v>
          </cell>
          <cell r="K1682" t="str">
            <v>123.99706.59.7</v>
          </cell>
          <cell r="L1682" t="str">
            <v>Salário Mensal</v>
          </cell>
          <cell r="M1682" t="str">
            <v>Empregado (CLT)</v>
          </cell>
        </row>
        <row r="1683">
          <cell r="D1683" t="str">
            <v>ECOSAMPA Operação Geral</v>
          </cell>
          <cell r="E1683">
            <v>43850</v>
          </cell>
          <cell r="F1683">
            <v>3050.22</v>
          </cell>
          <cell r="G1683" t="str">
            <v>Em Atividade Normal</v>
          </cell>
          <cell r="H1683">
            <v>45056</v>
          </cell>
          <cell r="I1683">
            <v>30195</v>
          </cell>
          <cell r="J1683" t="str">
            <v>308.862.098-38</v>
          </cell>
          <cell r="K1683" t="str">
            <v>130.13699.81.6</v>
          </cell>
          <cell r="L1683" t="str">
            <v>Salário Mensal</v>
          </cell>
          <cell r="M1683" t="str">
            <v>Empregado (CLT)</v>
          </cell>
        </row>
        <row r="1684">
          <cell r="D1684" t="str">
            <v>ECOSAMPA Operação Geral</v>
          </cell>
          <cell r="E1684">
            <v>43617</v>
          </cell>
          <cell r="F1684">
            <v>1464.83</v>
          </cell>
          <cell r="G1684" t="str">
            <v>Demitido em Meses Anteriores</v>
          </cell>
          <cell r="H1684">
            <v>44531</v>
          </cell>
          <cell r="I1684">
            <v>25516</v>
          </cell>
          <cell r="J1684" t="str">
            <v>362.162.243-87</v>
          </cell>
          <cell r="K1684" t="str">
            <v>123.97894.46.9</v>
          </cell>
          <cell r="L1684" t="str">
            <v>Salário Mensal</v>
          </cell>
          <cell r="M1684" t="str">
            <v>Empregado (CLT)</v>
          </cell>
        </row>
        <row r="1685">
          <cell r="D1685" t="str">
            <v>ECOSAMPA Operação Geral</v>
          </cell>
          <cell r="E1685">
            <v>43617</v>
          </cell>
          <cell r="F1685">
            <v>1907.79</v>
          </cell>
          <cell r="G1685" t="str">
            <v>Em Atividade Normal</v>
          </cell>
          <cell r="H1685">
            <v>44867</v>
          </cell>
          <cell r="I1685">
            <v>30599</v>
          </cell>
          <cell r="J1685" t="str">
            <v>224.937.698-05</v>
          </cell>
          <cell r="K1685" t="str">
            <v>131.95982.93.4</v>
          </cell>
          <cell r="L1685" t="str">
            <v>Salário Mensal</v>
          </cell>
          <cell r="M1685" t="str">
            <v>Empregado (CLT)</v>
          </cell>
        </row>
        <row r="1686">
          <cell r="D1686" t="str">
            <v>ECOSAMPA Parelheiros</v>
          </cell>
          <cell r="E1686">
            <v>44945</v>
          </cell>
          <cell r="F1686">
            <v>1603.99</v>
          </cell>
          <cell r="G1686" t="str">
            <v>Em Atividade Normal</v>
          </cell>
          <cell r="H1686">
            <v>44945</v>
          </cell>
          <cell r="I1686">
            <v>23488</v>
          </cell>
          <cell r="J1686" t="str">
            <v>103.072.728-77</v>
          </cell>
          <cell r="K1686" t="str">
            <v>120.15845.47.1</v>
          </cell>
          <cell r="L1686" t="str">
            <v>Salário Mensal</v>
          </cell>
          <cell r="M1686" t="str">
            <v>Empregado (CLT)</v>
          </cell>
        </row>
        <row r="1687">
          <cell r="D1687" t="str">
            <v>ECOSAMPA Operação Geral</v>
          </cell>
          <cell r="E1687">
            <v>43874</v>
          </cell>
          <cell r="F1687">
            <v>3050.22</v>
          </cell>
          <cell r="G1687" t="str">
            <v>Em Atividade Normal</v>
          </cell>
          <cell r="H1687">
            <v>45086</v>
          </cell>
          <cell r="I1687">
            <v>27715</v>
          </cell>
          <cell r="J1687" t="str">
            <v>249.601.028-10</v>
          </cell>
          <cell r="K1687" t="str">
            <v>124.87515.89.0</v>
          </cell>
          <cell r="L1687" t="str">
            <v>Salário Mensal</v>
          </cell>
          <cell r="M1687" t="str">
            <v>Empregado (CLT)</v>
          </cell>
        </row>
        <row r="1688">
          <cell r="D1688" t="str">
            <v>ECOSAMPA Santo Amaro</v>
          </cell>
          <cell r="E1688">
            <v>43804</v>
          </cell>
          <cell r="F1688">
            <v>1603.99</v>
          </cell>
          <cell r="G1688" t="str">
            <v>Em Atividade Normal</v>
          </cell>
          <cell r="H1688">
            <v>45119</v>
          </cell>
          <cell r="I1688">
            <v>35745</v>
          </cell>
          <cell r="J1688" t="str">
            <v>467.867.038-60</v>
          </cell>
          <cell r="K1688" t="str">
            <v>201.15679.84.1</v>
          </cell>
          <cell r="L1688" t="str">
            <v>Salário Mensal</v>
          </cell>
          <cell r="M1688" t="str">
            <v>Empregado (CLT)</v>
          </cell>
        </row>
        <row r="1689">
          <cell r="D1689" t="str">
            <v>ECOSAMPA Capela do Socorro</v>
          </cell>
          <cell r="E1689">
            <v>43617</v>
          </cell>
          <cell r="F1689">
            <v>1603.99</v>
          </cell>
          <cell r="G1689" t="str">
            <v>Em Atividade Normal</v>
          </cell>
          <cell r="H1689">
            <v>45056</v>
          </cell>
          <cell r="I1689">
            <v>28105</v>
          </cell>
          <cell r="J1689" t="str">
            <v>255.030.838-73</v>
          </cell>
          <cell r="K1689" t="str">
            <v>124.98848.76.4</v>
          </cell>
          <cell r="L1689" t="str">
            <v>Salário Mensal</v>
          </cell>
          <cell r="M1689" t="str">
            <v>Empregado (CLT)</v>
          </cell>
        </row>
        <row r="1690">
          <cell r="D1690" t="str">
            <v>ECOSAMPA M'Boi Mirim</v>
          </cell>
          <cell r="E1690">
            <v>43617</v>
          </cell>
          <cell r="F1690">
            <v>1603.99</v>
          </cell>
          <cell r="G1690" t="str">
            <v>Em Atividade Normal</v>
          </cell>
          <cell r="H1690">
            <v>45023</v>
          </cell>
          <cell r="I1690">
            <v>27952</v>
          </cell>
          <cell r="J1690" t="str">
            <v>252.893.128-03</v>
          </cell>
          <cell r="K1690" t="str">
            <v>128.04605.85.1</v>
          </cell>
          <cell r="L1690" t="str">
            <v>Salário Mensal</v>
          </cell>
          <cell r="M1690" t="str">
            <v>Empregado (CLT)</v>
          </cell>
        </row>
        <row r="1691">
          <cell r="D1691" t="str">
            <v>ECOSAMPA Operação Geral</v>
          </cell>
          <cell r="E1691">
            <v>43617</v>
          </cell>
          <cell r="F1691">
            <v>1523.89</v>
          </cell>
          <cell r="G1691" t="str">
            <v>Demitido em Meses Anteriores</v>
          </cell>
          <cell r="H1691">
            <v>43991</v>
          </cell>
          <cell r="I1691">
            <v>24162</v>
          </cell>
          <cell r="J1691" t="str">
            <v>143.523.128-78</v>
          </cell>
          <cell r="K1691" t="str">
            <v>124.33025.37.2</v>
          </cell>
          <cell r="L1691" t="str">
            <v>Salário Mensal</v>
          </cell>
          <cell r="M1691" t="str">
            <v>Empregado (CLT)</v>
          </cell>
        </row>
        <row r="1692">
          <cell r="D1692" t="str">
            <v>ECOSAMPA Operação Geral</v>
          </cell>
          <cell r="E1692">
            <v>43621</v>
          </cell>
          <cell r="F1692">
            <v>4006.12</v>
          </cell>
          <cell r="G1692" t="str">
            <v>Demitido em Meses Anteriores</v>
          </cell>
          <cell r="H1692">
            <v>44809</v>
          </cell>
          <cell r="I1692">
            <v>35104</v>
          </cell>
          <cell r="J1692" t="str">
            <v>436.408.258-96</v>
          </cell>
          <cell r="K1692" t="str">
            <v>201.16844.16.1</v>
          </cell>
          <cell r="L1692" t="str">
            <v>Salário Mensal</v>
          </cell>
          <cell r="M1692" t="str">
            <v>Empregado (CLT)</v>
          </cell>
        </row>
        <row r="1693">
          <cell r="D1693" t="str">
            <v>ECOSAMPA Santo Amaro</v>
          </cell>
          <cell r="E1693">
            <v>43617</v>
          </cell>
          <cell r="F1693">
            <v>1603.99</v>
          </cell>
          <cell r="G1693" t="str">
            <v>Em Atividade Normal</v>
          </cell>
          <cell r="H1693">
            <v>44989</v>
          </cell>
          <cell r="I1693">
            <v>28978</v>
          </cell>
          <cell r="J1693" t="str">
            <v>289.897.998-80</v>
          </cell>
          <cell r="K1693" t="str">
            <v>129.95068.85.6</v>
          </cell>
          <cell r="L1693" t="str">
            <v>Salário Mensal</v>
          </cell>
          <cell r="M1693" t="str">
            <v>Empregado (CLT)</v>
          </cell>
        </row>
        <row r="1694">
          <cell r="D1694" t="str">
            <v>ECOSAMPA Santo Amaro</v>
          </cell>
          <cell r="E1694">
            <v>43837</v>
          </cell>
          <cell r="F1694">
            <v>1603.99</v>
          </cell>
          <cell r="G1694" t="str">
            <v>Demitido em Meses Anteriores</v>
          </cell>
          <cell r="H1694">
            <v>44844</v>
          </cell>
          <cell r="I1694">
            <v>34377</v>
          </cell>
          <cell r="J1694" t="str">
            <v>445.706.138-70</v>
          </cell>
          <cell r="K1694" t="str">
            <v>148.40473.04.4</v>
          </cell>
          <cell r="L1694" t="str">
            <v>Salário Mensal</v>
          </cell>
          <cell r="M1694" t="str">
            <v>Empregado (CLT)</v>
          </cell>
        </row>
        <row r="1695">
          <cell r="D1695" t="str">
            <v>ECOSAMPA Capela do Socorro</v>
          </cell>
          <cell r="E1695">
            <v>45180</v>
          </cell>
          <cell r="F1695">
            <v>1603.99</v>
          </cell>
          <cell r="G1695" t="str">
            <v>Em Atividade Normal</v>
          </cell>
          <cell r="H1695">
            <v>45180</v>
          </cell>
          <cell r="I1695">
            <v>31204</v>
          </cell>
          <cell r="J1695" t="str">
            <v>332.499.308-30</v>
          </cell>
          <cell r="K1695" t="str">
            <v>134.05264.93.5</v>
          </cell>
          <cell r="L1695" t="str">
            <v>Salário Mensal</v>
          </cell>
          <cell r="M1695" t="str">
            <v>Empregado (CLT)</v>
          </cell>
        </row>
        <row r="1696">
          <cell r="D1696" t="str">
            <v>ECOSAMPA Operação Geral</v>
          </cell>
          <cell r="E1696">
            <v>44630</v>
          </cell>
          <cell r="F1696">
            <v>3050.22</v>
          </cell>
          <cell r="G1696" t="str">
            <v>Em Atividade Normal</v>
          </cell>
          <cell r="H1696">
            <v>45056</v>
          </cell>
          <cell r="I1696">
            <v>29762</v>
          </cell>
          <cell r="J1696" t="str">
            <v>300.358.398-05</v>
          </cell>
          <cell r="K1696" t="str">
            <v>129.49660.93.4</v>
          </cell>
          <cell r="L1696" t="str">
            <v>Salário Mensal</v>
          </cell>
          <cell r="M1696" t="str">
            <v>Empregado (CLT)</v>
          </cell>
        </row>
        <row r="1697">
          <cell r="D1697" t="str">
            <v>ECOSAMPA Operação Geral</v>
          </cell>
          <cell r="E1697">
            <v>44613</v>
          </cell>
          <cell r="F1697">
            <v>3333.18</v>
          </cell>
          <cell r="G1697" t="str">
            <v>Em Atividade Normal</v>
          </cell>
          <cell r="H1697">
            <v>45149</v>
          </cell>
          <cell r="I1697">
            <v>28870</v>
          </cell>
          <cell r="J1697" t="str">
            <v>815.660.265-04</v>
          </cell>
          <cell r="K1697" t="str">
            <v>126.91720.04.9</v>
          </cell>
          <cell r="L1697" t="str">
            <v>Salário Mensal</v>
          </cell>
          <cell r="M1697" t="str">
            <v>Empregado (CLT)</v>
          </cell>
        </row>
        <row r="1698">
          <cell r="D1698" t="str">
            <v>ECOSAMPA Santo Amaro</v>
          </cell>
          <cell r="E1698">
            <v>43804</v>
          </cell>
          <cell r="F1698">
            <v>1603.99</v>
          </cell>
          <cell r="G1698" t="str">
            <v>Em Atividade Normal</v>
          </cell>
          <cell r="H1698">
            <v>45086</v>
          </cell>
          <cell r="I1698">
            <v>31310</v>
          </cell>
          <cell r="J1698" t="str">
            <v>093.255.714-71</v>
          </cell>
          <cell r="K1698" t="str">
            <v>204.62353.63.4</v>
          </cell>
          <cell r="L1698" t="str">
            <v>Salário Mensal</v>
          </cell>
          <cell r="M1698" t="str">
            <v>Empregado (CLT)</v>
          </cell>
        </row>
        <row r="1699">
          <cell r="D1699" t="str">
            <v>ECOSAMPA Operação Geral</v>
          </cell>
          <cell r="E1699">
            <v>43617</v>
          </cell>
          <cell r="F1699">
            <v>1465.28</v>
          </cell>
          <cell r="G1699" t="str">
            <v>Demitido em Meses Anteriores</v>
          </cell>
          <cell r="H1699">
            <v>43703</v>
          </cell>
          <cell r="I1699">
            <v>30337</v>
          </cell>
          <cell r="J1699" t="str">
            <v>223.463.448-26</v>
          </cell>
          <cell r="K1699" t="str">
            <v>129.28651.89.8</v>
          </cell>
          <cell r="L1699" t="str">
            <v>Salário Mensal</v>
          </cell>
          <cell r="M1699" t="str">
            <v>Empregado (CLT)</v>
          </cell>
        </row>
        <row r="1700">
          <cell r="D1700" t="str">
            <v>ECOSAMPA Santo Amaro</v>
          </cell>
          <cell r="E1700">
            <v>43617</v>
          </cell>
          <cell r="F1700">
            <v>1603.99</v>
          </cell>
          <cell r="G1700" t="str">
            <v>Em Atividade Normal</v>
          </cell>
          <cell r="H1700">
            <v>44898</v>
          </cell>
          <cell r="I1700">
            <v>22198</v>
          </cell>
          <cell r="J1700" t="str">
            <v>029.551.868-56</v>
          </cell>
          <cell r="K1700" t="str">
            <v>106.48472.18.0</v>
          </cell>
          <cell r="L1700" t="str">
            <v>Salário Mensal</v>
          </cell>
          <cell r="M1700" t="str">
            <v>Empregado (CLT)</v>
          </cell>
        </row>
        <row r="1701">
          <cell r="D1701" t="str">
            <v>ECOSAMPA Operação Geral</v>
          </cell>
          <cell r="E1701">
            <v>45117</v>
          </cell>
          <cell r="F1701">
            <v>3050.22</v>
          </cell>
          <cell r="G1701" t="str">
            <v>Em Atividade Normal</v>
          </cell>
          <cell r="H1701">
            <v>45117</v>
          </cell>
          <cell r="I1701">
            <v>28938</v>
          </cell>
          <cell r="J1701" t="str">
            <v>284.285.408-02</v>
          </cell>
          <cell r="K1701" t="str">
            <v>129.48491.89.6</v>
          </cell>
          <cell r="L1701" t="str">
            <v>Salário Mensal</v>
          </cell>
          <cell r="M1701" t="str">
            <v>Empregado (CLT)</v>
          </cell>
        </row>
        <row r="1702">
          <cell r="D1702" t="str">
            <v>ECOSAMPA Parelheiros</v>
          </cell>
          <cell r="E1702">
            <v>43617</v>
          </cell>
          <cell r="F1702">
            <v>1603.99</v>
          </cell>
          <cell r="G1702" t="str">
            <v>Em Atividade Normal</v>
          </cell>
          <cell r="H1702">
            <v>45086</v>
          </cell>
          <cell r="I1702">
            <v>26814</v>
          </cell>
          <cell r="J1702" t="str">
            <v>167.002.938-71</v>
          </cell>
          <cell r="K1702" t="str">
            <v>123.81872.09.6</v>
          </cell>
          <cell r="L1702" t="str">
            <v>Salário Mensal</v>
          </cell>
          <cell r="M1702" t="str">
            <v>Empregado (CLT)</v>
          </cell>
        </row>
        <row r="1703">
          <cell r="D1703" t="str">
            <v>ECOSAMPA Operação Geral</v>
          </cell>
          <cell r="E1703">
            <v>43916</v>
          </cell>
          <cell r="F1703">
            <v>1952.99</v>
          </cell>
          <cell r="G1703" t="str">
            <v>Gozando Férias</v>
          </cell>
          <cell r="H1703">
            <v>45180</v>
          </cell>
          <cell r="I1703">
            <v>29799</v>
          </cell>
          <cell r="J1703" t="str">
            <v>225.523.348-73</v>
          </cell>
          <cell r="K1703" t="str">
            <v>131.18090.89.7</v>
          </cell>
          <cell r="L1703" t="str">
            <v>Salário Mensal</v>
          </cell>
          <cell r="M1703" t="str">
            <v>Empregado (CLT)</v>
          </cell>
        </row>
        <row r="1704">
          <cell r="D1704" t="str">
            <v>ECOSAMPA Campo Limpo</v>
          </cell>
          <cell r="E1704">
            <v>43874</v>
          </cell>
          <cell r="F1704">
            <v>1603.99</v>
          </cell>
          <cell r="G1704" t="str">
            <v>Demitido em Meses Anteriores</v>
          </cell>
          <cell r="H1704">
            <v>45091</v>
          </cell>
          <cell r="I1704">
            <v>33453</v>
          </cell>
          <cell r="J1704" t="str">
            <v>400.604.888-24</v>
          </cell>
          <cell r="K1704" t="str">
            <v>210.71903.42.1</v>
          </cell>
          <cell r="L1704" t="str">
            <v>Salário Mensal</v>
          </cell>
          <cell r="M1704" t="str">
            <v>Empregado (CLT)</v>
          </cell>
        </row>
        <row r="1705">
          <cell r="D1705" t="str">
            <v>ECOSAMPA Campo Limpo</v>
          </cell>
          <cell r="E1705">
            <v>43617</v>
          </cell>
          <cell r="F1705">
            <v>1603.99</v>
          </cell>
          <cell r="G1705" t="str">
            <v>Em Atividade Normal</v>
          </cell>
          <cell r="H1705">
            <v>45149</v>
          </cell>
          <cell r="I1705">
            <v>32001</v>
          </cell>
          <cell r="J1705" t="str">
            <v>383.732.308-07</v>
          </cell>
          <cell r="K1705" t="str">
            <v>163.70572.40.4</v>
          </cell>
          <cell r="L1705" t="str">
            <v>Salário Mensal</v>
          </cell>
          <cell r="M1705" t="str">
            <v>Empregado (CLT)</v>
          </cell>
        </row>
        <row r="1706">
          <cell r="D1706" t="str">
            <v>ECOSAMPA Campo Limpo</v>
          </cell>
          <cell r="E1706">
            <v>43617</v>
          </cell>
          <cell r="F1706">
            <v>1603.99</v>
          </cell>
          <cell r="G1706" t="str">
            <v>Em Atividade Normal</v>
          </cell>
          <cell r="H1706">
            <v>44806</v>
          </cell>
          <cell r="I1706">
            <v>22248</v>
          </cell>
          <cell r="J1706" t="str">
            <v>035.731.638-07</v>
          </cell>
          <cell r="K1706" t="str">
            <v>107.82906.51.3</v>
          </cell>
          <cell r="L1706" t="str">
            <v>Salário Mensal</v>
          </cell>
          <cell r="M1706" t="str">
            <v>Empregado (CLT)</v>
          </cell>
        </row>
        <row r="1707">
          <cell r="D1707" t="str">
            <v>ECOSAMPA Operação Geral</v>
          </cell>
          <cell r="E1707">
            <v>44613</v>
          </cell>
          <cell r="F1707">
            <v>3050.22</v>
          </cell>
          <cell r="G1707" t="str">
            <v>Em Atividade Normal</v>
          </cell>
          <cell r="H1707">
            <v>45086</v>
          </cell>
          <cell r="I1707">
            <v>31910</v>
          </cell>
          <cell r="J1707" t="str">
            <v>374.649.778-74</v>
          </cell>
          <cell r="K1707" t="str">
            <v>207.24902.91.5</v>
          </cell>
          <cell r="L1707" t="str">
            <v>Salário Mensal</v>
          </cell>
          <cell r="M1707" t="str">
            <v>Empregado (CLT)</v>
          </cell>
        </row>
        <row r="1708">
          <cell r="D1708" t="str">
            <v>ECOSAMPA Capela do Socorro</v>
          </cell>
          <cell r="E1708">
            <v>43619</v>
          </cell>
          <cell r="F1708">
            <v>2610.2399999999998</v>
          </cell>
          <cell r="G1708" t="str">
            <v>Em Atividade Normal</v>
          </cell>
          <cell r="H1708">
            <v>45149</v>
          </cell>
          <cell r="I1708">
            <v>33373</v>
          </cell>
          <cell r="J1708" t="str">
            <v>391.839.098-50</v>
          </cell>
          <cell r="K1708" t="str">
            <v>210.72600.63.5</v>
          </cell>
          <cell r="L1708" t="str">
            <v>Salário Mensal</v>
          </cell>
          <cell r="M1708" t="str">
            <v>Empregado (CLT)</v>
          </cell>
        </row>
        <row r="1709">
          <cell r="D1709" t="str">
            <v>ECOSAMPA Santo Amaro</v>
          </cell>
          <cell r="E1709">
            <v>43617</v>
          </cell>
          <cell r="F1709">
            <v>2072.08</v>
          </cell>
          <cell r="G1709" t="str">
            <v>Demitido em Meses Anteriores</v>
          </cell>
          <cell r="H1709">
            <v>44844</v>
          </cell>
          <cell r="I1709">
            <v>27170</v>
          </cell>
          <cell r="J1709" t="str">
            <v>136.167.108-47</v>
          </cell>
          <cell r="K1709" t="str">
            <v>124.00544.88.5</v>
          </cell>
          <cell r="L1709" t="str">
            <v>Salário Mensal</v>
          </cell>
          <cell r="M1709" t="str">
            <v>Empregado (CLT)</v>
          </cell>
        </row>
        <row r="1710">
          <cell r="D1710" t="str">
            <v>ECOSAMPA Pensionistas</v>
          </cell>
          <cell r="E1710">
            <v>45064</v>
          </cell>
          <cell r="F1710">
            <v>0.01</v>
          </cell>
          <cell r="G1710" t="str">
            <v>Em Atividade Normal</v>
          </cell>
          <cell r="H1710">
            <v>45064</v>
          </cell>
          <cell r="J1710" t="str">
            <v>278.831.488-42</v>
          </cell>
          <cell r="L1710" t="str">
            <v>Nenhuma</v>
          </cell>
          <cell r="M1710" t="str">
            <v>Pensionista</v>
          </cell>
        </row>
        <row r="1711">
          <cell r="D1711" t="str">
            <v>ECOSAMPA Pensionistas</v>
          </cell>
          <cell r="E1711">
            <v>45187</v>
          </cell>
          <cell r="F1711">
            <v>0.01</v>
          </cell>
          <cell r="G1711" t="str">
            <v>Em Atividade Normal</v>
          </cell>
          <cell r="H1711">
            <v>45187</v>
          </cell>
          <cell r="J1711" t="str">
            <v>172.610.888-03</v>
          </cell>
          <cell r="L1711" t="str">
            <v>Nenhuma</v>
          </cell>
          <cell r="M1711" t="str">
            <v>Pensionista</v>
          </cell>
        </row>
        <row r="1712">
          <cell r="D1712" t="str">
            <v>ECOSAMPA Operação Geral</v>
          </cell>
          <cell r="E1712">
            <v>43624</v>
          </cell>
          <cell r="F1712">
            <v>2245.94</v>
          </cell>
          <cell r="G1712" t="str">
            <v>Em Atividade Normal</v>
          </cell>
          <cell r="H1712">
            <v>44960</v>
          </cell>
          <cell r="I1712">
            <v>33539</v>
          </cell>
          <cell r="J1712" t="str">
            <v>422.182.648-70</v>
          </cell>
          <cell r="K1712" t="str">
            <v>164.35195.45.6</v>
          </cell>
          <cell r="L1712" t="str">
            <v>Salário Mensal</v>
          </cell>
          <cell r="M1712" t="str">
            <v>Empregado (CLT)</v>
          </cell>
        </row>
        <row r="1713">
          <cell r="D1713" t="str">
            <v>ECOSAMPA Campo Limpo</v>
          </cell>
          <cell r="E1713">
            <v>43617</v>
          </cell>
          <cell r="F1713">
            <v>1603.99</v>
          </cell>
          <cell r="G1713" t="str">
            <v>Em Atividade Normal</v>
          </cell>
          <cell r="H1713">
            <v>45177</v>
          </cell>
          <cell r="I1713">
            <v>20423</v>
          </cell>
          <cell r="J1713" t="str">
            <v>083.295.378-46</v>
          </cell>
          <cell r="K1713" t="str">
            <v>103.89901.16.1</v>
          </cell>
          <cell r="L1713" t="str">
            <v>Salário Mensal</v>
          </cell>
          <cell r="M1713" t="str">
            <v>Empregado (CLT)</v>
          </cell>
        </row>
        <row r="1714">
          <cell r="D1714" t="str">
            <v>ECOSAMPA Operação Geral</v>
          </cell>
          <cell r="E1714">
            <v>45089</v>
          </cell>
          <cell r="F1714">
            <v>1952.99</v>
          </cell>
          <cell r="G1714" t="str">
            <v>Em Atividade Normal</v>
          </cell>
          <cell r="H1714">
            <v>45089</v>
          </cell>
          <cell r="I1714">
            <v>35658</v>
          </cell>
          <cell r="J1714" t="str">
            <v>058.925.955-52</v>
          </cell>
          <cell r="K1714" t="str">
            <v>164.10552.36.0</v>
          </cell>
          <cell r="L1714" t="str">
            <v>Salário Mensal</v>
          </cell>
          <cell r="M1714" t="str">
            <v>Empregado (CLT)</v>
          </cell>
        </row>
        <row r="1715">
          <cell r="D1715" t="str">
            <v>ECOSAMPA Campo Limpo</v>
          </cell>
          <cell r="E1715">
            <v>44522</v>
          </cell>
          <cell r="F1715">
            <v>1603.99</v>
          </cell>
          <cell r="G1715" t="str">
            <v>Em Atividade Normal</v>
          </cell>
          <cell r="H1715">
            <v>45086</v>
          </cell>
          <cell r="I1715">
            <v>26776</v>
          </cell>
          <cell r="J1715" t="str">
            <v>154.115.298-08</v>
          </cell>
          <cell r="K1715" t="str">
            <v>167.49412.17.4</v>
          </cell>
          <cell r="L1715" t="str">
            <v>Salário Mensal</v>
          </cell>
          <cell r="M1715" t="str">
            <v>Empregado (CLT)</v>
          </cell>
        </row>
        <row r="1716">
          <cell r="D1716" t="str">
            <v>ECOSAMPA Santo Amaro</v>
          </cell>
          <cell r="E1716">
            <v>44791</v>
          </cell>
          <cell r="F1716">
            <v>1603.99</v>
          </cell>
          <cell r="G1716" t="str">
            <v>Demitido em Meses Anteriores</v>
          </cell>
          <cell r="H1716">
            <v>44966</v>
          </cell>
          <cell r="I1716">
            <v>32023</v>
          </cell>
          <cell r="J1716" t="str">
            <v>364.438.318-96</v>
          </cell>
          <cell r="K1716" t="str">
            <v>136.09136.77.3</v>
          </cell>
          <cell r="L1716" t="str">
            <v>Salário Mensal</v>
          </cell>
          <cell r="M1716" t="str">
            <v>Empregado (CLT)</v>
          </cell>
        </row>
        <row r="1717">
          <cell r="D1717" t="str">
            <v>ECOSAMPA Santo Amaro</v>
          </cell>
          <cell r="E1717">
            <v>43617</v>
          </cell>
          <cell r="F1717">
            <v>1319.67</v>
          </cell>
          <cell r="G1717" t="str">
            <v>Demitido em Meses Anteriores</v>
          </cell>
          <cell r="H1717">
            <v>44323</v>
          </cell>
          <cell r="I1717">
            <v>19934</v>
          </cell>
          <cell r="J1717" t="str">
            <v>127.376.348-30</v>
          </cell>
          <cell r="K1717" t="str">
            <v>122.75870.46.8</v>
          </cell>
          <cell r="L1717" t="str">
            <v>Salário Mensal</v>
          </cell>
          <cell r="M1717" t="str">
            <v>Empregado (CLT)</v>
          </cell>
        </row>
        <row r="1718">
          <cell r="D1718" t="str">
            <v>ECOSAMPA Campo Limpo</v>
          </cell>
          <cell r="E1718">
            <v>43617</v>
          </cell>
          <cell r="F1718">
            <v>1603.99</v>
          </cell>
          <cell r="G1718" t="str">
            <v>Em Atividade Normal</v>
          </cell>
          <cell r="H1718">
            <v>45149</v>
          </cell>
          <cell r="I1718">
            <v>25127</v>
          </cell>
          <cell r="J1718" t="str">
            <v>524.901.903-00</v>
          </cell>
          <cell r="K1718" t="str">
            <v>123.60309.47.3</v>
          </cell>
          <cell r="L1718" t="str">
            <v>Salário Mensal</v>
          </cell>
          <cell r="M1718" t="str">
            <v>Empregado (CLT)</v>
          </cell>
        </row>
        <row r="1719">
          <cell r="D1719" t="str">
            <v>ECOSAMPA M'Boi Mirim</v>
          </cell>
          <cell r="E1719">
            <v>43617</v>
          </cell>
          <cell r="F1719">
            <v>1231.95</v>
          </cell>
          <cell r="G1719" t="str">
            <v>Demitido em Meses Anteriores</v>
          </cell>
          <cell r="H1719">
            <v>43703</v>
          </cell>
          <cell r="I1719">
            <v>24447</v>
          </cell>
          <cell r="J1719" t="str">
            <v>228.544.918-66</v>
          </cell>
          <cell r="K1719" t="str">
            <v>123.55523.00.4</v>
          </cell>
          <cell r="L1719" t="str">
            <v>Salário Mensal</v>
          </cell>
          <cell r="M1719" t="str">
            <v>Empregado (CLT)</v>
          </cell>
        </row>
        <row r="1720">
          <cell r="D1720" t="str">
            <v>ECOSAMPA Santo Amaro</v>
          </cell>
          <cell r="E1720">
            <v>43623</v>
          </cell>
          <cell r="F1720">
            <v>3222.08</v>
          </cell>
          <cell r="G1720" t="str">
            <v>Em Atividade Normal</v>
          </cell>
          <cell r="H1720">
            <v>45000</v>
          </cell>
          <cell r="I1720">
            <v>31302</v>
          </cell>
          <cell r="J1720" t="str">
            <v>347.185.878-40</v>
          </cell>
          <cell r="K1720" t="str">
            <v>133.33823.77.1</v>
          </cell>
          <cell r="L1720" t="str">
            <v>Salário Mensal</v>
          </cell>
          <cell r="M1720" t="str">
            <v>Empregado (CLT)</v>
          </cell>
        </row>
        <row r="1721">
          <cell r="D1721" t="str">
            <v>ECOSAMPA Santo Amaro</v>
          </cell>
          <cell r="E1721">
            <v>43617</v>
          </cell>
          <cell r="F1721">
            <v>1603.99</v>
          </cell>
          <cell r="G1721" t="str">
            <v>Em Atividade Normal</v>
          </cell>
          <cell r="H1721">
            <v>45177</v>
          </cell>
          <cell r="I1721">
            <v>22703</v>
          </cell>
          <cell r="J1721" t="str">
            <v>385.272.604-25</v>
          </cell>
          <cell r="K1721" t="str">
            <v>123.81674.49.9</v>
          </cell>
          <cell r="L1721" t="str">
            <v>Salário Mensal</v>
          </cell>
          <cell r="M1721" t="str">
            <v>Empregado (CLT)</v>
          </cell>
        </row>
        <row r="1722">
          <cell r="D1722" t="str">
            <v>ECOSAMPA Santo Amaro</v>
          </cell>
          <cell r="E1722">
            <v>43617</v>
          </cell>
          <cell r="F1722">
            <v>1603.99</v>
          </cell>
          <cell r="G1722" t="str">
            <v>Demitido em Meses Anteriores</v>
          </cell>
          <cell r="H1722">
            <v>45026</v>
          </cell>
          <cell r="I1722">
            <v>23644</v>
          </cell>
          <cell r="J1722" t="str">
            <v>283.180.578-30</v>
          </cell>
          <cell r="K1722" t="str">
            <v>133.81196.60.9</v>
          </cell>
          <cell r="L1722" t="str">
            <v>Salário Mensal</v>
          </cell>
          <cell r="M1722" t="str">
            <v>Empregado (CLT)</v>
          </cell>
        </row>
        <row r="1723">
          <cell r="D1723" t="str">
            <v>ECOSAMPA Campo Limpo</v>
          </cell>
          <cell r="E1723">
            <v>43728</v>
          </cell>
          <cell r="F1723">
            <v>1603.99</v>
          </cell>
          <cell r="G1723" t="str">
            <v>Em Atividade Normal</v>
          </cell>
          <cell r="H1723">
            <v>45086</v>
          </cell>
          <cell r="I1723">
            <v>29812</v>
          </cell>
          <cell r="J1723" t="str">
            <v>322.758.618-58</v>
          </cell>
          <cell r="K1723" t="str">
            <v>135.56069.81.3</v>
          </cell>
          <cell r="L1723" t="str">
            <v>Salário Mensal</v>
          </cell>
          <cell r="M1723" t="str">
            <v>Empregado (CLT)</v>
          </cell>
        </row>
        <row r="1724">
          <cell r="D1724" t="str">
            <v>ECOSAMPA Santo Amaro</v>
          </cell>
          <cell r="E1724">
            <v>44725</v>
          </cell>
          <cell r="F1724">
            <v>1603.99</v>
          </cell>
          <cell r="G1724" t="str">
            <v>Em Atividade Normal</v>
          </cell>
          <cell r="H1724">
            <v>44725</v>
          </cell>
          <cell r="I1724">
            <v>30737</v>
          </cell>
          <cell r="J1724" t="str">
            <v>322.743.728-70</v>
          </cell>
          <cell r="K1724" t="str">
            <v>133.43392.31.5</v>
          </cell>
          <cell r="L1724" t="str">
            <v>Salário Mensal</v>
          </cell>
          <cell r="M1724" t="str">
            <v>Empregado (CLT)</v>
          </cell>
        </row>
        <row r="1725">
          <cell r="D1725" t="str">
            <v>ECOSAMPA Santo Amaro</v>
          </cell>
          <cell r="E1725">
            <v>43617</v>
          </cell>
          <cell r="F1725">
            <v>1603.99</v>
          </cell>
          <cell r="G1725" t="str">
            <v>Em Atividade Normal</v>
          </cell>
          <cell r="H1725">
            <v>44776</v>
          </cell>
          <cell r="I1725">
            <v>23227</v>
          </cell>
          <cell r="J1725" t="str">
            <v>281.352.408-56</v>
          </cell>
          <cell r="K1725" t="str">
            <v>127.44911.93.5</v>
          </cell>
          <cell r="L1725" t="str">
            <v>Salário Mensal</v>
          </cell>
          <cell r="M1725" t="str">
            <v>Empregado (CLT)</v>
          </cell>
        </row>
        <row r="1726">
          <cell r="D1726" t="str">
            <v>ECOSAMPA Santo Amaro</v>
          </cell>
          <cell r="E1726">
            <v>43617</v>
          </cell>
          <cell r="F1726">
            <v>1603.99</v>
          </cell>
          <cell r="G1726" t="str">
            <v>Em Atividade Normal</v>
          </cell>
          <cell r="H1726">
            <v>44806</v>
          </cell>
          <cell r="I1726">
            <v>23092</v>
          </cell>
          <cell r="J1726" t="str">
            <v>023.266.968-67</v>
          </cell>
          <cell r="K1726" t="str">
            <v>120.77456.12.6</v>
          </cell>
          <cell r="L1726" t="str">
            <v>Salário Mensal</v>
          </cell>
          <cell r="M1726" t="str">
            <v>Empregado (CLT)</v>
          </cell>
        </row>
        <row r="1727">
          <cell r="D1727" t="str">
            <v>ECOSAMPA Pensionistas</v>
          </cell>
          <cell r="E1727">
            <v>45190</v>
          </cell>
          <cell r="F1727">
            <v>0.01</v>
          </cell>
          <cell r="G1727" t="str">
            <v>Demitido no Mês</v>
          </cell>
          <cell r="H1727">
            <v>45198</v>
          </cell>
          <cell r="J1727" t="str">
            <v>267.300.988-48</v>
          </cell>
          <cell r="L1727" t="str">
            <v>Nenhuma</v>
          </cell>
          <cell r="M1727" t="str">
            <v>Pensionista</v>
          </cell>
        </row>
        <row r="1728">
          <cell r="D1728" t="str">
            <v>ECOSAMPA Santo Amaro</v>
          </cell>
          <cell r="E1728">
            <v>43617</v>
          </cell>
          <cell r="F1728">
            <v>1231.95</v>
          </cell>
          <cell r="G1728" t="str">
            <v>Demitido em Meses Anteriores</v>
          </cell>
          <cell r="H1728">
            <v>43732</v>
          </cell>
          <cell r="I1728">
            <v>21949</v>
          </cell>
          <cell r="J1728" t="str">
            <v>381.109.078-06</v>
          </cell>
          <cell r="K1728" t="str">
            <v>138.61077.89.1</v>
          </cell>
          <cell r="L1728" t="str">
            <v>Salário Mensal</v>
          </cell>
          <cell r="M1728" t="str">
            <v>Empregado (CLT)</v>
          </cell>
        </row>
        <row r="1729">
          <cell r="D1729" t="str">
            <v>ECOSAMPA Pensionistas</v>
          </cell>
          <cell r="E1729">
            <v>44628</v>
          </cell>
          <cell r="F1729">
            <v>0.01</v>
          </cell>
          <cell r="G1729" t="str">
            <v>Demitido em Meses Anteriores</v>
          </cell>
          <cell r="H1729">
            <v>44697</v>
          </cell>
          <cell r="J1729" t="str">
            <v>431.164.098-62</v>
          </cell>
          <cell r="L1729" t="str">
            <v>Nenhuma</v>
          </cell>
          <cell r="M1729" t="str">
            <v>Pensionista</v>
          </cell>
        </row>
        <row r="1730">
          <cell r="D1730" t="str">
            <v>ECOSAMPA Operação Geral</v>
          </cell>
          <cell r="E1730">
            <v>44144</v>
          </cell>
          <cell r="F1730">
            <v>1600</v>
          </cell>
          <cell r="G1730" t="str">
            <v>Demitido em Meses Anteriores</v>
          </cell>
          <cell r="H1730">
            <v>44712</v>
          </cell>
          <cell r="I1730">
            <v>35473</v>
          </cell>
          <cell r="J1730" t="str">
            <v>447.156.148-04</v>
          </cell>
          <cell r="K1730" t="str">
            <v>267.44985.31.9</v>
          </cell>
          <cell r="L1730" t="str">
            <v>Salário Mensal</v>
          </cell>
          <cell r="M1730" t="str">
            <v>Estagiário</v>
          </cell>
        </row>
        <row r="1731">
          <cell r="D1731" t="str">
            <v>ECOSAMPA Operação Geral</v>
          </cell>
          <cell r="E1731">
            <v>44733</v>
          </cell>
          <cell r="F1731">
            <v>2072.08</v>
          </cell>
          <cell r="G1731" t="str">
            <v>Em Atividade Normal</v>
          </cell>
          <cell r="H1731">
            <v>45134</v>
          </cell>
          <cell r="I1731">
            <v>35473</v>
          </cell>
          <cell r="J1731" t="str">
            <v>447.156.148-04</v>
          </cell>
          <cell r="K1731" t="str">
            <v>267.44985.31.9</v>
          </cell>
          <cell r="L1731" t="str">
            <v>Salário Mensal</v>
          </cell>
          <cell r="M1731" t="str">
            <v>Empregado (CLT)</v>
          </cell>
        </row>
        <row r="1732">
          <cell r="D1732" t="str">
            <v>ECOSAMPA Pensionistas</v>
          </cell>
          <cell r="E1732">
            <v>43800</v>
          </cell>
          <cell r="F1732">
            <v>0.01</v>
          </cell>
          <cell r="G1732" t="str">
            <v>Em Atividade Normal</v>
          </cell>
          <cell r="H1732">
            <v>43800</v>
          </cell>
          <cell r="J1732" t="str">
            <v>296.667.098-30</v>
          </cell>
          <cell r="L1732" t="str">
            <v>Nenhuma</v>
          </cell>
          <cell r="M1732" t="str">
            <v>Pensionista</v>
          </cell>
        </row>
        <row r="1733">
          <cell r="D1733" t="str">
            <v>ECOSAMPA Capela do Socorro</v>
          </cell>
          <cell r="E1733">
            <v>43617</v>
          </cell>
          <cell r="F1733">
            <v>1603.99</v>
          </cell>
          <cell r="G1733" t="str">
            <v>Em Atividade Normal</v>
          </cell>
          <cell r="H1733">
            <v>44835</v>
          </cell>
          <cell r="I1733">
            <v>26124</v>
          </cell>
          <cell r="J1733" t="str">
            <v>019.116.424-05</v>
          </cell>
          <cell r="K1733" t="str">
            <v>160.71497.72.9</v>
          </cell>
          <cell r="L1733" t="str">
            <v>Salário Mensal</v>
          </cell>
          <cell r="M1733" t="str">
            <v>Empregado (CLT)</v>
          </cell>
        </row>
        <row r="1734">
          <cell r="D1734" t="str">
            <v>ECOSAMPA Campo Limpo</v>
          </cell>
          <cell r="E1734">
            <v>43617</v>
          </cell>
          <cell r="F1734">
            <v>1603.99</v>
          </cell>
          <cell r="G1734" t="str">
            <v>Em Atividade Normal</v>
          </cell>
          <cell r="H1734">
            <v>45149</v>
          </cell>
          <cell r="I1734">
            <v>21167</v>
          </cell>
          <cell r="J1734" t="str">
            <v>955.515.498-87</v>
          </cell>
          <cell r="K1734" t="str">
            <v>105.52816.46.6</v>
          </cell>
          <cell r="L1734" t="str">
            <v>Salário Mensal</v>
          </cell>
          <cell r="M1734" t="str">
            <v>Empregado (CLT)</v>
          </cell>
        </row>
        <row r="1735">
          <cell r="D1735" t="str">
            <v>ECOSAMPA Operação Geral</v>
          </cell>
          <cell r="E1735">
            <v>43617</v>
          </cell>
          <cell r="F1735">
            <v>1523.89</v>
          </cell>
          <cell r="G1735" t="str">
            <v>Demitido em Meses Anteriores</v>
          </cell>
          <cell r="H1735">
            <v>43991</v>
          </cell>
          <cell r="I1735">
            <v>24409</v>
          </cell>
          <cell r="J1735" t="str">
            <v>116.239.848-58</v>
          </cell>
          <cell r="K1735" t="str">
            <v>122.60336.33.9</v>
          </cell>
          <cell r="L1735" t="str">
            <v>Salário Mensal</v>
          </cell>
          <cell r="M1735" t="str">
            <v>Empregado (CLT)</v>
          </cell>
        </row>
        <row r="1736">
          <cell r="D1736" t="str">
            <v>ECOSAMPA Santo Amaro</v>
          </cell>
          <cell r="E1736">
            <v>43617</v>
          </cell>
          <cell r="F1736">
            <v>1281.23</v>
          </cell>
          <cell r="G1736" t="str">
            <v>Demitido em Meses Anteriores</v>
          </cell>
          <cell r="H1736">
            <v>43754</v>
          </cell>
          <cell r="I1736">
            <v>24883</v>
          </cell>
          <cell r="J1736" t="str">
            <v>700.126.794-53</v>
          </cell>
          <cell r="K1736" t="str">
            <v>122.87512.22.7</v>
          </cell>
          <cell r="L1736" t="str">
            <v>Salário Mensal</v>
          </cell>
          <cell r="M1736" t="str">
            <v>Empregado (CLT)</v>
          </cell>
        </row>
        <row r="1737">
          <cell r="D1737" t="str">
            <v>ECOSAMPA Operação Geral</v>
          </cell>
          <cell r="E1737">
            <v>43617</v>
          </cell>
          <cell r="F1737">
            <v>2342.7399999999998</v>
          </cell>
          <cell r="G1737" t="str">
            <v>Demitido em Meses Anteriores</v>
          </cell>
          <cell r="H1737">
            <v>43629</v>
          </cell>
          <cell r="I1737">
            <v>26864</v>
          </cell>
          <cell r="J1737" t="str">
            <v>176.169.298-42</v>
          </cell>
          <cell r="K1737" t="str">
            <v>124.57256.12.9</v>
          </cell>
          <cell r="L1737" t="str">
            <v>Salário Mensal</v>
          </cell>
          <cell r="M1737" t="str">
            <v>Empregado (CLT)</v>
          </cell>
        </row>
        <row r="1738">
          <cell r="D1738" t="str">
            <v>ECOSAMPA Operação Geral</v>
          </cell>
          <cell r="E1738">
            <v>44967</v>
          </cell>
          <cell r="F1738">
            <v>1603.99</v>
          </cell>
          <cell r="G1738" t="str">
            <v>Demitido em Meses Anteriores</v>
          </cell>
          <cell r="H1738">
            <v>44981</v>
          </cell>
          <cell r="I1738">
            <v>30091</v>
          </cell>
          <cell r="J1738" t="str">
            <v>226.707.548-21</v>
          </cell>
          <cell r="K1738" t="str">
            <v>130.06213.93.8</v>
          </cell>
          <cell r="L1738" t="str">
            <v>Salário Mensal</v>
          </cell>
          <cell r="M1738" t="str">
            <v>Empregado (CLT)</v>
          </cell>
        </row>
        <row r="1739">
          <cell r="D1739" t="str">
            <v>ECOSAMPA Pensionistas</v>
          </cell>
          <cell r="E1739">
            <v>43647</v>
          </cell>
          <cell r="F1739">
            <v>0.01</v>
          </cell>
          <cell r="G1739" t="str">
            <v>Em Atividade Normal</v>
          </cell>
          <cell r="H1739">
            <v>43647</v>
          </cell>
          <cell r="J1739" t="str">
            <v>152.064.358-64</v>
          </cell>
          <cell r="L1739" t="str">
            <v>Nenhuma</v>
          </cell>
          <cell r="M1739" t="str">
            <v>Pensionista</v>
          </cell>
        </row>
        <row r="1740">
          <cell r="D1740" t="str">
            <v>ECOSAMPA M'Boi Mirim</v>
          </cell>
          <cell r="E1740">
            <v>43617</v>
          </cell>
          <cell r="F1740">
            <v>1603.99</v>
          </cell>
          <cell r="G1740" t="str">
            <v>Em Atividade Normal</v>
          </cell>
          <cell r="H1740">
            <v>44776</v>
          </cell>
          <cell r="I1740">
            <v>32096</v>
          </cell>
          <cell r="J1740" t="str">
            <v>230.383.188-17</v>
          </cell>
          <cell r="K1740" t="str">
            <v>135.51289.85.8</v>
          </cell>
          <cell r="L1740" t="str">
            <v>Salário Mensal</v>
          </cell>
          <cell r="M1740" t="str">
            <v>Empregado (CLT)</v>
          </cell>
        </row>
        <row r="1741">
          <cell r="D1741" t="str">
            <v>ECOSAMPA Santo Amaro</v>
          </cell>
          <cell r="E1741">
            <v>43617</v>
          </cell>
          <cell r="F1741">
            <v>1603.99</v>
          </cell>
          <cell r="G1741" t="str">
            <v>Gozando Férias</v>
          </cell>
          <cell r="H1741">
            <v>45180</v>
          </cell>
          <cell r="I1741">
            <v>25327</v>
          </cell>
          <cell r="J1741" t="str">
            <v>268.800.438-79</v>
          </cell>
          <cell r="K1741" t="str">
            <v>164.36502.18.2</v>
          </cell>
          <cell r="L1741" t="str">
            <v>Salário Mensal</v>
          </cell>
          <cell r="M1741" t="str">
            <v>Empregado (CLT)</v>
          </cell>
        </row>
        <row r="1742">
          <cell r="D1742" t="str">
            <v>ECOSAMPA Santo Amaro</v>
          </cell>
          <cell r="E1742">
            <v>43617</v>
          </cell>
          <cell r="F1742">
            <v>1603.99</v>
          </cell>
          <cell r="G1742" t="str">
            <v>Em Atividade Normal</v>
          </cell>
          <cell r="H1742">
            <v>44776</v>
          </cell>
          <cell r="I1742">
            <v>23510</v>
          </cell>
          <cell r="J1742" t="str">
            <v>052.783.858-63</v>
          </cell>
          <cell r="K1742" t="str">
            <v>121.12437.88.9</v>
          </cell>
          <cell r="L1742" t="str">
            <v>Salário Mensal</v>
          </cell>
          <cell r="M1742" t="str">
            <v>Empregado (CLT)</v>
          </cell>
        </row>
        <row r="1743">
          <cell r="D1743" t="str">
            <v>ECOSAMPA Santo Amaro</v>
          </cell>
          <cell r="E1743">
            <v>43617</v>
          </cell>
          <cell r="F1743">
            <v>1281.23</v>
          </cell>
          <cell r="G1743" t="str">
            <v>Demitido em Meses Anteriores</v>
          </cell>
          <cell r="H1743">
            <v>44033</v>
          </cell>
          <cell r="I1743">
            <v>19915</v>
          </cell>
          <cell r="J1743" t="str">
            <v>132.539.558-77</v>
          </cell>
          <cell r="K1743" t="str">
            <v>106.37187.92.7</v>
          </cell>
          <cell r="L1743" t="str">
            <v>Salário Mensal</v>
          </cell>
          <cell r="M1743" t="str">
            <v>Empregado (CLT)</v>
          </cell>
        </row>
        <row r="1744">
          <cell r="D1744" t="str">
            <v>ECOSAMPA Santo Amaro</v>
          </cell>
          <cell r="E1744">
            <v>43617</v>
          </cell>
          <cell r="F1744">
            <v>1603.99</v>
          </cell>
          <cell r="G1744" t="str">
            <v>Em Atividade Normal</v>
          </cell>
          <cell r="H1744">
            <v>44776</v>
          </cell>
          <cell r="I1744">
            <v>22602</v>
          </cell>
          <cell r="J1744" t="str">
            <v>100.061.968-02</v>
          </cell>
          <cell r="K1744" t="str">
            <v>122.32693.52.1</v>
          </cell>
          <cell r="L1744" t="str">
            <v>Salário Mensal</v>
          </cell>
          <cell r="M1744" t="str">
            <v>Empregado (CLT)</v>
          </cell>
        </row>
        <row r="1745">
          <cell r="D1745" t="str">
            <v>ECOSAMPA Santo Amaro</v>
          </cell>
          <cell r="E1745">
            <v>43874</v>
          </cell>
          <cell r="F1745">
            <v>1464.83</v>
          </cell>
          <cell r="G1745" t="str">
            <v>Demitido em Meses Anteriores</v>
          </cell>
          <cell r="H1745">
            <v>44599</v>
          </cell>
          <cell r="I1745">
            <v>36909</v>
          </cell>
          <cell r="J1745" t="str">
            <v>535.343.648-21</v>
          </cell>
          <cell r="K1745" t="str">
            <v>147.07772.17.6</v>
          </cell>
          <cell r="L1745" t="str">
            <v>Salário Mensal</v>
          </cell>
          <cell r="M1745" t="str">
            <v>Empregado (CLT)</v>
          </cell>
        </row>
        <row r="1746">
          <cell r="D1746" t="str">
            <v>ECOSAMPA Capela do Socorro</v>
          </cell>
          <cell r="E1746">
            <v>43916</v>
          </cell>
          <cell r="F1746">
            <v>1464.83</v>
          </cell>
          <cell r="G1746" t="str">
            <v>Demitido em Meses Anteriores</v>
          </cell>
          <cell r="H1746">
            <v>44694</v>
          </cell>
          <cell r="I1746">
            <v>35972</v>
          </cell>
          <cell r="J1746" t="str">
            <v>438.924.758-14</v>
          </cell>
          <cell r="K1746" t="str">
            <v>164.81184.14.3</v>
          </cell>
          <cell r="L1746" t="str">
            <v>Salário Mensal</v>
          </cell>
          <cell r="M1746" t="str">
            <v>Empregado (CLT)</v>
          </cell>
        </row>
        <row r="1747">
          <cell r="D1747" t="str">
            <v>ECOSAMPA Capela do Socorro</v>
          </cell>
          <cell r="E1747">
            <v>44368</v>
          </cell>
          <cell r="F1747">
            <v>1603.99</v>
          </cell>
          <cell r="G1747" t="str">
            <v>Em Atividade Normal</v>
          </cell>
          <cell r="H1747">
            <v>44993</v>
          </cell>
          <cell r="I1747">
            <v>35317</v>
          </cell>
          <cell r="J1747" t="str">
            <v>450.310.008-48</v>
          </cell>
          <cell r="K1747" t="str">
            <v>207.11622.43.9</v>
          </cell>
          <cell r="L1747" t="str">
            <v>Salário Mensal</v>
          </cell>
          <cell r="M1747" t="str">
            <v>Empregado (CLT)</v>
          </cell>
        </row>
        <row r="1748">
          <cell r="D1748" t="str">
            <v>ECOSAMPA Campo Limpo</v>
          </cell>
          <cell r="E1748">
            <v>43617</v>
          </cell>
          <cell r="F1748">
            <v>1603.99</v>
          </cell>
          <cell r="G1748" t="str">
            <v>Em Atividade Normal</v>
          </cell>
          <cell r="H1748">
            <v>44835</v>
          </cell>
          <cell r="I1748">
            <v>34929</v>
          </cell>
          <cell r="J1748" t="str">
            <v>428.297.708-62</v>
          </cell>
          <cell r="K1748" t="str">
            <v>203.85565.82.2</v>
          </cell>
          <cell r="L1748" t="str">
            <v>Salário Mensal</v>
          </cell>
          <cell r="M1748" t="str">
            <v>Empregado (CLT)</v>
          </cell>
        </row>
        <row r="1749">
          <cell r="D1749" t="str">
            <v>ECOSAMPA Santo Amaro</v>
          </cell>
          <cell r="E1749">
            <v>43617</v>
          </cell>
          <cell r="F1749">
            <v>1603.99</v>
          </cell>
          <cell r="G1749" t="str">
            <v>Em Atividade Normal</v>
          </cell>
          <cell r="H1749">
            <v>44993</v>
          </cell>
          <cell r="I1749">
            <v>34909</v>
          </cell>
          <cell r="J1749" t="str">
            <v>445.124.548-61</v>
          </cell>
          <cell r="K1749" t="str">
            <v>210.71899.68.8</v>
          </cell>
          <cell r="L1749" t="str">
            <v>Salário Mensal</v>
          </cell>
          <cell r="M1749" t="str">
            <v>Empregado (CLT)</v>
          </cell>
        </row>
        <row r="1750">
          <cell r="D1750" t="str">
            <v>ECOSAMPA Capela do Socorro</v>
          </cell>
          <cell r="E1750">
            <v>43617</v>
          </cell>
          <cell r="F1750">
            <v>1603.99</v>
          </cell>
          <cell r="G1750" t="str">
            <v>Em Atividade Normal</v>
          </cell>
          <cell r="H1750">
            <v>44806</v>
          </cell>
          <cell r="I1750">
            <v>36370</v>
          </cell>
          <cell r="J1750" t="str">
            <v>521.490.098-89</v>
          </cell>
          <cell r="K1750" t="str">
            <v>164.46263.60.1</v>
          </cell>
          <cell r="L1750" t="str">
            <v>Salário Mensal</v>
          </cell>
          <cell r="M1750" t="str">
            <v>Empregado (CLT)</v>
          </cell>
        </row>
        <row r="1751">
          <cell r="D1751" t="str">
            <v>ECOSAMPA Parelheiros</v>
          </cell>
          <cell r="E1751">
            <v>44791</v>
          </cell>
          <cell r="F1751">
            <v>1603.99</v>
          </cell>
          <cell r="G1751" t="str">
            <v>Demitido em Meses Anteriores</v>
          </cell>
          <cell r="H1751">
            <v>44988</v>
          </cell>
          <cell r="I1751">
            <v>34229</v>
          </cell>
          <cell r="J1751" t="str">
            <v>420.551.668-16</v>
          </cell>
          <cell r="K1751" t="str">
            <v>236.26080.44.3</v>
          </cell>
          <cell r="L1751" t="str">
            <v>Salário Mensal</v>
          </cell>
          <cell r="M1751" t="str">
            <v>Empregado (CLT)</v>
          </cell>
        </row>
        <row r="1752">
          <cell r="D1752" t="str">
            <v>ECOSAMPA Operação Geral</v>
          </cell>
          <cell r="E1752">
            <v>43617</v>
          </cell>
          <cell r="F1752">
            <v>1464.83</v>
          </cell>
          <cell r="G1752" t="str">
            <v>Demitido em Meses Anteriores</v>
          </cell>
          <cell r="H1752">
            <v>44505</v>
          </cell>
          <cell r="I1752">
            <v>35871</v>
          </cell>
          <cell r="J1752" t="str">
            <v>484.360.448-86</v>
          </cell>
          <cell r="K1752" t="str">
            <v>202.10329.99.2</v>
          </cell>
          <cell r="L1752" t="str">
            <v>Salário Mensal</v>
          </cell>
          <cell r="M1752" t="str">
            <v>Empregado (CLT)</v>
          </cell>
        </row>
        <row r="1753">
          <cell r="D1753" t="str">
            <v>ECOSAMPA Operação Geral</v>
          </cell>
          <cell r="E1753">
            <v>43916</v>
          </cell>
          <cell r="F1753">
            <v>1603.99</v>
          </cell>
          <cell r="G1753" t="str">
            <v>Em Atividade Normal</v>
          </cell>
          <cell r="H1753">
            <v>45177</v>
          </cell>
          <cell r="I1753">
            <v>36721</v>
          </cell>
          <cell r="J1753" t="str">
            <v>509.114.458-70</v>
          </cell>
          <cell r="K1753" t="str">
            <v>164.81180.36.9</v>
          </cell>
          <cell r="L1753" t="str">
            <v>Salário Mensal</v>
          </cell>
          <cell r="M1753" t="str">
            <v>Empregado (CLT)</v>
          </cell>
        </row>
        <row r="1754">
          <cell r="D1754" t="str">
            <v>ECOSAMPA Campo Limpo</v>
          </cell>
          <cell r="E1754">
            <v>44308</v>
          </cell>
          <cell r="F1754">
            <v>1603.99</v>
          </cell>
          <cell r="G1754" t="str">
            <v>Demitido em Meses Anteriores</v>
          </cell>
          <cell r="H1754">
            <v>44935</v>
          </cell>
          <cell r="I1754">
            <v>36579</v>
          </cell>
          <cell r="J1754" t="str">
            <v>496.661.848-77</v>
          </cell>
          <cell r="K1754" t="str">
            <v>131.60146.43.9</v>
          </cell>
          <cell r="L1754" t="str">
            <v>Salário Mensal</v>
          </cell>
          <cell r="M1754" t="str">
            <v>Empregado (CLT)</v>
          </cell>
        </row>
        <row r="1755">
          <cell r="D1755" t="str">
            <v>ECOSAMPA Campo Limpo</v>
          </cell>
          <cell r="E1755">
            <v>43617</v>
          </cell>
          <cell r="F1755">
            <v>1603.99</v>
          </cell>
          <cell r="G1755" t="str">
            <v>Em Atividade Normal</v>
          </cell>
          <cell r="H1755">
            <v>44989</v>
          </cell>
          <cell r="I1755">
            <v>25595</v>
          </cell>
          <cell r="J1755" t="str">
            <v>291.167.458-84</v>
          </cell>
          <cell r="K1755" t="str">
            <v>138.42919.85.8</v>
          </cell>
          <cell r="L1755" t="str">
            <v>Salário Mensal</v>
          </cell>
          <cell r="M1755" t="str">
            <v>Empregado (CLT)</v>
          </cell>
        </row>
        <row r="1756">
          <cell r="D1756" t="str">
            <v>ECOSAMPA Administração</v>
          </cell>
          <cell r="E1756">
            <v>44994</v>
          </cell>
          <cell r="F1756">
            <v>1952.99</v>
          </cell>
          <cell r="G1756" t="str">
            <v>Em Atividade Normal</v>
          </cell>
          <cell r="H1756">
            <v>44994</v>
          </cell>
          <cell r="I1756">
            <v>37143</v>
          </cell>
          <cell r="J1756" t="str">
            <v>504.133.088-39</v>
          </cell>
          <cell r="K1756" t="str">
            <v>137.32953.21.0</v>
          </cell>
          <cell r="L1756" t="str">
            <v>Salário Mensal</v>
          </cell>
          <cell r="M1756" t="str">
            <v>Empregado (CLT)</v>
          </cell>
        </row>
        <row r="1757">
          <cell r="D1757" t="str">
            <v>ECOSAMPA Campo Limpo</v>
          </cell>
          <cell r="E1757">
            <v>43804</v>
          </cell>
          <cell r="F1757">
            <v>1603.99</v>
          </cell>
          <cell r="G1757" t="str">
            <v>Em Atividade Normal</v>
          </cell>
          <cell r="H1757">
            <v>45086</v>
          </cell>
          <cell r="I1757">
            <v>27077</v>
          </cell>
          <cell r="J1757" t="str">
            <v>125.815.138-37</v>
          </cell>
          <cell r="K1757" t="str">
            <v>122.97844.24.9</v>
          </cell>
          <cell r="L1757" t="str">
            <v>Salário Mensal</v>
          </cell>
          <cell r="M1757" t="str">
            <v>Empregado (CLT)</v>
          </cell>
        </row>
        <row r="1758">
          <cell r="D1758" t="str">
            <v>ECOSAMPA M'Boi Mirim</v>
          </cell>
          <cell r="E1758">
            <v>44368</v>
          </cell>
          <cell r="F1758">
            <v>1603.99</v>
          </cell>
          <cell r="G1758" t="str">
            <v>Em Atividade Normal</v>
          </cell>
          <cell r="H1758">
            <v>45056</v>
          </cell>
          <cell r="I1758">
            <v>25967</v>
          </cell>
          <cell r="J1758" t="str">
            <v>226.123.048-60</v>
          </cell>
          <cell r="K1758" t="str">
            <v>129.45934.16.9</v>
          </cell>
          <cell r="L1758" t="str">
            <v>Salário Mensal</v>
          </cell>
          <cell r="M1758" t="str">
            <v>Empregado (CLT)</v>
          </cell>
        </row>
        <row r="1759">
          <cell r="D1759" t="str">
            <v>ECOSAMPA M'Boi Mirim</v>
          </cell>
          <cell r="E1759">
            <v>43617</v>
          </cell>
          <cell r="F1759">
            <v>1603.99</v>
          </cell>
          <cell r="G1759" t="str">
            <v>Em Atividade Normal</v>
          </cell>
          <cell r="H1759">
            <v>44806</v>
          </cell>
          <cell r="I1759">
            <v>30637</v>
          </cell>
          <cell r="J1759" t="str">
            <v>316.089.268-93</v>
          </cell>
          <cell r="K1759" t="str">
            <v>132.61168.81.0</v>
          </cell>
          <cell r="L1759" t="str">
            <v>Salário Mensal</v>
          </cell>
          <cell r="M1759" t="str">
            <v>Empregado (CLT)</v>
          </cell>
        </row>
        <row r="1760">
          <cell r="D1760" t="str">
            <v>ECOSAMPA Operação Geral</v>
          </cell>
          <cell r="E1760">
            <v>43874</v>
          </cell>
          <cell r="F1760">
            <v>2436.4499999999998</v>
          </cell>
          <cell r="G1760" t="str">
            <v>Demitido em Meses Anteriores</v>
          </cell>
          <cell r="H1760">
            <v>43888</v>
          </cell>
          <cell r="I1760">
            <v>21901</v>
          </cell>
          <cell r="J1760" t="str">
            <v>029.546.978-14</v>
          </cell>
          <cell r="K1760" t="str">
            <v>108.80913.05.0</v>
          </cell>
          <cell r="L1760" t="str">
            <v>Salário Mensal</v>
          </cell>
          <cell r="M1760" t="str">
            <v>Empregado (CLT)</v>
          </cell>
        </row>
        <row r="1761">
          <cell r="D1761" t="str">
            <v>ECOSAMPA Operação Geral</v>
          </cell>
          <cell r="E1761">
            <v>43916</v>
          </cell>
          <cell r="F1761">
            <v>2436.4499999999998</v>
          </cell>
          <cell r="G1761" t="str">
            <v>Demitido em Meses Anteriores</v>
          </cell>
          <cell r="H1761">
            <v>43977</v>
          </cell>
          <cell r="I1761">
            <v>21901</v>
          </cell>
          <cell r="J1761" t="str">
            <v>029.546.978-14</v>
          </cell>
          <cell r="K1761" t="str">
            <v>108.80913.05.0</v>
          </cell>
          <cell r="L1761" t="str">
            <v>Salário Mensal</v>
          </cell>
          <cell r="M1761" t="str">
            <v>Empregado (CLT)</v>
          </cell>
        </row>
        <row r="1762">
          <cell r="D1762" t="str">
            <v>ECOSAMPA Santo Amaro</v>
          </cell>
          <cell r="E1762">
            <v>43728</v>
          </cell>
          <cell r="F1762">
            <v>1464.83</v>
          </cell>
          <cell r="G1762" t="str">
            <v>Demitido em Meses Anteriores</v>
          </cell>
          <cell r="H1762">
            <v>44697</v>
          </cell>
          <cell r="I1762">
            <v>29680</v>
          </cell>
          <cell r="J1762" t="str">
            <v>322.715.998-81</v>
          </cell>
          <cell r="K1762" t="str">
            <v>135.96981.89.0</v>
          </cell>
          <cell r="L1762" t="str">
            <v>Salário Mensal</v>
          </cell>
          <cell r="M1762" t="str">
            <v>Empregado (CLT)</v>
          </cell>
        </row>
        <row r="1763">
          <cell r="D1763" t="str">
            <v>ECOSAMPA Campo Limpo</v>
          </cell>
          <cell r="E1763">
            <v>43617</v>
          </cell>
          <cell r="F1763">
            <v>1603.99</v>
          </cell>
          <cell r="G1763" t="str">
            <v>Em Atividade Normal</v>
          </cell>
          <cell r="H1763">
            <v>45119</v>
          </cell>
          <cell r="I1763">
            <v>25643</v>
          </cell>
          <cell r="J1763" t="str">
            <v>117.845.288-38</v>
          </cell>
          <cell r="K1763" t="str">
            <v>124.21951.73.0</v>
          </cell>
          <cell r="L1763" t="str">
            <v>Salário Mensal</v>
          </cell>
          <cell r="M1763" t="str">
            <v>Empregado (CLT)</v>
          </cell>
        </row>
        <row r="1764">
          <cell r="D1764" t="str">
            <v>ECOSAMPA Administração</v>
          </cell>
          <cell r="E1764">
            <v>43617</v>
          </cell>
          <cell r="F1764">
            <v>3549.37</v>
          </cell>
          <cell r="G1764" t="str">
            <v>Em Atividade Normal</v>
          </cell>
          <cell r="H1764">
            <v>44898</v>
          </cell>
          <cell r="I1764">
            <v>27583</v>
          </cell>
          <cell r="J1764" t="str">
            <v>258.368.888-09</v>
          </cell>
          <cell r="K1764" t="str">
            <v>123.90969.53.6</v>
          </cell>
          <cell r="L1764" t="str">
            <v>Salário Mensal</v>
          </cell>
          <cell r="M1764" t="str">
            <v>Empregado (CLT)</v>
          </cell>
        </row>
        <row r="1765">
          <cell r="D1765" t="str">
            <v>ECOSAMPA Operação Geral</v>
          </cell>
          <cell r="E1765">
            <v>43930</v>
          </cell>
          <cell r="F1765">
            <v>1603.99</v>
          </cell>
          <cell r="G1765" t="str">
            <v>Em Atividade Normal</v>
          </cell>
          <cell r="H1765">
            <v>44715</v>
          </cell>
          <cell r="I1765">
            <v>31221</v>
          </cell>
          <cell r="J1765" t="str">
            <v>374.204.898-82</v>
          </cell>
          <cell r="K1765" t="str">
            <v>137.89760.85.3</v>
          </cell>
          <cell r="L1765" t="str">
            <v>Salário Mensal</v>
          </cell>
          <cell r="M1765" t="str">
            <v>Empregado (CLT)</v>
          </cell>
        </row>
        <row r="1766">
          <cell r="D1766" t="str">
            <v>ECOSAMPA Santo Amaro</v>
          </cell>
          <cell r="E1766">
            <v>43874</v>
          </cell>
          <cell r="F1766">
            <v>1281.23</v>
          </cell>
          <cell r="G1766" t="str">
            <v>Demitido em Meses Anteriores</v>
          </cell>
          <cell r="H1766">
            <v>43888</v>
          </cell>
          <cell r="I1766">
            <v>24767</v>
          </cell>
          <cell r="J1766" t="str">
            <v>158.023.518-29</v>
          </cell>
          <cell r="K1766" t="str">
            <v>123.07634.63.2</v>
          </cell>
          <cell r="L1766" t="str">
            <v>Salário Mensal</v>
          </cell>
          <cell r="M1766" t="str">
            <v>Empregado (CLT)</v>
          </cell>
        </row>
        <row r="1767">
          <cell r="D1767" t="str">
            <v>ECOSAMPA Parelheiros</v>
          </cell>
          <cell r="E1767">
            <v>43874</v>
          </cell>
          <cell r="F1767">
            <v>1603.99</v>
          </cell>
          <cell r="G1767" t="str">
            <v>Em Atividade Normal</v>
          </cell>
          <cell r="H1767">
            <v>45080</v>
          </cell>
          <cell r="I1767">
            <v>35959</v>
          </cell>
          <cell r="J1767" t="str">
            <v>480.316.928-40</v>
          </cell>
          <cell r="K1767" t="str">
            <v>212.94279.96.5</v>
          </cell>
          <cell r="L1767" t="str">
            <v>Salário Mensal</v>
          </cell>
          <cell r="M1767" t="str">
            <v>Empregado (CLT)</v>
          </cell>
        </row>
        <row r="1768">
          <cell r="D1768" t="str">
            <v>ECOSAMPA Santo Amaro</v>
          </cell>
          <cell r="E1768">
            <v>44207</v>
          </cell>
          <cell r="F1768">
            <v>1603.99</v>
          </cell>
          <cell r="G1768" t="str">
            <v>Em Atividade Normal</v>
          </cell>
          <cell r="H1768">
            <v>45177</v>
          </cell>
          <cell r="I1768">
            <v>29961</v>
          </cell>
          <cell r="J1768" t="str">
            <v>327.523.918-03</v>
          </cell>
          <cell r="K1768" t="str">
            <v>201.15778.59.9</v>
          </cell>
          <cell r="L1768" t="str">
            <v>Salário Mensal</v>
          </cell>
          <cell r="M1768" t="str">
            <v>Empregado (CLT)</v>
          </cell>
        </row>
        <row r="1769">
          <cell r="D1769" t="str">
            <v>ECOSAMPA Santo Amaro</v>
          </cell>
          <cell r="E1769">
            <v>43788</v>
          </cell>
          <cell r="F1769">
            <v>3222.08</v>
          </cell>
          <cell r="G1769" t="str">
            <v>Demitido em Meses Anteriores</v>
          </cell>
          <cell r="H1769">
            <v>45091</v>
          </cell>
          <cell r="I1769">
            <v>30601</v>
          </cell>
          <cell r="J1769" t="str">
            <v>313.538.688-00</v>
          </cell>
          <cell r="K1769" t="str">
            <v>127.95542.93.7</v>
          </cell>
          <cell r="L1769" t="str">
            <v>Salário Mensal</v>
          </cell>
          <cell r="M1769" t="str">
            <v>Empregado (CLT)</v>
          </cell>
        </row>
        <row r="1770">
          <cell r="D1770" t="str">
            <v>ECOSAMPA Operação Geral</v>
          </cell>
          <cell r="E1770">
            <v>44419</v>
          </cell>
          <cell r="F1770">
            <v>1603.99</v>
          </cell>
          <cell r="G1770" t="str">
            <v>Gozando Férias</v>
          </cell>
          <cell r="H1770">
            <v>45180</v>
          </cell>
          <cell r="I1770">
            <v>37476</v>
          </cell>
          <cell r="J1770" t="str">
            <v>534.662.458-93</v>
          </cell>
          <cell r="K1770" t="str">
            <v>131.60856.57.6</v>
          </cell>
          <cell r="L1770" t="str">
            <v>Salário Mensal</v>
          </cell>
          <cell r="M1770" t="str">
            <v>Empregado (CLT)</v>
          </cell>
        </row>
        <row r="1771">
          <cell r="D1771" t="str">
            <v>ECOSAMPA Santo Amaro</v>
          </cell>
          <cell r="E1771">
            <v>43617</v>
          </cell>
          <cell r="F1771">
            <v>1603.99</v>
          </cell>
          <cell r="G1771" t="str">
            <v>Demitido em Meses Anteriores</v>
          </cell>
          <cell r="H1771">
            <v>44935</v>
          </cell>
          <cell r="I1771">
            <v>36457</v>
          </cell>
          <cell r="J1771" t="str">
            <v>495.616.088-71</v>
          </cell>
          <cell r="K1771" t="str">
            <v>228.16258.04.0</v>
          </cell>
          <cell r="L1771" t="str">
            <v>Salário Mensal</v>
          </cell>
          <cell r="M1771" t="str">
            <v>Empregado (CLT)</v>
          </cell>
        </row>
        <row r="1772">
          <cell r="D1772" t="str">
            <v>ECOSAMPA Operação Geral</v>
          </cell>
          <cell r="E1772">
            <v>44967</v>
          </cell>
          <cell r="F1772">
            <v>1603.99</v>
          </cell>
          <cell r="G1772" t="str">
            <v>Demitido em Meses Anteriores</v>
          </cell>
          <cell r="H1772">
            <v>44981</v>
          </cell>
          <cell r="I1772">
            <v>26652</v>
          </cell>
          <cell r="J1772" t="str">
            <v>187.053.308-90</v>
          </cell>
          <cell r="K1772" t="str">
            <v>124.85720.79.9</v>
          </cell>
          <cell r="L1772" t="str">
            <v>Salário Mensal</v>
          </cell>
          <cell r="M1772" t="str">
            <v>Empregado (CLT)</v>
          </cell>
        </row>
        <row r="1773">
          <cell r="D1773" t="str">
            <v>ECOSAMPA Capela do Socorro</v>
          </cell>
          <cell r="E1773">
            <v>43617</v>
          </cell>
          <cell r="F1773">
            <v>1603.99</v>
          </cell>
          <cell r="G1773" t="str">
            <v>Em Atividade Normal</v>
          </cell>
          <cell r="H1773">
            <v>44806</v>
          </cell>
          <cell r="I1773">
            <v>36317</v>
          </cell>
          <cell r="J1773" t="str">
            <v>505.295.078-03</v>
          </cell>
          <cell r="K1773" t="str">
            <v>238.08162.10.0</v>
          </cell>
          <cell r="L1773" t="str">
            <v>Salário Mensal</v>
          </cell>
          <cell r="M1773" t="str">
            <v>Empregado (CLT)</v>
          </cell>
        </row>
        <row r="1774">
          <cell r="D1774" t="str">
            <v>ECOSAMPA Operação Geral</v>
          </cell>
          <cell r="E1774">
            <v>44967</v>
          </cell>
          <cell r="F1774">
            <v>1603.99</v>
          </cell>
          <cell r="G1774" t="str">
            <v>Demitido em Meses Anteriores</v>
          </cell>
          <cell r="H1774">
            <v>44981</v>
          </cell>
          <cell r="I1774">
            <v>33236</v>
          </cell>
          <cell r="J1774" t="str">
            <v>390.035.798-65</v>
          </cell>
          <cell r="K1774" t="str">
            <v>210.72645.90.6</v>
          </cell>
          <cell r="L1774" t="str">
            <v>Salário Mensal</v>
          </cell>
          <cell r="M1774" t="str">
            <v>Empregado (CLT)</v>
          </cell>
        </row>
        <row r="1775">
          <cell r="D1775" t="str">
            <v>ECOSAMPA Campo Limpo</v>
          </cell>
          <cell r="E1775">
            <v>43617</v>
          </cell>
          <cell r="F1775">
            <v>1603.99</v>
          </cell>
          <cell r="G1775" t="str">
            <v>Em Atividade Normal</v>
          </cell>
          <cell r="H1775">
            <v>44930</v>
          </cell>
          <cell r="I1775">
            <v>33271</v>
          </cell>
          <cell r="J1775" t="str">
            <v>397.285.938-48</v>
          </cell>
          <cell r="K1775" t="str">
            <v>210.72002.87.8</v>
          </cell>
          <cell r="L1775" t="str">
            <v>Salário Mensal</v>
          </cell>
          <cell r="M1775" t="str">
            <v>Empregado (CLT)</v>
          </cell>
        </row>
        <row r="1776">
          <cell r="D1776" t="str">
            <v>ECOSAMPA Operação Geral</v>
          </cell>
          <cell r="E1776">
            <v>43617</v>
          </cell>
          <cell r="F1776">
            <v>1523.89</v>
          </cell>
          <cell r="G1776" t="str">
            <v>Demitido em Meses Anteriores</v>
          </cell>
          <cell r="H1776">
            <v>43974</v>
          </cell>
          <cell r="I1776">
            <v>34087</v>
          </cell>
          <cell r="J1776" t="str">
            <v>429.001.198-55</v>
          </cell>
          <cell r="K1776" t="str">
            <v>165.70809.03.3</v>
          </cell>
          <cell r="L1776" t="str">
            <v>Salário Mensal</v>
          </cell>
          <cell r="M1776" t="str">
            <v>Empregado (CLT)</v>
          </cell>
        </row>
        <row r="1777">
          <cell r="D1777" t="str">
            <v>ECOSAMPA M'Boi Mirim</v>
          </cell>
          <cell r="E1777">
            <v>43617</v>
          </cell>
          <cell r="F1777">
            <v>1603.99</v>
          </cell>
          <cell r="G1777" t="str">
            <v>Em Atividade Normal</v>
          </cell>
          <cell r="H1777">
            <v>44898</v>
          </cell>
          <cell r="I1777">
            <v>36067</v>
          </cell>
          <cell r="J1777" t="str">
            <v>420.567.478-39</v>
          </cell>
          <cell r="K1777" t="str">
            <v>209.78666.76.8</v>
          </cell>
          <cell r="L1777" t="str">
            <v>Salário Mensal</v>
          </cell>
          <cell r="M1777" t="str">
            <v>Empregado (CLT)</v>
          </cell>
        </row>
        <row r="1778">
          <cell r="D1778" t="str">
            <v>ECOSAMPA Operação Geral</v>
          </cell>
          <cell r="E1778">
            <v>44760</v>
          </cell>
          <cell r="F1778">
            <v>1603.99</v>
          </cell>
          <cell r="G1778" t="str">
            <v>Em Atividade Normal</v>
          </cell>
          <cell r="H1778">
            <v>44760</v>
          </cell>
          <cell r="I1778">
            <v>37299</v>
          </cell>
          <cell r="J1778" t="str">
            <v>510.660.638-18</v>
          </cell>
          <cell r="K1778" t="str">
            <v>206.87322.10.8</v>
          </cell>
          <cell r="L1778" t="str">
            <v>Salário Mensal</v>
          </cell>
          <cell r="M1778" t="str">
            <v>Empregado (CLT)</v>
          </cell>
        </row>
        <row r="1779">
          <cell r="D1779" t="str">
            <v>ECOSAMPA Operação Geral</v>
          </cell>
          <cell r="E1779">
            <v>43617</v>
          </cell>
          <cell r="F1779">
            <v>3050.22</v>
          </cell>
          <cell r="G1779" t="str">
            <v>Em Atividade Normal</v>
          </cell>
          <cell r="H1779">
            <v>44867</v>
          </cell>
          <cell r="I1779">
            <v>31011</v>
          </cell>
          <cell r="J1779" t="str">
            <v>329.212.988-56</v>
          </cell>
          <cell r="K1779" t="str">
            <v>136.08939.89.9</v>
          </cell>
          <cell r="L1779" t="str">
            <v>Salário Mensal</v>
          </cell>
          <cell r="M1779" t="str">
            <v>Empregado (CLT)</v>
          </cell>
        </row>
        <row r="1780">
          <cell r="D1780" t="str">
            <v>ECOSAMPA Campo Limpo</v>
          </cell>
          <cell r="E1780">
            <v>44994</v>
          </cell>
          <cell r="F1780">
            <v>1603.99</v>
          </cell>
          <cell r="G1780" t="str">
            <v>Demitido no Mês</v>
          </cell>
          <cell r="H1780">
            <v>45188</v>
          </cell>
          <cell r="I1780">
            <v>30862</v>
          </cell>
          <cell r="J1780" t="str">
            <v>220.974.898-42</v>
          </cell>
          <cell r="K1780" t="str">
            <v>207.26127.40.4</v>
          </cell>
          <cell r="L1780" t="str">
            <v>Salário Mensal</v>
          </cell>
          <cell r="M1780" t="str">
            <v>Empregado (CLT)</v>
          </cell>
        </row>
        <row r="1781">
          <cell r="D1781" t="str">
            <v>ECOSAMPA Operação Geral</v>
          </cell>
          <cell r="E1781">
            <v>45089</v>
          </cell>
          <cell r="F1781">
            <v>1603.99</v>
          </cell>
          <cell r="G1781" t="str">
            <v>Demitido no Mês</v>
          </cell>
          <cell r="H1781">
            <v>45174</v>
          </cell>
          <cell r="I1781">
            <v>28360</v>
          </cell>
          <cell r="J1781" t="str">
            <v>278.709.338-80</v>
          </cell>
          <cell r="K1781" t="str">
            <v>126.91967.81.8</v>
          </cell>
          <cell r="L1781" t="str">
            <v>Salário Mensal</v>
          </cell>
          <cell r="M1781" t="str">
            <v>Empregado (CLT)</v>
          </cell>
        </row>
        <row r="1782">
          <cell r="D1782" t="str">
            <v>ECOSAMPA Santo Amaro</v>
          </cell>
          <cell r="E1782">
            <v>44419</v>
          </cell>
          <cell r="F1782">
            <v>1603.99</v>
          </cell>
          <cell r="G1782" t="str">
            <v>Em Atividade Normal</v>
          </cell>
          <cell r="H1782">
            <v>44960</v>
          </cell>
          <cell r="I1782">
            <v>29305</v>
          </cell>
          <cell r="J1782" t="str">
            <v>224.659.668-80</v>
          </cell>
          <cell r="K1782" t="str">
            <v>130.00428.85.1</v>
          </cell>
          <cell r="L1782" t="str">
            <v>Salário Mensal</v>
          </cell>
          <cell r="M1782" t="str">
            <v>Empregado (CLT)</v>
          </cell>
        </row>
        <row r="1783">
          <cell r="D1783" t="str">
            <v>ECOSAMPA Pensionistas</v>
          </cell>
          <cell r="E1783">
            <v>43822</v>
          </cell>
          <cell r="F1783">
            <v>0.01</v>
          </cell>
          <cell r="G1783" t="str">
            <v>Demitido em Meses Anteriores</v>
          </cell>
          <cell r="H1783">
            <v>43962</v>
          </cell>
          <cell r="J1783" t="str">
            <v>432.059.038-46</v>
          </cell>
          <cell r="L1783" t="str">
            <v>Nenhuma</v>
          </cell>
          <cell r="M1783" t="str">
            <v>Pensionista</v>
          </cell>
        </row>
        <row r="1784">
          <cell r="D1784" t="str">
            <v>ECOSAMPA Capela do Socorro</v>
          </cell>
          <cell r="E1784">
            <v>43617</v>
          </cell>
          <cell r="F1784">
            <v>1603.99</v>
          </cell>
          <cell r="G1784" t="str">
            <v>Em Atividade Normal</v>
          </cell>
          <cell r="H1784">
            <v>45149</v>
          </cell>
          <cell r="I1784">
            <v>22584</v>
          </cell>
          <cell r="J1784" t="str">
            <v>837.074.766-34</v>
          </cell>
          <cell r="K1784" t="str">
            <v>120.45380.75.2</v>
          </cell>
          <cell r="L1784" t="str">
            <v>Salário Mensal</v>
          </cell>
          <cell r="M1784" t="str">
            <v>Empregado (CLT)</v>
          </cell>
        </row>
        <row r="1785">
          <cell r="D1785" t="str">
            <v>ECOSAMPA Operação Geral</v>
          </cell>
          <cell r="E1785">
            <v>43617</v>
          </cell>
          <cell r="F1785">
            <v>1603.99</v>
          </cell>
          <cell r="G1785" t="str">
            <v>Em Atividade Normal</v>
          </cell>
          <cell r="H1785">
            <v>44744</v>
          </cell>
          <cell r="I1785">
            <v>20555</v>
          </cell>
          <cell r="J1785" t="str">
            <v>011.761.838-18</v>
          </cell>
          <cell r="K1785" t="str">
            <v>107.29904.27.7</v>
          </cell>
          <cell r="L1785" t="str">
            <v>Salário Mensal</v>
          </cell>
          <cell r="M1785" t="str">
            <v>Empregado (CLT)</v>
          </cell>
        </row>
        <row r="1786">
          <cell r="D1786" t="str">
            <v>ECOSAMPA Operação Geral</v>
          </cell>
          <cell r="E1786">
            <v>43617</v>
          </cell>
          <cell r="F1786">
            <v>1603.99</v>
          </cell>
          <cell r="G1786" t="str">
            <v>Demitido em Meses Anteriores</v>
          </cell>
          <cell r="H1786">
            <v>45034</v>
          </cell>
          <cell r="I1786">
            <v>36046</v>
          </cell>
          <cell r="J1786" t="str">
            <v>464.987.198-00</v>
          </cell>
          <cell r="K1786" t="str">
            <v>125.84486.46.8</v>
          </cell>
          <cell r="L1786" t="str">
            <v>Salário Mensal</v>
          </cell>
          <cell r="M1786" t="str">
            <v>Empregado (CLT)</v>
          </cell>
        </row>
        <row r="1787">
          <cell r="D1787" t="str">
            <v>ECOSAMPA Capela do Socorro</v>
          </cell>
          <cell r="E1787">
            <v>43617</v>
          </cell>
          <cell r="F1787">
            <v>1603.99</v>
          </cell>
          <cell r="G1787" t="str">
            <v>Em Atividade Normal</v>
          </cell>
          <cell r="H1787">
            <v>44835</v>
          </cell>
          <cell r="I1787">
            <v>23731</v>
          </cell>
          <cell r="J1787" t="str">
            <v>073.013.268-40</v>
          </cell>
          <cell r="K1787" t="str">
            <v>123.40289.26.4</v>
          </cell>
          <cell r="L1787" t="str">
            <v>Salário Mensal</v>
          </cell>
          <cell r="M1787" t="str">
            <v>Empregado (CLT)</v>
          </cell>
        </row>
        <row r="1788">
          <cell r="D1788" t="str">
            <v>ECOSAMPA Parelheiros</v>
          </cell>
          <cell r="E1788">
            <v>43617</v>
          </cell>
          <cell r="F1788">
            <v>1603.99</v>
          </cell>
          <cell r="G1788" t="str">
            <v>Demitido em Meses Anteriores</v>
          </cell>
          <cell r="H1788">
            <v>44872</v>
          </cell>
          <cell r="I1788">
            <v>23516</v>
          </cell>
          <cell r="J1788" t="str">
            <v>022.924.078-09</v>
          </cell>
          <cell r="K1788" t="str">
            <v>120.87291.21.9</v>
          </cell>
          <cell r="L1788" t="str">
            <v>Salário Mensal</v>
          </cell>
          <cell r="M1788" t="str">
            <v>Empregado (CLT)</v>
          </cell>
        </row>
        <row r="1789">
          <cell r="D1789" t="str">
            <v>ECOSAMPA Campo Limpo</v>
          </cell>
          <cell r="E1789">
            <v>43617</v>
          </cell>
          <cell r="F1789">
            <v>1603.99</v>
          </cell>
          <cell r="G1789" t="str">
            <v>Em Atividade Normal</v>
          </cell>
          <cell r="H1789">
            <v>45056</v>
          </cell>
          <cell r="I1789">
            <v>26307</v>
          </cell>
          <cell r="J1789" t="str">
            <v>183.005.898-30</v>
          </cell>
          <cell r="K1789" t="str">
            <v>124.64939.41.4</v>
          </cell>
          <cell r="L1789" t="str">
            <v>Salário Mensal</v>
          </cell>
          <cell r="M1789" t="str">
            <v>Empregado (CLT)</v>
          </cell>
        </row>
        <row r="1790">
          <cell r="D1790" t="str">
            <v>ECOSAMPA Santo Amaro</v>
          </cell>
          <cell r="E1790">
            <v>43874</v>
          </cell>
          <cell r="F1790">
            <v>1603.99</v>
          </cell>
          <cell r="G1790" t="str">
            <v>Gozando Férias</v>
          </cell>
          <cell r="H1790">
            <v>45180</v>
          </cell>
          <cell r="I1790">
            <v>27074</v>
          </cell>
          <cell r="J1790" t="str">
            <v>191.156.928-76</v>
          </cell>
          <cell r="K1790" t="str">
            <v>125.20062.37.3</v>
          </cell>
          <cell r="L1790" t="str">
            <v>Salário Mensal</v>
          </cell>
          <cell r="M1790" t="str">
            <v>Empregado (CLT)</v>
          </cell>
        </row>
        <row r="1791">
          <cell r="D1791" t="str">
            <v>ECOSAMPA Pensionistas</v>
          </cell>
          <cell r="E1791">
            <v>44025</v>
          </cell>
          <cell r="F1791">
            <v>0.01</v>
          </cell>
          <cell r="G1791" t="str">
            <v>Em Atividade Normal</v>
          </cell>
          <cell r="H1791">
            <v>44025</v>
          </cell>
          <cell r="J1791" t="str">
            <v>334.788.468-03</v>
          </cell>
          <cell r="L1791" t="str">
            <v>Nenhuma</v>
          </cell>
          <cell r="M1791" t="str">
            <v>Pensionista</v>
          </cell>
        </row>
        <row r="1792">
          <cell r="D1792" t="str">
            <v>ECOSAMPA Santo Amaro</v>
          </cell>
          <cell r="E1792">
            <v>43617</v>
          </cell>
          <cell r="F1792">
            <v>1603.99</v>
          </cell>
          <cell r="G1792" t="str">
            <v>Em Atividade Normal</v>
          </cell>
          <cell r="H1792">
            <v>44806</v>
          </cell>
          <cell r="I1792">
            <v>31088</v>
          </cell>
          <cell r="J1792" t="str">
            <v>357.287.358-43</v>
          </cell>
          <cell r="K1792" t="str">
            <v>134.86986.77.4</v>
          </cell>
          <cell r="L1792" t="str">
            <v>Salário Mensal</v>
          </cell>
          <cell r="M1792" t="str">
            <v>Empregado (CLT)</v>
          </cell>
        </row>
        <row r="1793">
          <cell r="D1793" t="str">
            <v>ECOSAMPA Campo Limpo</v>
          </cell>
          <cell r="E1793">
            <v>43617</v>
          </cell>
          <cell r="F1793">
            <v>1603.99</v>
          </cell>
          <cell r="G1793" t="str">
            <v>Em Atividade Normal</v>
          </cell>
          <cell r="H1793">
            <v>44898</v>
          </cell>
          <cell r="I1793">
            <v>28094</v>
          </cell>
          <cell r="J1793" t="str">
            <v>270.484.158-60</v>
          </cell>
          <cell r="K1793" t="str">
            <v>127.87021.89.3</v>
          </cell>
          <cell r="L1793" t="str">
            <v>Salário Mensal</v>
          </cell>
          <cell r="M1793" t="str">
            <v>Empregado (CLT)</v>
          </cell>
        </row>
        <row r="1794">
          <cell r="D1794" t="str">
            <v>ECOSAMPA Santo Amaro</v>
          </cell>
          <cell r="E1794">
            <v>44207</v>
          </cell>
          <cell r="F1794">
            <v>1603.99</v>
          </cell>
          <cell r="G1794" t="str">
            <v>Demitido em Meses Anteriores</v>
          </cell>
          <cell r="H1794">
            <v>45093</v>
          </cell>
          <cell r="I1794">
            <v>29973</v>
          </cell>
          <cell r="J1794" t="str">
            <v>338.528.708-10</v>
          </cell>
          <cell r="K1794" t="str">
            <v>204.30948.01.2</v>
          </cell>
          <cell r="L1794" t="str">
            <v>Salário Mensal</v>
          </cell>
          <cell r="M1794" t="str">
            <v>Empregado (CLT)</v>
          </cell>
        </row>
        <row r="1795">
          <cell r="D1795" t="str">
            <v>ECOSAMPA Santo Amaro</v>
          </cell>
          <cell r="E1795">
            <v>44048</v>
          </cell>
          <cell r="F1795">
            <v>1319.67</v>
          </cell>
          <cell r="G1795" t="str">
            <v>Demitido em Meses Anteriores</v>
          </cell>
          <cell r="H1795">
            <v>44078</v>
          </cell>
          <cell r="I1795">
            <v>30201</v>
          </cell>
          <cell r="J1795" t="str">
            <v>840.312.715-49</v>
          </cell>
          <cell r="K1795" t="str">
            <v>203.03891.70.4</v>
          </cell>
          <cell r="L1795" t="str">
            <v>Salário Mensal</v>
          </cell>
          <cell r="M1795" t="str">
            <v>Empregado (CLT)</v>
          </cell>
        </row>
        <row r="1796">
          <cell r="D1796" t="str">
            <v>ECOSAMPA Campo Limpo</v>
          </cell>
          <cell r="E1796">
            <v>43617</v>
          </cell>
          <cell r="F1796">
            <v>1603.99</v>
          </cell>
          <cell r="G1796" t="str">
            <v>Em Atividade Normal</v>
          </cell>
          <cell r="H1796">
            <v>45177</v>
          </cell>
          <cell r="I1796">
            <v>25798</v>
          </cell>
          <cell r="J1796" t="str">
            <v>270.827.748-00</v>
          </cell>
          <cell r="K1796" t="str">
            <v>127.12975.81.4</v>
          </cell>
          <cell r="L1796" t="str">
            <v>Salário Mensal</v>
          </cell>
          <cell r="M1796" t="str">
            <v>Empregado (CLT)</v>
          </cell>
        </row>
        <row r="1797">
          <cell r="D1797" t="str">
            <v>ECOSAMPA M'Boi Mirim</v>
          </cell>
          <cell r="E1797">
            <v>43788</v>
          </cell>
          <cell r="F1797">
            <v>3222.08</v>
          </cell>
          <cell r="G1797" t="str">
            <v>Em Atividade Normal</v>
          </cell>
          <cell r="H1797">
            <v>45056</v>
          </cell>
          <cell r="I1797">
            <v>30263</v>
          </cell>
          <cell r="J1797" t="str">
            <v>322.022.078-99</v>
          </cell>
          <cell r="K1797" t="str">
            <v>201.15436.39.6</v>
          </cell>
          <cell r="L1797" t="str">
            <v>Salário Mensal</v>
          </cell>
          <cell r="M1797" t="str">
            <v>Empregado (CLT)</v>
          </cell>
        </row>
        <row r="1798">
          <cell r="D1798" t="str">
            <v>ECOSAMPA Parelheiros</v>
          </cell>
          <cell r="E1798">
            <v>43617</v>
          </cell>
          <cell r="F1798">
            <v>1603.99</v>
          </cell>
          <cell r="G1798" t="str">
            <v>Em Atividade Normal</v>
          </cell>
          <cell r="H1798">
            <v>44867</v>
          </cell>
          <cell r="I1798">
            <v>31334</v>
          </cell>
          <cell r="J1798" t="str">
            <v>357.943.558-24</v>
          </cell>
          <cell r="K1798" t="str">
            <v>207.24982.05.6</v>
          </cell>
          <cell r="L1798" t="str">
            <v>Salário Mensal</v>
          </cell>
          <cell r="M1798" t="str">
            <v>Empregado (CLT)</v>
          </cell>
        </row>
        <row r="1799">
          <cell r="D1799" t="str">
            <v>ECOSAMPA Administração</v>
          </cell>
          <cell r="E1799">
            <v>43619</v>
          </cell>
          <cell r="F1799">
            <v>8177.55</v>
          </cell>
          <cell r="G1799" t="str">
            <v>Em Atividade Normal</v>
          </cell>
          <cell r="H1799">
            <v>45053</v>
          </cell>
          <cell r="I1799">
            <v>24003</v>
          </cell>
          <cell r="J1799" t="str">
            <v>014.647.488-02</v>
          </cell>
          <cell r="K1799" t="str">
            <v>122.08405.34.1</v>
          </cell>
          <cell r="L1799" t="str">
            <v>Salário Mensal</v>
          </cell>
          <cell r="M1799" t="str">
            <v>Empregado (CLT)</v>
          </cell>
        </row>
        <row r="1800">
          <cell r="D1800" t="str">
            <v>ECOSAMPA Santo Amaro</v>
          </cell>
          <cell r="E1800">
            <v>43617</v>
          </cell>
          <cell r="F1800">
            <v>1603.99</v>
          </cell>
          <cell r="G1800" t="str">
            <v>Em Atividade Normal</v>
          </cell>
          <cell r="H1800">
            <v>45050</v>
          </cell>
          <cell r="I1800">
            <v>26762</v>
          </cell>
          <cell r="J1800" t="str">
            <v>146.971.448-56</v>
          </cell>
          <cell r="K1800" t="str">
            <v>124.65254.32.6</v>
          </cell>
          <cell r="L1800" t="str">
            <v>Salário Mensal</v>
          </cell>
          <cell r="M1800" t="str">
            <v>Empregado (CLT)</v>
          </cell>
        </row>
        <row r="1801">
          <cell r="D1801" t="str">
            <v>ECOSAMPA M'Boi Mirim</v>
          </cell>
          <cell r="E1801">
            <v>44368</v>
          </cell>
          <cell r="F1801">
            <v>1603.99</v>
          </cell>
          <cell r="G1801" t="str">
            <v>Em Atividade Normal</v>
          </cell>
          <cell r="H1801">
            <v>45023</v>
          </cell>
          <cell r="I1801">
            <v>32065</v>
          </cell>
          <cell r="J1801" t="str">
            <v>038.752.895-44</v>
          </cell>
          <cell r="K1801" t="str">
            <v>129.96100.11.7</v>
          </cell>
          <cell r="L1801" t="str">
            <v>Salário Mensal</v>
          </cell>
          <cell r="M1801" t="str">
            <v>Empregado (CLT)</v>
          </cell>
        </row>
        <row r="1802">
          <cell r="D1802" t="str">
            <v>ECOSAMPA Santo Amaro</v>
          </cell>
          <cell r="E1802">
            <v>43838</v>
          </cell>
          <cell r="F1802">
            <v>1281.23</v>
          </cell>
          <cell r="G1802" t="str">
            <v>Demitido em Meses Anteriores</v>
          </cell>
          <cell r="H1802">
            <v>44061</v>
          </cell>
          <cell r="I1802">
            <v>33938</v>
          </cell>
          <cell r="J1802" t="str">
            <v>455.560.428-88</v>
          </cell>
          <cell r="K1802" t="str">
            <v>160.48314.85.0</v>
          </cell>
          <cell r="L1802" t="str">
            <v>Salário Mensal</v>
          </cell>
          <cell r="M1802" t="str">
            <v>Empregado (CLT)</v>
          </cell>
        </row>
        <row r="1803">
          <cell r="D1803" t="str">
            <v>ECOSAMPA Campo Limpo</v>
          </cell>
          <cell r="E1803">
            <v>43617</v>
          </cell>
          <cell r="F1803">
            <v>1603.99</v>
          </cell>
          <cell r="G1803" t="str">
            <v>Em Atividade Normal</v>
          </cell>
          <cell r="H1803">
            <v>44960</v>
          </cell>
          <cell r="I1803">
            <v>26168</v>
          </cell>
          <cell r="J1803" t="str">
            <v>169.448.468-88</v>
          </cell>
          <cell r="K1803" t="str">
            <v>123.82210.31.3</v>
          </cell>
          <cell r="L1803" t="str">
            <v>Salário Mensal</v>
          </cell>
          <cell r="M1803" t="str">
            <v>Empregado (CLT)</v>
          </cell>
        </row>
        <row r="1804">
          <cell r="D1804" t="str">
            <v>ECOSAMPA Operação Geral</v>
          </cell>
          <cell r="E1804">
            <v>43728</v>
          </cell>
          <cell r="F1804">
            <v>1603.99</v>
          </cell>
          <cell r="G1804" t="str">
            <v>Em Atividade Normal</v>
          </cell>
          <cell r="H1804">
            <v>45149</v>
          </cell>
          <cell r="I1804">
            <v>36231</v>
          </cell>
          <cell r="J1804" t="str">
            <v>483.710.058-90</v>
          </cell>
          <cell r="K1804" t="str">
            <v>166.00230.80.1</v>
          </cell>
          <cell r="L1804" t="str">
            <v>Salário Mensal</v>
          </cell>
          <cell r="M1804" t="str">
            <v>Empregado (CLT)</v>
          </cell>
        </row>
        <row r="1805">
          <cell r="D1805" t="str">
            <v>ECOSAMPA Campo Limpo</v>
          </cell>
          <cell r="E1805">
            <v>43916</v>
          </cell>
          <cell r="F1805">
            <v>1603.99</v>
          </cell>
          <cell r="G1805" t="str">
            <v>Em Atividade Normal</v>
          </cell>
          <cell r="H1805">
            <v>45177</v>
          </cell>
          <cell r="I1805">
            <v>35176</v>
          </cell>
          <cell r="J1805" t="str">
            <v>468.534.948-22</v>
          </cell>
          <cell r="K1805" t="str">
            <v>206.87089.28.4</v>
          </cell>
          <cell r="L1805" t="str">
            <v>Salário Mensal</v>
          </cell>
          <cell r="M1805" t="str">
            <v>Empregado (CLT)</v>
          </cell>
        </row>
        <row r="1806">
          <cell r="D1806" t="str">
            <v>ECOSAMPA Capela do Socorro</v>
          </cell>
          <cell r="E1806">
            <v>44522</v>
          </cell>
          <cell r="F1806">
            <v>1464.83</v>
          </cell>
          <cell r="G1806" t="str">
            <v>Demitido em Meses Anteriores</v>
          </cell>
          <cell r="H1806">
            <v>44531</v>
          </cell>
          <cell r="I1806">
            <v>35596</v>
          </cell>
          <cell r="J1806" t="str">
            <v>471.084.168-32</v>
          </cell>
          <cell r="K1806" t="str">
            <v>210.26464.37.6</v>
          </cell>
          <cell r="L1806" t="str">
            <v>Salário Mensal</v>
          </cell>
          <cell r="M1806" t="str">
            <v>Empregado (CLT)</v>
          </cell>
        </row>
        <row r="1807">
          <cell r="D1807" t="str">
            <v>ECOSAMPA Capela do Socorro</v>
          </cell>
          <cell r="E1807">
            <v>43617</v>
          </cell>
          <cell r="F1807">
            <v>1603.99</v>
          </cell>
          <cell r="G1807" t="str">
            <v>Em Atividade Normal</v>
          </cell>
          <cell r="H1807">
            <v>44867</v>
          </cell>
          <cell r="I1807">
            <v>25046</v>
          </cell>
          <cell r="J1807" t="str">
            <v>927.700.967-53</v>
          </cell>
          <cell r="K1807" t="str">
            <v>122.22439.26.6</v>
          </cell>
          <cell r="L1807" t="str">
            <v>Salário Mensal</v>
          </cell>
          <cell r="M1807" t="str">
            <v>Empregado (CLT)</v>
          </cell>
        </row>
        <row r="1808">
          <cell r="D1808" t="str">
            <v>ECOSAMPA Operação Geral</v>
          </cell>
          <cell r="E1808">
            <v>44967</v>
          </cell>
          <cell r="F1808">
            <v>1603.99</v>
          </cell>
          <cell r="G1808" t="str">
            <v>Demitido em Meses Anteriores</v>
          </cell>
          <cell r="H1808">
            <v>44981</v>
          </cell>
          <cell r="I1808">
            <v>31257</v>
          </cell>
          <cell r="J1808" t="str">
            <v>328.548.918-99</v>
          </cell>
          <cell r="K1808" t="str">
            <v>206.88617.85.3</v>
          </cell>
          <cell r="L1808" t="str">
            <v>Salário Mensal</v>
          </cell>
          <cell r="M1808" t="str">
            <v>Empregado (CLT)</v>
          </cell>
        </row>
        <row r="1809">
          <cell r="D1809" t="str">
            <v>ECOSAMPA M'Boi Mirim</v>
          </cell>
          <cell r="E1809">
            <v>43617</v>
          </cell>
          <cell r="F1809">
            <v>1281.23</v>
          </cell>
          <cell r="G1809" t="str">
            <v>Demitido em Meses Anteriores</v>
          </cell>
          <cell r="H1809">
            <v>44029</v>
          </cell>
          <cell r="I1809">
            <v>18730</v>
          </cell>
          <cell r="J1809" t="str">
            <v>015.807.398-30</v>
          </cell>
          <cell r="K1809" t="str">
            <v>107.36485.27.6</v>
          </cell>
          <cell r="L1809" t="str">
            <v>Salário Mensal</v>
          </cell>
          <cell r="M1809" t="str">
            <v>Empregado (CLT)</v>
          </cell>
        </row>
        <row r="1810">
          <cell r="D1810" t="str">
            <v>ECOSAMPA Capela do Socorro</v>
          </cell>
          <cell r="E1810">
            <v>43617</v>
          </cell>
          <cell r="F1810">
            <v>1603.99</v>
          </cell>
          <cell r="G1810" t="str">
            <v>Em Atividade Normal</v>
          </cell>
          <cell r="H1810">
            <v>44867</v>
          </cell>
          <cell r="I1810">
            <v>26662</v>
          </cell>
          <cell r="J1810" t="str">
            <v>838.559.714-04</v>
          </cell>
          <cell r="K1810" t="str">
            <v>124.68227.51.6</v>
          </cell>
          <cell r="L1810" t="str">
            <v>Salário Mensal</v>
          </cell>
          <cell r="M1810" t="str">
            <v>Empregado (CLT)</v>
          </cell>
        </row>
        <row r="1811">
          <cell r="D1811" t="str">
            <v>ECOSAMPA Capela do Socorro</v>
          </cell>
          <cell r="E1811">
            <v>43617</v>
          </cell>
          <cell r="F1811">
            <v>1319.67</v>
          </cell>
          <cell r="G1811" t="str">
            <v>Demitido em Meses Anteriores</v>
          </cell>
          <cell r="H1811">
            <v>44393</v>
          </cell>
          <cell r="I1811">
            <v>27877</v>
          </cell>
          <cell r="J1811" t="str">
            <v>267.661.808-38</v>
          </cell>
          <cell r="K1811" t="str">
            <v>129.92585.81.7</v>
          </cell>
          <cell r="L1811" t="str">
            <v>Salário Mensal</v>
          </cell>
          <cell r="M1811" t="str">
            <v>Empregado (CLT)</v>
          </cell>
        </row>
        <row r="1812">
          <cell r="D1812" t="str">
            <v>ECOSAMPA M'Boi Mirim</v>
          </cell>
          <cell r="E1812">
            <v>44062</v>
          </cell>
          <cell r="F1812">
            <v>3222.08</v>
          </cell>
          <cell r="G1812" t="str">
            <v>Em Atividade Normal</v>
          </cell>
          <cell r="H1812">
            <v>44956</v>
          </cell>
          <cell r="I1812">
            <v>29529</v>
          </cell>
          <cell r="J1812" t="str">
            <v>281.914.548-58</v>
          </cell>
          <cell r="K1812" t="str">
            <v>126.54991.89.1</v>
          </cell>
          <cell r="L1812" t="str">
            <v>Salário Mensal</v>
          </cell>
          <cell r="M1812" t="str">
            <v>Empregado (CLT)</v>
          </cell>
        </row>
        <row r="1813">
          <cell r="D1813" t="str">
            <v>ECOSAMPA Campo Limpo</v>
          </cell>
          <cell r="E1813">
            <v>43617</v>
          </cell>
          <cell r="F1813">
            <v>1907.79</v>
          </cell>
          <cell r="G1813" t="str">
            <v>Em Atividade Normal</v>
          </cell>
          <cell r="H1813">
            <v>44930</v>
          </cell>
          <cell r="I1813">
            <v>23975</v>
          </cell>
          <cell r="J1813" t="str">
            <v>094.706.078-21</v>
          </cell>
          <cell r="K1813" t="str">
            <v>120.25972.33.6</v>
          </cell>
          <cell r="L1813" t="str">
            <v>Salário Mensal</v>
          </cell>
          <cell r="M1813" t="str">
            <v>Empregado (CLT)</v>
          </cell>
        </row>
        <row r="1814">
          <cell r="D1814" t="str">
            <v>ECOSAMPA Operação Geral</v>
          </cell>
          <cell r="E1814">
            <v>44760</v>
          </cell>
          <cell r="F1814">
            <v>1603.99</v>
          </cell>
          <cell r="G1814" t="str">
            <v>Em Atividade Normal</v>
          </cell>
          <cell r="H1814">
            <v>45177</v>
          </cell>
          <cell r="I1814">
            <v>29982</v>
          </cell>
          <cell r="J1814" t="str">
            <v>017.522.925-29</v>
          </cell>
          <cell r="K1814" t="str">
            <v>134.07635.81.7</v>
          </cell>
          <cell r="L1814" t="str">
            <v>Salário Mensal</v>
          </cell>
          <cell r="M1814" t="str">
            <v>Empregado (CLT)</v>
          </cell>
        </row>
        <row r="1815">
          <cell r="D1815" t="str">
            <v>ECOSAMPA Santo Amaro</v>
          </cell>
          <cell r="E1815">
            <v>44945</v>
          </cell>
          <cell r="F1815">
            <v>1603.99</v>
          </cell>
          <cell r="G1815" t="str">
            <v>Em Atividade Normal</v>
          </cell>
          <cell r="H1815">
            <v>44945</v>
          </cell>
          <cell r="I1815">
            <v>35603</v>
          </cell>
          <cell r="J1815" t="str">
            <v>464.171.878-45</v>
          </cell>
          <cell r="K1815" t="str">
            <v>236.30139.85.6</v>
          </cell>
          <cell r="L1815" t="str">
            <v>Salário Mensal</v>
          </cell>
          <cell r="M1815" t="str">
            <v>Empregado (CLT)</v>
          </cell>
        </row>
        <row r="1816">
          <cell r="D1816" t="str">
            <v>ECOSAMPA Capela do Socorro</v>
          </cell>
          <cell r="E1816">
            <v>43617</v>
          </cell>
          <cell r="F1816">
            <v>1281.23</v>
          </cell>
          <cell r="G1816" t="str">
            <v>Demitido em Meses Anteriores</v>
          </cell>
          <cell r="H1816">
            <v>43808</v>
          </cell>
          <cell r="I1816">
            <v>31904</v>
          </cell>
          <cell r="J1816" t="str">
            <v>391.235.808-79</v>
          </cell>
          <cell r="K1816" t="str">
            <v>135.69599.81.6</v>
          </cell>
          <cell r="L1816" t="str">
            <v>Salário Mensal</v>
          </cell>
          <cell r="M1816" t="str">
            <v>Empregado (CLT)</v>
          </cell>
        </row>
        <row r="1817">
          <cell r="D1817" t="str">
            <v>ECOSAMPA Capela do Socorro</v>
          </cell>
          <cell r="E1817">
            <v>44900</v>
          </cell>
          <cell r="F1817">
            <v>1603.99</v>
          </cell>
          <cell r="G1817" t="str">
            <v>Em Atividade Normal</v>
          </cell>
          <cell r="H1817">
            <v>44900</v>
          </cell>
          <cell r="I1817">
            <v>28688</v>
          </cell>
          <cell r="J1817" t="str">
            <v>037.646.286-85</v>
          </cell>
          <cell r="K1817" t="str">
            <v>165.84064.24.8</v>
          </cell>
          <cell r="L1817" t="str">
            <v>Salário Mensal</v>
          </cell>
          <cell r="M1817" t="str">
            <v>Empregado (CLT)</v>
          </cell>
        </row>
        <row r="1818">
          <cell r="D1818" t="str">
            <v>ECOSAMPA Campo Limpo</v>
          </cell>
          <cell r="E1818">
            <v>43617</v>
          </cell>
          <cell r="F1818">
            <v>1603.99</v>
          </cell>
          <cell r="G1818" t="str">
            <v>Em Atividade Normal</v>
          </cell>
          <cell r="H1818">
            <v>44898</v>
          </cell>
          <cell r="I1818">
            <v>22375</v>
          </cell>
          <cell r="J1818" t="str">
            <v>022.815.328-01</v>
          </cell>
          <cell r="K1818" t="str">
            <v>120.59109.21.5</v>
          </cell>
          <cell r="L1818" t="str">
            <v>Salário Mensal</v>
          </cell>
          <cell r="M1818" t="str">
            <v>Empregado (CLT)</v>
          </cell>
        </row>
        <row r="1819">
          <cell r="D1819" t="str">
            <v>ECOSAMPA Operação Geral</v>
          </cell>
          <cell r="E1819">
            <v>43622</v>
          </cell>
          <cell r="F1819">
            <v>1606.8</v>
          </cell>
          <cell r="G1819" t="str">
            <v>Demitido em Meses Anteriores</v>
          </cell>
          <cell r="H1819">
            <v>44245</v>
          </cell>
          <cell r="I1819">
            <v>30760</v>
          </cell>
          <cell r="J1819" t="str">
            <v>224.967.728-07</v>
          </cell>
          <cell r="K1819" t="str">
            <v>129.40979.93.8</v>
          </cell>
          <cell r="L1819" t="str">
            <v>Salário Mensal</v>
          </cell>
          <cell r="M1819" t="str">
            <v>Empregado (CLT)</v>
          </cell>
        </row>
        <row r="1820">
          <cell r="D1820" t="str">
            <v>ECOSAMPA Santo Amaro</v>
          </cell>
          <cell r="E1820">
            <v>43617</v>
          </cell>
          <cell r="F1820">
            <v>1603.99</v>
          </cell>
          <cell r="G1820" t="str">
            <v>Em Atividade Normal</v>
          </cell>
          <cell r="H1820">
            <v>45149</v>
          </cell>
          <cell r="I1820">
            <v>23063</v>
          </cell>
          <cell r="J1820" t="str">
            <v>104.489.548-93</v>
          </cell>
          <cell r="K1820" t="str">
            <v>134.92080.93.5</v>
          </cell>
          <cell r="L1820" t="str">
            <v>Salário Mensal</v>
          </cell>
          <cell r="M1820" t="str">
            <v>Empregado (CLT)</v>
          </cell>
        </row>
        <row r="1821">
          <cell r="D1821" t="str">
            <v>ECOSAMPA Santo Amaro</v>
          </cell>
          <cell r="E1821">
            <v>43617</v>
          </cell>
          <cell r="F1821">
            <v>1603.99</v>
          </cell>
          <cell r="G1821" t="str">
            <v>Em Atividade Normal</v>
          </cell>
          <cell r="H1821">
            <v>44835</v>
          </cell>
          <cell r="I1821">
            <v>29668</v>
          </cell>
          <cell r="J1821" t="str">
            <v>287.900.298-28</v>
          </cell>
          <cell r="K1821" t="str">
            <v>134.20948.93.9</v>
          </cell>
          <cell r="L1821" t="str">
            <v>Salário Mensal</v>
          </cell>
          <cell r="M1821" t="str">
            <v>Empregado (CLT)</v>
          </cell>
        </row>
        <row r="1822">
          <cell r="D1822" t="str">
            <v>ECOSAMPA Capela do Socorro</v>
          </cell>
          <cell r="E1822">
            <v>43617</v>
          </cell>
          <cell r="F1822">
            <v>1603.99</v>
          </cell>
          <cell r="G1822" t="str">
            <v>Em Atividade Normal</v>
          </cell>
          <cell r="H1822">
            <v>44867</v>
          </cell>
          <cell r="I1822">
            <v>26245</v>
          </cell>
          <cell r="J1822" t="str">
            <v>146.930.558-59</v>
          </cell>
          <cell r="K1822" t="str">
            <v>123.99779.35.7</v>
          </cell>
          <cell r="L1822" t="str">
            <v>Salário Mensal</v>
          </cell>
          <cell r="M1822" t="str">
            <v>Empregado (CLT)</v>
          </cell>
        </row>
        <row r="1823">
          <cell r="D1823" t="str">
            <v>ECOSAMPA Operação Geral</v>
          </cell>
          <cell r="E1823">
            <v>43840</v>
          </cell>
          <cell r="F1823">
            <v>3050.22</v>
          </cell>
          <cell r="G1823" t="str">
            <v>Demitido em Meses Anteriores</v>
          </cell>
          <cell r="H1823">
            <v>44963</v>
          </cell>
          <cell r="I1823">
            <v>27007</v>
          </cell>
          <cell r="J1823" t="str">
            <v>135.955.368-19</v>
          </cell>
          <cell r="K1823" t="str">
            <v>124.88760.86.4</v>
          </cell>
          <cell r="L1823" t="str">
            <v>Salário Mensal</v>
          </cell>
          <cell r="M1823" t="str">
            <v>Empregado (CLT)</v>
          </cell>
        </row>
        <row r="1824">
          <cell r="D1824" t="str">
            <v>ECOSAMPA Campo Limpo</v>
          </cell>
          <cell r="E1824">
            <v>43617</v>
          </cell>
          <cell r="F1824">
            <v>1603.99</v>
          </cell>
          <cell r="G1824" t="str">
            <v>Em Atividade Normal</v>
          </cell>
          <cell r="H1824">
            <v>44898</v>
          </cell>
          <cell r="I1824">
            <v>29398</v>
          </cell>
          <cell r="J1824" t="str">
            <v>056.091.036-30</v>
          </cell>
          <cell r="K1824" t="str">
            <v>129.98034.81.2</v>
          </cell>
          <cell r="L1824" t="str">
            <v>Salário Mensal</v>
          </cell>
          <cell r="M1824" t="str">
            <v>Empregado (CLT)</v>
          </cell>
        </row>
        <row r="1825">
          <cell r="D1825" t="str">
            <v>ECOSAMPA Campo Limpo</v>
          </cell>
          <cell r="E1825">
            <v>43617</v>
          </cell>
          <cell r="F1825">
            <v>1603.99</v>
          </cell>
          <cell r="G1825" t="str">
            <v>Auxílio-Doença</v>
          </cell>
          <cell r="H1825">
            <v>44320</v>
          </cell>
          <cell r="I1825">
            <v>34942</v>
          </cell>
          <cell r="J1825" t="str">
            <v>428.153.178-50</v>
          </cell>
          <cell r="K1825" t="str">
            <v>210.13542.10.1</v>
          </cell>
          <cell r="L1825" t="str">
            <v>Salário Mensal</v>
          </cell>
          <cell r="M1825" t="str">
            <v>Empregado (CLT)</v>
          </cell>
        </row>
        <row r="1826">
          <cell r="D1826" t="str">
            <v>ECOSAMPA Operação Geral</v>
          </cell>
          <cell r="E1826">
            <v>43617</v>
          </cell>
          <cell r="F1826">
            <v>3050.22</v>
          </cell>
          <cell r="G1826" t="str">
            <v>Em Atividade Normal</v>
          </cell>
          <cell r="H1826">
            <v>44960</v>
          </cell>
          <cell r="I1826">
            <v>29012</v>
          </cell>
          <cell r="J1826" t="str">
            <v>089.725.447-36</v>
          </cell>
          <cell r="K1826" t="str">
            <v>126.44803.29.4</v>
          </cell>
          <cell r="L1826" t="str">
            <v>Salário Mensal</v>
          </cell>
          <cell r="M1826" t="str">
            <v>Empregado (CLT)</v>
          </cell>
        </row>
        <row r="1827">
          <cell r="D1827" t="str">
            <v>ECOSAMPA Santo Amaro</v>
          </cell>
          <cell r="E1827">
            <v>43617</v>
          </cell>
          <cell r="F1827">
            <v>1603.99</v>
          </cell>
          <cell r="G1827" t="str">
            <v>Em Atividade Normal</v>
          </cell>
          <cell r="H1827">
            <v>44835</v>
          </cell>
          <cell r="I1827">
            <v>24684</v>
          </cell>
          <cell r="J1827" t="str">
            <v>134.592.328-70</v>
          </cell>
          <cell r="K1827" t="str">
            <v>123.03281.63.8</v>
          </cell>
          <cell r="L1827" t="str">
            <v>Salário Mensal</v>
          </cell>
          <cell r="M1827" t="str">
            <v>Empregado (CLT)</v>
          </cell>
        </row>
        <row r="1828">
          <cell r="D1828" t="str">
            <v>ECOSAMPA Operação Geral</v>
          </cell>
          <cell r="E1828">
            <v>43617</v>
          </cell>
          <cell r="F1828">
            <v>1907.79</v>
          </cell>
          <cell r="G1828" t="str">
            <v>Em Atividade Normal</v>
          </cell>
          <cell r="H1828">
            <v>44993</v>
          </cell>
          <cell r="I1828">
            <v>25545</v>
          </cell>
          <cell r="J1828" t="str">
            <v>168.111.958-78</v>
          </cell>
          <cell r="K1828" t="str">
            <v>124.38968.38.0</v>
          </cell>
          <cell r="L1828" t="str">
            <v>Salário Mensal</v>
          </cell>
          <cell r="M1828" t="str">
            <v>Empregado (CLT)</v>
          </cell>
        </row>
        <row r="1829">
          <cell r="D1829" t="str">
            <v>ECOSAMPA Campo Limpo</v>
          </cell>
          <cell r="E1829">
            <v>43874</v>
          </cell>
          <cell r="F1829">
            <v>1603.99</v>
          </cell>
          <cell r="G1829" t="str">
            <v>Em Atividade Normal</v>
          </cell>
          <cell r="H1829">
            <v>45171</v>
          </cell>
          <cell r="I1829">
            <v>30535</v>
          </cell>
          <cell r="J1829" t="str">
            <v>319.976.398-74</v>
          </cell>
          <cell r="K1829" t="str">
            <v>201.15300.91.5</v>
          </cell>
          <cell r="L1829" t="str">
            <v>Salário Mensal</v>
          </cell>
          <cell r="M1829" t="str">
            <v>Empregado (CLT)</v>
          </cell>
        </row>
        <row r="1830">
          <cell r="D1830" t="str">
            <v>ECOSAMPA Santo Amaro</v>
          </cell>
          <cell r="E1830">
            <v>43617</v>
          </cell>
          <cell r="F1830">
            <v>1603.99</v>
          </cell>
          <cell r="G1830" t="str">
            <v>Demitido em Meses Anteriores</v>
          </cell>
          <cell r="H1830">
            <v>44858</v>
          </cell>
          <cell r="I1830">
            <v>22170</v>
          </cell>
          <cell r="J1830" t="str">
            <v>051.907.928-03</v>
          </cell>
          <cell r="K1830" t="str">
            <v>121.15924.16.0</v>
          </cell>
          <cell r="L1830" t="str">
            <v>Salário Mensal</v>
          </cell>
          <cell r="M1830" t="str">
            <v>Empregado (CLT)</v>
          </cell>
        </row>
        <row r="1831">
          <cell r="D1831" t="str">
            <v>ECOSAMPA M'Boi Mirim</v>
          </cell>
          <cell r="E1831">
            <v>44725</v>
          </cell>
          <cell r="F1831">
            <v>1603.99</v>
          </cell>
          <cell r="G1831" t="str">
            <v>Demitido em Meses Anteriores</v>
          </cell>
          <cell r="H1831">
            <v>44902</v>
          </cell>
          <cell r="I1831">
            <v>26279</v>
          </cell>
          <cell r="J1831" t="str">
            <v>165.147.628-40</v>
          </cell>
          <cell r="K1831" t="str">
            <v>125.82733.77.8</v>
          </cell>
          <cell r="L1831" t="str">
            <v>Salário Mensal</v>
          </cell>
          <cell r="M1831" t="str">
            <v>Empregado (CLT)</v>
          </cell>
        </row>
        <row r="1832">
          <cell r="D1832" t="str">
            <v>ECOSAMPA Operação Geral</v>
          </cell>
          <cell r="E1832">
            <v>43874</v>
          </cell>
          <cell r="F1832">
            <v>3050.22</v>
          </cell>
          <cell r="G1832" t="str">
            <v>Em Atividade Normal</v>
          </cell>
          <cell r="H1832">
            <v>45023</v>
          </cell>
          <cell r="I1832">
            <v>26103</v>
          </cell>
          <cell r="J1832" t="str">
            <v>153.665.748-46</v>
          </cell>
          <cell r="K1832" t="str">
            <v>124.22382.85.3</v>
          </cell>
          <cell r="L1832" t="str">
            <v>Salário Mensal</v>
          </cell>
          <cell r="M1832" t="str">
            <v>Empregado (CLT)</v>
          </cell>
        </row>
        <row r="1833">
          <cell r="D1833" t="str">
            <v>ECOSAMPA Capela do Socorro</v>
          </cell>
          <cell r="E1833">
            <v>43617</v>
          </cell>
          <cell r="F1833">
            <v>1603.99</v>
          </cell>
          <cell r="G1833" t="str">
            <v>Em Atividade Normal</v>
          </cell>
          <cell r="H1833">
            <v>44835</v>
          </cell>
          <cell r="I1833">
            <v>23193</v>
          </cell>
          <cell r="J1833" t="str">
            <v>085.698.018-82</v>
          </cell>
          <cell r="K1833" t="str">
            <v>121.86668.62.0</v>
          </cell>
          <cell r="L1833" t="str">
            <v>Salário Mensal</v>
          </cell>
          <cell r="M1833" t="str">
            <v>Empregado (CLT)</v>
          </cell>
        </row>
        <row r="1834">
          <cell r="D1834" t="str">
            <v>ECOSAMPA Operação Geral</v>
          </cell>
          <cell r="E1834">
            <v>43617</v>
          </cell>
          <cell r="F1834">
            <v>3050.22</v>
          </cell>
          <cell r="G1834" t="str">
            <v>Em Atividade Normal</v>
          </cell>
          <cell r="H1834">
            <v>44960</v>
          </cell>
          <cell r="I1834">
            <v>25990</v>
          </cell>
          <cell r="J1834" t="str">
            <v>145.513.188-17</v>
          </cell>
          <cell r="K1834" t="str">
            <v>122.84224.80.8</v>
          </cell>
          <cell r="L1834" t="str">
            <v>Salário Mensal</v>
          </cell>
          <cell r="M1834" t="str">
            <v>Empregado (CLT)</v>
          </cell>
        </row>
        <row r="1835">
          <cell r="D1835" t="str">
            <v>ECOSAMPA Operação Geral</v>
          </cell>
          <cell r="E1835">
            <v>43617</v>
          </cell>
          <cell r="F1835">
            <v>1523.89</v>
          </cell>
          <cell r="G1835" t="str">
            <v>Demitido em Meses Anteriores</v>
          </cell>
          <cell r="H1835">
            <v>43974</v>
          </cell>
          <cell r="I1835">
            <v>28503</v>
          </cell>
          <cell r="J1835" t="str">
            <v>273.279.748-06</v>
          </cell>
          <cell r="K1835" t="str">
            <v>126.60639.85.1</v>
          </cell>
          <cell r="L1835" t="str">
            <v>Salário Mensal</v>
          </cell>
          <cell r="M1835" t="str">
            <v>Empregado (CLT)</v>
          </cell>
        </row>
        <row r="1836">
          <cell r="D1836" t="str">
            <v>ECOSAMPA Campo Limpo</v>
          </cell>
          <cell r="E1836">
            <v>43617</v>
          </cell>
          <cell r="F1836">
            <v>1319.67</v>
          </cell>
          <cell r="G1836" t="str">
            <v>Demitido em Meses Anteriores</v>
          </cell>
          <cell r="H1836">
            <v>44110</v>
          </cell>
          <cell r="I1836">
            <v>23559</v>
          </cell>
          <cell r="J1836" t="str">
            <v>056.264.688-46</v>
          </cell>
          <cell r="K1836" t="str">
            <v>120.94279.95.4</v>
          </cell>
          <cell r="L1836" t="str">
            <v>Salário Mensal</v>
          </cell>
          <cell r="M1836" t="str">
            <v>Empregado (CLT)</v>
          </cell>
        </row>
        <row r="1837">
          <cell r="D1837" t="str">
            <v>ECOSAMPA M'Boi Mirim</v>
          </cell>
          <cell r="E1837">
            <v>44630</v>
          </cell>
          <cell r="F1837">
            <v>1603.99</v>
          </cell>
          <cell r="G1837" t="str">
            <v>Em Atividade Normal</v>
          </cell>
          <cell r="H1837">
            <v>45119</v>
          </cell>
          <cell r="I1837">
            <v>27330</v>
          </cell>
          <cell r="J1837" t="str">
            <v>157.152.748-69</v>
          </cell>
          <cell r="K1837" t="str">
            <v>124.14289.59.9</v>
          </cell>
          <cell r="L1837" t="str">
            <v>Salário Mensal</v>
          </cell>
          <cell r="M1837" t="str">
            <v>Empregado (CLT)</v>
          </cell>
        </row>
        <row r="1838">
          <cell r="D1838" t="str">
            <v>ECOSAMPA Capela do Socorro</v>
          </cell>
          <cell r="E1838">
            <v>43617</v>
          </cell>
          <cell r="F1838">
            <v>1603.99</v>
          </cell>
          <cell r="G1838" t="str">
            <v>Em Atividade Normal</v>
          </cell>
          <cell r="H1838">
            <v>44867</v>
          </cell>
          <cell r="I1838">
            <v>25239</v>
          </cell>
          <cell r="J1838" t="str">
            <v>132.397.898-41</v>
          </cell>
          <cell r="K1838" t="str">
            <v>124.42692.44.0</v>
          </cell>
          <cell r="L1838" t="str">
            <v>Salário Mensal</v>
          </cell>
          <cell r="M1838" t="str">
            <v>Empregado (CLT)</v>
          </cell>
        </row>
        <row r="1839">
          <cell r="D1839" t="str">
            <v>ECOSAMPA Parelheiros</v>
          </cell>
          <cell r="E1839">
            <v>43874</v>
          </cell>
          <cell r="F1839">
            <v>1603.99</v>
          </cell>
          <cell r="G1839" t="str">
            <v>Em Atividade Normal</v>
          </cell>
          <cell r="H1839">
            <v>45149</v>
          </cell>
          <cell r="I1839">
            <v>28204</v>
          </cell>
          <cell r="J1839" t="str">
            <v>288.114.918-94</v>
          </cell>
          <cell r="K1839" t="str">
            <v>135.98929.93.4</v>
          </cell>
          <cell r="L1839" t="str">
            <v>Salário Mensal</v>
          </cell>
          <cell r="M1839" t="str">
            <v>Empregado (CLT)</v>
          </cell>
        </row>
        <row r="1840">
          <cell r="D1840" t="str">
            <v>ECOSAMPA M'Boi Mirim</v>
          </cell>
          <cell r="E1840">
            <v>43617</v>
          </cell>
          <cell r="F1840">
            <v>1603.99</v>
          </cell>
          <cell r="G1840" t="str">
            <v>Em Atividade Normal</v>
          </cell>
          <cell r="H1840">
            <v>44898</v>
          </cell>
          <cell r="I1840">
            <v>27620</v>
          </cell>
          <cell r="J1840" t="str">
            <v>219.473.728-66</v>
          </cell>
          <cell r="K1840" t="str">
            <v>128.81697.77.3</v>
          </cell>
          <cell r="L1840" t="str">
            <v>Salário Mensal</v>
          </cell>
          <cell r="M1840" t="str">
            <v>Empregado (CLT)</v>
          </cell>
        </row>
        <row r="1841">
          <cell r="D1841" t="str">
            <v>ECOSAMPA Capela do Socorro</v>
          </cell>
          <cell r="E1841">
            <v>44567</v>
          </cell>
          <cell r="F1841">
            <v>1464.83</v>
          </cell>
          <cell r="G1841" t="str">
            <v>Demitido em Meses Anteriores</v>
          </cell>
          <cell r="H1841">
            <v>44694</v>
          </cell>
          <cell r="I1841">
            <v>27821</v>
          </cell>
          <cell r="J1841" t="str">
            <v>190.642.518-35</v>
          </cell>
          <cell r="K1841" t="str">
            <v>124.14376.75.0</v>
          </cell>
          <cell r="L1841" t="str">
            <v>Salário Mensal</v>
          </cell>
          <cell r="M1841" t="str">
            <v>Empregado (CLT)</v>
          </cell>
        </row>
        <row r="1842">
          <cell r="D1842" t="str">
            <v>ECOSAMPA Capela do Socorro</v>
          </cell>
          <cell r="E1842">
            <v>43617</v>
          </cell>
          <cell r="F1842">
            <v>1603.99</v>
          </cell>
          <cell r="G1842" t="str">
            <v>Em Atividade Normal</v>
          </cell>
          <cell r="H1842">
            <v>44898</v>
          </cell>
          <cell r="I1842">
            <v>27820</v>
          </cell>
          <cell r="J1842" t="str">
            <v>313.492.108-11</v>
          </cell>
          <cell r="K1842" t="str">
            <v>126.93788.16.3</v>
          </cell>
          <cell r="L1842" t="str">
            <v>Salário Mensal</v>
          </cell>
          <cell r="M1842" t="str">
            <v>Empregado (CLT)</v>
          </cell>
        </row>
        <row r="1843">
          <cell r="D1843" t="str">
            <v>ECOSAMPA M'Boi Mirim</v>
          </cell>
          <cell r="E1843">
            <v>43617</v>
          </cell>
          <cell r="F1843">
            <v>1603.99</v>
          </cell>
          <cell r="G1843" t="str">
            <v>Em Atividade Normal</v>
          </cell>
          <cell r="H1843">
            <v>44867</v>
          </cell>
          <cell r="I1843">
            <v>31098</v>
          </cell>
          <cell r="J1843" t="str">
            <v>385.075.008-62</v>
          </cell>
          <cell r="K1843" t="str">
            <v>201.15439.18.2</v>
          </cell>
          <cell r="L1843" t="str">
            <v>Salário Mensal</v>
          </cell>
          <cell r="M1843" t="str">
            <v>Empregado (CLT)</v>
          </cell>
        </row>
        <row r="1844">
          <cell r="D1844" t="str">
            <v>ECOSAMPA Campo Limpo</v>
          </cell>
          <cell r="E1844">
            <v>43617</v>
          </cell>
          <cell r="F1844">
            <v>1603.99</v>
          </cell>
          <cell r="G1844" t="str">
            <v>Em Atividade Normal</v>
          </cell>
          <cell r="H1844">
            <v>44898</v>
          </cell>
          <cell r="I1844">
            <v>27966</v>
          </cell>
          <cell r="J1844" t="str">
            <v>346.208.318-08</v>
          </cell>
          <cell r="K1844" t="str">
            <v>166.03442.62.1</v>
          </cell>
          <cell r="L1844" t="str">
            <v>Salário Mensal</v>
          </cell>
          <cell r="M1844" t="str">
            <v>Empregado (CLT)</v>
          </cell>
        </row>
        <row r="1845">
          <cell r="D1845" t="str">
            <v>ECOSAMPA Santo Amaro</v>
          </cell>
          <cell r="E1845">
            <v>43617</v>
          </cell>
          <cell r="F1845">
            <v>1603.99</v>
          </cell>
          <cell r="G1845" t="str">
            <v>Em Atividade Normal</v>
          </cell>
          <cell r="H1845">
            <v>44930</v>
          </cell>
          <cell r="I1845">
            <v>24115</v>
          </cell>
          <cell r="J1845" t="str">
            <v>767.507.365-72</v>
          </cell>
          <cell r="K1845" t="str">
            <v>124.45923.28.1</v>
          </cell>
          <cell r="L1845" t="str">
            <v>Salário Mensal</v>
          </cell>
          <cell r="M1845" t="str">
            <v>Empregado (CLT)</v>
          </cell>
        </row>
        <row r="1846">
          <cell r="D1846" t="str">
            <v>ECOSAMPA Operação Geral</v>
          </cell>
          <cell r="E1846">
            <v>43617</v>
          </cell>
          <cell r="F1846">
            <v>2383.7800000000002</v>
          </cell>
          <cell r="G1846" t="str">
            <v>Demitido em Meses Anteriores</v>
          </cell>
          <cell r="H1846">
            <v>44832</v>
          </cell>
          <cell r="I1846">
            <v>22461</v>
          </cell>
          <cell r="J1846" t="str">
            <v>073.556.488-45</v>
          </cell>
          <cell r="K1846" t="str">
            <v>108.48058.78.7</v>
          </cell>
          <cell r="L1846" t="str">
            <v>Salário Mensal</v>
          </cell>
          <cell r="M1846" t="str">
            <v>Empregado (CLT)</v>
          </cell>
        </row>
        <row r="1847">
          <cell r="D1847" t="str">
            <v>ECOSAMPA Operação Geral</v>
          </cell>
          <cell r="E1847">
            <v>44018</v>
          </cell>
          <cell r="F1847">
            <v>3471.57</v>
          </cell>
          <cell r="G1847" t="str">
            <v>Em Atividade Normal</v>
          </cell>
          <cell r="H1847">
            <v>45056</v>
          </cell>
          <cell r="I1847">
            <v>24104</v>
          </cell>
          <cell r="J1847" t="str">
            <v>176.160.588-76</v>
          </cell>
          <cell r="K1847" t="str">
            <v>123.26846.38.0</v>
          </cell>
          <cell r="L1847" t="str">
            <v>Salário Mensal</v>
          </cell>
          <cell r="M1847" t="str">
            <v>Empregado (CLT)</v>
          </cell>
        </row>
        <row r="1848">
          <cell r="D1848" t="str">
            <v>ECOSAMPA M'Boi Mirim</v>
          </cell>
          <cell r="E1848">
            <v>43617</v>
          </cell>
          <cell r="F1848">
            <v>1603.99</v>
          </cell>
          <cell r="G1848" t="str">
            <v>Em Atividade Normal</v>
          </cell>
          <cell r="H1848">
            <v>44867</v>
          </cell>
          <cell r="I1848">
            <v>25892</v>
          </cell>
          <cell r="J1848" t="str">
            <v>691.399.545-87</v>
          </cell>
          <cell r="K1848" t="str">
            <v>125.56266.08.4</v>
          </cell>
          <cell r="L1848" t="str">
            <v>Salário Mensal</v>
          </cell>
          <cell r="M1848" t="str">
            <v>Empregado (CLT)</v>
          </cell>
        </row>
        <row r="1849">
          <cell r="D1849" t="str">
            <v>ECOSAMPA Santo Amaro</v>
          </cell>
          <cell r="E1849">
            <v>43617</v>
          </cell>
          <cell r="F1849">
            <v>1603.99</v>
          </cell>
          <cell r="G1849" t="str">
            <v>Em Atividade Normal</v>
          </cell>
          <cell r="H1849">
            <v>44835</v>
          </cell>
          <cell r="I1849">
            <v>24403</v>
          </cell>
          <cell r="J1849" t="str">
            <v>625.072.144-49</v>
          </cell>
          <cell r="K1849" t="str">
            <v>121.57132.14.9</v>
          </cell>
          <cell r="L1849" t="str">
            <v>Salário Mensal</v>
          </cell>
          <cell r="M1849" t="str">
            <v>Empregado (CLT)</v>
          </cell>
        </row>
        <row r="1850">
          <cell r="D1850" t="str">
            <v>ECOSAMPA Operação Geral</v>
          </cell>
          <cell r="E1850">
            <v>43617</v>
          </cell>
          <cell r="F1850">
            <v>3050.22</v>
          </cell>
          <cell r="G1850" t="str">
            <v>Em Atividade Normal</v>
          </cell>
          <cell r="H1850">
            <v>44990</v>
          </cell>
          <cell r="I1850">
            <v>27588</v>
          </cell>
          <cell r="J1850" t="str">
            <v>959.944.246-68</v>
          </cell>
          <cell r="K1850" t="str">
            <v>129.92009.85.9</v>
          </cell>
          <cell r="L1850" t="str">
            <v>Salário Mensal</v>
          </cell>
          <cell r="M1850" t="str">
            <v>Empregado (CLT)</v>
          </cell>
        </row>
        <row r="1851">
          <cell r="D1851" t="str">
            <v>ECOSAMPA Parelheiros</v>
          </cell>
          <cell r="E1851">
            <v>43617</v>
          </cell>
          <cell r="F1851">
            <v>4915.71</v>
          </cell>
          <cell r="G1851" t="str">
            <v>Demitido em Meses Anteriores</v>
          </cell>
          <cell r="H1851">
            <v>43749</v>
          </cell>
          <cell r="I1851">
            <v>25783</v>
          </cell>
          <cell r="J1851" t="str">
            <v>395.201.103-72</v>
          </cell>
          <cell r="K1851" t="str">
            <v>123.70708.72.9</v>
          </cell>
          <cell r="L1851" t="str">
            <v>Salário Mensal</v>
          </cell>
          <cell r="M1851" t="str">
            <v>Empregado (CLT)</v>
          </cell>
        </row>
        <row r="1852">
          <cell r="D1852" t="str">
            <v>ECOSAMPA Operação Geral</v>
          </cell>
          <cell r="E1852">
            <v>43617</v>
          </cell>
          <cell r="F1852">
            <v>2785.59</v>
          </cell>
          <cell r="G1852" t="str">
            <v>Demitido em Meses Anteriores</v>
          </cell>
          <cell r="H1852">
            <v>44505</v>
          </cell>
          <cell r="I1852">
            <v>26184</v>
          </cell>
          <cell r="J1852" t="str">
            <v>264.616.608-79</v>
          </cell>
          <cell r="K1852" t="str">
            <v>123.25246.82.7</v>
          </cell>
          <cell r="L1852" t="str">
            <v>Salário Mensal</v>
          </cell>
          <cell r="M1852" t="str">
            <v>Empregado (CLT)</v>
          </cell>
        </row>
        <row r="1853">
          <cell r="D1853" t="str">
            <v>ECOSAMPA Santo Amaro</v>
          </cell>
          <cell r="E1853">
            <v>43617</v>
          </cell>
          <cell r="F1853">
            <v>3222.08</v>
          </cell>
          <cell r="G1853" t="str">
            <v>Em Atividade Normal</v>
          </cell>
          <cell r="H1853">
            <v>45170</v>
          </cell>
          <cell r="I1853">
            <v>23885</v>
          </cell>
          <cell r="J1853" t="str">
            <v>100.934.188-09</v>
          </cell>
          <cell r="K1853" t="str">
            <v>122.39857.93.7</v>
          </cell>
          <cell r="L1853" t="str">
            <v>Salário Mensal</v>
          </cell>
          <cell r="M1853" t="str">
            <v>Empregado (CLT)</v>
          </cell>
        </row>
        <row r="1854">
          <cell r="D1854" t="str">
            <v>ECOSAMPA M'Boi Mirim</v>
          </cell>
          <cell r="E1854">
            <v>43617</v>
          </cell>
          <cell r="F1854">
            <v>1281.23</v>
          </cell>
          <cell r="G1854" t="str">
            <v>Demitido em Meses Anteriores</v>
          </cell>
          <cell r="H1854">
            <v>43808</v>
          </cell>
          <cell r="I1854">
            <v>23845</v>
          </cell>
          <cell r="J1854" t="str">
            <v>061.231.448-04</v>
          </cell>
          <cell r="K1854" t="str">
            <v>121.84764.34.7</v>
          </cell>
          <cell r="L1854" t="str">
            <v>Salário Mensal</v>
          </cell>
          <cell r="M1854" t="str">
            <v>Empregado (CLT)</v>
          </cell>
        </row>
        <row r="1855">
          <cell r="D1855" t="str">
            <v>ECOSAMPA Capela do Socorro</v>
          </cell>
          <cell r="E1855">
            <v>43874</v>
          </cell>
          <cell r="F1855">
            <v>1281.23</v>
          </cell>
          <cell r="G1855" t="str">
            <v>Demitido em Meses Anteriores</v>
          </cell>
          <cell r="H1855">
            <v>43888</v>
          </cell>
          <cell r="I1855">
            <v>26341</v>
          </cell>
          <cell r="J1855" t="str">
            <v>021.666.837-97</v>
          </cell>
          <cell r="K1855" t="str">
            <v>124.29055.73.4</v>
          </cell>
          <cell r="L1855" t="str">
            <v>Salário Mensal</v>
          </cell>
          <cell r="M1855" t="str">
            <v>Empregado (CLT)</v>
          </cell>
        </row>
        <row r="1856">
          <cell r="D1856" t="str">
            <v>ECOSAMPA Campo Limpo</v>
          </cell>
          <cell r="E1856">
            <v>43617</v>
          </cell>
          <cell r="F1856">
            <v>1603.99</v>
          </cell>
          <cell r="G1856" t="str">
            <v>Em Atividade Normal</v>
          </cell>
          <cell r="H1856">
            <v>45056</v>
          </cell>
          <cell r="I1856">
            <v>30090</v>
          </cell>
          <cell r="J1856" t="str">
            <v>305.480.688-01</v>
          </cell>
          <cell r="K1856" t="str">
            <v>130.62590.81.4</v>
          </cell>
          <cell r="L1856" t="str">
            <v>Salário Mensal</v>
          </cell>
          <cell r="M1856" t="str">
            <v>Empregado (CLT)</v>
          </cell>
        </row>
        <row r="1857">
          <cell r="D1857" t="str">
            <v>ECOSAMPA Santo Amaro</v>
          </cell>
          <cell r="E1857">
            <v>43617</v>
          </cell>
          <cell r="F1857">
            <v>1603.99</v>
          </cell>
          <cell r="G1857" t="str">
            <v>Em Atividade Normal</v>
          </cell>
          <cell r="H1857">
            <v>45177</v>
          </cell>
          <cell r="I1857">
            <v>30475</v>
          </cell>
          <cell r="J1857" t="str">
            <v>341.337.068-54</v>
          </cell>
          <cell r="K1857" t="str">
            <v>132.17747.85.1</v>
          </cell>
          <cell r="L1857" t="str">
            <v>Salário Mensal</v>
          </cell>
          <cell r="M1857" t="str">
            <v>Empregado (CLT)</v>
          </cell>
        </row>
        <row r="1858">
          <cell r="D1858" t="str">
            <v>ECOSAMPA Capela do Socorro</v>
          </cell>
          <cell r="E1858">
            <v>43617</v>
          </cell>
          <cell r="F1858">
            <v>1603.99</v>
          </cell>
          <cell r="G1858" t="str">
            <v>Em Atividade Normal</v>
          </cell>
          <cell r="H1858">
            <v>45023</v>
          </cell>
          <cell r="I1858">
            <v>25337</v>
          </cell>
          <cell r="J1858" t="str">
            <v>161.425.118-50</v>
          </cell>
          <cell r="K1858" t="str">
            <v>124.22450.08.5</v>
          </cell>
          <cell r="L1858" t="str">
            <v>Salário Mensal</v>
          </cell>
          <cell r="M1858" t="str">
            <v>Empregado (CLT)</v>
          </cell>
        </row>
        <row r="1859">
          <cell r="D1859" t="str">
            <v>ECOSAMPA Operação Geral</v>
          </cell>
          <cell r="E1859">
            <v>43617</v>
          </cell>
          <cell r="F1859">
            <v>1907.79</v>
          </cell>
          <cell r="G1859" t="str">
            <v>Em Atividade Normal</v>
          </cell>
          <cell r="H1859">
            <v>45119</v>
          </cell>
          <cell r="I1859">
            <v>29196</v>
          </cell>
          <cell r="J1859" t="str">
            <v>289.171.268-47</v>
          </cell>
          <cell r="K1859" t="str">
            <v>128.05415.85.1</v>
          </cell>
          <cell r="L1859" t="str">
            <v>Salário Mensal</v>
          </cell>
          <cell r="M1859" t="str">
            <v>Empregado (CLT)</v>
          </cell>
        </row>
        <row r="1860">
          <cell r="D1860" t="str">
            <v>ECOSAMPA Capela do Socorro</v>
          </cell>
          <cell r="E1860">
            <v>43617</v>
          </cell>
          <cell r="F1860">
            <v>1603.99</v>
          </cell>
          <cell r="G1860" t="str">
            <v>Em Atividade Normal</v>
          </cell>
          <cell r="H1860">
            <v>45056</v>
          </cell>
          <cell r="I1860">
            <v>25593</v>
          </cell>
          <cell r="J1860" t="str">
            <v>131.883.868-18</v>
          </cell>
          <cell r="K1860" t="str">
            <v>123.87095.94.6</v>
          </cell>
          <cell r="L1860" t="str">
            <v>Salário Mensal</v>
          </cell>
          <cell r="M1860" t="str">
            <v>Empregado (CLT)</v>
          </cell>
        </row>
        <row r="1861">
          <cell r="D1861" t="str">
            <v>ECOSAMPA Pensionistas</v>
          </cell>
          <cell r="E1861">
            <v>45132</v>
          </cell>
          <cell r="F1861">
            <v>0.01</v>
          </cell>
          <cell r="G1861" t="str">
            <v>Em Atividade Normal</v>
          </cell>
          <cell r="H1861">
            <v>45132</v>
          </cell>
          <cell r="J1861" t="str">
            <v>391.990.898-82</v>
          </cell>
          <cell r="L1861" t="str">
            <v>Nenhuma</v>
          </cell>
          <cell r="M1861" t="str">
            <v>Pensionista</v>
          </cell>
        </row>
        <row r="1862">
          <cell r="D1862" t="str">
            <v>ECOSAMPA Administração</v>
          </cell>
          <cell r="E1862">
            <v>43619</v>
          </cell>
          <cell r="F1862">
            <v>11629.43</v>
          </cell>
          <cell r="G1862" t="str">
            <v>Em Atividade Normal</v>
          </cell>
          <cell r="H1862">
            <v>45053</v>
          </cell>
          <cell r="I1862">
            <v>31918</v>
          </cell>
          <cell r="J1862" t="str">
            <v>371.746.608-94</v>
          </cell>
          <cell r="K1862" t="str">
            <v>134.20480.81.3</v>
          </cell>
          <cell r="L1862" t="str">
            <v>Salário Mensal</v>
          </cell>
          <cell r="M1862" t="str">
            <v>Empregado (CLT)</v>
          </cell>
        </row>
        <row r="1863">
          <cell r="D1863" t="str">
            <v>ECOSAMPA M'Boi Mirim</v>
          </cell>
          <cell r="E1863">
            <v>43617</v>
          </cell>
          <cell r="F1863">
            <v>1603.99</v>
          </cell>
          <cell r="G1863" t="str">
            <v>Em Atividade Normal</v>
          </cell>
          <cell r="H1863">
            <v>45056</v>
          </cell>
          <cell r="I1863">
            <v>29809</v>
          </cell>
          <cell r="J1863" t="str">
            <v>338.745.248-92</v>
          </cell>
          <cell r="K1863" t="str">
            <v>166.44179.98.4</v>
          </cell>
          <cell r="L1863" t="str">
            <v>Salário Mensal</v>
          </cell>
          <cell r="M1863" t="str">
            <v>Empregado (CLT)</v>
          </cell>
        </row>
        <row r="1864">
          <cell r="D1864" t="str">
            <v>ECOSAMPA Capela do Socorro</v>
          </cell>
          <cell r="E1864">
            <v>45131</v>
          </cell>
          <cell r="F1864">
            <v>1603.99</v>
          </cell>
          <cell r="G1864" t="str">
            <v>Em Atividade Normal</v>
          </cell>
          <cell r="H1864">
            <v>45131</v>
          </cell>
          <cell r="I1864">
            <v>33057</v>
          </cell>
          <cell r="J1864" t="str">
            <v>398.164.588-02</v>
          </cell>
          <cell r="K1864" t="str">
            <v>165.81127.35.4</v>
          </cell>
          <cell r="L1864" t="str">
            <v>Salário Mensal</v>
          </cell>
          <cell r="M1864" t="str">
            <v>Empregado (CLT)</v>
          </cell>
        </row>
        <row r="1865">
          <cell r="D1865" t="str">
            <v>ECOSAMPA Pensionistas</v>
          </cell>
          <cell r="E1865">
            <v>43739</v>
          </cell>
          <cell r="F1865">
            <v>0.01</v>
          </cell>
          <cell r="G1865" t="str">
            <v>Em Atividade Normal</v>
          </cell>
          <cell r="H1865">
            <v>43739</v>
          </cell>
          <cell r="J1865" t="str">
            <v>330.521.478-38</v>
          </cell>
          <cell r="L1865" t="str">
            <v>Nenhuma</v>
          </cell>
          <cell r="M1865" t="str">
            <v>Pensionista</v>
          </cell>
        </row>
        <row r="1866">
          <cell r="D1866" t="str">
            <v>ECOSAMPA Campo Limpo</v>
          </cell>
          <cell r="E1866">
            <v>44567</v>
          </cell>
          <cell r="F1866">
            <v>1603.99</v>
          </cell>
          <cell r="G1866" t="str">
            <v>Em Atividade Normal</v>
          </cell>
          <cell r="H1866">
            <v>45149</v>
          </cell>
          <cell r="I1866">
            <v>32898</v>
          </cell>
          <cell r="J1866" t="str">
            <v>400.884.528-32</v>
          </cell>
          <cell r="K1866" t="str">
            <v>210.71186.71.1</v>
          </cell>
          <cell r="L1866" t="str">
            <v>Salário Mensal</v>
          </cell>
          <cell r="M1866" t="str">
            <v>Empregado (CLT)</v>
          </cell>
        </row>
        <row r="1867">
          <cell r="D1867" t="str">
            <v>ECOSAMPA Santo Amaro</v>
          </cell>
          <cell r="E1867">
            <v>43874</v>
          </cell>
          <cell r="F1867">
            <v>1603.99</v>
          </cell>
          <cell r="G1867" t="str">
            <v>Demitido em Meses Anteriores</v>
          </cell>
          <cell r="H1867">
            <v>45061</v>
          </cell>
          <cell r="I1867">
            <v>31347</v>
          </cell>
          <cell r="J1867" t="str">
            <v>338.434.388-38</v>
          </cell>
          <cell r="K1867" t="str">
            <v>132.53971.93.6</v>
          </cell>
          <cell r="L1867" t="str">
            <v>Salário Mensal</v>
          </cell>
          <cell r="M1867" t="str">
            <v>Empregado (CLT)</v>
          </cell>
        </row>
        <row r="1868">
          <cell r="D1868" t="str">
            <v>ECOSAMPA Campo Limpo</v>
          </cell>
          <cell r="E1868">
            <v>43619</v>
          </cell>
          <cell r="F1868">
            <v>1603.99</v>
          </cell>
          <cell r="G1868" t="str">
            <v>Em Atividade Normal</v>
          </cell>
          <cell r="H1868">
            <v>45023</v>
          </cell>
          <cell r="I1868">
            <v>33365</v>
          </cell>
          <cell r="J1868" t="str">
            <v>408.579.188-50</v>
          </cell>
          <cell r="K1868" t="str">
            <v>203.85689.99.8</v>
          </cell>
          <cell r="L1868" t="str">
            <v>Salário Mensal</v>
          </cell>
          <cell r="M1868" t="str">
            <v>Empregado (CLT)</v>
          </cell>
        </row>
        <row r="1869">
          <cell r="D1869" t="str">
            <v>ECOSAMPA Santo Amaro</v>
          </cell>
          <cell r="E1869">
            <v>44522</v>
          </cell>
          <cell r="F1869">
            <v>1603.99</v>
          </cell>
          <cell r="G1869" t="str">
            <v>Demitido em Meses Anteriores</v>
          </cell>
          <cell r="H1869">
            <v>44963</v>
          </cell>
          <cell r="I1869">
            <v>37350</v>
          </cell>
          <cell r="J1869" t="str">
            <v>141.366.314-13</v>
          </cell>
          <cell r="K1869" t="str">
            <v>166.97036.78.9</v>
          </cell>
          <cell r="L1869" t="str">
            <v>Salário Mensal</v>
          </cell>
          <cell r="M1869" t="str">
            <v>Empregado (CLT)</v>
          </cell>
        </row>
        <row r="1870">
          <cell r="D1870" t="str">
            <v>ECOSAMPA M'Boi Mirim</v>
          </cell>
          <cell r="E1870">
            <v>43617</v>
          </cell>
          <cell r="F1870">
            <v>1231.95</v>
          </cell>
          <cell r="G1870" t="str">
            <v>Demitido em Meses Anteriores</v>
          </cell>
          <cell r="H1870">
            <v>43704</v>
          </cell>
          <cell r="I1870">
            <v>25194</v>
          </cell>
          <cell r="J1870" t="str">
            <v>174.874.058-00</v>
          </cell>
          <cell r="K1870" t="str">
            <v>123.45501.48.2</v>
          </cell>
          <cell r="L1870" t="str">
            <v>Salário Mensal</v>
          </cell>
          <cell r="M1870" t="str">
            <v>Empregado (CLT)</v>
          </cell>
        </row>
        <row r="1871">
          <cell r="D1871" t="str">
            <v>ECOSAMPA Capela do Socorro</v>
          </cell>
          <cell r="E1871">
            <v>43617</v>
          </cell>
          <cell r="F1871">
            <v>1603.99</v>
          </cell>
          <cell r="G1871" t="str">
            <v>Em Atividade Normal</v>
          </cell>
          <cell r="H1871">
            <v>45119</v>
          </cell>
          <cell r="I1871">
            <v>21339</v>
          </cell>
          <cell r="J1871" t="str">
            <v>183.211.864-91</v>
          </cell>
          <cell r="K1871" t="str">
            <v>107.76366.89.8</v>
          </cell>
          <cell r="L1871" t="str">
            <v>Salário Mensal</v>
          </cell>
          <cell r="M1871" t="str">
            <v>Empregado (CLT)</v>
          </cell>
        </row>
        <row r="1872">
          <cell r="D1872" t="str">
            <v>ECOSAMPA Operação Geral</v>
          </cell>
          <cell r="E1872">
            <v>43620</v>
          </cell>
          <cell r="F1872">
            <v>3050.22</v>
          </cell>
          <cell r="G1872" t="str">
            <v>Demitido em Meses Anteriores</v>
          </cell>
          <cell r="H1872">
            <v>45061</v>
          </cell>
          <cell r="I1872">
            <v>22421</v>
          </cell>
          <cell r="J1872" t="str">
            <v>063.633.108-30</v>
          </cell>
          <cell r="K1872" t="str">
            <v>120.25649.19.5</v>
          </cell>
          <cell r="L1872" t="str">
            <v>Salário Mensal</v>
          </cell>
          <cell r="M1872" t="str">
            <v>Empregado (CLT)</v>
          </cell>
        </row>
        <row r="1873">
          <cell r="D1873" t="str">
            <v>ECOSAMPA Operação Geral</v>
          </cell>
          <cell r="E1873">
            <v>43630</v>
          </cell>
          <cell r="F1873">
            <v>3050.22</v>
          </cell>
          <cell r="G1873" t="str">
            <v>Em Atividade Normal</v>
          </cell>
          <cell r="H1873">
            <v>45177</v>
          </cell>
          <cell r="I1873">
            <v>23232</v>
          </cell>
          <cell r="J1873" t="str">
            <v>048.709.608-85</v>
          </cell>
          <cell r="K1873" t="str">
            <v>108.48408.65.6</v>
          </cell>
          <cell r="L1873" t="str">
            <v>Salário Mensal</v>
          </cell>
          <cell r="M1873" t="str">
            <v>Empregado (CLT)</v>
          </cell>
        </row>
        <row r="1874">
          <cell r="D1874" t="str">
            <v>ECOSAMPA Operação Geral</v>
          </cell>
          <cell r="E1874">
            <v>43617</v>
          </cell>
          <cell r="F1874">
            <v>3050.22</v>
          </cell>
          <cell r="G1874" t="str">
            <v>Em Atividade Normal</v>
          </cell>
          <cell r="H1874">
            <v>45119</v>
          </cell>
          <cell r="I1874">
            <v>28582</v>
          </cell>
          <cell r="J1874" t="str">
            <v>284.020.468-19</v>
          </cell>
          <cell r="K1874" t="str">
            <v>125.52337.83.1</v>
          </cell>
          <cell r="L1874" t="str">
            <v>Salário Mensal</v>
          </cell>
          <cell r="M1874" t="str">
            <v>Empregado (CLT)</v>
          </cell>
        </row>
        <row r="1875">
          <cell r="D1875" t="str">
            <v>ECOSAMPA Santo Amaro</v>
          </cell>
          <cell r="E1875">
            <v>43617</v>
          </cell>
          <cell r="F1875">
            <v>1603.99</v>
          </cell>
          <cell r="G1875" t="str">
            <v>Em Atividade Normal</v>
          </cell>
          <cell r="H1875">
            <v>44993</v>
          </cell>
          <cell r="I1875">
            <v>26190</v>
          </cell>
          <cell r="J1875" t="str">
            <v>147.766.678-86</v>
          </cell>
          <cell r="K1875" t="str">
            <v>123.74707.82.4</v>
          </cell>
          <cell r="L1875" t="str">
            <v>Salário Mensal</v>
          </cell>
          <cell r="M1875" t="str">
            <v>Empregado (CLT)</v>
          </cell>
        </row>
        <row r="1876">
          <cell r="D1876" t="str">
            <v>ECOSAMPA Capela do Socorro</v>
          </cell>
          <cell r="E1876">
            <v>43728</v>
          </cell>
          <cell r="F1876">
            <v>1603.99</v>
          </cell>
          <cell r="G1876" t="str">
            <v>Em Atividade Normal</v>
          </cell>
          <cell r="H1876">
            <v>45149</v>
          </cell>
          <cell r="I1876">
            <v>26113</v>
          </cell>
          <cell r="J1876" t="str">
            <v>127.360.848-88</v>
          </cell>
          <cell r="K1876" t="str">
            <v>123.45194.19.9</v>
          </cell>
          <cell r="L1876" t="str">
            <v>Salário Mensal</v>
          </cell>
          <cell r="M1876" t="str">
            <v>Empregado (CLT)</v>
          </cell>
        </row>
        <row r="1877">
          <cell r="D1877" t="str">
            <v>ECOSAMPA Santo Amaro</v>
          </cell>
          <cell r="E1877">
            <v>43617</v>
          </cell>
          <cell r="F1877">
            <v>1603.99</v>
          </cell>
          <cell r="G1877" t="str">
            <v>Em Atividade Normal</v>
          </cell>
          <cell r="H1877">
            <v>45056</v>
          </cell>
          <cell r="I1877">
            <v>27181</v>
          </cell>
          <cell r="J1877" t="str">
            <v>281.920.808-89</v>
          </cell>
          <cell r="K1877" t="str">
            <v>125.27437.29.1</v>
          </cell>
          <cell r="L1877" t="str">
            <v>Salário Mensal</v>
          </cell>
          <cell r="M1877" t="str">
            <v>Empregado (CLT)</v>
          </cell>
        </row>
        <row r="1878">
          <cell r="D1878" t="str">
            <v>ECOSAMPA Operação Geral</v>
          </cell>
          <cell r="E1878">
            <v>43617</v>
          </cell>
          <cell r="F1878">
            <v>1319.67</v>
          </cell>
          <cell r="G1878" t="str">
            <v>Demitido em Meses Anteriores</v>
          </cell>
          <cell r="H1878">
            <v>44426</v>
          </cell>
          <cell r="I1878">
            <v>35631</v>
          </cell>
          <cell r="J1878" t="str">
            <v>460.856.158-84</v>
          </cell>
          <cell r="K1878" t="str">
            <v>210.71101.56.2</v>
          </cell>
          <cell r="L1878" t="str">
            <v>Salário Mensal</v>
          </cell>
          <cell r="M1878" t="str">
            <v>Empregado (CLT)</v>
          </cell>
        </row>
        <row r="1879">
          <cell r="D1879" t="str">
            <v>ECOSAMPA Operação Geral</v>
          </cell>
          <cell r="E1879">
            <v>44630</v>
          </cell>
          <cell r="F1879">
            <v>3050.22</v>
          </cell>
          <cell r="G1879" t="str">
            <v>Em Atividade Normal</v>
          </cell>
          <cell r="H1879">
            <v>45086</v>
          </cell>
          <cell r="I1879">
            <v>25764</v>
          </cell>
          <cell r="J1879" t="str">
            <v>127.130.658-10</v>
          </cell>
          <cell r="K1879" t="str">
            <v>123.64916.06.4</v>
          </cell>
          <cell r="L1879" t="str">
            <v>Salário Mensal</v>
          </cell>
          <cell r="M1879" t="str">
            <v>Empregado (CLT)</v>
          </cell>
        </row>
        <row r="1880">
          <cell r="D1880" t="str">
            <v>ECOSAMPA Operação Geral</v>
          </cell>
          <cell r="E1880">
            <v>44368</v>
          </cell>
          <cell r="F1880">
            <v>3050.22</v>
          </cell>
          <cell r="G1880" t="str">
            <v>Em Atividade Normal</v>
          </cell>
          <cell r="H1880">
            <v>44867</v>
          </cell>
          <cell r="I1880">
            <v>25348</v>
          </cell>
          <cell r="J1880" t="str">
            <v>092.415.018-12</v>
          </cell>
          <cell r="K1880" t="str">
            <v>120.72411.72.8</v>
          </cell>
          <cell r="L1880" t="str">
            <v>Salário Mensal</v>
          </cell>
          <cell r="M1880" t="str">
            <v>Empregado (CLT)</v>
          </cell>
        </row>
        <row r="1881">
          <cell r="D1881" t="str">
            <v>ECOSAMPA Santo Amaro</v>
          </cell>
          <cell r="E1881">
            <v>43728</v>
          </cell>
          <cell r="F1881">
            <v>1603.99</v>
          </cell>
          <cell r="G1881" t="str">
            <v>Em Atividade Normal</v>
          </cell>
          <cell r="H1881">
            <v>45119</v>
          </cell>
          <cell r="I1881">
            <v>33404</v>
          </cell>
          <cell r="J1881" t="str">
            <v>379.122.218-08</v>
          </cell>
          <cell r="K1881" t="str">
            <v>201.15260.75.1</v>
          </cell>
          <cell r="L1881" t="str">
            <v>Salário Mensal</v>
          </cell>
          <cell r="M1881" t="str">
            <v>Empregado (CLT)</v>
          </cell>
        </row>
        <row r="1882">
          <cell r="D1882" t="str">
            <v>ECOSAMPA Santo Amaro</v>
          </cell>
          <cell r="E1882">
            <v>45089</v>
          </cell>
          <cell r="F1882">
            <v>1603.99</v>
          </cell>
          <cell r="G1882" t="str">
            <v>Em Atividade Normal</v>
          </cell>
          <cell r="H1882">
            <v>45089</v>
          </cell>
          <cell r="I1882">
            <v>28688</v>
          </cell>
          <cell r="J1882" t="str">
            <v>387.251.558-65</v>
          </cell>
          <cell r="K1882" t="str">
            <v>203.85556.63.7</v>
          </cell>
          <cell r="L1882" t="str">
            <v>Salário Mensal</v>
          </cell>
          <cell r="M1882" t="str">
            <v>Empregado (CLT)</v>
          </cell>
        </row>
        <row r="1883">
          <cell r="D1883" t="str">
            <v>ECOSAMPA Santo Amaro</v>
          </cell>
          <cell r="E1883">
            <v>43917</v>
          </cell>
          <cell r="F1883">
            <v>1603.99</v>
          </cell>
          <cell r="G1883" t="str">
            <v>Em Atividade Normal</v>
          </cell>
          <cell r="H1883">
            <v>44954</v>
          </cell>
          <cell r="I1883">
            <v>34593</v>
          </cell>
          <cell r="J1883" t="str">
            <v>443.404.418-48</v>
          </cell>
          <cell r="K1883" t="str">
            <v>201.55956.58.7</v>
          </cell>
          <cell r="L1883" t="str">
            <v>Salário Mensal</v>
          </cell>
          <cell r="M1883" t="str">
            <v>Empregado (CLT)</v>
          </cell>
        </row>
        <row r="1884">
          <cell r="D1884" t="str">
            <v>ECOSAMPA M'Boi Mirim</v>
          </cell>
          <cell r="E1884">
            <v>43617</v>
          </cell>
          <cell r="F1884">
            <v>1231.95</v>
          </cell>
          <cell r="G1884" t="str">
            <v>Demitido em Meses Anteriores</v>
          </cell>
          <cell r="H1884">
            <v>43670</v>
          </cell>
          <cell r="I1884">
            <v>34008</v>
          </cell>
          <cell r="J1884" t="str">
            <v>425.226.318-29</v>
          </cell>
          <cell r="K1884" t="str">
            <v>204.16101.01.6</v>
          </cell>
          <cell r="L1884" t="str">
            <v>Salário Mensal</v>
          </cell>
          <cell r="M1884" t="str">
            <v>Empregado (CLT)</v>
          </cell>
        </row>
        <row r="1885">
          <cell r="D1885" t="str">
            <v>ECOSAMPA Parelheiros</v>
          </cell>
          <cell r="E1885">
            <v>44048</v>
          </cell>
          <cell r="F1885">
            <v>1319.67</v>
          </cell>
          <cell r="G1885" t="str">
            <v>Demitido em Meses Anteriores</v>
          </cell>
          <cell r="H1885">
            <v>44137</v>
          </cell>
          <cell r="I1885">
            <v>35444</v>
          </cell>
          <cell r="J1885" t="str">
            <v>456.454.208-70</v>
          </cell>
          <cell r="K1885" t="str">
            <v>166.17081.45.6</v>
          </cell>
          <cell r="L1885" t="str">
            <v>Salário Mensal</v>
          </cell>
          <cell r="M1885" t="str">
            <v>Empregado (CLT)</v>
          </cell>
        </row>
        <row r="1886">
          <cell r="D1886" t="str">
            <v>ECOSAMPA Campo Limpo</v>
          </cell>
          <cell r="E1886">
            <v>43617</v>
          </cell>
          <cell r="F1886">
            <v>1319.67</v>
          </cell>
          <cell r="G1886" t="str">
            <v>Demitido em Meses Anteriores</v>
          </cell>
          <cell r="H1886">
            <v>44463</v>
          </cell>
          <cell r="I1886">
            <v>34384</v>
          </cell>
          <cell r="J1886" t="str">
            <v>443.952.748-54</v>
          </cell>
          <cell r="K1886" t="str">
            <v>209.83882.68.6</v>
          </cell>
          <cell r="L1886" t="str">
            <v>Salário Mensal</v>
          </cell>
          <cell r="M1886" t="str">
            <v>Empregado (CLT)</v>
          </cell>
        </row>
        <row r="1887">
          <cell r="D1887" t="str">
            <v>ECOSAMPA Operação Geral</v>
          </cell>
          <cell r="E1887">
            <v>43617</v>
          </cell>
          <cell r="F1887">
            <v>1907.79</v>
          </cell>
          <cell r="G1887" t="str">
            <v>Em Atividade Normal</v>
          </cell>
          <cell r="H1887">
            <v>45023</v>
          </cell>
          <cell r="I1887">
            <v>35882</v>
          </cell>
          <cell r="J1887" t="str">
            <v>481.868.298-57</v>
          </cell>
          <cell r="K1887" t="str">
            <v>166.56227.60.1</v>
          </cell>
          <cell r="L1887" t="str">
            <v>Salário Mensal</v>
          </cell>
          <cell r="M1887" t="str">
            <v>Empregado (CLT)</v>
          </cell>
        </row>
        <row r="1888">
          <cell r="D1888" t="str">
            <v>ECOSAMPA Capela do Socorro</v>
          </cell>
          <cell r="E1888">
            <v>43617</v>
          </cell>
          <cell r="F1888">
            <v>1319.67</v>
          </cell>
          <cell r="G1888" t="str">
            <v>Demitido em Meses Anteriores</v>
          </cell>
          <cell r="H1888">
            <v>44223</v>
          </cell>
          <cell r="I1888">
            <v>32998</v>
          </cell>
          <cell r="J1888" t="str">
            <v>396.485.868-45</v>
          </cell>
          <cell r="K1888" t="str">
            <v>165.62029.68.7</v>
          </cell>
          <cell r="L1888" t="str">
            <v>Salário Mensal</v>
          </cell>
          <cell r="M1888" t="str">
            <v>Empregado (CLT)</v>
          </cell>
        </row>
        <row r="1889">
          <cell r="D1889" t="str">
            <v>ECOSAMPA Santo Amaro</v>
          </cell>
          <cell r="E1889">
            <v>44419</v>
          </cell>
          <cell r="F1889">
            <v>1603.99</v>
          </cell>
          <cell r="G1889" t="str">
            <v>Em Atividade Normal</v>
          </cell>
          <cell r="H1889">
            <v>45086</v>
          </cell>
          <cell r="I1889">
            <v>31620</v>
          </cell>
          <cell r="J1889" t="str">
            <v>356.730.728-21</v>
          </cell>
          <cell r="K1889" t="str">
            <v>166.07240.46.2</v>
          </cell>
          <cell r="L1889" t="str">
            <v>Salário Mensal</v>
          </cell>
          <cell r="M1889" t="str">
            <v>Empregado (CLT)</v>
          </cell>
        </row>
        <row r="1890">
          <cell r="D1890" t="str">
            <v>ECOSAMPA Campo Limpo</v>
          </cell>
          <cell r="E1890">
            <v>43617</v>
          </cell>
          <cell r="F1890">
            <v>1603.99</v>
          </cell>
          <cell r="G1890" t="str">
            <v>Em Atividade Normal</v>
          </cell>
          <cell r="H1890">
            <v>44930</v>
          </cell>
          <cell r="I1890">
            <v>25997</v>
          </cell>
          <cell r="J1890" t="str">
            <v>118.562.398-10</v>
          </cell>
          <cell r="K1890" t="str">
            <v>123.14142.78.2</v>
          </cell>
          <cell r="L1890" t="str">
            <v>Salário Mensal</v>
          </cell>
          <cell r="M1890" t="str">
            <v>Empregado (CLT)</v>
          </cell>
        </row>
        <row r="1891">
          <cell r="D1891" t="str">
            <v>ECOSAMPA Santo Amaro</v>
          </cell>
          <cell r="E1891">
            <v>43617</v>
          </cell>
          <cell r="F1891">
            <v>1319.67</v>
          </cell>
          <cell r="G1891" t="str">
            <v>Demitido em Meses Anteriores</v>
          </cell>
          <cell r="H1891">
            <v>44390</v>
          </cell>
          <cell r="I1891">
            <v>35246</v>
          </cell>
          <cell r="J1891" t="str">
            <v>458.384.388-78</v>
          </cell>
          <cell r="K1891" t="str">
            <v>166.99579.82.8</v>
          </cell>
          <cell r="L1891" t="str">
            <v>Salário Mensal</v>
          </cell>
          <cell r="M1891" t="str">
            <v>Empregado (CLT)</v>
          </cell>
        </row>
        <row r="1892">
          <cell r="D1892" t="str">
            <v>ECOSAMPA Operação Geral</v>
          </cell>
          <cell r="E1892">
            <v>43617</v>
          </cell>
          <cell r="F1892">
            <v>1523.89</v>
          </cell>
          <cell r="G1892" t="str">
            <v>Demitido em Meses Anteriores</v>
          </cell>
          <cell r="H1892">
            <v>43991</v>
          </cell>
          <cell r="I1892">
            <v>34449</v>
          </cell>
          <cell r="J1892" t="str">
            <v>410.442.738-10</v>
          </cell>
          <cell r="K1892" t="str">
            <v>209.78876.78.9</v>
          </cell>
          <cell r="L1892" t="str">
            <v>Salário Mensal</v>
          </cell>
          <cell r="M1892" t="str">
            <v>Empregado (CLT)</v>
          </cell>
        </row>
        <row r="1893">
          <cell r="D1893" t="str">
            <v>ECOSAMPA Campo Limpo</v>
          </cell>
          <cell r="E1893">
            <v>44368</v>
          </cell>
          <cell r="F1893">
            <v>1603.99</v>
          </cell>
          <cell r="G1893" t="str">
            <v>Em Atividade Normal</v>
          </cell>
          <cell r="H1893">
            <v>45023</v>
          </cell>
          <cell r="I1893">
            <v>34449</v>
          </cell>
          <cell r="J1893" t="str">
            <v>410.442.738-10</v>
          </cell>
          <cell r="K1893" t="str">
            <v>209.78876.78.9</v>
          </cell>
          <cell r="L1893" t="str">
            <v>Salário Mensal</v>
          </cell>
          <cell r="M1893" t="str">
            <v>Empregado (CLT)</v>
          </cell>
        </row>
        <row r="1894">
          <cell r="D1894" t="str">
            <v>ECOSAMPA Campo Limpo</v>
          </cell>
          <cell r="E1894">
            <v>43617</v>
          </cell>
          <cell r="F1894">
            <v>1281.23</v>
          </cell>
          <cell r="G1894" t="str">
            <v>Demitido em Meses Anteriores</v>
          </cell>
          <cell r="H1894">
            <v>43786</v>
          </cell>
          <cell r="I1894">
            <v>24325</v>
          </cell>
          <cell r="J1894" t="str">
            <v>068.266.848-61</v>
          </cell>
          <cell r="K1894" t="str">
            <v>122.13381.57.9</v>
          </cell>
          <cell r="L1894" t="str">
            <v>Salário Mensal</v>
          </cell>
          <cell r="M1894" t="str">
            <v>Empregado (CLT)</v>
          </cell>
        </row>
        <row r="1895">
          <cell r="D1895" t="str">
            <v>ECOSAMPA Santo Amaro</v>
          </cell>
          <cell r="E1895">
            <v>43617</v>
          </cell>
          <cell r="F1895">
            <v>1603.99</v>
          </cell>
          <cell r="G1895" t="str">
            <v>Em Atividade Normal</v>
          </cell>
          <cell r="H1895">
            <v>44898</v>
          </cell>
          <cell r="I1895">
            <v>25395</v>
          </cell>
          <cell r="J1895" t="str">
            <v>128.701.858-04</v>
          </cell>
          <cell r="K1895" t="str">
            <v>123.72563.97.3</v>
          </cell>
          <cell r="L1895" t="str">
            <v>Salário Mensal</v>
          </cell>
          <cell r="M1895" t="str">
            <v>Empregado (CLT)</v>
          </cell>
        </row>
        <row r="1896">
          <cell r="D1896" t="str">
            <v>ECOSAMPA Parelheiros</v>
          </cell>
          <cell r="E1896">
            <v>43617</v>
          </cell>
          <cell r="F1896">
            <v>1319.67</v>
          </cell>
          <cell r="G1896" t="str">
            <v>Demitido em Meses Anteriores</v>
          </cell>
          <cell r="H1896">
            <v>44323</v>
          </cell>
          <cell r="I1896">
            <v>27655</v>
          </cell>
          <cell r="J1896" t="str">
            <v>251.037.488-51</v>
          </cell>
          <cell r="K1896" t="str">
            <v>125.46044.38.0</v>
          </cell>
          <cell r="L1896" t="str">
            <v>Salário Mensal</v>
          </cell>
          <cell r="M1896" t="str">
            <v>Empregado (CLT)</v>
          </cell>
        </row>
        <row r="1897">
          <cell r="D1897" t="str">
            <v>ECOSAMPA Capela do Socorro</v>
          </cell>
          <cell r="E1897">
            <v>43617</v>
          </cell>
          <cell r="F1897">
            <v>1319.67</v>
          </cell>
          <cell r="G1897" t="str">
            <v>Demitido em Meses Anteriores</v>
          </cell>
          <cell r="H1897">
            <v>44326</v>
          </cell>
          <cell r="I1897">
            <v>23910</v>
          </cell>
          <cell r="J1897" t="str">
            <v>469.047.604-78</v>
          </cell>
          <cell r="K1897" t="str">
            <v>120.99315.80.0</v>
          </cell>
          <cell r="L1897" t="str">
            <v>Salário Mensal</v>
          </cell>
          <cell r="M1897" t="str">
            <v>Empregado (CLT)</v>
          </cell>
        </row>
        <row r="1898">
          <cell r="D1898" t="str">
            <v>ECOSAMPA Operação Geral</v>
          </cell>
          <cell r="E1898">
            <v>44837</v>
          </cell>
          <cell r="F1898">
            <v>2610.2399999999998</v>
          </cell>
          <cell r="G1898" t="str">
            <v>Em Atividade Normal</v>
          </cell>
          <cell r="H1898">
            <v>44837</v>
          </cell>
          <cell r="I1898">
            <v>33257</v>
          </cell>
          <cell r="J1898" t="str">
            <v>392.737.838-05</v>
          </cell>
          <cell r="K1898" t="str">
            <v>165.68816.13.3</v>
          </cell>
          <cell r="L1898" t="str">
            <v>Salário Mensal</v>
          </cell>
          <cell r="M1898" t="str">
            <v>Empregado (CLT)</v>
          </cell>
        </row>
        <row r="1899">
          <cell r="D1899" t="str">
            <v>ECOSAMPA Santo Amaro</v>
          </cell>
          <cell r="E1899">
            <v>43874</v>
          </cell>
          <cell r="F1899">
            <v>1603.99</v>
          </cell>
          <cell r="G1899" t="str">
            <v>Em Atividade Normal</v>
          </cell>
          <cell r="H1899">
            <v>45163</v>
          </cell>
          <cell r="I1899">
            <v>32249</v>
          </cell>
          <cell r="J1899" t="str">
            <v>235.640.498-86</v>
          </cell>
          <cell r="K1899" t="str">
            <v>210.68856.12.4</v>
          </cell>
          <cell r="L1899" t="str">
            <v>Salário Mensal</v>
          </cell>
          <cell r="M1899" t="str">
            <v>Empregado (CLT)</v>
          </cell>
        </row>
        <row r="1900">
          <cell r="D1900" t="str">
            <v>ECOSAMPA Santo Amaro</v>
          </cell>
          <cell r="E1900">
            <v>43617</v>
          </cell>
          <cell r="F1900">
            <v>1603.99</v>
          </cell>
          <cell r="G1900" t="str">
            <v>Em Atividade Normal</v>
          </cell>
          <cell r="H1900">
            <v>44960</v>
          </cell>
          <cell r="I1900">
            <v>31828</v>
          </cell>
          <cell r="J1900" t="str">
            <v>371.380.038-38</v>
          </cell>
          <cell r="K1900" t="str">
            <v>136.71551.93.2</v>
          </cell>
          <cell r="L1900" t="str">
            <v>Salário Mensal</v>
          </cell>
          <cell r="M1900" t="str">
            <v>Empregado (CLT)</v>
          </cell>
        </row>
        <row r="1901">
          <cell r="D1901" t="str">
            <v>ECOSAMPA Capela do Socorro</v>
          </cell>
          <cell r="E1901">
            <v>43617</v>
          </cell>
          <cell r="F1901">
            <v>1603.99</v>
          </cell>
          <cell r="G1901" t="str">
            <v>Gozando Férias</v>
          </cell>
          <cell r="H1901">
            <v>45180</v>
          </cell>
          <cell r="I1901">
            <v>21135</v>
          </cell>
          <cell r="J1901" t="str">
            <v>055.604.058-92</v>
          </cell>
          <cell r="K1901" t="str">
            <v>107.58400.04.4</v>
          </cell>
          <cell r="L1901" t="str">
            <v>Salário Mensal</v>
          </cell>
          <cell r="M1901" t="str">
            <v>Empregado (CLT)</v>
          </cell>
        </row>
        <row r="1902">
          <cell r="D1902" t="str">
            <v>ECOSAMPA Operação Geral</v>
          </cell>
          <cell r="E1902">
            <v>43617</v>
          </cell>
          <cell r="F1902">
            <v>3050.22</v>
          </cell>
          <cell r="G1902" t="str">
            <v>Em Atividade Normal</v>
          </cell>
          <cell r="H1902">
            <v>44835</v>
          </cell>
          <cell r="I1902">
            <v>27391</v>
          </cell>
          <cell r="J1902" t="str">
            <v>179.576.588-73</v>
          </cell>
          <cell r="K1902" t="str">
            <v>124.72683.06.7</v>
          </cell>
          <cell r="L1902" t="str">
            <v>Salário Mensal</v>
          </cell>
          <cell r="M1902" t="str">
            <v>Empregado (CLT)</v>
          </cell>
        </row>
        <row r="1903">
          <cell r="D1903" t="str">
            <v>ECOSAMPA Operação Geral</v>
          </cell>
          <cell r="E1903">
            <v>43617</v>
          </cell>
          <cell r="F1903">
            <v>2633.28</v>
          </cell>
          <cell r="G1903" t="str">
            <v>Demitido em Meses Anteriores</v>
          </cell>
          <cell r="H1903">
            <v>43705</v>
          </cell>
          <cell r="I1903">
            <v>22686</v>
          </cell>
          <cell r="J1903" t="str">
            <v>056.252.078-36</v>
          </cell>
          <cell r="K1903" t="str">
            <v>120.95427.49.3</v>
          </cell>
          <cell r="L1903" t="str">
            <v>Salário Mensal</v>
          </cell>
          <cell r="M1903" t="str">
            <v>Empregado (CLT)</v>
          </cell>
        </row>
        <row r="1904">
          <cell r="D1904" t="str">
            <v>ECOSAMPA Operação Geral</v>
          </cell>
          <cell r="E1904">
            <v>44967</v>
          </cell>
          <cell r="F1904">
            <v>1603.99</v>
          </cell>
          <cell r="G1904" t="str">
            <v>Demitido em Meses Anteriores</v>
          </cell>
          <cell r="H1904">
            <v>44981</v>
          </cell>
          <cell r="I1904">
            <v>34192</v>
          </cell>
          <cell r="J1904" t="str">
            <v>436.558.388-32</v>
          </cell>
          <cell r="K1904" t="str">
            <v>267.92543.30.4</v>
          </cell>
          <cell r="L1904" t="str">
            <v>Salário Mensal</v>
          </cell>
          <cell r="M1904" t="str">
            <v>Empregado (CLT)</v>
          </cell>
        </row>
        <row r="1905">
          <cell r="D1905" t="str">
            <v>ECOSAMPA Operação Geral</v>
          </cell>
          <cell r="E1905">
            <v>45117</v>
          </cell>
          <cell r="F1905">
            <v>1603.99</v>
          </cell>
          <cell r="G1905" t="str">
            <v>Em Atividade Normal</v>
          </cell>
          <cell r="H1905">
            <v>45117</v>
          </cell>
          <cell r="I1905">
            <v>34192</v>
          </cell>
          <cell r="J1905" t="str">
            <v>436.558.388-32</v>
          </cell>
          <cell r="K1905" t="str">
            <v>267.92543.30.4</v>
          </cell>
          <cell r="L1905" t="str">
            <v>Salário Mensal</v>
          </cell>
          <cell r="M1905" t="str">
            <v>Empregado (CLT)</v>
          </cell>
        </row>
        <row r="1906">
          <cell r="D1906" t="str">
            <v>ECOSAMPA Parelheiros</v>
          </cell>
          <cell r="E1906">
            <v>43617</v>
          </cell>
          <cell r="F1906">
            <v>1603.99</v>
          </cell>
          <cell r="G1906" t="str">
            <v>Auxílio-Doença</v>
          </cell>
          <cell r="H1906">
            <v>44348</v>
          </cell>
          <cell r="I1906">
            <v>25229</v>
          </cell>
          <cell r="J1906" t="str">
            <v>133.190.068-94</v>
          </cell>
          <cell r="K1906" t="str">
            <v>123.41015.44.3</v>
          </cell>
          <cell r="L1906" t="str">
            <v>Salário Mensal</v>
          </cell>
          <cell r="M1906" t="str">
            <v>Empregado (CLT)</v>
          </cell>
        </row>
        <row r="1907">
          <cell r="D1907" t="str">
            <v>ECOSAMPA Operação Geral</v>
          </cell>
          <cell r="E1907">
            <v>43617</v>
          </cell>
          <cell r="F1907">
            <v>1907.79</v>
          </cell>
          <cell r="G1907" t="str">
            <v>Em Atividade Normal</v>
          </cell>
          <cell r="H1907">
            <v>45119</v>
          </cell>
          <cell r="I1907">
            <v>27547</v>
          </cell>
          <cell r="J1907" t="str">
            <v>262.902.408-38</v>
          </cell>
          <cell r="K1907" t="str">
            <v>124.42827.23.0</v>
          </cell>
          <cell r="L1907" t="str">
            <v>Salário Mensal</v>
          </cell>
          <cell r="M1907" t="str">
            <v>Empregado (CLT)</v>
          </cell>
        </row>
        <row r="1908">
          <cell r="D1908" t="str">
            <v>ECOSAMPA Capela do Socorro</v>
          </cell>
          <cell r="E1908">
            <v>44725</v>
          </cell>
          <cell r="F1908">
            <v>1603.99</v>
          </cell>
          <cell r="G1908" t="str">
            <v>Em Atividade Normal</v>
          </cell>
          <cell r="H1908">
            <v>44725</v>
          </cell>
          <cell r="I1908">
            <v>32540</v>
          </cell>
          <cell r="J1908" t="str">
            <v>086.388.834-80</v>
          </cell>
          <cell r="K1908" t="str">
            <v>209.04892.53.5</v>
          </cell>
          <cell r="L1908" t="str">
            <v>Salário Mensal</v>
          </cell>
          <cell r="M1908" t="str">
            <v>Empregado (CLT)</v>
          </cell>
        </row>
        <row r="1909">
          <cell r="D1909" t="str">
            <v>ECOSAMPA M'Boi Mirim</v>
          </cell>
          <cell r="E1909">
            <v>43617</v>
          </cell>
          <cell r="F1909">
            <v>1319.67</v>
          </cell>
          <cell r="G1909" t="str">
            <v>Demitido em Meses Anteriores</v>
          </cell>
          <cell r="H1909">
            <v>44347</v>
          </cell>
          <cell r="I1909">
            <v>31636</v>
          </cell>
          <cell r="J1909" t="str">
            <v>365.207.478-58</v>
          </cell>
          <cell r="K1909" t="str">
            <v>135.22232.89.4</v>
          </cell>
          <cell r="L1909" t="str">
            <v>Salário Mensal</v>
          </cell>
          <cell r="M1909" t="str">
            <v>Empregado (CLT)</v>
          </cell>
        </row>
        <row r="1910">
          <cell r="D1910" t="str">
            <v>ECOSAMPA Parelheiros</v>
          </cell>
          <cell r="E1910">
            <v>44900</v>
          </cell>
          <cell r="F1910">
            <v>1603.99</v>
          </cell>
          <cell r="G1910" t="str">
            <v>Em Atividade Normal</v>
          </cell>
          <cell r="H1910">
            <v>44900</v>
          </cell>
          <cell r="I1910">
            <v>34103</v>
          </cell>
          <cell r="J1910" t="str">
            <v>469.190.658-43</v>
          </cell>
          <cell r="K1910" t="str">
            <v>144.01550.37.0</v>
          </cell>
          <cell r="L1910" t="str">
            <v>Salário Mensal</v>
          </cell>
          <cell r="M1910" t="str">
            <v>Empregado (CLT)</v>
          </cell>
        </row>
        <row r="1911">
          <cell r="D1911" t="str">
            <v>ECOSAMPA Capela do Socorro</v>
          </cell>
          <cell r="E1911">
            <v>43874</v>
          </cell>
          <cell r="F1911">
            <v>1281.23</v>
          </cell>
          <cell r="G1911" t="str">
            <v>Demitido em Meses Anteriores</v>
          </cell>
          <cell r="H1911">
            <v>43888</v>
          </cell>
          <cell r="I1911">
            <v>32114</v>
          </cell>
          <cell r="J1911" t="str">
            <v>230.437.478-60</v>
          </cell>
          <cell r="K1911" t="str">
            <v>166.45215.03.8</v>
          </cell>
          <cell r="L1911" t="str">
            <v>Salário Mensal</v>
          </cell>
          <cell r="M1911" t="str">
            <v>Empregado (CLT)</v>
          </cell>
        </row>
        <row r="1912">
          <cell r="D1912" t="str">
            <v>ECOSAMPA Capela do Socorro</v>
          </cell>
          <cell r="E1912">
            <v>43617</v>
          </cell>
          <cell r="F1912">
            <v>1603.99</v>
          </cell>
          <cell r="G1912" t="str">
            <v>Em Atividade Normal</v>
          </cell>
          <cell r="H1912">
            <v>45023</v>
          </cell>
          <cell r="I1912">
            <v>25421</v>
          </cell>
          <cell r="J1912" t="str">
            <v>180.437.408-36</v>
          </cell>
          <cell r="K1912" t="str">
            <v>124.21881.53.8</v>
          </cell>
          <cell r="L1912" t="str">
            <v>Salário Mensal</v>
          </cell>
          <cell r="M1912" t="str">
            <v>Empregado (CLT)</v>
          </cell>
        </row>
        <row r="1913">
          <cell r="D1913" t="str">
            <v>ECOSAMPA Parelheiros</v>
          </cell>
          <cell r="E1913">
            <v>43617</v>
          </cell>
          <cell r="F1913">
            <v>1464.83</v>
          </cell>
          <cell r="G1913" t="str">
            <v>Demitido em Meses Anteriores</v>
          </cell>
          <cell r="H1913">
            <v>44824</v>
          </cell>
          <cell r="I1913">
            <v>34759</v>
          </cell>
          <cell r="J1913" t="str">
            <v>439.306.998-69</v>
          </cell>
          <cell r="K1913" t="str">
            <v>207.89511.62.7</v>
          </cell>
          <cell r="L1913" t="str">
            <v>Salário Mensal</v>
          </cell>
          <cell r="M1913" t="str">
            <v>Empregado (CLT)</v>
          </cell>
        </row>
        <row r="1914">
          <cell r="D1914" t="str">
            <v>ECOSAMPA Capela do Socorro</v>
          </cell>
          <cell r="E1914">
            <v>44419</v>
          </cell>
          <cell r="F1914">
            <v>1603.99</v>
          </cell>
          <cell r="G1914" t="str">
            <v>Demitido em Meses Anteriores</v>
          </cell>
          <cell r="H1914">
            <v>44973</v>
          </cell>
          <cell r="I1914">
            <v>37336</v>
          </cell>
          <cell r="J1914" t="str">
            <v>520.506.668-70</v>
          </cell>
          <cell r="K1914" t="str">
            <v>166.98569.66.7</v>
          </cell>
          <cell r="L1914" t="str">
            <v>Salário Mensal</v>
          </cell>
          <cell r="M1914" t="str">
            <v>Empregado (CLT)</v>
          </cell>
        </row>
        <row r="1915">
          <cell r="D1915" t="str">
            <v>ECOSAMPA Operação Geral</v>
          </cell>
          <cell r="E1915">
            <v>43617</v>
          </cell>
          <cell r="F1915">
            <v>3050.22</v>
          </cell>
          <cell r="G1915" t="str">
            <v>Em Atividade Normal</v>
          </cell>
          <cell r="H1915">
            <v>45119</v>
          </cell>
          <cell r="I1915">
            <v>23264</v>
          </cell>
          <cell r="J1915" t="str">
            <v>330.572.144-87</v>
          </cell>
          <cell r="K1915" t="str">
            <v>122.32562.23.0</v>
          </cell>
          <cell r="L1915" t="str">
            <v>Salário Mensal</v>
          </cell>
          <cell r="M1915" t="str">
            <v>Empregado (CLT)</v>
          </cell>
        </row>
        <row r="1916">
          <cell r="D1916" t="str">
            <v>ECOSAMPA Santo Amaro</v>
          </cell>
          <cell r="E1916">
            <v>43617</v>
          </cell>
          <cell r="F1916">
            <v>1603.99</v>
          </cell>
          <cell r="G1916" t="str">
            <v>Em Atividade Normal</v>
          </cell>
          <cell r="H1916">
            <v>45119</v>
          </cell>
          <cell r="I1916">
            <v>20500</v>
          </cell>
          <cell r="J1916" t="str">
            <v>261.832.318-19</v>
          </cell>
          <cell r="K1916" t="str">
            <v>120.48384.64.3</v>
          </cell>
          <cell r="L1916" t="str">
            <v>Salário Mensal</v>
          </cell>
          <cell r="M1916" t="str">
            <v>Empregado (CLT)</v>
          </cell>
        </row>
        <row r="1917">
          <cell r="D1917" t="str">
            <v>ECOSAMPA Santo Amaro</v>
          </cell>
          <cell r="E1917">
            <v>43811</v>
          </cell>
          <cell r="F1917">
            <v>1319.67</v>
          </cell>
          <cell r="G1917" t="str">
            <v>Demitido em Meses Anteriores</v>
          </cell>
          <cell r="H1917">
            <v>44242</v>
          </cell>
          <cell r="I1917">
            <v>29831</v>
          </cell>
          <cell r="J1917" t="str">
            <v>026.273.065-02</v>
          </cell>
          <cell r="K1917" t="str">
            <v>134.74108.93.9</v>
          </cell>
          <cell r="L1917" t="str">
            <v>Salário Mensal</v>
          </cell>
          <cell r="M1917" t="str">
            <v>Empregado (CLT)</v>
          </cell>
        </row>
        <row r="1918">
          <cell r="D1918" t="str">
            <v>ECOSAMPA Campo Limpo</v>
          </cell>
          <cell r="E1918">
            <v>43617</v>
          </cell>
          <cell r="F1918">
            <v>1603.99</v>
          </cell>
          <cell r="G1918" t="str">
            <v>Em Atividade Normal</v>
          </cell>
          <cell r="H1918">
            <v>45119</v>
          </cell>
          <cell r="I1918">
            <v>17232</v>
          </cell>
          <cell r="J1918" t="str">
            <v>022.374.288-08</v>
          </cell>
          <cell r="K1918" t="str">
            <v>102.52972.91.8</v>
          </cell>
          <cell r="L1918" t="str">
            <v>Salário Mensal</v>
          </cell>
          <cell r="M1918" t="str">
            <v>Empregado (CLT)</v>
          </cell>
        </row>
        <row r="1919">
          <cell r="D1919" t="str">
            <v>ECOSAMPA Operação Geral</v>
          </cell>
          <cell r="E1919">
            <v>45061</v>
          </cell>
          <cell r="F1919">
            <v>1603.99</v>
          </cell>
          <cell r="G1919" t="str">
            <v>Em Atividade Normal</v>
          </cell>
          <cell r="H1919">
            <v>45061</v>
          </cell>
          <cell r="I1919">
            <v>26737</v>
          </cell>
          <cell r="J1919" t="str">
            <v>124.934.108-66</v>
          </cell>
          <cell r="K1919" t="str">
            <v>122.97778.51.3</v>
          </cell>
          <cell r="L1919" t="str">
            <v>Salário Mensal</v>
          </cell>
          <cell r="M1919" t="str">
            <v>Empregado (CLT)</v>
          </cell>
        </row>
        <row r="1920">
          <cell r="D1920" t="str">
            <v>ECOSAMPA M'Boi Mirim</v>
          </cell>
          <cell r="E1920">
            <v>43617</v>
          </cell>
          <cell r="F1920">
            <v>1603.99</v>
          </cell>
          <cell r="G1920" t="str">
            <v>Em Atividade Normal</v>
          </cell>
          <cell r="H1920">
            <v>45056</v>
          </cell>
          <cell r="I1920">
            <v>23040</v>
          </cell>
          <cell r="J1920" t="str">
            <v>295.245.138-97</v>
          </cell>
          <cell r="K1920" t="str">
            <v>128.67341.81.9</v>
          </cell>
          <cell r="L1920" t="str">
            <v>Salário Mensal</v>
          </cell>
          <cell r="M1920" t="str">
            <v>Empregado (CLT)</v>
          </cell>
        </row>
        <row r="1921">
          <cell r="D1921" t="str">
            <v>ECOSAMPA Operação Geral</v>
          </cell>
          <cell r="E1921">
            <v>44972</v>
          </cell>
          <cell r="F1921">
            <v>1603.99</v>
          </cell>
          <cell r="G1921" t="str">
            <v>Demitido em Meses Anteriores</v>
          </cell>
          <cell r="H1921">
            <v>44986</v>
          </cell>
          <cell r="I1921">
            <v>37567</v>
          </cell>
          <cell r="J1921" t="str">
            <v>491.644.838-35</v>
          </cell>
          <cell r="K1921" t="str">
            <v>140.92040.51.9</v>
          </cell>
          <cell r="L1921" t="str">
            <v>Salário Mensal</v>
          </cell>
          <cell r="M1921" t="str">
            <v>Empregado (CLT)</v>
          </cell>
        </row>
        <row r="1922">
          <cell r="D1922" t="str">
            <v>ECOSAMPA Santo Amaro</v>
          </cell>
          <cell r="E1922">
            <v>43617</v>
          </cell>
          <cell r="F1922">
            <v>1603.99</v>
          </cell>
          <cell r="G1922" t="str">
            <v>Em Atividade Normal</v>
          </cell>
          <cell r="H1922">
            <v>45050</v>
          </cell>
          <cell r="I1922">
            <v>25382</v>
          </cell>
          <cell r="J1922" t="str">
            <v>127.140.238-60</v>
          </cell>
          <cell r="K1922" t="str">
            <v>123.74448.34.9</v>
          </cell>
          <cell r="L1922" t="str">
            <v>Salário Mensal</v>
          </cell>
          <cell r="M1922" t="str">
            <v>Empregado (CLT)</v>
          </cell>
        </row>
        <row r="1923">
          <cell r="D1923" t="str">
            <v>ECOSAMPA Operação Geral</v>
          </cell>
          <cell r="E1923">
            <v>43787</v>
          </cell>
          <cell r="F1923">
            <v>1952.99</v>
          </cell>
          <cell r="G1923" t="str">
            <v>Demitido em Meses Anteriores</v>
          </cell>
          <cell r="H1923">
            <v>44991</v>
          </cell>
          <cell r="I1923">
            <v>36814</v>
          </cell>
          <cell r="J1923" t="str">
            <v>491.270.788-09</v>
          </cell>
          <cell r="K1923" t="str">
            <v>210.14389.13.7</v>
          </cell>
          <cell r="L1923" t="str">
            <v>Salário Mensal</v>
          </cell>
          <cell r="M1923" t="str">
            <v>Empregado (CLT)</v>
          </cell>
        </row>
        <row r="1924">
          <cell r="D1924" t="str">
            <v>ECOSAMPA Santo Amaro</v>
          </cell>
          <cell r="E1924">
            <v>43617</v>
          </cell>
          <cell r="F1924">
            <v>1603.99</v>
          </cell>
          <cell r="G1924" t="str">
            <v>Demitido em Meses Anteriores</v>
          </cell>
          <cell r="H1924">
            <v>44858</v>
          </cell>
          <cell r="I1924">
            <v>19204</v>
          </cell>
          <cell r="J1924" t="str">
            <v>876.713.528-53</v>
          </cell>
          <cell r="K1924" t="str">
            <v>106.36667.24.0</v>
          </cell>
          <cell r="L1924" t="str">
            <v>Salário Mensal</v>
          </cell>
          <cell r="M1924" t="str">
            <v>Empregado (CLT)</v>
          </cell>
        </row>
        <row r="1925">
          <cell r="D1925" t="str">
            <v>ECOSAMPA Parelheiros</v>
          </cell>
          <cell r="E1925">
            <v>43617</v>
          </cell>
          <cell r="F1925">
            <v>1603.99</v>
          </cell>
          <cell r="G1925" t="str">
            <v>Demitido no Mês</v>
          </cell>
          <cell r="H1925">
            <v>45189</v>
          </cell>
          <cell r="I1925">
            <v>22043</v>
          </cell>
          <cell r="J1925" t="str">
            <v>046.549.538-92</v>
          </cell>
          <cell r="K1925" t="str">
            <v>107.79618.95.2</v>
          </cell>
          <cell r="L1925" t="str">
            <v>Salário Mensal</v>
          </cell>
          <cell r="M1925" t="str">
            <v>Empregado (CLT)</v>
          </cell>
        </row>
        <row r="1926">
          <cell r="D1926" t="str">
            <v>ECOSAMPA Campo Limpo</v>
          </cell>
          <cell r="E1926">
            <v>43617</v>
          </cell>
          <cell r="F1926">
            <v>1319.67</v>
          </cell>
          <cell r="G1926" t="str">
            <v>Demitido em Meses Anteriores</v>
          </cell>
          <cell r="H1926">
            <v>44263</v>
          </cell>
          <cell r="I1926">
            <v>20007</v>
          </cell>
          <cell r="J1926" t="str">
            <v>113.968.418-30</v>
          </cell>
          <cell r="K1926" t="str">
            <v>122.07404.48.1</v>
          </cell>
          <cell r="L1926" t="str">
            <v>Salário Mensal</v>
          </cell>
          <cell r="M1926" t="str">
            <v>Empregado (CLT)</v>
          </cell>
        </row>
        <row r="1927">
          <cell r="D1927" t="str">
            <v>ECOSAMPA Operação Geral</v>
          </cell>
          <cell r="E1927">
            <v>44354</v>
          </cell>
          <cell r="F1927">
            <v>3885</v>
          </cell>
          <cell r="G1927" t="str">
            <v>Demitido em Meses Anteriores</v>
          </cell>
          <cell r="H1927">
            <v>44508</v>
          </cell>
          <cell r="I1927">
            <v>34273</v>
          </cell>
          <cell r="J1927" t="str">
            <v>406.483.658-83</v>
          </cell>
          <cell r="K1927" t="str">
            <v>137.30018.61.1</v>
          </cell>
          <cell r="L1927" t="str">
            <v>Salário Mensal</v>
          </cell>
          <cell r="M1927" t="str">
            <v>Empregado (CLT)</v>
          </cell>
        </row>
        <row r="1928">
          <cell r="D1928" t="str">
            <v>ECOSAMPA Santo Amaro</v>
          </cell>
          <cell r="E1928">
            <v>43617</v>
          </cell>
          <cell r="F1928">
            <v>1603.99</v>
          </cell>
          <cell r="G1928" t="str">
            <v>Em Atividade Normal</v>
          </cell>
          <cell r="H1928">
            <v>45177</v>
          </cell>
          <cell r="I1928">
            <v>25540</v>
          </cell>
          <cell r="J1928" t="str">
            <v>111.469.208-57</v>
          </cell>
          <cell r="K1928" t="str">
            <v>123.24011.04.4</v>
          </cell>
          <cell r="L1928" t="str">
            <v>Salário Mensal</v>
          </cell>
          <cell r="M1928" t="str">
            <v>Empregado (CLT)</v>
          </cell>
        </row>
        <row r="1929">
          <cell r="D1929" t="str">
            <v>ECOSAMPA Parelheiros</v>
          </cell>
          <cell r="E1929">
            <v>43617</v>
          </cell>
          <cell r="F1929">
            <v>1603.99</v>
          </cell>
          <cell r="G1929" t="str">
            <v>Em Atividade Normal</v>
          </cell>
          <cell r="H1929">
            <v>44960</v>
          </cell>
          <cell r="I1929">
            <v>22533</v>
          </cell>
          <cell r="J1929" t="str">
            <v>365.215.075-91</v>
          </cell>
          <cell r="K1929" t="str">
            <v>122.31718.94.6</v>
          </cell>
          <cell r="L1929" t="str">
            <v>Salário Mensal</v>
          </cell>
          <cell r="M1929" t="str">
            <v>Empregado (CLT)</v>
          </cell>
        </row>
        <row r="1930">
          <cell r="D1930" t="str">
            <v>ECOSAMPA Pensionistas</v>
          </cell>
          <cell r="E1930">
            <v>44824</v>
          </cell>
          <cell r="F1930">
            <v>0.01</v>
          </cell>
          <cell r="G1930" t="str">
            <v>Em Atividade Normal</v>
          </cell>
          <cell r="H1930">
            <v>44824</v>
          </cell>
          <cell r="J1930" t="str">
            <v>425.613.288-05</v>
          </cell>
          <cell r="L1930" t="str">
            <v>Nenhuma</v>
          </cell>
          <cell r="M1930" t="str">
            <v>Pensionista</v>
          </cell>
        </row>
        <row r="1931">
          <cell r="D1931" t="str">
            <v>ECOSAMPA Administração</v>
          </cell>
          <cell r="E1931">
            <v>43619</v>
          </cell>
          <cell r="F1931">
            <v>4267.6899999999996</v>
          </cell>
          <cell r="G1931" t="str">
            <v>Em Atividade Normal</v>
          </cell>
          <cell r="H1931">
            <v>44985</v>
          </cell>
          <cell r="I1931">
            <v>35810</v>
          </cell>
          <cell r="J1931" t="str">
            <v>324.733.778-47</v>
          </cell>
          <cell r="K1931" t="str">
            <v>207.77183.79.4</v>
          </cell>
          <cell r="L1931" t="str">
            <v>Salário Mensal</v>
          </cell>
          <cell r="M1931" t="str">
            <v>Empregado (CLT)</v>
          </cell>
        </row>
        <row r="1932">
          <cell r="D1932" t="str">
            <v>ECOSAMPA Pensionistas</v>
          </cell>
          <cell r="E1932">
            <v>44585</v>
          </cell>
          <cell r="F1932">
            <v>0.01</v>
          </cell>
          <cell r="G1932" t="str">
            <v>Em Atividade Normal</v>
          </cell>
          <cell r="H1932">
            <v>44585</v>
          </cell>
          <cell r="J1932" t="str">
            <v>338.766.758-20</v>
          </cell>
          <cell r="L1932" t="str">
            <v>Nenhuma</v>
          </cell>
          <cell r="M1932" t="str">
            <v>Pensionista</v>
          </cell>
        </row>
        <row r="1933">
          <cell r="D1933" t="str">
            <v>ECOSAMPA Pensionistas</v>
          </cell>
          <cell r="E1933">
            <v>43770</v>
          </cell>
          <cell r="F1933">
            <v>0.01</v>
          </cell>
          <cell r="G1933" t="str">
            <v>Em Atividade Normal</v>
          </cell>
          <cell r="H1933">
            <v>43770</v>
          </cell>
          <cell r="J1933" t="str">
            <v>381.092.868-28</v>
          </cell>
          <cell r="L1933" t="str">
            <v>Nenhuma</v>
          </cell>
          <cell r="M1933" t="str">
            <v>Pensionista</v>
          </cell>
        </row>
        <row r="1934">
          <cell r="D1934" t="str">
            <v>ECOSAMPA Pensionistas</v>
          </cell>
          <cell r="E1934">
            <v>44034</v>
          </cell>
          <cell r="F1934">
            <v>0.01</v>
          </cell>
          <cell r="G1934" t="str">
            <v>Em Atividade Normal</v>
          </cell>
          <cell r="H1934">
            <v>44034</v>
          </cell>
          <cell r="J1934" t="str">
            <v>386.049.518-65</v>
          </cell>
          <cell r="L1934" t="str">
            <v>Nenhuma</v>
          </cell>
          <cell r="M1934" t="str">
            <v>Pensionista</v>
          </cell>
        </row>
        <row r="1935">
          <cell r="D1935" t="str">
            <v>ECOSAMPA Pensionistas</v>
          </cell>
          <cell r="E1935">
            <v>44389</v>
          </cell>
          <cell r="F1935">
            <v>0.01</v>
          </cell>
          <cell r="G1935" t="str">
            <v>Em Atividade Normal</v>
          </cell>
          <cell r="H1935">
            <v>44389</v>
          </cell>
          <cell r="J1935" t="str">
            <v>312.213.348-24</v>
          </cell>
          <cell r="L1935" t="str">
            <v>Nenhuma</v>
          </cell>
          <cell r="M1935" t="str">
            <v>Pensionista</v>
          </cell>
        </row>
        <row r="1936">
          <cell r="D1936" t="str">
            <v>ECOSAMPA Santo Amaro</v>
          </cell>
          <cell r="E1936">
            <v>43617</v>
          </cell>
          <cell r="F1936">
            <v>1603.99</v>
          </cell>
          <cell r="G1936" t="str">
            <v>Demitido em Meses Anteriores</v>
          </cell>
          <cell r="H1936">
            <v>44872</v>
          </cell>
          <cell r="I1936">
            <v>31125</v>
          </cell>
          <cell r="J1936" t="str">
            <v>238.417.278-67</v>
          </cell>
          <cell r="K1936" t="str">
            <v>134.43822.61.3</v>
          </cell>
          <cell r="L1936" t="str">
            <v>Salário Mensal</v>
          </cell>
          <cell r="M1936" t="str">
            <v>Empregado (CLT)</v>
          </cell>
        </row>
        <row r="1937">
          <cell r="D1937" t="str">
            <v>ECOSAMPA Santo Amaro</v>
          </cell>
          <cell r="E1937">
            <v>43617</v>
          </cell>
          <cell r="F1937">
            <v>2650.94</v>
          </cell>
          <cell r="G1937" t="str">
            <v>Demitido em Meses Anteriores</v>
          </cell>
          <cell r="H1937">
            <v>44140</v>
          </cell>
          <cell r="I1937">
            <v>30453</v>
          </cell>
          <cell r="J1937" t="str">
            <v>311.913.248-93</v>
          </cell>
          <cell r="K1937" t="str">
            <v>130.38355.89.4</v>
          </cell>
          <cell r="L1937" t="str">
            <v>Salário Mensal</v>
          </cell>
          <cell r="M1937" t="str">
            <v>Empregado (CLT)</v>
          </cell>
        </row>
        <row r="1938">
          <cell r="D1938" t="str">
            <v>ECOSAMPA Operação Geral</v>
          </cell>
          <cell r="E1938">
            <v>44791</v>
          </cell>
          <cell r="F1938">
            <v>1603.99</v>
          </cell>
          <cell r="G1938" t="str">
            <v>Auxílio-Doença</v>
          </cell>
          <cell r="H1938">
            <v>45186</v>
          </cell>
          <cell r="I1938">
            <v>34191</v>
          </cell>
          <cell r="J1938" t="str">
            <v>438.863.138-83</v>
          </cell>
          <cell r="K1938" t="str">
            <v>201.15100.70.3</v>
          </cell>
          <cell r="L1938" t="str">
            <v>Salário Mensal</v>
          </cell>
          <cell r="M1938" t="str">
            <v>Empregado (CLT)</v>
          </cell>
        </row>
        <row r="1939">
          <cell r="D1939" t="str">
            <v>ECOSAMPA Capela do Socorro</v>
          </cell>
          <cell r="E1939">
            <v>44018</v>
          </cell>
          <cell r="F1939">
            <v>1603.99</v>
          </cell>
          <cell r="G1939" t="str">
            <v>Demitido em Meses Anteriores</v>
          </cell>
          <cell r="H1939">
            <v>44939</v>
          </cell>
          <cell r="I1939">
            <v>30840</v>
          </cell>
          <cell r="J1939" t="str">
            <v>358.429.288-33</v>
          </cell>
          <cell r="K1939" t="str">
            <v>135.52274.93.5</v>
          </cell>
          <cell r="L1939" t="str">
            <v>Salário Mensal</v>
          </cell>
          <cell r="M1939" t="str">
            <v>Empregado (CLT)</v>
          </cell>
        </row>
        <row r="1940">
          <cell r="D1940" t="str">
            <v>ECOSAMPA Operação Geral</v>
          </cell>
          <cell r="E1940">
            <v>44967</v>
          </cell>
          <cell r="F1940">
            <v>1603.99</v>
          </cell>
          <cell r="G1940" t="str">
            <v>Demitido em Meses Anteriores</v>
          </cell>
          <cell r="H1940">
            <v>44981</v>
          </cell>
          <cell r="I1940">
            <v>29947</v>
          </cell>
          <cell r="J1940" t="str">
            <v>303.677.818-75</v>
          </cell>
          <cell r="K1940" t="str">
            <v>126.52774.85.0</v>
          </cell>
          <cell r="L1940" t="str">
            <v>Salário Mensal</v>
          </cell>
          <cell r="M1940" t="str">
            <v>Empregado (CLT)</v>
          </cell>
        </row>
        <row r="1941">
          <cell r="D1941" t="str">
            <v>ECOSAMPA Capela do Socorro</v>
          </cell>
          <cell r="E1941">
            <v>45098</v>
          </cell>
          <cell r="F1941">
            <v>1603.99</v>
          </cell>
          <cell r="G1941" t="str">
            <v>Em Atividade Normal</v>
          </cell>
          <cell r="H1941">
            <v>45098</v>
          </cell>
          <cell r="I1941">
            <v>29947</v>
          </cell>
          <cell r="J1941" t="str">
            <v>303.677.818-75</v>
          </cell>
          <cell r="K1941" t="str">
            <v>126.52774.85.0</v>
          </cell>
          <cell r="L1941" t="str">
            <v>Salário Mensal</v>
          </cell>
          <cell r="M1941" t="str">
            <v>Empregado (CLT)</v>
          </cell>
        </row>
        <row r="1942">
          <cell r="D1942" t="str">
            <v>ECOSAMPA Operação Geral</v>
          </cell>
          <cell r="E1942">
            <v>43621</v>
          </cell>
          <cell r="F1942">
            <v>2701.63</v>
          </cell>
          <cell r="G1942" t="str">
            <v>Em Atividade Normal</v>
          </cell>
          <cell r="H1942">
            <v>45119</v>
          </cell>
          <cell r="I1942">
            <v>32683</v>
          </cell>
          <cell r="J1942" t="str">
            <v>386.597.648-46</v>
          </cell>
          <cell r="K1942" t="str">
            <v>136.07878.81.0</v>
          </cell>
          <cell r="L1942" t="str">
            <v>Salário Mensal</v>
          </cell>
          <cell r="M1942" t="str">
            <v>Empregado (CLT)</v>
          </cell>
        </row>
        <row r="1943">
          <cell r="D1943" t="str">
            <v>ECOSAMPA Campo Limpo</v>
          </cell>
          <cell r="E1943">
            <v>43617</v>
          </cell>
          <cell r="F1943">
            <v>1603.99</v>
          </cell>
          <cell r="G1943" t="str">
            <v>Em Atividade Normal</v>
          </cell>
          <cell r="H1943">
            <v>45056</v>
          </cell>
          <cell r="I1943">
            <v>34716</v>
          </cell>
          <cell r="J1943" t="str">
            <v>443.383.218-90</v>
          </cell>
          <cell r="K1943" t="str">
            <v>201.15300.97.4</v>
          </cell>
          <cell r="L1943" t="str">
            <v>Salário Mensal</v>
          </cell>
          <cell r="M1943" t="str">
            <v>Empregado (CLT)</v>
          </cell>
        </row>
        <row r="1944">
          <cell r="D1944" t="str">
            <v>ECOSAMPA Parelheiros</v>
          </cell>
          <cell r="E1944">
            <v>43728</v>
          </cell>
          <cell r="F1944">
            <v>1319.67</v>
          </cell>
          <cell r="G1944" t="str">
            <v>Demitido em Meses Anteriores</v>
          </cell>
          <cell r="H1944">
            <v>44242</v>
          </cell>
          <cell r="I1944">
            <v>33520</v>
          </cell>
          <cell r="J1944" t="str">
            <v>402.450.378-29</v>
          </cell>
          <cell r="K1944" t="str">
            <v>209.79806.70.9</v>
          </cell>
          <cell r="L1944" t="str">
            <v>Salário Mensal</v>
          </cell>
          <cell r="M1944" t="str">
            <v>Empregado (CLT)</v>
          </cell>
        </row>
        <row r="1945">
          <cell r="D1945" t="str">
            <v>ECOSAMPA Santo Amaro</v>
          </cell>
          <cell r="E1945">
            <v>43617</v>
          </cell>
          <cell r="F1945">
            <v>1603.99</v>
          </cell>
          <cell r="G1945" t="str">
            <v>Demitido em Meses Anteriores</v>
          </cell>
          <cell r="H1945">
            <v>45169</v>
          </cell>
          <cell r="I1945">
            <v>34472</v>
          </cell>
          <cell r="J1945" t="str">
            <v>430.125.618-03</v>
          </cell>
          <cell r="K1945" t="str">
            <v>207.80053.54.5</v>
          </cell>
          <cell r="L1945" t="str">
            <v>Salário Mensal</v>
          </cell>
          <cell r="M1945" t="str">
            <v>Empregado (CLT)</v>
          </cell>
        </row>
        <row r="1946">
          <cell r="D1946" t="str">
            <v>ECOSAMPA Campo Limpo</v>
          </cell>
          <cell r="E1946">
            <v>43617</v>
          </cell>
          <cell r="F1946">
            <v>1603.99</v>
          </cell>
          <cell r="G1946" t="str">
            <v>Em Atividade Normal</v>
          </cell>
          <cell r="H1946">
            <v>44993</v>
          </cell>
          <cell r="I1946">
            <v>35674</v>
          </cell>
          <cell r="J1946" t="str">
            <v>613.208.943-80</v>
          </cell>
          <cell r="K1946" t="str">
            <v>166.73571.39.0</v>
          </cell>
          <cell r="L1946" t="str">
            <v>Salário Mensal</v>
          </cell>
          <cell r="M1946" t="str">
            <v>Empregado (CLT)</v>
          </cell>
        </row>
        <row r="1947">
          <cell r="D1947" t="str">
            <v>ECOSAMPA Capela do Socorro</v>
          </cell>
          <cell r="E1947">
            <v>43817</v>
          </cell>
          <cell r="F1947">
            <v>1603.99</v>
          </cell>
          <cell r="G1947" t="str">
            <v>Em Atividade Normal</v>
          </cell>
          <cell r="H1947">
            <v>45177</v>
          </cell>
          <cell r="I1947">
            <v>35566</v>
          </cell>
          <cell r="J1947" t="str">
            <v>475.802.428-69</v>
          </cell>
          <cell r="K1947" t="str">
            <v>201.17244.18.4</v>
          </cell>
          <cell r="L1947" t="str">
            <v>Salário Mensal</v>
          </cell>
          <cell r="M1947" t="str">
            <v>Empregado (CLT)</v>
          </cell>
        </row>
        <row r="1948">
          <cell r="D1948" t="str">
            <v>ECOSAMPA M'Boi Mirim</v>
          </cell>
          <cell r="E1948">
            <v>43617</v>
          </cell>
          <cell r="F1948">
            <v>1603.99</v>
          </cell>
          <cell r="G1948" t="str">
            <v>Em Atividade Normal</v>
          </cell>
          <cell r="H1948">
            <v>44776</v>
          </cell>
          <cell r="I1948">
            <v>34604</v>
          </cell>
          <cell r="J1948" t="str">
            <v>071.847.135-08</v>
          </cell>
          <cell r="K1948" t="str">
            <v>165.60527.52.3</v>
          </cell>
          <cell r="L1948" t="str">
            <v>Salário Mensal</v>
          </cell>
          <cell r="M1948" t="str">
            <v>Empregado (CLT)</v>
          </cell>
        </row>
        <row r="1949">
          <cell r="D1949" t="str">
            <v>ECOSAMPA M'Boi Mirim</v>
          </cell>
          <cell r="E1949">
            <v>43617</v>
          </cell>
          <cell r="F1949">
            <v>1603.99</v>
          </cell>
          <cell r="G1949" t="str">
            <v>Em Atividade Normal</v>
          </cell>
          <cell r="H1949">
            <v>44960</v>
          </cell>
          <cell r="I1949">
            <v>33970</v>
          </cell>
          <cell r="J1949" t="str">
            <v>435.210.848-09</v>
          </cell>
          <cell r="K1949" t="str">
            <v>207.24754.14.2</v>
          </cell>
          <cell r="L1949" t="str">
            <v>Salário Mensal</v>
          </cell>
          <cell r="M1949" t="str">
            <v>Empregado (CLT)</v>
          </cell>
        </row>
        <row r="1950">
          <cell r="D1950" t="str">
            <v>ECOSAMPA Santo Amaro</v>
          </cell>
          <cell r="E1950">
            <v>44419</v>
          </cell>
          <cell r="F1950">
            <v>1603.99</v>
          </cell>
          <cell r="G1950" t="str">
            <v>Em Atividade Normal</v>
          </cell>
          <cell r="H1950">
            <v>45119</v>
          </cell>
          <cell r="I1950">
            <v>33509</v>
          </cell>
          <cell r="J1950" t="str">
            <v>398.591.618-79</v>
          </cell>
          <cell r="K1950" t="str">
            <v>204.29484.94.6</v>
          </cell>
          <cell r="L1950" t="str">
            <v>Salário Mensal</v>
          </cell>
          <cell r="M1950" t="str">
            <v>Empregado (CLT)</v>
          </cell>
        </row>
        <row r="1951">
          <cell r="D1951" t="str">
            <v>ECOSAMPA Operação Geral</v>
          </cell>
          <cell r="E1951">
            <v>44419</v>
          </cell>
          <cell r="F1951">
            <v>2785.59</v>
          </cell>
          <cell r="G1951" t="str">
            <v>Demitido em Meses Anteriores</v>
          </cell>
          <cell r="H1951">
            <v>44505</v>
          </cell>
          <cell r="I1951">
            <v>31830</v>
          </cell>
          <cell r="J1951" t="str">
            <v>366.334.308-17</v>
          </cell>
          <cell r="K1951" t="str">
            <v>190.30907.85.4</v>
          </cell>
          <cell r="L1951" t="str">
            <v>Salário Mensal</v>
          </cell>
          <cell r="M1951" t="str">
            <v>Empregado (CLT)</v>
          </cell>
        </row>
        <row r="1952">
          <cell r="D1952" t="str">
            <v>ECOSAMPA M'Boi Mirim</v>
          </cell>
          <cell r="E1952">
            <v>43617</v>
          </cell>
          <cell r="F1952">
            <v>1464.83</v>
          </cell>
          <cell r="G1952" t="str">
            <v>Demitido em Meses Anteriores</v>
          </cell>
          <cell r="H1952">
            <v>44505</v>
          </cell>
          <cell r="I1952">
            <v>34981</v>
          </cell>
          <cell r="J1952" t="str">
            <v>475.021.088-90</v>
          </cell>
          <cell r="K1952" t="str">
            <v>148.73260.33.3</v>
          </cell>
          <cell r="L1952" t="str">
            <v>Salário Mensal</v>
          </cell>
          <cell r="M1952" t="str">
            <v>Empregado (CLT)</v>
          </cell>
        </row>
        <row r="1953">
          <cell r="D1953" t="str">
            <v>ECOSAMPA Parelheiros</v>
          </cell>
          <cell r="E1953">
            <v>43617</v>
          </cell>
          <cell r="F1953">
            <v>3222.08</v>
          </cell>
          <cell r="G1953" t="str">
            <v>Em Atividade Normal</v>
          </cell>
          <cell r="H1953">
            <v>45149</v>
          </cell>
          <cell r="I1953">
            <v>33697</v>
          </cell>
          <cell r="J1953" t="str">
            <v>424.956.228-01</v>
          </cell>
          <cell r="K1953" t="str">
            <v>210.73041.35.4</v>
          </cell>
          <cell r="L1953" t="str">
            <v>Salário Mensal</v>
          </cell>
          <cell r="M1953" t="str">
            <v>Empregado (CLT)</v>
          </cell>
        </row>
        <row r="1954">
          <cell r="D1954" t="str">
            <v>ECOSAMPA Pensionistas</v>
          </cell>
          <cell r="E1954">
            <v>44783</v>
          </cell>
          <cell r="F1954">
            <v>0.01</v>
          </cell>
          <cell r="G1954" t="str">
            <v>Em Atividade Normal</v>
          </cell>
          <cell r="H1954">
            <v>44783</v>
          </cell>
          <cell r="J1954" t="str">
            <v>329.272.708-13</v>
          </cell>
          <cell r="L1954" t="str">
            <v>Nenhuma</v>
          </cell>
          <cell r="M1954" t="str">
            <v>Pensionista</v>
          </cell>
        </row>
        <row r="1955">
          <cell r="D1955" t="str">
            <v>ECOSAMPA Pensionistas</v>
          </cell>
          <cell r="E1955">
            <v>45135</v>
          </cell>
          <cell r="F1955">
            <v>0.01</v>
          </cell>
          <cell r="G1955" t="str">
            <v>Demitido no Mês</v>
          </cell>
          <cell r="H1955">
            <v>45180</v>
          </cell>
          <cell r="J1955" t="str">
            <v>491.203.898-92</v>
          </cell>
          <cell r="L1955" t="str">
            <v>Nenhuma</v>
          </cell>
          <cell r="M1955" t="str">
            <v>Pensionista</v>
          </cell>
        </row>
        <row r="1956">
          <cell r="D1956" t="str">
            <v>ECOSAMPA Capela do Socorro</v>
          </cell>
          <cell r="E1956">
            <v>43817</v>
          </cell>
          <cell r="F1956">
            <v>1603.99</v>
          </cell>
          <cell r="G1956" t="str">
            <v>Demitido em Meses Anteriores</v>
          </cell>
          <cell r="H1956">
            <v>44903</v>
          </cell>
          <cell r="I1956">
            <v>35908</v>
          </cell>
          <cell r="J1956" t="str">
            <v>078.323.315-93</v>
          </cell>
          <cell r="K1956" t="str">
            <v>140.18597.46.7</v>
          </cell>
          <cell r="L1956" t="str">
            <v>Salário Mensal</v>
          </cell>
          <cell r="M1956" t="str">
            <v>Empregado (CLT)</v>
          </cell>
        </row>
        <row r="1957">
          <cell r="D1957" t="str">
            <v>ECOSAMPA M'Boi Mirim</v>
          </cell>
          <cell r="E1957">
            <v>43617</v>
          </cell>
          <cell r="F1957">
            <v>1603.99</v>
          </cell>
          <cell r="G1957" t="str">
            <v>Em Atividade Normal</v>
          </cell>
          <cell r="H1957">
            <v>45056</v>
          </cell>
          <cell r="I1957">
            <v>29619</v>
          </cell>
          <cell r="J1957" t="str">
            <v>010.560.665-04</v>
          </cell>
          <cell r="K1957" t="str">
            <v>130.93640.77.5</v>
          </cell>
          <cell r="L1957" t="str">
            <v>Salário Mensal</v>
          </cell>
          <cell r="M1957" t="str">
            <v>Empregado (CLT)</v>
          </cell>
        </row>
        <row r="1958">
          <cell r="D1958" t="str">
            <v>ECOSAMPA Operação Geral</v>
          </cell>
          <cell r="E1958">
            <v>43617</v>
          </cell>
          <cell r="F1958">
            <v>2342.7399999999998</v>
          </cell>
          <cell r="G1958" t="str">
            <v>Demitido em Meses Anteriores</v>
          </cell>
          <cell r="H1958">
            <v>43657</v>
          </cell>
          <cell r="I1958">
            <v>29881</v>
          </cell>
          <cell r="J1958" t="str">
            <v>290.338.928-47</v>
          </cell>
          <cell r="K1958" t="str">
            <v>190.30853.53.3</v>
          </cell>
          <cell r="L1958" t="str">
            <v>Salário Mensal</v>
          </cell>
          <cell r="M1958" t="str">
            <v>Empregado (CLT)</v>
          </cell>
        </row>
        <row r="1959">
          <cell r="D1959" t="str">
            <v>ECOSAMPA M'Boi Mirim</v>
          </cell>
          <cell r="E1959">
            <v>44945</v>
          </cell>
          <cell r="F1959">
            <v>1603.99</v>
          </cell>
          <cell r="G1959" t="str">
            <v>Em Atividade Normal</v>
          </cell>
          <cell r="H1959">
            <v>44945</v>
          </cell>
          <cell r="I1959">
            <v>32057</v>
          </cell>
          <cell r="J1959" t="str">
            <v>363.219.338-05</v>
          </cell>
          <cell r="K1959" t="str">
            <v>201.15221.50.0</v>
          </cell>
          <cell r="L1959" t="str">
            <v>Salário Mensal</v>
          </cell>
          <cell r="M1959" t="str">
            <v>Empregado (CLT)</v>
          </cell>
        </row>
        <row r="1960">
          <cell r="D1960" t="str">
            <v>ECOSAMPA Campo Limpo</v>
          </cell>
          <cell r="E1960">
            <v>43617</v>
          </cell>
          <cell r="F1960">
            <v>1603.99</v>
          </cell>
          <cell r="G1960" t="str">
            <v>Em Atividade Normal</v>
          </cell>
          <cell r="H1960">
            <v>44930</v>
          </cell>
          <cell r="I1960">
            <v>22435</v>
          </cell>
          <cell r="J1960" t="str">
            <v>314.820.235-04</v>
          </cell>
          <cell r="K1960" t="str">
            <v>123.79240.79.7</v>
          </cell>
          <cell r="L1960" t="str">
            <v>Salário Mensal</v>
          </cell>
          <cell r="M1960" t="str">
            <v>Empregado (CLT)</v>
          </cell>
        </row>
        <row r="1961">
          <cell r="D1961" t="str">
            <v>ECOSAMPA Campo Limpo</v>
          </cell>
          <cell r="E1961">
            <v>43617</v>
          </cell>
          <cell r="F1961">
            <v>1603.99</v>
          </cell>
          <cell r="G1961" t="str">
            <v>Em Atividade Normal</v>
          </cell>
          <cell r="H1961">
            <v>44960</v>
          </cell>
          <cell r="I1961">
            <v>31626</v>
          </cell>
          <cell r="J1961" t="str">
            <v>024.154.495-55</v>
          </cell>
          <cell r="K1961" t="str">
            <v>165.41890.94.4</v>
          </cell>
          <cell r="L1961" t="str">
            <v>Salário Mensal</v>
          </cell>
          <cell r="M1961" t="str">
            <v>Empregado (CLT)</v>
          </cell>
        </row>
        <row r="1962">
          <cell r="D1962" t="str">
            <v>ECOSAMPA Pensionistas</v>
          </cell>
          <cell r="E1962">
            <v>43800</v>
          </cell>
          <cell r="F1962">
            <v>0.01</v>
          </cell>
          <cell r="G1962" t="str">
            <v>Em Atividade Normal</v>
          </cell>
          <cell r="H1962">
            <v>43800</v>
          </cell>
          <cell r="J1962" t="str">
            <v>024.154.495-55</v>
          </cell>
          <cell r="L1962" t="str">
            <v>Nenhuma</v>
          </cell>
          <cell r="M1962" t="str">
            <v>Pensionista</v>
          </cell>
        </row>
        <row r="1963">
          <cell r="D1963" t="str">
            <v>ECOSAMPA Campo Limpo</v>
          </cell>
          <cell r="E1963">
            <v>43617</v>
          </cell>
          <cell r="F1963">
            <v>1603.99</v>
          </cell>
          <cell r="G1963" t="str">
            <v>Auxílio-Doença</v>
          </cell>
          <cell r="H1963">
            <v>44804</v>
          </cell>
          <cell r="I1963">
            <v>23078</v>
          </cell>
          <cell r="J1963" t="str">
            <v>409.139.023-49</v>
          </cell>
          <cell r="K1963" t="str">
            <v>124.76158.00.5</v>
          </cell>
          <cell r="L1963" t="str">
            <v>Salário Mensal</v>
          </cell>
          <cell r="M1963" t="str">
            <v>Empregado (CLT)</v>
          </cell>
        </row>
        <row r="1964">
          <cell r="D1964" t="str">
            <v>ECOSAMPA Campo Limpo</v>
          </cell>
          <cell r="E1964">
            <v>43617</v>
          </cell>
          <cell r="F1964">
            <v>1281.23</v>
          </cell>
          <cell r="G1964" t="str">
            <v>Demitido em Meses Anteriores</v>
          </cell>
          <cell r="H1964">
            <v>44011</v>
          </cell>
          <cell r="I1964">
            <v>25403</v>
          </cell>
          <cell r="J1964" t="str">
            <v>671.535.504-53</v>
          </cell>
          <cell r="K1964" t="str">
            <v>124.04585.69.1</v>
          </cell>
          <cell r="L1964" t="str">
            <v>Salário Mensal</v>
          </cell>
          <cell r="M1964" t="str">
            <v>Empregado (CLT)</v>
          </cell>
        </row>
        <row r="1965">
          <cell r="D1965" t="str">
            <v>ECOSAMPA Capela do Socorro</v>
          </cell>
          <cell r="E1965">
            <v>43617</v>
          </cell>
          <cell r="F1965">
            <v>3222.08</v>
          </cell>
          <cell r="G1965" t="str">
            <v>Em Atividade Normal</v>
          </cell>
          <cell r="H1965">
            <v>44744</v>
          </cell>
          <cell r="I1965">
            <v>25302</v>
          </cell>
          <cell r="J1965" t="str">
            <v>112.505.208-27</v>
          </cell>
          <cell r="K1965" t="str">
            <v>123.99697.82.2</v>
          </cell>
          <cell r="L1965" t="str">
            <v>Salário Mensal</v>
          </cell>
          <cell r="M1965" t="str">
            <v>Empregado (CLT)</v>
          </cell>
        </row>
        <row r="1966">
          <cell r="D1966" t="str">
            <v>ECOSAMPA Operação Geral</v>
          </cell>
          <cell r="E1966">
            <v>43617</v>
          </cell>
          <cell r="F1966">
            <v>1907.79</v>
          </cell>
          <cell r="G1966" t="str">
            <v>Em Atividade Normal</v>
          </cell>
          <cell r="H1966">
            <v>45119</v>
          </cell>
          <cell r="I1966">
            <v>28448</v>
          </cell>
          <cell r="J1966" t="str">
            <v>269.530.618-04</v>
          </cell>
          <cell r="K1966" t="str">
            <v>130.48556.89.2</v>
          </cell>
          <cell r="L1966" t="str">
            <v>Salário Mensal</v>
          </cell>
          <cell r="M1966" t="str">
            <v>Empregado (CLT)</v>
          </cell>
        </row>
        <row r="1967">
          <cell r="D1967" t="str">
            <v>ECOSAMPA Capela do Socorro</v>
          </cell>
          <cell r="E1967">
            <v>43617</v>
          </cell>
          <cell r="F1967">
            <v>1281.23</v>
          </cell>
          <cell r="G1967" t="str">
            <v>Demitido em Meses Anteriores</v>
          </cell>
          <cell r="H1967">
            <v>43895</v>
          </cell>
          <cell r="I1967">
            <v>35158</v>
          </cell>
          <cell r="J1967" t="str">
            <v>454.868.268-69</v>
          </cell>
          <cell r="K1967" t="str">
            <v>166.44283.58.7</v>
          </cell>
          <cell r="L1967" t="str">
            <v>Salário Mensal</v>
          </cell>
          <cell r="M1967" t="str">
            <v>Empregado (CLT)</v>
          </cell>
        </row>
        <row r="1968">
          <cell r="D1968" t="str">
            <v>ECOSAMPA M'Boi Mirim</v>
          </cell>
          <cell r="E1968">
            <v>43617</v>
          </cell>
          <cell r="F1968">
            <v>1603.99</v>
          </cell>
          <cell r="G1968" t="str">
            <v>Em Atividade Normal</v>
          </cell>
          <cell r="H1968">
            <v>44930</v>
          </cell>
          <cell r="I1968">
            <v>23685</v>
          </cell>
          <cell r="J1968" t="str">
            <v>097.385.698-00</v>
          </cell>
          <cell r="K1968" t="str">
            <v>122.06188.00.9</v>
          </cell>
          <cell r="L1968" t="str">
            <v>Salário Mensal</v>
          </cell>
          <cell r="M1968" t="str">
            <v>Empregado (CLT)</v>
          </cell>
        </row>
        <row r="1969">
          <cell r="D1969" t="str">
            <v>ECOSAMPA Parelheiros</v>
          </cell>
          <cell r="E1969">
            <v>43617</v>
          </cell>
          <cell r="F1969">
            <v>1603.99</v>
          </cell>
          <cell r="G1969" t="str">
            <v>Em Atividade Normal</v>
          </cell>
          <cell r="H1969">
            <v>45086</v>
          </cell>
          <cell r="I1969">
            <v>21799</v>
          </cell>
          <cell r="J1969" t="str">
            <v>794.628.636-87</v>
          </cell>
          <cell r="K1969" t="str">
            <v>123.72413.12.2</v>
          </cell>
          <cell r="L1969" t="str">
            <v>Salário Mensal</v>
          </cell>
          <cell r="M1969" t="str">
            <v>Empregado (CLT)</v>
          </cell>
        </row>
        <row r="1970">
          <cell r="D1970" t="str">
            <v>ECOSAMPA Santo Amaro</v>
          </cell>
          <cell r="E1970">
            <v>43617</v>
          </cell>
          <cell r="F1970">
            <v>1603.99</v>
          </cell>
          <cell r="G1970" t="str">
            <v>Em Atividade Normal</v>
          </cell>
          <cell r="H1970">
            <v>45023</v>
          </cell>
          <cell r="I1970">
            <v>32959</v>
          </cell>
          <cell r="J1970" t="str">
            <v>441.526.868-47</v>
          </cell>
          <cell r="K1970" t="str">
            <v>138.51112.77.5</v>
          </cell>
          <cell r="L1970" t="str">
            <v>Salário Mensal</v>
          </cell>
          <cell r="M1970" t="str">
            <v>Empregado (CLT)</v>
          </cell>
        </row>
        <row r="1971">
          <cell r="D1971" t="str">
            <v>ECOSAMPA Campo Limpo</v>
          </cell>
          <cell r="E1971">
            <v>43617</v>
          </cell>
          <cell r="F1971">
            <v>1231.95</v>
          </cell>
          <cell r="G1971" t="str">
            <v>Demitido em Meses Anteriores</v>
          </cell>
          <cell r="H1971">
            <v>43703</v>
          </cell>
          <cell r="I1971">
            <v>35852</v>
          </cell>
          <cell r="J1971" t="str">
            <v>487.543.798-65</v>
          </cell>
          <cell r="K1971" t="str">
            <v>206.82091.57.4</v>
          </cell>
          <cell r="L1971" t="str">
            <v>Salário Mensal</v>
          </cell>
          <cell r="M1971" t="str">
            <v>Empregado (CLT)</v>
          </cell>
        </row>
        <row r="1972">
          <cell r="D1972" t="str">
            <v>ECOSAMPA Operação Geral</v>
          </cell>
          <cell r="E1972">
            <v>43617</v>
          </cell>
          <cell r="F1972">
            <v>3050.22</v>
          </cell>
          <cell r="G1972" t="str">
            <v>Em Atividade Normal</v>
          </cell>
          <cell r="H1972">
            <v>44960</v>
          </cell>
          <cell r="I1972">
            <v>29397</v>
          </cell>
          <cell r="J1972" t="str">
            <v>337.276.148-03</v>
          </cell>
          <cell r="K1972" t="str">
            <v>133.74974.77.4</v>
          </cell>
          <cell r="L1972" t="str">
            <v>Salário Mensal</v>
          </cell>
          <cell r="M1972" t="str">
            <v>Empregado (CLT)</v>
          </cell>
        </row>
        <row r="1973">
          <cell r="D1973" t="str">
            <v>ECOSAMPA Campo Limpo</v>
          </cell>
          <cell r="E1973">
            <v>43617</v>
          </cell>
          <cell r="F1973">
            <v>1231.95</v>
          </cell>
          <cell r="G1973" t="str">
            <v>Demitido em Meses Anteriores</v>
          </cell>
          <cell r="H1973">
            <v>43704</v>
          </cell>
          <cell r="I1973">
            <v>34618</v>
          </cell>
          <cell r="J1973" t="str">
            <v>413.070.758-27</v>
          </cell>
          <cell r="K1973" t="str">
            <v>165.92080.53.2</v>
          </cell>
          <cell r="L1973" t="str">
            <v>Salário Mensal</v>
          </cell>
          <cell r="M1973" t="str">
            <v>Empregado (CLT)</v>
          </cell>
        </row>
        <row r="1974">
          <cell r="D1974" t="str">
            <v>ECOSAMPA Administração</v>
          </cell>
          <cell r="E1974">
            <v>45019</v>
          </cell>
          <cell r="F1974">
            <v>1320</v>
          </cell>
          <cell r="G1974" t="str">
            <v>Em Atividade Normal</v>
          </cell>
          <cell r="H1974">
            <v>45019</v>
          </cell>
          <cell r="I1974">
            <v>38098</v>
          </cell>
          <cell r="J1974" t="str">
            <v>454.452.598-54</v>
          </cell>
          <cell r="K1974" t="str">
            <v>236.64473.75.9</v>
          </cell>
          <cell r="L1974" t="str">
            <v>Salário Mensal</v>
          </cell>
          <cell r="M1974" t="str">
            <v>Menor Aprendiz</v>
          </cell>
        </row>
        <row r="1975">
          <cell r="D1975" t="str">
            <v>ECOSAMPA Capela do Socorro</v>
          </cell>
          <cell r="E1975">
            <v>43617</v>
          </cell>
          <cell r="F1975">
            <v>1603.99</v>
          </cell>
          <cell r="G1975" t="str">
            <v>Em Atividade Normal</v>
          </cell>
          <cell r="H1975">
            <v>44960</v>
          </cell>
          <cell r="I1975">
            <v>25116</v>
          </cell>
          <cell r="J1975" t="str">
            <v>092.563.878-16</v>
          </cell>
          <cell r="K1975" t="str">
            <v>122.43757.85.2</v>
          </cell>
          <cell r="L1975" t="str">
            <v>Salário Mensal</v>
          </cell>
          <cell r="M1975" t="str">
            <v>Empregado (CLT)</v>
          </cell>
        </row>
        <row r="1976">
          <cell r="D1976" t="str">
            <v>ECOSAMPA Capela do Socorro</v>
          </cell>
          <cell r="E1976">
            <v>43874</v>
          </cell>
          <cell r="F1976">
            <v>1319.67</v>
          </cell>
          <cell r="G1976" t="str">
            <v>Demitido em Meses Anteriores</v>
          </cell>
          <cell r="H1976">
            <v>44110</v>
          </cell>
          <cell r="I1976">
            <v>34183</v>
          </cell>
          <cell r="J1976" t="str">
            <v>430.329.948-02</v>
          </cell>
          <cell r="K1976" t="str">
            <v>207.90266.51.7</v>
          </cell>
          <cell r="L1976" t="str">
            <v>Salário Mensal</v>
          </cell>
          <cell r="M1976" t="str">
            <v>Empregado (CLT)</v>
          </cell>
        </row>
        <row r="1977">
          <cell r="D1977" t="str">
            <v>ECOSAMPA Operação Geral</v>
          </cell>
          <cell r="E1977">
            <v>43617</v>
          </cell>
          <cell r="F1977">
            <v>1907.79</v>
          </cell>
          <cell r="G1977" t="str">
            <v>Em Atividade Normal</v>
          </cell>
          <cell r="H1977">
            <v>44867</v>
          </cell>
          <cell r="I1977">
            <v>28006</v>
          </cell>
          <cell r="J1977" t="str">
            <v>311.155.258-67</v>
          </cell>
          <cell r="K1977" t="str">
            <v>127.96120.81.5</v>
          </cell>
          <cell r="L1977" t="str">
            <v>Salário Mensal</v>
          </cell>
          <cell r="M1977" t="str">
            <v>Empregado (CLT)</v>
          </cell>
        </row>
        <row r="1978">
          <cell r="D1978" t="str">
            <v>ECOSAMPA Santo Amaro</v>
          </cell>
          <cell r="E1978">
            <v>43617</v>
          </cell>
          <cell r="F1978">
            <v>1603.99</v>
          </cell>
          <cell r="G1978" t="str">
            <v>Em Atividade Normal</v>
          </cell>
          <cell r="H1978">
            <v>45023</v>
          </cell>
          <cell r="I1978">
            <v>23099</v>
          </cell>
          <cell r="J1978" t="str">
            <v>329.429.744-00</v>
          </cell>
          <cell r="K1978" t="str">
            <v>122.45676.65.5</v>
          </cell>
          <cell r="L1978" t="str">
            <v>Salário Mensal</v>
          </cell>
          <cell r="M1978" t="str">
            <v>Empregado (CLT)</v>
          </cell>
        </row>
        <row r="1979">
          <cell r="D1979" t="str">
            <v>ECOSAMPA Parelheiros</v>
          </cell>
          <cell r="E1979">
            <v>43617</v>
          </cell>
          <cell r="F1979">
            <v>1603.99</v>
          </cell>
          <cell r="G1979" t="str">
            <v>Em Atividade Normal</v>
          </cell>
          <cell r="H1979">
            <v>44867</v>
          </cell>
          <cell r="I1979">
            <v>26687</v>
          </cell>
          <cell r="J1979" t="str">
            <v>265.285.948-05</v>
          </cell>
          <cell r="K1979" t="str">
            <v>125.60615.77.2</v>
          </cell>
          <cell r="L1979" t="str">
            <v>Salário Mensal</v>
          </cell>
          <cell r="M1979" t="str">
            <v>Empregado (CLT)</v>
          </cell>
        </row>
        <row r="1980">
          <cell r="D1980" t="str">
            <v>ECOSAMPA Parelheiros</v>
          </cell>
          <cell r="E1980">
            <v>43804</v>
          </cell>
          <cell r="F1980">
            <v>1603.99</v>
          </cell>
          <cell r="G1980" t="str">
            <v>Em Atividade Normal</v>
          </cell>
          <cell r="H1980">
            <v>45056</v>
          </cell>
          <cell r="I1980">
            <v>34802</v>
          </cell>
          <cell r="J1980" t="str">
            <v>446.049.628-39</v>
          </cell>
          <cell r="K1980" t="str">
            <v>166.44328.04.1</v>
          </cell>
          <cell r="L1980" t="str">
            <v>Salário Mensal</v>
          </cell>
          <cell r="M1980" t="str">
            <v>Empregado (CLT)</v>
          </cell>
        </row>
        <row r="1981">
          <cell r="D1981" t="str">
            <v>ECOSAMPA M'Boi Mirim</v>
          </cell>
          <cell r="E1981">
            <v>43617</v>
          </cell>
          <cell r="F1981">
            <v>1603.99</v>
          </cell>
          <cell r="G1981" t="str">
            <v>Em Atividade Normal</v>
          </cell>
          <cell r="H1981">
            <v>44930</v>
          </cell>
          <cell r="I1981">
            <v>27839</v>
          </cell>
          <cell r="J1981" t="str">
            <v>272.403.758-89</v>
          </cell>
          <cell r="K1981" t="str">
            <v>127.04358.85.2</v>
          </cell>
          <cell r="L1981" t="str">
            <v>Salário Mensal</v>
          </cell>
          <cell r="M1981" t="str">
            <v>Empregado (CLT)</v>
          </cell>
        </row>
        <row r="1982">
          <cell r="D1982" t="str">
            <v>ECOSAMPA M'Boi Mirim</v>
          </cell>
          <cell r="E1982">
            <v>43617</v>
          </cell>
          <cell r="F1982">
            <v>1603.99</v>
          </cell>
          <cell r="G1982" t="str">
            <v>Em Atividade Normal</v>
          </cell>
          <cell r="H1982">
            <v>44930</v>
          </cell>
          <cell r="I1982">
            <v>26195</v>
          </cell>
          <cell r="J1982" t="str">
            <v>135.153.108-51</v>
          </cell>
          <cell r="K1982" t="str">
            <v>127.09485.85.2</v>
          </cell>
          <cell r="L1982" t="str">
            <v>Salário Mensal</v>
          </cell>
          <cell r="M1982" t="str">
            <v>Empregado (CLT)</v>
          </cell>
        </row>
        <row r="1983">
          <cell r="D1983" t="str">
            <v>ECOSAMPA Operação Geral</v>
          </cell>
          <cell r="E1983">
            <v>43617</v>
          </cell>
          <cell r="F1983">
            <v>3050.22</v>
          </cell>
          <cell r="G1983" t="str">
            <v>Em Atividade Normal</v>
          </cell>
          <cell r="H1983">
            <v>44990</v>
          </cell>
          <cell r="I1983">
            <v>26178</v>
          </cell>
          <cell r="J1983" t="str">
            <v>170.957.118-79</v>
          </cell>
          <cell r="K1983" t="str">
            <v>124.31443.12.6</v>
          </cell>
          <cell r="L1983" t="str">
            <v>Salário Mensal</v>
          </cell>
          <cell r="M1983" t="str">
            <v>Empregado (CLT)</v>
          </cell>
        </row>
        <row r="1984">
          <cell r="D1984" t="str">
            <v>ECOSAMPA Operação Geral</v>
          </cell>
          <cell r="E1984">
            <v>43617</v>
          </cell>
          <cell r="F1984">
            <v>3549.37</v>
          </cell>
          <cell r="G1984" t="str">
            <v>Demitido em Meses Anteriores</v>
          </cell>
          <cell r="H1984">
            <v>44963</v>
          </cell>
          <cell r="I1984">
            <v>28964</v>
          </cell>
          <cell r="J1984" t="str">
            <v>262.905.408-07</v>
          </cell>
          <cell r="K1984" t="str">
            <v>125.27485.23.7</v>
          </cell>
          <cell r="L1984" t="str">
            <v>Salário Mensal</v>
          </cell>
          <cell r="M1984" t="str">
            <v>Empregado (CLT)</v>
          </cell>
        </row>
        <row r="1985">
          <cell r="D1985" t="str">
            <v>ECOSAMPA Operação Geral</v>
          </cell>
          <cell r="E1985">
            <v>43728</v>
          </cell>
          <cell r="F1985">
            <v>1603.99</v>
          </cell>
          <cell r="G1985" t="str">
            <v>Em Atividade Normal</v>
          </cell>
          <cell r="H1985">
            <v>44867</v>
          </cell>
          <cell r="I1985">
            <v>28375</v>
          </cell>
          <cell r="J1985" t="str">
            <v>277.957.088-11</v>
          </cell>
          <cell r="K1985" t="str">
            <v>166.56260.21.8</v>
          </cell>
          <cell r="L1985" t="str">
            <v>Salário Mensal</v>
          </cell>
          <cell r="M1985" t="str">
            <v>Empregado (CLT)</v>
          </cell>
        </row>
        <row r="1986">
          <cell r="D1986" t="str">
            <v>ECOSAMPA Operação Geral</v>
          </cell>
          <cell r="E1986">
            <v>43617</v>
          </cell>
          <cell r="F1986">
            <v>3050.22</v>
          </cell>
          <cell r="G1986" t="str">
            <v>Em Atividade Normal</v>
          </cell>
          <cell r="H1986">
            <v>44993</v>
          </cell>
          <cell r="I1986">
            <v>25989</v>
          </cell>
          <cell r="J1986" t="str">
            <v>767.033.204-20</v>
          </cell>
          <cell r="K1986" t="str">
            <v>124.34939.94.7</v>
          </cell>
          <cell r="L1986" t="str">
            <v>Salário Mensal</v>
          </cell>
          <cell r="M1986" t="str">
            <v>Empregado (CLT)</v>
          </cell>
        </row>
        <row r="1987">
          <cell r="D1987" t="str">
            <v>ECOSAMPA Santo Amaro</v>
          </cell>
          <cell r="E1987">
            <v>43817</v>
          </cell>
          <cell r="F1987">
            <v>1603.99</v>
          </cell>
          <cell r="G1987" t="str">
            <v>Em Atividade Normal</v>
          </cell>
          <cell r="H1987">
            <v>44867</v>
          </cell>
          <cell r="I1987">
            <v>28372</v>
          </cell>
          <cell r="J1987" t="str">
            <v>228.978.068-50</v>
          </cell>
          <cell r="K1987" t="str">
            <v>126.47746.24.0</v>
          </cell>
          <cell r="L1987" t="str">
            <v>Salário Mensal</v>
          </cell>
          <cell r="M1987" t="str">
            <v>Empregado (CLT)</v>
          </cell>
        </row>
        <row r="1988">
          <cell r="D1988" t="str">
            <v>ECOSAMPA Operação Geral</v>
          </cell>
          <cell r="E1988">
            <v>44725</v>
          </cell>
          <cell r="F1988">
            <v>1603.99</v>
          </cell>
          <cell r="G1988" t="str">
            <v>Em Atividade Normal</v>
          </cell>
          <cell r="H1988">
            <v>45149</v>
          </cell>
          <cell r="I1988">
            <v>26700</v>
          </cell>
          <cell r="J1988" t="str">
            <v>163.806.008-84</v>
          </cell>
          <cell r="K1988" t="str">
            <v>127.47891.89.7</v>
          </cell>
          <cell r="L1988" t="str">
            <v>Salário Mensal</v>
          </cell>
          <cell r="M1988" t="str">
            <v>Empregado (CLT)</v>
          </cell>
        </row>
        <row r="1989">
          <cell r="D1989" t="str">
            <v>ECOSAMPA Campo Limpo</v>
          </cell>
          <cell r="E1989">
            <v>43617</v>
          </cell>
          <cell r="F1989">
            <v>3222.08</v>
          </cell>
          <cell r="G1989" t="str">
            <v>Em Atividade Normal</v>
          </cell>
          <cell r="H1989">
            <v>44898</v>
          </cell>
          <cell r="I1989">
            <v>26285</v>
          </cell>
          <cell r="J1989" t="str">
            <v>976.416.426-91</v>
          </cell>
          <cell r="K1989" t="str">
            <v>125.20472.64.4</v>
          </cell>
          <cell r="L1989" t="str">
            <v>Salário Mensal</v>
          </cell>
          <cell r="M1989" t="str">
            <v>Empregado (CLT)</v>
          </cell>
        </row>
        <row r="1990">
          <cell r="D1990" t="str">
            <v>ECOSAMPA Operação Geral</v>
          </cell>
          <cell r="E1990">
            <v>43617</v>
          </cell>
          <cell r="F1990">
            <v>1907.79</v>
          </cell>
          <cell r="G1990" t="str">
            <v>Em Atividade Normal</v>
          </cell>
          <cell r="H1990">
            <v>45119</v>
          </cell>
          <cell r="I1990">
            <v>31998</v>
          </cell>
          <cell r="J1990" t="str">
            <v>090.533.786-77</v>
          </cell>
          <cell r="K1990" t="str">
            <v>165.73507.20.8</v>
          </cell>
          <cell r="L1990" t="str">
            <v>Salário Mensal</v>
          </cell>
          <cell r="M1990" t="str">
            <v>Empregado (CLT)</v>
          </cell>
        </row>
        <row r="1991">
          <cell r="D1991" t="str">
            <v>ECOSAMPA Santo Amaro</v>
          </cell>
          <cell r="E1991">
            <v>43682</v>
          </cell>
          <cell r="F1991">
            <v>1603.99</v>
          </cell>
          <cell r="G1991" t="str">
            <v>Em Atividade Normal</v>
          </cell>
          <cell r="H1991">
            <v>45086</v>
          </cell>
          <cell r="I1991">
            <v>26724</v>
          </cell>
          <cell r="J1991" t="str">
            <v>692.821.375-20</v>
          </cell>
          <cell r="K1991" t="str">
            <v>201.15679.86.8</v>
          </cell>
          <cell r="L1991" t="str">
            <v>Salário Mensal</v>
          </cell>
          <cell r="M1991" t="str">
            <v>Empregado (CLT)</v>
          </cell>
        </row>
        <row r="1992">
          <cell r="D1992" t="str">
            <v>ECOSAMPA Capela do Socorro</v>
          </cell>
          <cell r="E1992">
            <v>44567</v>
          </cell>
          <cell r="F1992">
            <v>1603.99</v>
          </cell>
          <cell r="G1992" t="str">
            <v>Em Atividade Normal</v>
          </cell>
          <cell r="H1992">
            <v>45177</v>
          </cell>
          <cell r="I1992">
            <v>35912</v>
          </cell>
          <cell r="J1992" t="str">
            <v>435.649.358-35</v>
          </cell>
          <cell r="K1992" t="str">
            <v>236.37600.91.5</v>
          </cell>
          <cell r="L1992" t="str">
            <v>Salário Mensal</v>
          </cell>
          <cell r="M1992" t="str">
            <v>Empregado (CLT)</v>
          </cell>
        </row>
        <row r="1993">
          <cell r="D1993" t="str">
            <v>ECOSAMPA Operação Geral</v>
          </cell>
          <cell r="E1993">
            <v>43916</v>
          </cell>
          <cell r="F1993">
            <v>1907.79</v>
          </cell>
          <cell r="G1993" t="str">
            <v>Em Atividade Normal</v>
          </cell>
          <cell r="H1993">
            <v>44744</v>
          </cell>
          <cell r="I1993">
            <v>35664</v>
          </cell>
          <cell r="J1993" t="str">
            <v>078.403.555-52</v>
          </cell>
          <cell r="K1993" t="str">
            <v>209.21459.97.6</v>
          </cell>
          <cell r="L1993" t="str">
            <v>Salário Mensal</v>
          </cell>
          <cell r="M1993" t="str">
            <v>Empregado (CLT)</v>
          </cell>
        </row>
        <row r="1994">
          <cell r="D1994" t="str">
            <v>ECOSAMPA Santo Amaro</v>
          </cell>
          <cell r="E1994">
            <v>44273</v>
          </cell>
          <cell r="F1994">
            <v>1603.99</v>
          </cell>
          <cell r="G1994" t="str">
            <v>Em Atividade Normal</v>
          </cell>
          <cell r="H1994">
            <v>44930</v>
          </cell>
          <cell r="I1994">
            <v>34198</v>
          </cell>
          <cell r="J1994" t="str">
            <v>428.927.988-09</v>
          </cell>
          <cell r="K1994" t="str">
            <v>204.29484.95.4</v>
          </cell>
          <cell r="L1994" t="str">
            <v>Salário Mensal</v>
          </cell>
          <cell r="M1994" t="str">
            <v>Empregado (CLT)</v>
          </cell>
        </row>
        <row r="1995">
          <cell r="D1995" t="str">
            <v>ECOSAMPA PJ</v>
          </cell>
          <cell r="E1995">
            <v>43663</v>
          </cell>
          <cell r="F1995">
            <v>0.01</v>
          </cell>
          <cell r="G1995" t="str">
            <v>Em Atividade Normal</v>
          </cell>
          <cell r="H1995">
            <v>43663</v>
          </cell>
          <cell r="I1995">
            <v>30654</v>
          </cell>
          <cell r="J1995" t="str">
            <v>055.640.437-82</v>
          </cell>
          <cell r="L1995" t="str">
            <v>Salário Mensal</v>
          </cell>
          <cell r="M1995" t="str">
            <v>Pessoa Jurídica</v>
          </cell>
        </row>
        <row r="1996">
          <cell r="D1996" t="str">
            <v>ECOSAMPA Pensionistas</v>
          </cell>
          <cell r="E1996">
            <v>43812</v>
          </cell>
          <cell r="F1996">
            <v>0.01</v>
          </cell>
          <cell r="G1996" t="str">
            <v>Demitido em Meses Anteriores</v>
          </cell>
          <cell r="H1996">
            <v>44169</v>
          </cell>
          <cell r="J1996" t="str">
            <v>351.043.588-52</v>
          </cell>
          <cell r="L1996" t="str">
            <v>Nenhuma</v>
          </cell>
          <cell r="M1996" t="str">
            <v>Pensionista</v>
          </cell>
        </row>
        <row r="1997">
          <cell r="D1997" t="str">
            <v>ECOSAMPA Pensionistas</v>
          </cell>
          <cell r="E1997">
            <v>43710</v>
          </cell>
          <cell r="F1997">
            <v>0.01</v>
          </cell>
          <cell r="G1997" t="str">
            <v>Em Atividade Normal</v>
          </cell>
          <cell r="H1997">
            <v>43710</v>
          </cell>
          <cell r="J1997" t="str">
            <v>293.087.888-67</v>
          </cell>
          <cell r="L1997" t="str">
            <v>Nenhuma</v>
          </cell>
          <cell r="M1997" t="str">
            <v>Pensionista</v>
          </cell>
        </row>
        <row r="1998">
          <cell r="D1998" t="str">
            <v>ECOSAMPA Santo Amaro</v>
          </cell>
          <cell r="E1998">
            <v>43617</v>
          </cell>
          <cell r="F1998">
            <v>1603.99</v>
          </cell>
          <cell r="G1998" t="str">
            <v>Em Atividade Normal</v>
          </cell>
          <cell r="H1998">
            <v>45023</v>
          </cell>
          <cell r="I1998">
            <v>32081</v>
          </cell>
          <cell r="J1998" t="str">
            <v>400.834.818-26</v>
          </cell>
          <cell r="K1998" t="str">
            <v>165.92101.85.8</v>
          </cell>
          <cell r="L1998" t="str">
            <v>Salário Mensal</v>
          </cell>
          <cell r="M1998" t="str">
            <v>Empregado (CLT)</v>
          </cell>
        </row>
        <row r="1999">
          <cell r="D1999" t="str">
            <v>ECOSAMPA Santo Amaro</v>
          </cell>
          <cell r="E1999">
            <v>43617</v>
          </cell>
          <cell r="F1999">
            <v>1603.99</v>
          </cell>
          <cell r="G1999" t="str">
            <v>Em Atividade Normal</v>
          </cell>
          <cell r="H1999">
            <v>45023</v>
          </cell>
          <cell r="I1999">
            <v>34468</v>
          </cell>
          <cell r="J1999" t="str">
            <v>459.271.368-00</v>
          </cell>
          <cell r="K1999" t="str">
            <v>201.15183.83.8</v>
          </cell>
          <cell r="L1999" t="str">
            <v>Salário Mensal</v>
          </cell>
          <cell r="M1999" t="str">
            <v>Empregado (CLT)</v>
          </cell>
        </row>
        <row r="2000">
          <cell r="D2000" t="str">
            <v>ECOSAMPA Capela do Socorro</v>
          </cell>
          <cell r="E2000">
            <v>43874</v>
          </cell>
          <cell r="F2000">
            <v>1281.23</v>
          </cell>
          <cell r="G2000" t="str">
            <v>Demitido em Meses Anteriores</v>
          </cell>
          <cell r="H2000">
            <v>43888</v>
          </cell>
          <cell r="I2000">
            <v>33864</v>
          </cell>
          <cell r="J2000" t="str">
            <v>415.454.938-39</v>
          </cell>
          <cell r="K2000" t="str">
            <v>210.72659.73.7</v>
          </cell>
          <cell r="L2000" t="str">
            <v>Salário Mensal</v>
          </cell>
          <cell r="M2000" t="str">
            <v>Empregado (CLT)</v>
          </cell>
        </row>
        <row r="2001">
          <cell r="D2001" t="str">
            <v>ECOSAMPA Capela do Socorro</v>
          </cell>
          <cell r="E2001">
            <v>43617</v>
          </cell>
          <cell r="F2001">
            <v>3222.08</v>
          </cell>
          <cell r="G2001" t="str">
            <v>Em Atividade Normal</v>
          </cell>
          <cell r="H2001">
            <v>45023</v>
          </cell>
          <cell r="I2001">
            <v>27052</v>
          </cell>
          <cell r="J2001" t="str">
            <v>191.868.028-01</v>
          </cell>
          <cell r="K2001" t="str">
            <v>124.86192.36.2</v>
          </cell>
          <cell r="L2001" t="str">
            <v>Salário Mensal</v>
          </cell>
          <cell r="M2001" t="str">
            <v>Empregado (CLT)</v>
          </cell>
        </row>
        <row r="2002">
          <cell r="D2002" t="str">
            <v>ECOSAMPA Operação Geral</v>
          </cell>
          <cell r="E2002">
            <v>43617</v>
          </cell>
          <cell r="F2002">
            <v>1907.79</v>
          </cell>
          <cell r="G2002" t="str">
            <v>Em Atividade Normal</v>
          </cell>
          <cell r="H2002">
            <v>45119</v>
          </cell>
          <cell r="I2002">
            <v>27687</v>
          </cell>
          <cell r="J2002" t="str">
            <v>298.947.338-67</v>
          </cell>
          <cell r="K2002" t="str">
            <v>128.93902.77.6</v>
          </cell>
          <cell r="L2002" t="str">
            <v>Salário Mensal</v>
          </cell>
          <cell r="M2002" t="str">
            <v>Empregado (CLT)</v>
          </cell>
        </row>
        <row r="2003">
          <cell r="D2003" t="str">
            <v>ECOSAMPA Parelheiros</v>
          </cell>
          <cell r="E2003">
            <v>43617</v>
          </cell>
          <cell r="F2003">
            <v>1603.99</v>
          </cell>
          <cell r="G2003" t="str">
            <v>Gozando Férias</v>
          </cell>
          <cell r="H2003">
            <v>45180</v>
          </cell>
          <cell r="I2003">
            <v>26579</v>
          </cell>
          <cell r="J2003" t="str">
            <v>117.025.938-35</v>
          </cell>
          <cell r="K2003" t="str">
            <v>123.08562.30.9</v>
          </cell>
          <cell r="L2003" t="str">
            <v>Salário Mensal</v>
          </cell>
          <cell r="M2003" t="str">
            <v>Empregado (CLT)</v>
          </cell>
        </row>
        <row r="2004">
          <cell r="D2004" t="str">
            <v>ECOSAMPA Campo Limpo</v>
          </cell>
          <cell r="E2004">
            <v>43617</v>
          </cell>
          <cell r="F2004">
            <v>1603.99</v>
          </cell>
          <cell r="G2004" t="str">
            <v>Em Atividade Normal</v>
          </cell>
          <cell r="H2004">
            <v>45119</v>
          </cell>
          <cell r="I2004">
            <v>23458</v>
          </cell>
          <cell r="J2004" t="str">
            <v>077.657.258-07</v>
          </cell>
          <cell r="K2004" t="str">
            <v>121.90225.15.0</v>
          </cell>
          <cell r="L2004" t="str">
            <v>Salário Mensal</v>
          </cell>
          <cell r="M2004" t="str">
            <v>Empregado (CLT)</v>
          </cell>
        </row>
        <row r="2005">
          <cell r="D2005" t="str">
            <v>ECOSAMPA Santo Amaro</v>
          </cell>
          <cell r="E2005">
            <v>43874</v>
          </cell>
          <cell r="F2005">
            <v>1603.99</v>
          </cell>
          <cell r="G2005" t="str">
            <v>Em Atividade Normal</v>
          </cell>
          <cell r="H2005">
            <v>44744</v>
          </cell>
          <cell r="I2005">
            <v>31089</v>
          </cell>
          <cell r="J2005" t="str">
            <v>230.344.498-52</v>
          </cell>
          <cell r="K2005" t="str">
            <v>165.96979.58.0</v>
          </cell>
          <cell r="L2005" t="str">
            <v>Salário Mensal</v>
          </cell>
          <cell r="M2005" t="str">
            <v>Empregado (CLT)</v>
          </cell>
        </row>
        <row r="2006">
          <cell r="D2006" t="str">
            <v>ECOSAMPA Capela do Socorro</v>
          </cell>
          <cell r="E2006">
            <v>43874</v>
          </cell>
          <cell r="F2006">
            <v>1281.23</v>
          </cell>
          <cell r="G2006" t="str">
            <v>Demitido em Meses Anteriores</v>
          </cell>
          <cell r="H2006">
            <v>43888</v>
          </cell>
          <cell r="I2006">
            <v>31603</v>
          </cell>
          <cell r="J2006" t="str">
            <v>333.344.548-43</v>
          </cell>
          <cell r="K2006" t="str">
            <v>131.81517.77.0</v>
          </cell>
          <cell r="L2006" t="str">
            <v>Salário Mensal</v>
          </cell>
          <cell r="M2006" t="str">
            <v>Empregado (CLT)</v>
          </cell>
        </row>
        <row r="2007">
          <cell r="D2007" t="str">
            <v>ECOSAMPA Operação Geral</v>
          </cell>
          <cell r="E2007">
            <v>43619</v>
          </cell>
          <cell r="F2007">
            <v>6541.55</v>
          </cell>
          <cell r="G2007" t="str">
            <v>Em Atividade Normal</v>
          </cell>
          <cell r="H2007">
            <v>45056</v>
          </cell>
          <cell r="I2007">
            <v>30131</v>
          </cell>
          <cell r="J2007" t="str">
            <v>307.095.148-16</v>
          </cell>
          <cell r="K2007" t="str">
            <v>129.15898.93.8</v>
          </cell>
          <cell r="L2007" t="str">
            <v>Salário Mensal</v>
          </cell>
          <cell r="M2007" t="str">
            <v>Empregado (CLT)</v>
          </cell>
        </row>
        <row r="2008">
          <cell r="D2008" t="str">
            <v>ECOSAMPA Santo Amaro</v>
          </cell>
          <cell r="E2008">
            <v>44487</v>
          </cell>
          <cell r="F2008">
            <v>1464.83</v>
          </cell>
          <cell r="G2008" t="str">
            <v>Demitido em Meses Anteriores</v>
          </cell>
          <cell r="H2008">
            <v>44690</v>
          </cell>
          <cell r="I2008">
            <v>28094</v>
          </cell>
          <cell r="J2008" t="str">
            <v>673.743.365-00</v>
          </cell>
          <cell r="K2008" t="str">
            <v>170.45055.42.9</v>
          </cell>
          <cell r="L2008" t="str">
            <v>Salário Mensal</v>
          </cell>
          <cell r="M2008" t="str">
            <v>Empregado (CLT)</v>
          </cell>
        </row>
        <row r="2009">
          <cell r="D2009" t="str">
            <v>ECOSAMPA Operação Geral</v>
          </cell>
          <cell r="E2009">
            <v>44972</v>
          </cell>
          <cell r="F2009">
            <v>1603.99</v>
          </cell>
          <cell r="G2009" t="str">
            <v>Demitido em Meses Anteriores</v>
          </cell>
          <cell r="H2009">
            <v>44986</v>
          </cell>
          <cell r="I2009">
            <v>34589</v>
          </cell>
          <cell r="J2009" t="str">
            <v>239.088.038-02</v>
          </cell>
          <cell r="K2009" t="str">
            <v>128.70598.35.3</v>
          </cell>
          <cell r="L2009" t="str">
            <v>Salário Mensal</v>
          </cell>
          <cell r="M2009" t="str">
            <v>Empregado (CLT)</v>
          </cell>
        </row>
        <row r="2010">
          <cell r="D2010" t="str">
            <v>ECOSAMPA Operação Geral</v>
          </cell>
          <cell r="E2010">
            <v>45117</v>
          </cell>
          <cell r="F2010">
            <v>1603.99</v>
          </cell>
          <cell r="G2010" t="str">
            <v>Em Atividade Normal</v>
          </cell>
          <cell r="H2010">
            <v>45117</v>
          </cell>
          <cell r="I2010">
            <v>34589</v>
          </cell>
          <cell r="J2010" t="str">
            <v>239.088.038-02</v>
          </cell>
          <cell r="K2010" t="str">
            <v>128.70598.35.3</v>
          </cell>
          <cell r="L2010" t="str">
            <v>Salário Mensal</v>
          </cell>
          <cell r="M2010" t="str">
            <v>Empregado (CLT)</v>
          </cell>
        </row>
        <row r="2011">
          <cell r="D2011" t="str">
            <v>ECOSAMPA Santo Amaro</v>
          </cell>
          <cell r="E2011">
            <v>44308</v>
          </cell>
          <cell r="F2011">
            <v>1603.99</v>
          </cell>
          <cell r="G2011" t="str">
            <v>Em Atividade Normal</v>
          </cell>
          <cell r="H2011">
            <v>44960</v>
          </cell>
          <cell r="I2011">
            <v>36998</v>
          </cell>
          <cell r="J2011" t="str">
            <v>409.718.658-25</v>
          </cell>
          <cell r="K2011" t="str">
            <v>166.99617.48.7</v>
          </cell>
          <cell r="L2011" t="str">
            <v>Salário Mensal</v>
          </cell>
          <cell r="M2011" t="str">
            <v>Empregado (CLT)</v>
          </cell>
        </row>
        <row r="2012">
          <cell r="D2012" t="str">
            <v>ECOSAMPA Operação Geral</v>
          </cell>
          <cell r="E2012">
            <v>44582</v>
          </cell>
          <cell r="F2012">
            <v>2187.6799999999998</v>
          </cell>
          <cell r="G2012" t="str">
            <v>Em Atividade Normal</v>
          </cell>
          <cell r="H2012">
            <v>45056</v>
          </cell>
          <cell r="I2012">
            <v>31227</v>
          </cell>
          <cell r="J2012" t="str">
            <v>058.654.754-10</v>
          </cell>
          <cell r="K2012" t="str">
            <v>134.56814.45.2</v>
          </cell>
          <cell r="L2012" t="str">
            <v>Salário Mensal</v>
          </cell>
          <cell r="M2012" t="str">
            <v>Empregado (CLT)</v>
          </cell>
        </row>
        <row r="2013">
          <cell r="D2013" t="str">
            <v>ECOSAMPA Operação Geral</v>
          </cell>
          <cell r="E2013">
            <v>43917</v>
          </cell>
          <cell r="F2013">
            <v>1464.83</v>
          </cell>
          <cell r="G2013" t="str">
            <v>Demitido em Meses Anteriores</v>
          </cell>
          <cell r="H2013">
            <v>44575</v>
          </cell>
          <cell r="I2013">
            <v>35293</v>
          </cell>
          <cell r="J2013" t="str">
            <v>427.521.938-40</v>
          </cell>
          <cell r="K2013" t="str">
            <v>201.52766.56.6</v>
          </cell>
          <cell r="L2013" t="str">
            <v>Salário Mensal</v>
          </cell>
          <cell r="M2013" t="str">
            <v>Empregado (CLT)</v>
          </cell>
        </row>
        <row r="2014">
          <cell r="D2014" t="str">
            <v>ECOSAMPA Santo Amaro</v>
          </cell>
          <cell r="E2014">
            <v>43710</v>
          </cell>
          <cell r="F2014">
            <v>3222.08</v>
          </cell>
          <cell r="G2014" t="str">
            <v>Em Atividade Normal</v>
          </cell>
          <cell r="H2014">
            <v>44898</v>
          </cell>
          <cell r="I2014">
            <v>30601</v>
          </cell>
          <cell r="J2014" t="str">
            <v>314.954.838-19</v>
          </cell>
          <cell r="K2014" t="str">
            <v>131.17329.89.6</v>
          </cell>
          <cell r="L2014" t="str">
            <v>Salário Mensal</v>
          </cell>
          <cell r="M2014" t="str">
            <v>Empregado (CLT)</v>
          </cell>
        </row>
        <row r="2015">
          <cell r="D2015" t="str">
            <v>ECOSAMPA Operação Geral</v>
          </cell>
          <cell r="E2015">
            <v>43617</v>
          </cell>
          <cell r="F2015">
            <v>1907.79</v>
          </cell>
          <cell r="G2015" t="str">
            <v>Em Atividade Normal</v>
          </cell>
          <cell r="H2015">
            <v>44898</v>
          </cell>
          <cell r="I2015">
            <v>31956</v>
          </cell>
          <cell r="J2015" t="str">
            <v>367.480.008-07</v>
          </cell>
          <cell r="K2015" t="str">
            <v>209.81085.82.7</v>
          </cell>
          <cell r="L2015" t="str">
            <v>Salário Mensal</v>
          </cell>
          <cell r="M2015" t="str">
            <v>Empregado (CLT)</v>
          </cell>
        </row>
        <row r="2016">
          <cell r="D2016" t="str">
            <v>ECOSAMPA Santo Amaro</v>
          </cell>
          <cell r="E2016">
            <v>44487</v>
          </cell>
          <cell r="F2016">
            <v>1603.99</v>
          </cell>
          <cell r="G2016" t="str">
            <v>Em Atividade Normal</v>
          </cell>
          <cell r="H2016">
            <v>45056</v>
          </cell>
          <cell r="I2016">
            <v>26562</v>
          </cell>
          <cell r="J2016" t="str">
            <v>154.206.488-06</v>
          </cell>
          <cell r="K2016" t="str">
            <v>124.58101.24.2</v>
          </cell>
          <cell r="L2016" t="str">
            <v>Salário Mensal</v>
          </cell>
          <cell r="M2016" t="str">
            <v>Empregado (CLT)</v>
          </cell>
        </row>
        <row r="2017">
          <cell r="D2017" t="str">
            <v>ECOSAMPA M'Boi Mirim</v>
          </cell>
          <cell r="E2017">
            <v>43617</v>
          </cell>
          <cell r="F2017">
            <v>1464.83</v>
          </cell>
          <cell r="G2017" t="str">
            <v>Demitido em Meses Anteriores</v>
          </cell>
          <cell r="H2017">
            <v>44669</v>
          </cell>
          <cell r="I2017">
            <v>31214</v>
          </cell>
          <cell r="J2017" t="str">
            <v>347.403.678-58</v>
          </cell>
          <cell r="K2017" t="str">
            <v>165.94778.15.4</v>
          </cell>
          <cell r="L2017" t="str">
            <v>Salário Mensal</v>
          </cell>
          <cell r="M2017" t="str">
            <v>Empregado (CLT)</v>
          </cell>
        </row>
        <row r="2018">
          <cell r="D2018" t="str">
            <v>ECOSAMPA Capela do Socorro</v>
          </cell>
          <cell r="E2018">
            <v>44791</v>
          </cell>
          <cell r="F2018">
            <v>1603.99</v>
          </cell>
          <cell r="G2018" t="str">
            <v>Em Atividade Normal</v>
          </cell>
          <cell r="H2018">
            <v>44791</v>
          </cell>
          <cell r="I2018">
            <v>28341</v>
          </cell>
          <cell r="J2018" t="str">
            <v>176.220.488-60</v>
          </cell>
          <cell r="K2018" t="str">
            <v>125.39540.74.2</v>
          </cell>
          <cell r="L2018" t="str">
            <v>Salário Mensal</v>
          </cell>
          <cell r="M2018" t="str">
            <v>Empregado (CLT)</v>
          </cell>
        </row>
        <row r="2019">
          <cell r="D2019" t="str">
            <v>ECOSAMPA Operação Geral</v>
          </cell>
          <cell r="E2019">
            <v>43840</v>
          </cell>
          <cell r="F2019">
            <v>2509.54</v>
          </cell>
          <cell r="G2019" t="str">
            <v>Demitido em Meses Anteriores</v>
          </cell>
          <cell r="H2019">
            <v>44382</v>
          </cell>
          <cell r="I2019">
            <v>28756</v>
          </cell>
          <cell r="J2019" t="str">
            <v>275.087.508-02</v>
          </cell>
          <cell r="K2019" t="str">
            <v>127.67654.89.0</v>
          </cell>
          <cell r="L2019" t="str">
            <v>Salário Mensal</v>
          </cell>
          <cell r="M2019" t="str">
            <v>Empregado (CLT)</v>
          </cell>
        </row>
        <row r="2020">
          <cell r="D2020" t="str">
            <v>ECOSAMPA Campo Limpo</v>
          </cell>
          <cell r="E2020">
            <v>44308</v>
          </cell>
          <cell r="F2020">
            <v>1603.99</v>
          </cell>
          <cell r="G2020" t="str">
            <v>Em Atividade Normal</v>
          </cell>
          <cell r="H2020">
            <v>45177</v>
          </cell>
          <cell r="I2020">
            <v>29560</v>
          </cell>
          <cell r="J2020" t="str">
            <v>294.362.248-69</v>
          </cell>
          <cell r="K2020" t="str">
            <v>128.33563.85.1</v>
          </cell>
          <cell r="L2020" t="str">
            <v>Salário Mensal</v>
          </cell>
          <cell r="M2020" t="str">
            <v>Empregado (CLT)</v>
          </cell>
        </row>
        <row r="2021">
          <cell r="D2021" t="str">
            <v>ECOSAMPA Campo Limpo</v>
          </cell>
          <cell r="E2021">
            <v>44218</v>
          </cell>
          <cell r="F2021">
            <v>2942.54</v>
          </cell>
          <cell r="G2021" t="str">
            <v>Demitido em Meses Anteriores</v>
          </cell>
          <cell r="H2021">
            <v>44659</v>
          </cell>
          <cell r="I2021">
            <v>29179</v>
          </cell>
          <cell r="J2021" t="str">
            <v>219.368.278-08</v>
          </cell>
          <cell r="K2021" t="str">
            <v>129.97031.93.3</v>
          </cell>
          <cell r="L2021" t="str">
            <v>Salário Mensal</v>
          </cell>
          <cell r="M2021" t="str">
            <v>Empregado (CLT)</v>
          </cell>
        </row>
        <row r="2022">
          <cell r="D2022" t="str">
            <v>ECOSAMPA Campo Limpo</v>
          </cell>
          <cell r="E2022">
            <v>44725</v>
          </cell>
          <cell r="F2022">
            <v>1603.99</v>
          </cell>
          <cell r="G2022" t="str">
            <v>Em Atividade Normal</v>
          </cell>
          <cell r="H2022">
            <v>44725</v>
          </cell>
          <cell r="I2022">
            <v>32713</v>
          </cell>
          <cell r="J2022" t="str">
            <v>397.276.088-41</v>
          </cell>
          <cell r="K2022" t="str">
            <v>204.93294.39.7</v>
          </cell>
          <cell r="L2022" t="str">
            <v>Salário Mensal</v>
          </cell>
          <cell r="M2022" t="str">
            <v>Empregado (CLT)</v>
          </cell>
        </row>
        <row r="2023">
          <cell r="D2023" t="str">
            <v>ECOSAMPA Santo Amaro</v>
          </cell>
          <cell r="E2023">
            <v>43804</v>
          </cell>
          <cell r="F2023">
            <v>1603.99</v>
          </cell>
          <cell r="G2023" t="str">
            <v>Em Atividade Normal</v>
          </cell>
          <cell r="H2023">
            <v>45119</v>
          </cell>
          <cell r="I2023">
            <v>29769</v>
          </cell>
          <cell r="J2023" t="str">
            <v>215.966.418-94</v>
          </cell>
          <cell r="K2023" t="str">
            <v>128.99467.85.0</v>
          </cell>
          <cell r="L2023" t="str">
            <v>Salário Mensal</v>
          </cell>
          <cell r="M2023" t="str">
            <v>Empregado (CLT)</v>
          </cell>
        </row>
        <row r="2024">
          <cell r="D2024" t="str">
            <v>ECOSAMPA Operação Geral</v>
          </cell>
          <cell r="E2024">
            <v>44169</v>
          </cell>
          <cell r="F2024">
            <v>2232.3000000000002</v>
          </cell>
          <cell r="G2024" t="str">
            <v>Demitido em Meses Anteriores</v>
          </cell>
          <cell r="H2024">
            <v>44736</v>
          </cell>
          <cell r="I2024">
            <v>29571</v>
          </cell>
          <cell r="J2024" t="str">
            <v>278.074.158-94</v>
          </cell>
          <cell r="K2024" t="str">
            <v>128.89600.89.2</v>
          </cell>
          <cell r="L2024" t="str">
            <v>Salário Mensal</v>
          </cell>
          <cell r="M2024" t="str">
            <v>Empregado (CLT)</v>
          </cell>
        </row>
        <row r="2025">
          <cell r="D2025" t="str">
            <v>ECOSAMPA Operação Geral</v>
          </cell>
          <cell r="E2025">
            <v>45061</v>
          </cell>
          <cell r="F2025">
            <v>1603.99</v>
          </cell>
          <cell r="G2025" t="str">
            <v>Demitido em Meses Anteriores</v>
          </cell>
          <cell r="H2025">
            <v>45068</v>
          </cell>
          <cell r="I2025">
            <v>29000</v>
          </cell>
          <cell r="J2025" t="str">
            <v>279.119.928-43</v>
          </cell>
          <cell r="K2025" t="str">
            <v>133.62041.89.1</v>
          </cell>
          <cell r="L2025" t="str">
            <v>Salário Mensal</v>
          </cell>
          <cell r="M2025" t="str">
            <v>Empregado (CLT)</v>
          </cell>
        </row>
        <row r="2026">
          <cell r="D2026" t="str">
            <v>ECOSAMPA Santo Amaro</v>
          </cell>
          <cell r="E2026">
            <v>43617</v>
          </cell>
          <cell r="F2026">
            <v>3222.08</v>
          </cell>
          <cell r="G2026" t="str">
            <v>Em Atividade Normal</v>
          </cell>
          <cell r="H2026">
            <v>44960</v>
          </cell>
          <cell r="I2026">
            <v>27060</v>
          </cell>
          <cell r="J2026" t="str">
            <v>124.750.428-00</v>
          </cell>
          <cell r="K2026" t="str">
            <v>123.64719.77.3</v>
          </cell>
          <cell r="L2026" t="str">
            <v>Salário Mensal</v>
          </cell>
          <cell r="M2026" t="str">
            <v>Empregado (CLT)</v>
          </cell>
        </row>
        <row r="2027">
          <cell r="D2027" t="str">
            <v>ECOSAMPA M'Boi Mirim</v>
          </cell>
          <cell r="E2027">
            <v>43617</v>
          </cell>
          <cell r="F2027">
            <v>1603.99</v>
          </cell>
          <cell r="G2027" t="str">
            <v>Em Atividade Normal</v>
          </cell>
          <cell r="H2027">
            <v>44835</v>
          </cell>
          <cell r="I2027">
            <v>27919</v>
          </cell>
          <cell r="J2027" t="str">
            <v>260.699.968-10</v>
          </cell>
          <cell r="K2027" t="str">
            <v>126.01490.85.5</v>
          </cell>
          <cell r="L2027" t="str">
            <v>Salário Mensal</v>
          </cell>
          <cell r="M2027" t="str">
            <v>Empregado (CLT)</v>
          </cell>
        </row>
        <row r="2028">
          <cell r="D2028" t="str">
            <v>ECOSAMPA Santo Amaro</v>
          </cell>
          <cell r="E2028">
            <v>43617</v>
          </cell>
          <cell r="F2028">
            <v>1603.99</v>
          </cell>
          <cell r="G2028" t="str">
            <v>Em Atividade Normal</v>
          </cell>
          <cell r="H2028">
            <v>44835</v>
          </cell>
          <cell r="I2028">
            <v>23142</v>
          </cell>
          <cell r="J2028" t="str">
            <v>129.687.728-05</v>
          </cell>
          <cell r="K2028" t="str">
            <v>121.06605.17.1</v>
          </cell>
          <cell r="L2028" t="str">
            <v>Salário Mensal</v>
          </cell>
          <cell r="M2028" t="str">
            <v>Empregado (CLT)</v>
          </cell>
        </row>
        <row r="2029">
          <cell r="D2029" t="str">
            <v>ECOSAMPA Campo Limpo</v>
          </cell>
          <cell r="E2029">
            <v>43617</v>
          </cell>
          <cell r="F2029">
            <v>1281.23</v>
          </cell>
          <cell r="G2029" t="str">
            <v>Demitido em Meses Anteriores</v>
          </cell>
          <cell r="H2029">
            <v>43808</v>
          </cell>
          <cell r="I2029">
            <v>19310</v>
          </cell>
          <cell r="J2029" t="str">
            <v>996.750.488-91</v>
          </cell>
          <cell r="K2029" t="str">
            <v>104.26092.44.6</v>
          </cell>
          <cell r="L2029" t="str">
            <v>Salário Mensal</v>
          </cell>
          <cell r="M2029" t="str">
            <v>Empregado (CLT)</v>
          </cell>
        </row>
        <row r="2030">
          <cell r="D2030" t="str">
            <v>ECOSAMPA Capela do Socorro</v>
          </cell>
          <cell r="E2030">
            <v>45180</v>
          </cell>
          <cell r="F2030">
            <v>1603.99</v>
          </cell>
          <cell r="G2030" t="str">
            <v>Em Atividade Normal</v>
          </cell>
          <cell r="H2030">
            <v>45180</v>
          </cell>
          <cell r="I2030">
            <v>36343</v>
          </cell>
          <cell r="J2030" t="str">
            <v>492.073.448-40</v>
          </cell>
          <cell r="K2030" t="str">
            <v>165.90836.37.0</v>
          </cell>
          <cell r="L2030" t="str">
            <v>Salário Mensal</v>
          </cell>
          <cell r="M2030" t="str">
            <v>Empregado (CLT)</v>
          </cell>
        </row>
        <row r="2031">
          <cell r="D2031" t="str">
            <v>ECOSAMPA Operação Geral</v>
          </cell>
          <cell r="E2031">
            <v>43916</v>
          </cell>
          <cell r="F2031">
            <v>1281.23</v>
          </cell>
          <cell r="G2031" t="str">
            <v>Demitido em Meses Anteriores</v>
          </cell>
          <cell r="H2031">
            <v>43975</v>
          </cell>
          <cell r="I2031">
            <v>28063</v>
          </cell>
          <cell r="J2031" t="str">
            <v>742.995.573-87</v>
          </cell>
          <cell r="K2031" t="str">
            <v>126.43514.48.5</v>
          </cell>
          <cell r="L2031" t="str">
            <v>Salário Mensal</v>
          </cell>
          <cell r="M2031" t="str">
            <v>Empregado (CLT)</v>
          </cell>
        </row>
        <row r="2032">
          <cell r="D2032" t="str">
            <v>ECOSAMPA Capela do Socorro</v>
          </cell>
          <cell r="E2032">
            <v>43728</v>
          </cell>
          <cell r="F2032">
            <v>1603.99</v>
          </cell>
          <cell r="G2032" t="str">
            <v>Em Atividade Normal</v>
          </cell>
          <cell r="H2032">
            <v>45149</v>
          </cell>
          <cell r="I2032">
            <v>34442</v>
          </cell>
          <cell r="J2032" t="str">
            <v>417.527.008-64</v>
          </cell>
          <cell r="K2032" t="str">
            <v>210.69390.66.8</v>
          </cell>
          <cell r="L2032" t="str">
            <v>Salário Mensal</v>
          </cell>
          <cell r="M2032" t="str">
            <v>Empregado (CLT)</v>
          </cell>
        </row>
        <row r="2033">
          <cell r="D2033" t="str">
            <v>ECOSAMPA Parelheiros</v>
          </cell>
          <cell r="E2033">
            <v>43617</v>
          </cell>
          <cell r="F2033">
            <v>1603.99</v>
          </cell>
          <cell r="G2033" t="str">
            <v>Em Atividade Normal</v>
          </cell>
          <cell r="H2033">
            <v>44960</v>
          </cell>
          <cell r="I2033">
            <v>32354</v>
          </cell>
          <cell r="J2033" t="str">
            <v>368.896.198-62</v>
          </cell>
          <cell r="K2033" t="str">
            <v>166.56272.30.5</v>
          </cell>
          <cell r="L2033" t="str">
            <v>Salário Mensal</v>
          </cell>
          <cell r="M2033" t="str">
            <v>Empregado (CLT)</v>
          </cell>
        </row>
        <row r="2034">
          <cell r="D2034" t="str">
            <v>ECOSAMPA Campo Limpo</v>
          </cell>
          <cell r="E2034">
            <v>43617</v>
          </cell>
          <cell r="F2034">
            <v>1569.61</v>
          </cell>
          <cell r="G2034" t="str">
            <v>Demitido em Meses Anteriores</v>
          </cell>
          <cell r="H2034">
            <v>44109</v>
          </cell>
          <cell r="I2034">
            <v>30015</v>
          </cell>
          <cell r="J2034" t="str">
            <v>225.204.918-92</v>
          </cell>
          <cell r="K2034" t="str">
            <v>203.91074.59.2</v>
          </cell>
          <cell r="L2034" t="str">
            <v>Salário Mensal</v>
          </cell>
          <cell r="M2034" t="str">
            <v>Empregado (CLT)</v>
          </cell>
        </row>
        <row r="2035">
          <cell r="D2035" t="str">
            <v>ECOSAMPA Operação Geral</v>
          </cell>
          <cell r="E2035">
            <v>43617</v>
          </cell>
          <cell r="F2035">
            <v>3050.22</v>
          </cell>
          <cell r="G2035" t="str">
            <v>Gozando Férias</v>
          </cell>
          <cell r="H2035">
            <v>45180</v>
          </cell>
          <cell r="I2035">
            <v>21478</v>
          </cell>
          <cell r="J2035" t="str">
            <v>030.743.938-07</v>
          </cell>
          <cell r="K2035" t="str">
            <v>107.63463.21.0</v>
          </cell>
          <cell r="L2035" t="str">
            <v>Salário Mensal</v>
          </cell>
          <cell r="M2035" t="str">
            <v>Empregado (CLT)</v>
          </cell>
        </row>
        <row r="2036">
          <cell r="D2036" t="str">
            <v>ECOSAMPA Operação Geral</v>
          </cell>
          <cell r="E2036">
            <v>43619</v>
          </cell>
          <cell r="F2036">
            <v>8332.73</v>
          </cell>
          <cell r="G2036" t="str">
            <v>Em Atividade Normal</v>
          </cell>
          <cell r="H2036">
            <v>45023</v>
          </cell>
          <cell r="I2036">
            <v>24163</v>
          </cell>
          <cell r="J2036" t="str">
            <v>100.529.458-55</v>
          </cell>
          <cell r="K2036" t="str">
            <v>107.09692.71.1</v>
          </cell>
          <cell r="L2036" t="str">
            <v>Salário Mensal</v>
          </cell>
          <cell r="M2036" t="str">
            <v>Empregado (CLT)</v>
          </cell>
        </row>
        <row r="2037">
          <cell r="D2037" t="str">
            <v>ECOSAMPA Campo Limpo</v>
          </cell>
          <cell r="E2037">
            <v>44419</v>
          </cell>
          <cell r="F2037">
            <v>1603.99</v>
          </cell>
          <cell r="G2037" t="str">
            <v>Demitido em Meses Anteriores</v>
          </cell>
          <cell r="H2037">
            <v>44966</v>
          </cell>
          <cell r="I2037">
            <v>24581</v>
          </cell>
          <cell r="J2037" t="str">
            <v>112.751.018-52</v>
          </cell>
          <cell r="K2037" t="str">
            <v>121.19783.42.1</v>
          </cell>
          <cell r="L2037" t="str">
            <v>Salário Mensal</v>
          </cell>
          <cell r="M2037" t="str">
            <v>Empregado (CLT)</v>
          </cell>
        </row>
        <row r="2038">
          <cell r="D2038" t="str">
            <v>ECOSAMPA Santo Amaro</v>
          </cell>
          <cell r="E2038">
            <v>43874</v>
          </cell>
          <cell r="F2038">
            <v>1603.99</v>
          </cell>
          <cell r="G2038" t="str">
            <v>Em Atividade Normal</v>
          </cell>
          <cell r="H2038">
            <v>45149</v>
          </cell>
          <cell r="I2038">
            <v>32037</v>
          </cell>
          <cell r="J2038" t="str">
            <v>350.047.268-09</v>
          </cell>
          <cell r="K2038" t="str">
            <v>133.29916.93.0</v>
          </cell>
          <cell r="L2038" t="str">
            <v>Salário Mensal</v>
          </cell>
          <cell r="M2038" t="str">
            <v>Empregado (CLT)</v>
          </cell>
        </row>
        <row r="2039">
          <cell r="D2039" t="str">
            <v>ECOSAMPA Campo Limpo</v>
          </cell>
          <cell r="E2039">
            <v>43617</v>
          </cell>
          <cell r="F2039">
            <v>1281.23</v>
          </cell>
          <cell r="G2039" t="str">
            <v>Demitido em Meses Anteriores</v>
          </cell>
          <cell r="H2039">
            <v>43808</v>
          </cell>
          <cell r="I2039">
            <v>24718</v>
          </cell>
          <cell r="J2039" t="str">
            <v>778.042.876-15</v>
          </cell>
          <cell r="K2039" t="str">
            <v>123.72487.17.7</v>
          </cell>
          <cell r="L2039" t="str">
            <v>Salário Mensal</v>
          </cell>
          <cell r="M2039" t="str">
            <v>Empregado (CLT)</v>
          </cell>
        </row>
        <row r="2040">
          <cell r="D2040" t="str">
            <v>ECOSAMPA Operação Geral</v>
          </cell>
          <cell r="E2040">
            <v>43617</v>
          </cell>
          <cell r="F2040">
            <v>2999.88</v>
          </cell>
          <cell r="G2040" t="str">
            <v>Em Atividade Normal</v>
          </cell>
          <cell r="H2040">
            <v>44776</v>
          </cell>
          <cell r="I2040">
            <v>21392</v>
          </cell>
          <cell r="J2040" t="str">
            <v>022.353.848-54</v>
          </cell>
          <cell r="K2040" t="str">
            <v>107.23129.58.1</v>
          </cell>
          <cell r="L2040" t="str">
            <v>Salário Mensal</v>
          </cell>
          <cell r="M2040" t="str">
            <v>Empregado (CLT)</v>
          </cell>
        </row>
        <row r="2041">
          <cell r="D2041" t="str">
            <v>ECOSAMPA Capela do Socorro</v>
          </cell>
          <cell r="E2041">
            <v>43617</v>
          </cell>
          <cell r="F2041">
            <v>1603.99</v>
          </cell>
          <cell r="G2041" t="str">
            <v>Em Atividade Normal</v>
          </cell>
          <cell r="H2041">
            <v>45056</v>
          </cell>
          <cell r="I2041">
            <v>28384</v>
          </cell>
          <cell r="J2041" t="str">
            <v>811.659.513-04</v>
          </cell>
          <cell r="K2041" t="str">
            <v>127.68137.81.4</v>
          </cell>
          <cell r="L2041" t="str">
            <v>Salário Mensal</v>
          </cell>
          <cell r="M2041" t="str">
            <v>Empregado (CLT)</v>
          </cell>
        </row>
        <row r="2042">
          <cell r="D2042" t="str">
            <v>ECOSAMPA Operação Geral</v>
          </cell>
          <cell r="E2042">
            <v>43617</v>
          </cell>
          <cell r="F2042">
            <v>3050.22</v>
          </cell>
          <cell r="G2042" t="str">
            <v>Em Atividade Normal</v>
          </cell>
          <cell r="H2042">
            <v>45149</v>
          </cell>
          <cell r="I2042">
            <v>30304</v>
          </cell>
          <cell r="J2042" t="str">
            <v>226.785.698-02</v>
          </cell>
          <cell r="K2042" t="str">
            <v>127.70706.85.5</v>
          </cell>
          <cell r="L2042" t="str">
            <v>Salário Mensal</v>
          </cell>
          <cell r="M2042" t="str">
            <v>Empregado (CLT)</v>
          </cell>
        </row>
        <row r="2043">
          <cell r="D2043" t="str">
            <v>ECOSAMPA Operação Geral</v>
          </cell>
          <cell r="E2043">
            <v>43617</v>
          </cell>
          <cell r="F2043">
            <v>1281.23</v>
          </cell>
          <cell r="G2043" t="str">
            <v>Demitido em Meses Anteriores</v>
          </cell>
          <cell r="H2043">
            <v>43895</v>
          </cell>
          <cell r="I2043">
            <v>24018</v>
          </cell>
          <cell r="J2043" t="str">
            <v>076.903.978-24</v>
          </cell>
          <cell r="K2043" t="str">
            <v>121.51755.52.7</v>
          </cell>
          <cell r="L2043" t="str">
            <v>Salário Mensal</v>
          </cell>
          <cell r="M2043" t="str">
            <v>Empregado (CLT)</v>
          </cell>
        </row>
        <row r="2044">
          <cell r="D2044" t="str">
            <v>ECOSAMPA Operação Geral</v>
          </cell>
          <cell r="E2044">
            <v>44249</v>
          </cell>
          <cell r="F2044">
            <v>3050.22</v>
          </cell>
          <cell r="G2044" t="str">
            <v>Em Atividade Normal</v>
          </cell>
          <cell r="H2044">
            <v>45056</v>
          </cell>
          <cell r="I2044">
            <v>27534</v>
          </cell>
          <cell r="J2044" t="str">
            <v>133.667.648-56</v>
          </cell>
          <cell r="K2044" t="str">
            <v>123.63926.32.5</v>
          </cell>
          <cell r="L2044" t="str">
            <v>Salário Mensal</v>
          </cell>
          <cell r="M2044" t="str">
            <v>Empregado (CLT)</v>
          </cell>
        </row>
        <row r="2045">
          <cell r="D2045" t="str">
            <v>ECOSAMPA Capela do Socorro</v>
          </cell>
          <cell r="E2045">
            <v>43617</v>
          </cell>
          <cell r="F2045">
            <v>1603.99</v>
          </cell>
          <cell r="G2045" t="str">
            <v>Em Atividade Normal</v>
          </cell>
          <cell r="H2045">
            <v>45056</v>
          </cell>
          <cell r="I2045">
            <v>27011</v>
          </cell>
          <cell r="J2045" t="str">
            <v>135.807.268-03</v>
          </cell>
          <cell r="K2045" t="str">
            <v>123.88617.39.3</v>
          </cell>
          <cell r="L2045" t="str">
            <v>Salário Mensal</v>
          </cell>
          <cell r="M2045" t="str">
            <v>Empregado (CLT)</v>
          </cell>
        </row>
        <row r="2046">
          <cell r="D2046" t="str">
            <v>ECOSAMPA Operação Geral</v>
          </cell>
          <cell r="E2046">
            <v>44967</v>
          </cell>
          <cell r="F2046">
            <v>1603.99</v>
          </cell>
          <cell r="G2046" t="str">
            <v>Demitido em Meses Anteriores</v>
          </cell>
          <cell r="H2046">
            <v>44981</v>
          </cell>
          <cell r="I2046">
            <v>31410</v>
          </cell>
          <cell r="J2046" t="str">
            <v>352.431.178-46</v>
          </cell>
          <cell r="K2046" t="str">
            <v>137.30318.93.3</v>
          </cell>
          <cell r="L2046" t="str">
            <v>Salário Mensal</v>
          </cell>
          <cell r="M2046" t="str">
            <v>Empregado (CLT)</v>
          </cell>
        </row>
        <row r="2047">
          <cell r="D2047" t="str">
            <v>ECOSAMPA Operação Geral</v>
          </cell>
          <cell r="E2047">
            <v>43619</v>
          </cell>
          <cell r="F2047">
            <v>2187.6799999999998</v>
          </cell>
          <cell r="G2047" t="str">
            <v>Em Atividade Normal</v>
          </cell>
          <cell r="H2047">
            <v>45023</v>
          </cell>
          <cell r="I2047">
            <v>26516</v>
          </cell>
          <cell r="J2047" t="str">
            <v>146.871.498-80</v>
          </cell>
          <cell r="K2047" t="str">
            <v>122.87795.97.0</v>
          </cell>
          <cell r="L2047" t="str">
            <v>Salário Mensal</v>
          </cell>
          <cell r="M2047" t="str">
            <v>Empregado (CLT)</v>
          </cell>
        </row>
        <row r="2048">
          <cell r="D2048" t="str">
            <v>ECOSAMPA Operação Geral</v>
          </cell>
          <cell r="E2048">
            <v>43619</v>
          </cell>
          <cell r="F2048">
            <v>2773.01</v>
          </cell>
          <cell r="G2048" t="str">
            <v>Demitido em Meses Anteriores</v>
          </cell>
          <cell r="H2048">
            <v>43966</v>
          </cell>
          <cell r="I2048">
            <v>29864</v>
          </cell>
          <cell r="J2048" t="str">
            <v>223.641.418-85</v>
          </cell>
          <cell r="K2048" t="str">
            <v>201.15246.61.9</v>
          </cell>
          <cell r="L2048" t="str">
            <v>Salário Mensal</v>
          </cell>
          <cell r="M2048" t="str">
            <v>Empregado (CLT)</v>
          </cell>
        </row>
        <row r="2049">
          <cell r="D2049" t="str">
            <v>ECOSAMPA M'Boi Mirim</v>
          </cell>
          <cell r="E2049">
            <v>44487</v>
          </cell>
          <cell r="F2049">
            <v>1603.99</v>
          </cell>
          <cell r="G2049" t="str">
            <v>Em Atividade Normal</v>
          </cell>
          <cell r="H2049">
            <v>45119</v>
          </cell>
          <cell r="I2049">
            <v>31074</v>
          </cell>
          <cell r="J2049" t="str">
            <v>357.373.888-59</v>
          </cell>
          <cell r="K2049" t="str">
            <v>210.22969.33.3</v>
          </cell>
          <cell r="L2049" t="str">
            <v>Salário Mensal</v>
          </cell>
          <cell r="M2049" t="str">
            <v>Empregado (CLT)</v>
          </cell>
        </row>
        <row r="2050">
          <cell r="D2050" t="str">
            <v>ECOSAMPA Operação Geral</v>
          </cell>
          <cell r="E2050">
            <v>43617</v>
          </cell>
          <cell r="F2050">
            <v>1907.79</v>
          </cell>
          <cell r="G2050" t="str">
            <v>Em Atividade Normal</v>
          </cell>
          <cell r="H2050">
            <v>44867</v>
          </cell>
          <cell r="I2050">
            <v>27319</v>
          </cell>
          <cell r="J2050" t="str">
            <v>248.643.218-33</v>
          </cell>
          <cell r="K2050" t="str">
            <v>125.86001.89.5</v>
          </cell>
          <cell r="L2050" t="str">
            <v>Salário Mensal</v>
          </cell>
          <cell r="M2050" t="str">
            <v>Empregado (CLT)</v>
          </cell>
        </row>
        <row r="2051">
          <cell r="D2051" t="str">
            <v>ECOSAMPA Capela do Socorro</v>
          </cell>
          <cell r="E2051">
            <v>43617</v>
          </cell>
          <cell r="F2051">
            <v>1603.99</v>
          </cell>
          <cell r="G2051" t="str">
            <v>Em Atividade Normal</v>
          </cell>
          <cell r="H2051">
            <v>44993</v>
          </cell>
          <cell r="I2051">
            <v>26400</v>
          </cell>
          <cell r="J2051" t="str">
            <v>117.007.198-82</v>
          </cell>
          <cell r="K2051" t="str">
            <v>123.24517.48.7</v>
          </cell>
          <cell r="L2051" t="str">
            <v>Salário Mensal</v>
          </cell>
          <cell r="M2051" t="str">
            <v>Empregado (CLT)</v>
          </cell>
        </row>
        <row r="2052">
          <cell r="D2052" t="str">
            <v>ECOSAMPA Capela do Socorro</v>
          </cell>
          <cell r="E2052">
            <v>43617</v>
          </cell>
          <cell r="F2052">
            <v>1231.95</v>
          </cell>
          <cell r="G2052" t="str">
            <v>Demitido em Meses Anteriores</v>
          </cell>
          <cell r="H2052">
            <v>43704</v>
          </cell>
          <cell r="I2052">
            <v>36108</v>
          </cell>
          <cell r="J2052" t="str">
            <v>231.020.708-09</v>
          </cell>
          <cell r="K2052" t="str">
            <v>148.77391.32.7</v>
          </cell>
          <cell r="L2052" t="str">
            <v>Salário Mensal</v>
          </cell>
          <cell r="M2052" t="str">
            <v>Empregado (CLT)</v>
          </cell>
        </row>
        <row r="2053">
          <cell r="D2053" t="str">
            <v>ECOSAMPA Santo Amaro</v>
          </cell>
          <cell r="E2053">
            <v>44820</v>
          </cell>
          <cell r="F2053">
            <v>1603.99</v>
          </cell>
          <cell r="G2053" t="str">
            <v>Em Atividade Normal</v>
          </cell>
          <cell r="H2053">
            <v>44820</v>
          </cell>
          <cell r="I2053">
            <v>27087</v>
          </cell>
          <cell r="J2053" t="str">
            <v>182.434.418-08</v>
          </cell>
          <cell r="K2053" t="str">
            <v>124.27089.18.6</v>
          </cell>
          <cell r="L2053" t="str">
            <v>Salário Mensal</v>
          </cell>
          <cell r="M2053" t="str">
            <v>Empregado (CLT)</v>
          </cell>
        </row>
        <row r="2054">
          <cell r="D2054" t="str">
            <v>ECOSAMPA Operação Geral</v>
          </cell>
          <cell r="E2054">
            <v>44508</v>
          </cell>
          <cell r="F2054">
            <v>3050.22</v>
          </cell>
          <cell r="G2054" t="str">
            <v>Demitido em Meses Anteriores</v>
          </cell>
          <cell r="H2054">
            <v>44844</v>
          </cell>
          <cell r="I2054">
            <v>30445</v>
          </cell>
          <cell r="J2054" t="str">
            <v>326.031.528-40</v>
          </cell>
          <cell r="K2054" t="str">
            <v>203.91706.78.5</v>
          </cell>
          <cell r="L2054" t="str">
            <v>Salário Mensal</v>
          </cell>
          <cell r="M2054" t="str">
            <v>Empregado (CLT)</v>
          </cell>
        </row>
        <row r="2055">
          <cell r="D2055" t="str">
            <v>ECOSAMPA Parelheiros</v>
          </cell>
          <cell r="E2055">
            <v>44760</v>
          </cell>
          <cell r="F2055">
            <v>1603.99</v>
          </cell>
          <cell r="G2055" t="str">
            <v>Demitido no Mês</v>
          </cell>
          <cell r="H2055">
            <v>45194</v>
          </cell>
          <cell r="I2055">
            <v>33434</v>
          </cell>
          <cell r="J2055" t="str">
            <v>389.045.828-90</v>
          </cell>
          <cell r="K2055" t="str">
            <v>210.71812.87.6</v>
          </cell>
          <cell r="L2055" t="str">
            <v>Salário Mensal</v>
          </cell>
          <cell r="M2055" t="str">
            <v>Empregado (CLT)</v>
          </cell>
        </row>
        <row r="2056">
          <cell r="D2056" t="str">
            <v>ECOSAMPA Operação Geral</v>
          </cell>
          <cell r="E2056">
            <v>43817</v>
          </cell>
          <cell r="F2056">
            <v>1281.23</v>
          </cell>
          <cell r="G2056" t="str">
            <v>Demitido em Meses Anteriores</v>
          </cell>
          <cell r="H2056">
            <v>43895</v>
          </cell>
          <cell r="I2056">
            <v>35834</v>
          </cell>
          <cell r="J2056" t="str">
            <v>470.533.468-03</v>
          </cell>
          <cell r="K2056" t="str">
            <v>201.15155.10.9</v>
          </cell>
          <cell r="L2056" t="str">
            <v>Salário Mensal</v>
          </cell>
          <cell r="M2056" t="str">
            <v>Empregado (CLT)</v>
          </cell>
        </row>
        <row r="2057">
          <cell r="D2057" t="str">
            <v>ECOSAMPA Operação Geral</v>
          </cell>
          <cell r="E2057">
            <v>43621</v>
          </cell>
          <cell r="F2057">
            <v>4254.08</v>
          </cell>
          <cell r="G2057" t="str">
            <v>Demitido em Meses Anteriores</v>
          </cell>
          <cell r="H2057">
            <v>45015</v>
          </cell>
          <cell r="I2057">
            <v>31660</v>
          </cell>
          <cell r="J2057" t="str">
            <v>228.232.968-67</v>
          </cell>
          <cell r="K2057" t="str">
            <v>129.70341.10.9</v>
          </cell>
          <cell r="L2057" t="str">
            <v>Salário Mensal</v>
          </cell>
          <cell r="M2057" t="str">
            <v>Empregado (CLT)</v>
          </cell>
        </row>
        <row r="2058">
          <cell r="D2058" t="str">
            <v>ECOSAMPA Operação Geral</v>
          </cell>
          <cell r="E2058">
            <v>43622</v>
          </cell>
          <cell r="F2058">
            <v>5974.02</v>
          </cell>
          <cell r="G2058" t="str">
            <v>Demitido em Meses Anteriores</v>
          </cell>
          <cell r="H2058">
            <v>44823</v>
          </cell>
          <cell r="I2058">
            <v>29376</v>
          </cell>
          <cell r="J2058" t="str">
            <v>273.294.958-24</v>
          </cell>
          <cell r="K2058" t="str">
            <v>129.96858.81.8</v>
          </cell>
          <cell r="L2058" t="str">
            <v>Salário Mensal</v>
          </cell>
          <cell r="M2058" t="str">
            <v>Empregado (CLT)</v>
          </cell>
        </row>
        <row r="2059">
          <cell r="D2059" t="str">
            <v>ECOSAMPA Operação Geral</v>
          </cell>
          <cell r="E2059">
            <v>44972</v>
          </cell>
          <cell r="F2059">
            <v>1603.99</v>
          </cell>
          <cell r="G2059" t="str">
            <v>Demitido em Meses Anteriores</v>
          </cell>
          <cell r="H2059">
            <v>44986</v>
          </cell>
          <cell r="I2059">
            <v>34095</v>
          </cell>
          <cell r="J2059" t="str">
            <v>408.780.998-67</v>
          </cell>
          <cell r="K2059" t="str">
            <v>204.30187.83.6</v>
          </cell>
          <cell r="L2059" t="str">
            <v>Salário Mensal</v>
          </cell>
          <cell r="M2059" t="str">
            <v>Empregado (CLT)</v>
          </cell>
        </row>
        <row r="2060">
          <cell r="D2060" t="str">
            <v>ECOSAMPA Parelheiros</v>
          </cell>
          <cell r="E2060">
            <v>43617</v>
          </cell>
          <cell r="F2060">
            <v>1319.67</v>
          </cell>
          <cell r="G2060" t="str">
            <v>Demitido em Meses Anteriores</v>
          </cell>
          <cell r="H2060">
            <v>44246</v>
          </cell>
          <cell r="I2060">
            <v>29802</v>
          </cell>
          <cell r="J2060" t="str">
            <v>314.384.878-27</v>
          </cell>
          <cell r="K2060" t="str">
            <v>138.36442.85.9</v>
          </cell>
          <cell r="L2060" t="str">
            <v>Salário Mensal</v>
          </cell>
          <cell r="M2060" t="str">
            <v>Empregado (CLT)</v>
          </cell>
        </row>
        <row r="2061">
          <cell r="D2061" t="str">
            <v>ECOSAMPA Santo Amaro</v>
          </cell>
          <cell r="E2061">
            <v>44062</v>
          </cell>
          <cell r="F2061">
            <v>2942.54</v>
          </cell>
          <cell r="G2061" t="str">
            <v>Demitido em Meses Anteriores</v>
          </cell>
          <cell r="H2061">
            <v>44599</v>
          </cell>
          <cell r="I2061">
            <v>32245</v>
          </cell>
          <cell r="J2061" t="str">
            <v>343.244.998-45</v>
          </cell>
          <cell r="K2061" t="str">
            <v>133.02685.77.6</v>
          </cell>
          <cell r="L2061" t="str">
            <v>Salário Mensal</v>
          </cell>
          <cell r="M2061" t="str">
            <v>Empregado (CLT)</v>
          </cell>
        </row>
        <row r="2062">
          <cell r="D2062" t="str">
            <v>ECOSAMPA Operação Geral</v>
          </cell>
          <cell r="E2062">
            <v>43617</v>
          </cell>
          <cell r="F2062">
            <v>1523.89</v>
          </cell>
          <cell r="G2062" t="str">
            <v>Demitido em Meses Anteriores</v>
          </cell>
          <cell r="H2062">
            <v>43991</v>
          </cell>
          <cell r="I2062">
            <v>32745</v>
          </cell>
          <cell r="J2062" t="str">
            <v>395.785.948-44</v>
          </cell>
          <cell r="K2062" t="str">
            <v>210.71751.14.1</v>
          </cell>
          <cell r="L2062" t="str">
            <v>Salário Mensal</v>
          </cell>
          <cell r="M2062" t="str">
            <v>Empregado (CLT)</v>
          </cell>
        </row>
        <row r="2063">
          <cell r="D2063" t="str">
            <v>ECOSAMPA Santo Amaro</v>
          </cell>
          <cell r="E2063">
            <v>43617</v>
          </cell>
          <cell r="F2063">
            <v>1603.99</v>
          </cell>
          <cell r="G2063" t="str">
            <v>Em Atividade Normal</v>
          </cell>
          <cell r="H2063">
            <v>45023</v>
          </cell>
          <cell r="I2063">
            <v>34138</v>
          </cell>
          <cell r="J2063" t="str">
            <v>235.631.528-45</v>
          </cell>
          <cell r="K2063" t="str">
            <v>204.85505.19.8</v>
          </cell>
          <cell r="L2063" t="str">
            <v>Salário Mensal</v>
          </cell>
          <cell r="M2063" t="str">
            <v>Empregado (CLT)</v>
          </cell>
        </row>
        <row r="2064">
          <cell r="D2064" t="str">
            <v>ECOSAMPA M'Boi Mirim</v>
          </cell>
          <cell r="E2064">
            <v>44368</v>
          </cell>
          <cell r="F2064">
            <v>1319.67</v>
          </cell>
          <cell r="G2064" t="str">
            <v>Demitido em Meses Anteriores</v>
          </cell>
          <cell r="H2064">
            <v>44463</v>
          </cell>
          <cell r="I2064">
            <v>34375</v>
          </cell>
          <cell r="J2064" t="str">
            <v>431.102.428-26</v>
          </cell>
          <cell r="K2064" t="str">
            <v>210.73032.15.0</v>
          </cell>
          <cell r="L2064" t="str">
            <v>Salário Mensal</v>
          </cell>
          <cell r="M2064" t="str">
            <v>Empregado (CLT)</v>
          </cell>
        </row>
        <row r="2065">
          <cell r="D2065" t="str">
            <v>ECOSAMPA Parelheiros</v>
          </cell>
          <cell r="E2065">
            <v>44046</v>
          </cell>
          <cell r="F2065">
            <v>1603.99</v>
          </cell>
          <cell r="G2065" t="str">
            <v>Em Atividade Normal</v>
          </cell>
          <cell r="H2065">
            <v>44960</v>
          </cell>
          <cell r="I2065">
            <v>34682</v>
          </cell>
          <cell r="J2065" t="str">
            <v>446.370.668-83</v>
          </cell>
          <cell r="K2065" t="str">
            <v>165.68979.21.0</v>
          </cell>
          <cell r="L2065" t="str">
            <v>Salário Mensal</v>
          </cell>
          <cell r="M2065" t="str">
            <v>Empregado (CLT)</v>
          </cell>
        </row>
        <row r="2066">
          <cell r="D2066" t="str">
            <v>ECOSAMPA M'Boi Mirim</v>
          </cell>
          <cell r="E2066">
            <v>43617</v>
          </cell>
          <cell r="F2066">
            <v>1603.99</v>
          </cell>
          <cell r="G2066" t="str">
            <v>Em Atividade Normal</v>
          </cell>
          <cell r="H2066">
            <v>44806</v>
          </cell>
          <cell r="I2066">
            <v>35162</v>
          </cell>
          <cell r="J2066" t="str">
            <v>237.453.578-92</v>
          </cell>
          <cell r="K2066" t="str">
            <v>166.37630.06.4</v>
          </cell>
          <cell r="L2066" t="str">
            <v>Salário Mensal</v>
          </cell>
          <cell r="M2066" t="str">
            <v>Empregado (CLT)</v>
          </cell>
        </row>
        <row r="2067">
          <cell r="D2067" t="str">
            <v>ECOSAMPA M'Boi Mirim</v>
          </cell>
          <cell r="E2067">
            <v>44630</v>
          </cell>
          <cell r="F2067">
            <v>1603.99</v>
          </cell>
          <cell r="G2067" t="str">
            <v>Em Atividade Normal</v>
          </cell>
          <cell r="H2067">
            <v>45119</v>
          </cell>
          <cell r="I2067">
            <v>30449</v>
          </cell>
          <cell r="J2067" t="str">
            <v>323.752.428-07</v>
          </cell>
          <cell r="K2067" t="str">
            <v>206.33669.45.2</v>
          </cell>
          <cell r="L2067" t="str">
            <v>Salário Mensal</v>
          </cell>
          <cell r="M2067" t="str">
            <v>Empregado (CLT)</v>
          </cell>
        </row>
        <row r="2068">
          <cell r="D2068" t="str">
            <v>ECOSAMPA Parelheiros</v>
          </cell>
          <cell r="E2068">
            <v>43617</v>
          </cell>
          <cell r="F2068">
            <v>6154.04</v>
          </cell>
          <cell r="G2068" t="str">
            <v>Em Atividade Normal</v>
          </cell>
          <cell r="H2068">
            <v>44821</v>
          </cell>
          <cell r="I2068">
            <v>30705</v>
          </cell>
          <cell r="J2068" t="str">
            <v>326.230.528-67</v>
          </cell>
          <cell r="K2068" t="str">
            <v>131.87832.85.6</v>
          </cell>
          <cell r="L2068" t="str">
            <v>Salário Mensal</v>
          </cell>
          <cell r="M2068" t="str">
            <v>Empregado (CLT)</v>
          </cell>
        </row>
        <row r="2069">
          <cell r="D2069" t="str">
            <v>ECOSAMPA Operação Geral</v>
          </cell>
          <cell r="E2069">
            <v>43621</v>
          </cell>
          <cell r="F2069">
            <v>4570.58</v>
          </cell>
          <cell r="G2069" t="str">
            <v>Demitido em Meses Anteriores</v>
          </cell>
          <cell r="H2069">
            <v>44138</v>
          </cell>
          <cell r="I2069">
            <v>33125</v>
          </cell>
          <cell r="J2069" t="str">
            <v>406.005.698-70</v>
          </cell>
          <cell r="K2069" t="str">
            <v>210.13644.12.5</v>
          </cell>
          <cell r="L2069" t="str">
            <v>Salário Mensal</v>
          </cell>
          <cell r="M2069" t="str">
            <v>Empregado (CLT)</v>
          </cell>
        </row>
        <row r="2070">
          <cell r="D2070" t="str">
            <v>ECOSAMPA Operação Geral</v>
          </cell>
          <cell r="E2070">
            <v>44236</v>
          </cell>
          <cell r="F2070">
            <v>3050.22</v>
          </cell>
          <cell r="G2070" t="str">
            <v>Em Atividade Normal</v>
          </cell>
          <cell r="H2070">
            <v>45023</v>
          </cell>
          <cell r="I2070">
            <v>30954</v>
          </cell>
          <cell r="J2070" t="str">
            <v>047.412.674-90</v>
          </cell>
          <cell r="K2070" t="str">
            <v>203.18448.42.9</v>
          </cell>
          <cell r="L2070" t="str">
            <v>Salário Mensal</v>
          </cell>
          <cell r="M2070" t="str">
            <v>Empregado (CLT)</v>
          </cell>
        </row>
        <row r="2071">
          <cell r="D2071" t="str">
            <v>ECOSAMPA M'Boi Mirim</v>
          </cell>
          <cell r="E2071">
            <v>43617</v>
          </cell>
          <cell r="F2071">
            <v>1231.95</v>
          </cell>
          <cell r="G2071" t="str">
            <v>Demitido em Meses Anteriores</v>
          </cell>
          <cell r="H2071">
            <v>43703</v>
          </cell>
          <cell r="I2071">
            <v>33560</v>
          </cell>
          <cell r="J2071" t="str">
            <v>408.111.648-29</v>
          </cell>
          <cell r="K2071" t="str">
            <v>201.15360.65.9</v>
          </cell>
          <cell r="L2071" t="str">
            <v>Salário Mensal</v>
          </cell>
          <cell r="M2071" t="str">
            <v>Empregado (CLT)</v>
          </cell>
        </row>
        <row r="2072">
          <cell r="D2072" t="str">
            <v>ECOSAMPA Santo Amaro</v>
          </cell>
          <cell r="E2072">
            <v>43811</v>
          </cell>
          <cell r="F2072">
            <v>1603.99</v>
          </cell>
          <cell r="G2072" t="str">
            <v>Gozando Férias</v>
          </cell>
          <cell r="H2072">
            <v>45180</v>
          </cell>
          <cell r="I2072">
            <v>27465</v>
          </cell>
          <cell r="J2072" t="str">
            <v>255.751.168-40</v>
          </cell>
          <cell r="K2072" t="str">
            <v>125.59117.81.0</v>
          </cell>
          <cell r="L2072" t="str">
            <v>Salário Mensal</v>
          </cell>
          <cell r="M2072" t="str">
            <v>Empregado (CLT)</v>
          </cell>
        </row>
        <row r="2073">
          <cell r="D2073" t="str">
            <v>ECOSAMPA Operação Geral</v>
          </cell>
          <cell r="E2073">
            <v>44582</v>
          </cell>
          <cell r="F2073">
            <v>1464.83</v>
          </cell>
          <cell r="G2073" t="str">
            <v>Demitido em Meses Anteriores</v>
          </cell>
          <cell r="H2073">
            <v>44659</v>
          </cell>
          <cell r="I2073">
            <v>36024</v>
          </cell>
          <cell r="J2073" t="str">
            <v>480.397.788-75</v>
          </cell>
          <cell r="K2073" t="str">
            <v>236.34507.50.7</v>
          </cell>
          <cell r="L2073" t="str">
            <v>Salário Mensal</v>
          </cell>
          <cell r="M2073" t="str">
            <v>Empregado (CLT)</v>
          </cell>
        </row>
        <row r="2074">
          <cell r="D2074" t="str">
            <v>ECOSAMPA Operação Geral</v>
          </cell>
          <cell r="E2074">
            <v>43916</v>
          </cell>
          <cell r="F2074">
            <v>1603.99</v>
          </cell>
          <cell r="G2074" t="str">
            <v>Em Atividade Normal</v>
          </cell>
          <cell r="H2074">
            <v>45080</v>
          </cell>
          <cell r="I2074">
            <v>28939</v>
          </cell>
          <cell r="J2074" t="str">
            <v>291.716.978-88</v>
          </cell>
          <cell r="K2074" t="str">
            <v>126.80831.15.4</v>
          </cell>
          <cell r="L2074" t="str">
            <v>Salário Mensal</v>
          </cell>
          <cell r="M2074" t="str">
            <v>Empregado (CLT)</v>
          </cell>
        </row>
        <row r="2075">
          <cell r="D2075" t="str">
            <v>ECOSAMPA Operação Geral</v>
          </cell>
          <cell r="E2075">
            <v>43617</v>
          </cell>
          <cell r="F2075">
            <v>3050.22</v>
          </cell>
          <cell r="G2075" t="str">
            <v>Em Atividade Normal</v>
          </cell>
          <cell r="H2075">
            <v>44930</v>
          </cell>
          <cell r="I2075">
            <v>28926</v>
          </cell>
          <cell r="J2075" t="str">
            <v>279.357.748-03</v>
          </cell>
          <cell r="K2075" t="str">
            <v>127.61516.89.5</v>
          </cell>
          <cell r="L2075" t="str">
            <v>Salário Mensal</v>
          </cell>
          <cell r="M2075" t="str">
            <v>Empregado (CLT)</v>
          </cell>
        </row>
        <row r="2076">
          <cell r="D2076" t="str">
            <v>ECOSAMPA Santo Amaro</v>
          </cell>
          <cell r="E2076">
            <v>43617</v>
          </cell>
          <cell r="F2076">
            <v>1603.99</v>
          </cell>
          <cell r="G2076" t="str">
            <v>Em Atividade Normal</v>
          </cell>
          <cell r="H2076">
            <v>44776</v>
          </cell>
          <cell r="I2076">
            <v>29723</v>
          </cell>
          <cell r="J2076" t="str">
            <v>390.775.648-70</v>
          </cell>
          <cell r="K2076" t="str">
            <v>166.56280.33.2</v>
          </cell>
          <cell r="L2076" t="str">
            <v>Salário Mensal</v>
          </cell>
          <cell r="M2076" t="str">
            <v>Empregado (CLT)</v>
          </cell>
        </row>
        <row r="2077">
          <cell r="D2077" t="str">
            <v>ECOSAMPA Campo Limpo</v>
          </cell>
          <cell r="E2077">
            <v>43617</v>
          </cell>
          <cell r="F2077">
            <v>1603.99</v>
          </cell>
          <cell r="G2077" t="str">
            <v>Em Atividade Normal</v>
          </cell>
          <cell r="H2077">
            <v>44835</v>
          </cell>
          <cell r="I2077">
            <v>26990</v>
          </cell>
          <cell r="J2077" t="str">
            <v>153.314.508-30</v>
          </cell>
          <cell r="K2077" t="str">
            <v>129.63056.77.1</v>
          </cell>
          <cell r="L2077" t="str">
            <v>Salário Mensal</v>
          </cell>
          <cell r="M2077" t="str">
            <v>Empregado (CLT)</v>
          </cell>
        </row>
        <row r="2078">
          <cell r="D2078" t="str">
            <v>ECOSAMPA Santo Amaro</v>
          </cell>
          <cell r="E2078">
            <v>44308</v>
          </cell>
          <cell r="F2078">
            <v>1319.67</v>
          </cell>
          <cell r="G2078" t="str">
            <v>Demitido em Meses Anteriores</v>
          </cell>
          <cell r="H2078">
            <v>44365</v>
          </cell>
          <cell r="I2078">
            <v>33765</v>
          </cell>
          <cell r="J2078" t="str">
            <v>408.448.068-11</v>
          </cell>
          <cell r="K2078" t="str">
            <v>207.25017.53.2</v>
          </cell>
          <cell r="L2078" t="str">
            <v>Salário Mensal</v>
          </cell>
          <cell r="M2078" t="str">
            <v>Empregado (CLT)</v>
          </cell>
        </row>
        <row r="2079">
          <cell r="D2079" t="str">
            <v>ECOSAMPA Santo Amaro</v>
          </cell>
          <cell r="E2079">
            <v>43617</v>
          </cell>
          <cell r="F2079">
            <v>2573.73</v>
          </cell>
          <cell r="G2079" t="str">
            <v>Demitido em Meses Anteriores</v>
          </cell>
          <cell r="H2079">
            <v>44043</v>
          </cell>
          <cell r="I2079">
            <v>31854</v>
          </cell>
          <cell r="J2079" t="str">
            <v>359.437.598-67</v>
          </cell>
          <cell r="K2079" t="str">
            <v>129.46610.50.2</v>
          </cell>
          <cell r="L2079" t="str">
            <v>Salário Mensal</v>
          </cell>
          <cell r="M2079" t="str">
            <v>Empregado (CLT)</v>
          </cell>
        </row>
        <row r="2080">
          <cell r="D2080" t="str">
            <v>ECOSAMPA M'Boi Mirim</v>
          </cell>
          <cell r="E2080">
            <v>44791</v>
          </cell>
          <cell r="F2080">
            <v>1603.99</v>
          </cell>
          <cell r="G2080" t="str">
            <v>Em Atividade Normal</v>
          </cell>
          <cell r="H2080">
            <v>44791</v>
          </cell>
          <cell r="I2080">
            <v>27074</v>
          </cell>
          <cell r="J2080" t="str">
            <v>291.971.628-09</v>
          </cell>
          <cell r="K2080" t="str">
            <v>125.49675.93.4</v>
          </cell>
          <cell r="L2080" t="str">
            <v>Salário Mensal</v>
          </cell>
          <cell r="M2080" t="str">
            <v>Empregado (CLT)</v>
          </cell>
        </row>
        <row r="2081">
          <cell r="D2081" t="str">
            <v>ECOSAMPA M'Boi Mirim</v>
          </cell>
          <cell r="E2081">
            <v>43617</v>
          </cell>
          <cell r="F2081">
            <v>1603.99</v>
          </cell>
          <cell r="G2081" t="str">
            <v>Em Atividade Normal</v>
          </cell>
          <cell r="H2081">
            <v>44867</v>
          </cell>
          <cell r="I2081">
            <v>31581</v>
          </cell>
          <cell r="J2081" t="str">
            <v>375.148.568-62</v>
          </cell>
          <cell r="K2081" t="str">
            <v>201.15238.51.9</v>
          </cell>
          <cell r="L2081" t="str">
            <v>Salário Mensal</v>
          </cell>
          <cell r="M2081" t="str">
            <v>Empregado (CLT)</v>
          </cell>
        </row>
        <row r="2082">
          <cell r="D2082" t="str">
            <v>ECOSAMPA Operação Geral</v>
          </cell>
          <cell r="E2082">
            <v>43617</v>
          </cell>
          <cell r="F2082">
            <v>1231.95</v>
          </cell>
          <cell r="G2082" t="str">
            <v>Demitido em Meses Anteriores</v>
          </cell>
          <cell r="H2082">
            <v>43703</v>
          </cell>
          <cell r="I2082">
            <v>29695</v>
          </cell>
          <cell r="J2082" t="str">
            <v>284.511.758-21</v>
          </cell>
          <cell r="K2082" t="str">
            <v>135.94981.89.3</v>
          </cell>
          <cell r="L2082" t="str">
            <v>Salário Mensal</v>
          </cell>
          <cell r="M2082" t="str">
            <v>Empregado (CLT)</v>
          </cell>
        </row>
        <row r="2083">
          <cell r="D2083" t="str">
            <v>ECOSAMPA Operação Geral</v>
          </cell>
          <cell r="E2083">
            <v>43893</v>
          </cell>
          <cell r="F2083">
            <v>1952.99</v>
          </cell>
          <cell r="G2083" t="str">
            <v>Demitido em Meses Anteriores</v>
          </cell>
          <cell r="H2083">
            <v>44853</v>
          </cell>
          <cell r="I2083">
            <v>34263</v>
          </cell>
          <cell r="J2083" t="str">
            <v>400.030.688-03</v>
          </cell>
          <cell r="K2083" t="str">
            <v>201.52559.58.7</v>
          </cell>
          <cell r="L2083" t="str">
            <v>Salário Mensal</v>
          </cell>
          <cell r="M2083" t="str">
            <v>Empregado (CLT)</v>
          </cell>
        </row>
        <row r="2084">
          <cell r="D2084" t="str">
            <v>ECOSAMPA M'Boi Mirim</v>
          </cell>
          <cell r="E2084">
            <v>43617</v>
          </cell>
          <cell r="F2084">
            <v>1319.67</v>
          </cell>
          <cell r="G2084" t="str">
            <v>Demitido em Meses Anteriores</v>
          </cell>
          <cell r="H2084">
            <v>44323</v>
          </cell>
          <cell r="I2084">
            <v>32596</v>
          </cell>
          <cell r="J2084" t="str">
            <v>053.511.485-01</v>
          </cell>
          <cell r="K2084" t="str">
            <v>165.55121.55.7</v>
          </cell>
          <cell r="L2084" t="str">
            <v>Salário Mensal</v>
          </cell>
          <cell r="M2084" t="str">
            <v>Empregado (CLT)</v>
          </cell>
        </row>
        <row r="2085">
          <cell r="D2085" t="str">
            <v>ECOSAMPA Campo Limpo</v>
          </cell>
          <cell r="E2085">
            <v>43617</v>
          </cell>
          <cell r="F2085">
            <v>3222.08</v>
          </cell>
          <cell r="G2085" t="str">
            <v>Em Atividade Normal</v>
          </cell>
          <cell r="H2085">
            <v>45177</v>
          </cell>
          <cell r="I2085">
            <v>30229</v>
          </cell>
          <cell r="J2085" t="str">
            <v>225.214.068-21</v>
          </cell>
          <cell r="K2085" t="str">
            <v>127.72235.93.0</v>
          </cell>
          <cell r="L2085" t="str">
            <v>Salário Mensal</v>
          </cell>
          <cell r="M2085" t="str">
            <v>Empregado (CLT)</v>
          </cell>
        </row>
        <row r="2086">
          <cell r="D2086" t="str">
            <v>ECOSAMPA Operação Geral</v>
          </cell>
          <cell r="E2086">
            <v>43617</v>
          </cell>
          <cell r="F2086">
            <v>2785.59</v>
          </cell>
          <cell r="G2086" t="str">
            <v>Demitido em Meses Anteriores</v>
          </cell>
          <cell r="H2086">
            <v>44803</v>
          </cell>
          <cell r="I2086">
            <v>30206</v>
          </cell>
          <cell r="J2086" t="str">
            <v>222.397.278-02</v>
          </cell>
          <cell r="K2086" t="str">
            <v>165.92120.32.1</v>
          </cell>
          <cell r="L2086" t="str">
            <v>Salário Mensal</v>
          </cell>
          <cell r="M2086" t="str">
            <v>Empregado (CLT)</v>
          </cell>
        </row>
        <row r="2087">
          <cell r="D2087" t="str">
            <v>ECOSAMPA M'Boi Mirim</v>
          </cell>
          <cell r="E2087">
            <v>43617</v>
          </cell>
          <cell r="F2087">
            <v>1603.99</v>
          </cell>
          <cell r="G2087" t="str">
            <v>Em Atividade Normal</v>
          </cell>
          <cell r="H2087">
            <v>44867</v>
          </cell>
          <cell r="I2087">
            <v>30555</v>
          </cell>
          <cell r="J2087" t="str">
            <v>377.689.958-13</v>
          </cell>
          <cell r="K2087" t="str">
            <v>207.24764.50.4</v>
          </cell>
          <cell r="L2087" t="str">
            <v>Salário Mensal</v>
          </cell>
          <cell r="M2087" t="str">
            <v>Empregado (CLT)</v>
          </cell>
        </row>
        <row r="2088">
          <cell r="D2088" t="str">
            <v>ECOSAMPA M'Boi Mirim</v>
          </cell>
          <cell r="E2088">
            <v>43617</v>
          </cell>
          <cell r="F2088">
            <v>1603.99</v>
          </cell>
          <cell r="G2088" t="str">
            <v>Em Atividade Normal</v>
          </cell>
          <cell r="H2088">
            <v>44898</v>
          </cell>
          <cell r="I2088">
            <v>32422</v>
          </cell>
          <cell r="J2088" t="str">
            <v>374.064.298-00</v>
          </cell>
          <cell r="K2088" t="str">
            <v>206.86491.99.2</v>
          </cell>
          <cell r="L2088" t="str">
            <v>Salário Mensal</v>
          </cell>
          <cell r="M2088" t="str">
            <v>Empregado (CLT)</v>
          </cell>
        </row>
        <row r="2089">
          <cell r="D2089" t="str">
            <v>ECOSAMPA Operação Geral</v>
          </cell>
          <cell r="E2089">
            <v>43617</v>
          </cell>
          <cell r="F2089">
            <v>1569.61</v>
          </cell>
          <cell r="G2089" t="str">
            <v>Demitido em Meses Anteriores</v>
          </cell>
          <cell r="H2089">
            <v>44371</v>
          </cell>
          <cell r="I2089">
            <v>30132</v>
          </cell>
          <cell r="J2089" t="str">
            <v>330.832.678-78</v>
          </cell>
          <cell r="K2089" t="str">
            <v>135.25744.85.3</v>
          </cell>
          <cell r="L2089" t="str">
            <v>Salário Mensal</v>
          </cell>
          <cell r="M2089" t="str">
            <v>Empregado (CLT)</v>
          </cell>
        </row>
        <row r="2090">
          <cell r="D2090" t="str">
            <v>ECOSAMPA Operação Geral</v>
          </cell>
          <cell r="E2090">
            <v>43804</v>
          </cell>
          <cell r="F2090">
            <v>2610.2399999999998</v>
          </cell>
          <cell r="G2090" t="str">
            <v>Em Atividade Normal</v>
          </cell>
          <cell r="H2090">
            <v>45177</v>
          </cell>
          <cell r="I2090">
            <v>31527</v>
          </cell>
          <cell r="J2090" t="str">
            <v>347.620.118-00</v>
          </cell>
          <cell r="K2090" t="str">
            <v>133.21032.89.8</v>
          </cell>
          <cell r="L2090" t="str">
            <v>Salário Mensal</v>
          </cell>
          <cell r="M2090" t="str">
            <v>Empregado (CLT)</v>
          </cell>
        </row>
        <row r="2091">
          <cell r="D2091" t="str">
            <v>ECOSAMPA M'Boi Mirim</v>
          </cell>
          <cell r="E2091">
            <v>43617</v>
          </cell>
          <cell r="F2091">
            <v>1603.99</v>
          </cell>
          <cell r="G2091" t="str">
            <v>Em Atividade Normal</v>
          </cell>
          <cell r="H2091">
            <v>44867</v>
          </cell>
          <cell r="I2091">
            <v>27756</v>
          </cell>
          <cell r="J2091" t="str">
            <v>177.777.258-31</v>
          </cell>
          <cell r="K2091" t="str">
            <v>125.43997.77.8</v>
          </cell>
          <cell r="L2091" t="str">
            <v>Salário Mensal</v>
          </cell>
          <cell r="M2091" t="str">
            <v>Empregado (CLT)</v>
          </cell>
        </row>
        <row r="2092">
          <cell r="D2092" t="str">
            <v>ECOSAMPA Operação Geral</v>
          </cell>
          <cell r="E2092">
            <v>43916</v>
          </cell>
          <cell r="F2092">
            <v>3050.22</v>
          </cell>
          <cell r="G2092" t="str">
            <v>Em Atividade Normal</v>
          </cell>
          <cell r="H2092">
            <v>45056</v>
          </cell>
          <cell r="I2092">
            <v>29036</v>
          </cell>
          <cell r="J2092" t="str">
            <v>270.555.758-00</v>
          </cell>
          <cell r="K2092" t="str">
            <v>126.15020.85.6</v>
          </cell>
          <cell r="L2092" t="str">
            <v>Salário Mensal</v>
          </cell>
          <cell r="M2092" t="str">
            <v>Empregado (CLT)</v>
          </cell>
        </row>
        <row r="2093">
          <cell r="D2093" t="str">
            <v>ECOSAMPA Santo Amaro</v>
          </cell>
          <cell r="E2093">
            <v>43617</v>
          </cell>
          <cell r="F2093">
            <v>1603.99</v>
          </cell>
          <cell r="G2093" t="str">
            <v>Em Atividade Normal</v>
          </cell>
          <cell r="H2093">
            <v>45023</v>
          </cell>
          <cell r="I2093">
            <v>27753</v>
          </cell>
          <cell r="J2093" t="str">
            <v>926.623.665-91</v>
          </cell>
          <cell r="K2093" t="str">
            <v>126.73647.93.9</v>
          </cell>
          <cell r="L2093" t="str">
            <v>Salário Mensal</v>
          </cell>
          <cell r="M2093" t="str">
            <v>Empregado (CLT)</v>
          </cell>
        </row>
        <row r="2094">
          <cell r="D2094" t="str">
            <v>ECOSAMPA M'Boi Mirim</v>
          </cell>
          <cell r="E2094">
            <v>43617</v>
          </cell>
          <cell r="F2094">
            <v>1603.99</v>
          </cell>
          <cell r="G2094" t="str">
            <v>Em Atividade Normal</v>
          </cell>
          <cell r="H2094">
            <v>44806</v>
          </cell>
          <cell r="I2094">
            <v>24060</v>
          </cell>
          <cell r="J2094" t="str">
            <v>066.742.428-88</v>
          </cell>
          <cell r="K2094" t="str">
            <v>121.43866.26.9</v>
          </cell>
          <cell r="L2094" t="str">
            <v>Salário Mensal</v>
          </cell>
          <cell r="M2094" t="str">
            <v>Empregado (CLT)</v>
          </cell>
        </row>
        <row r="2095">
          <cell r="D2095" t="str">
            <v>ECOSAMPA Campo Limpo</v>
          </cell>
          <cell r="E2095">
            <v>43617</v>
          </cell>
          <cell r="F2095">
            <v>1603.99</v>
          </cell>
          <cell r="G2095" t="str">
            <v>Em Atividade Normal</v>
          </cell>
          <cell r="H2095">
            <v>45023</v>
          </cell>
          <cell r="I2095">
            <v>24661</v>
          </cell>
          <cell r="J2095" t="str">
            <v>145.193.068-25</v>
          </cell>
          <cell r="K2095" t="str">
            <v>123.87980.87.7</v>
          </cell>
          <cell r="L2095" t="str">
            <v>Salário Mensal</v>
          </cell>
          <cell r="M2095" t="str">
            <v>Empregado (CLT)</v>
          </cell>
        </row>
        <row r="2096">
          <cell r="D2096" t="str">
            <v>ECOSAMPA Operação Geral</v>
          </cell>
          <cell r="E2096">
            <v>43617</v>
          </cell>
          <cell r="F2096">
            <v>2436.4499999999998</v>
          </cell>
          <cell r="G2096" t="str">
            <v>Demitido em Meses Anteriores</v>
          </cell>
          <cell r="H2096">
            <v>43896</v>
          </cell>
          <cell r="I2096">
            <v>28630</v>
          </cell>
          <cell r="J2096" t="str">
            <v>293.736.228-11</v>
          </cell>
          <cell r="K2096" t="str">
            <v>125.20056.82.9</v>
          </cell>
          <cell r="L2096" t="str">
            <v>Salário Mensal</v>
          </cell>
          <cell r="M2096" t="str">
            <v>Empregado (CLT)</v>
          </cell>
        </row>
        <row r="2097">
          <cell r="D2097" t="str">
            <v>ECOSAMPA Santo Amaro</v>
          </cell>
          <cell r="E2097">
            <v>43617</v>
          </cell>
          <cell r="F2097">
            <v>1319.67</v>
          </cell>
          <cell r="G2097" t="str">
            <v>Demitido em Meses Anteriores</v>
          </cell>
          <cell r="H2097">
            <v>44266</v>
          </cell>
          <cell r="I2097">
            <v>21588</v>
          </cell>
          <cell r="J2097" t="str">
            <v>646.738.047-91</v>
          </cell>
          <cell r="K2097" t="str">
            <v>107.82040.00.1</v>
          </cell>
          <cell r="L2097" t="str">
            <v>Salário Mensal</v>
          </cell>
          <cell r="M2097" t="str">
            <v>Empregado (CLT)</v>
          </cell>
        </row>
        <row r="2098">
          <cell r="D2098" t="str">
            <v>ECOSAMPA Operação Geral</v>
          </cell>
          <cell r="E2098">
            <v>43874</v>
          </cell>
          <cell r="F2098">
            <v>2785.59</v>
          </cell>
          <cell r="G2098" t="str">
            <v>Demitido em Meses Anteriores</v>
          </cell>
          <cell r="H2098">
            <v>44505</v>
          </cell>
          <cell r="I2098">
            <v>29216</v>
          </cell>
          <cell r="J2098" t="str">
            <v>221.772.768-02</v>
          </cell>
          <cell r="K2098" t="str">
            <v>129.38683.85.7</v>
          </cell>
          <cell r="L2098" t="str">
            <v>Salário Mensal</v>
          </cell>
          <cell r="M2098" t="str">
            <v>Empregado (CLT)</v>
          </cell>
        </row>
        <row r="2099">
          <cell r="D2099" t="str">
            <v>ECOSAMPA Campo Limpo</v>
          </cell>
          <cell r="E2099">
            <v>43617</v>
          </cell>
          <cell r="F2099">
            <v>1603.99</v>
          </cell>
          <cell r="G2099" t="str">
            <v>Em Atividade Normal</v>
          </cell>
          <cell r="H2099">
            <v>44776</v>
          </cell>
          <cell r="I2099">
            <v>32552</v>
          </cell>
          <cell r="J2099" t="str">
            <v>374.665.178-62</v>
          </cell>
          <cell r="K2099" t="str">
            <v>210.71710.87.9</v>
          </cell>
          <cell r="L2099" t="str">
            <v>Salário Mensal</v>
          </cell>
          <cell r="M2099" t="str">
            <v>Empregado (CLT)</v>
          </cell>
        </row>
        <row r="2100">
          <cell r="D2100" t="str">
            <v>ECOSAMPA Operação Geral</v>
          </cell>
          <cell r="E2100">
            <v>43617</v>
          </cell>
          <cell r="F2100">
            <v>1907.79</v>
          </cell>
          <cell r="G2100" t="str">
            <v>Em Atividade Normal</v>
          </cell>
          <cell r="H2100">
            <v>45149</v>
          </cell>
          <cell r="I2100">
            <v>30316</v>
          </cell>
          <cell r="J2100" t="str">
            <v>312.931.028-22</v>
          </cell>
          <cell r="K2100" t="str">
            <v>134.93148.89.4</v>
          </cell>
          <cell r="L2100" t="str">
            <v>Salário Mensal</v>
          </cell>
          <cell r="M2100" t="str">
            <v>Empregado (CLT)</v>
          </cell>
        </row>
        <row r="2101">
          <cell r="D2101" t="str">
            <v>ECOSAMPA Operação Geral</v>
          </cell>
          <cell r="E2101">
            <v>43617</v>
          </cell>
          <cell r="F2101">
            <v>1523.89</v>
          </cell>
          <cell r="G2101" t="str">
            <v>Demitido em Meses Anteriores</v>
          </cell>
          <cell r="H2101">
            <v>43991</v>
          </cell>
          <cell r="I2101">
            <v>31481</v>
          </cell>
          <cell r="J2101" t="str">
            <v>417.857.558-97</v>
          </cell>
          <cell r="K2101" t="str">
            <v>165.29911.10.4</v>
          </cell>
          <cell r="L2101" t="str">
            <v>Salário Mensal</v>
          </cell>
          <cell r="M2101" t="str">
            <v>Empregado (CLT)</v>
          </cell>
        </row>
        <row r="2102">
          <cell r="D2102" t="str">
            <v>ECOSAMPA Capela do Socorro</v>
          </cell>
          <cell r="E2102">
            <v>43617</v>
          </cell>
          <cell r="F2102">
            <v>1603.99</v>
          </cell>
          <cell r="G2102" t="str">
            <v>Em Atividade Normal</v>
          </cell>
          <cell r="H2102">
            <v>44806</v>
          </cell>
          <cell r="I2102">
            <v>28946</v>
          </cell>
          <cell r="J2102" t="str">
            <v>029.609.394-76</v>
          </cell>
          <cell r="K2102" t="str">
            <v>128.63514.81.6</v>
          </cell>
          <cell r="L2102" t="str">
            <v>Salário Mensal</v>
          </cell>
          <cell r="M2102" t="str">
            <v>Empregado (CLT)</v>
          </cell>
        </row>
        <row r="2103">
          <cell r="D2103" t="str">
            <v>ECOSAMPA M'Boi Mirim</v>
          </cell>
          <cell r="E2103">
            <v>43617</v>
          </cell>
          <cell r="F2103">
            <v>1281.23</v>
          </cell>
          <cell r="G2103" t="str">
            <v>Demitido em Meses Anteriores</v>
          </cell>
          <cell r="H2103">
            <v>43808</v>
          </cell>
          <cell r="I2103">
            <v>25025</v>
          </cell>
          <cell r="J2103" t="str">
            <v>088.006.458-79</v>
          </cell>
          <cell r="K2103" t="str">
            <v>122.93860.51.7</v>
          </cell>
          <cell r="L2103" t="str">
            <v>Salário Mensal</v>
          </cell>
          <cell r="M2103" t="str">
            <v>Empregado (CLT)</v>
          </cell>
        </row>
        <row r="2104">
          <cell r="D2104" t="str">
            <v>ECOSAMPA Operação Geral</v>
          </cell>
          <cell r="E2104">
            <v>43617</v>
          </cell>
          <cell r="F2104">
            <v>2342.7399999999998</v>
          </cell>
          <cell r="G2104" t="str">
            <v>Demitido em Meses Anteriores</v>
          </cell>
          <cell r="H2104">
            <v>43704</v>
          </cell>
          <cell r="I2104">
            <v>28502</v>
          </cell>
          <cell r="J2104" t="str">
            <v>275.206.978-27</v>
          </cell>
          <cell r="K2104" t="str">
            <v>134.80947.81.5</v>
          </cell>
          <cell r="L2104" t="str">
            <v>Salário Mensal</v>
          </cell>
          <cell r="M2104" t="str">
            <v>Empregado (CLT)</v>
          </cell>
        </row>
        <row r="2105">
          <cell r="D2105" t="str">
            <v>ECOSAMPA Capela do Socorro</v>
          </cell>
          <cell r="E2105">
            <v>44522</v>
          </cell>
          <cell r="F2105">
            <v>1603.99</v>
          </cell>
          <cell r="G2105" t="str">
            <v>Em Atividade Normal</v>
          </cell>
          <cell r="H2105">
            <v>45086</v>
          </cell>
          <cell r="I2105">
            <v>36810</v>
          </cell>
          <cell r="J2105" t="str">
            <v>169.210.786-04</v>
          </cell>
          <cell r="K2105" t="str">
            <v>166.41439.28.4</v>
          </cell>
          <cell r="L2105" t="str">
            <v>Salário Mensal</v>
          </cell>
          <cell r="M2105" t="str">
            <v>Empregado (CLT)</v>
          </cell>
        </row>
        <row r="2106">
          <cell r="D2106" t="str">
            <v>ECOSAMPA Santo Amaro</v>
          </cell>
          <cell r="E2106">
            <v>44760</v>
          </cell>
          <cell r="F2106">
            <v>1603.99</v>
          </cell>
          <cell r="G2106" t="str">
            <v>Gozando Férias</v>
          </cell>
          <cell r="H2106">
            <v>45180</v>
          </cell>
          <cell r="I2106">
            <v>34227</v>
          </cell>
          <cell r="J2106" t="str">
            <v>123.226.294-30</v>
          </cell>
          <cell r="K2106" t="str">
            <v>166.41232.05.1</v>
          </cell>
          <cell r="L2106" t="str">
            <v>Salário Mensal</v>
          </cell>
          <cell r="M2106" t="str">
            <v>Empregado (CLT)</v>
          </cell>
        </row>
        <row r="2107">
          <cell r="D2107" t="str">
            <v>ECOSAMPA Santo Amaro</v>
          </cell>
          <cell r="E2107">
            <v>43739</v>
          </cell>
          <cell r="F2107">
            <v>1603.99</v>
          </cell>
          <cell r="G2107" t="str">
            <v>Em Atividade Normal</v>
          </cell>
          <cell r="H2107">
            <v>45086</v>
          </cell>
          <cell r="I2107">
            <v>25069</v>
          </cell>
          <cell r="J2107" t="str">
            <v>129.839.138-56</v>
          </cell>
          <cell r="K2107" t="str">
            <v>122.71826.21.9</v>
          </cell>
          <cell r="L2107" t="str">
            <v>Salário Mensal</v>
          </cell>
          <cell r="M2107" t="str">
            <v>Empregado (CLT)</v>
          </cell>
        </row>
        <row r="2108">
          <cell r="D2108" t="str">
            <v>ECOSAMPA Operação Geral</v>
          </cell>
          <cell r="E2108">
            <v>43617</v>
          </cell>
          <cell r="F2108">
            <v>3050.22</v>
          </cell>
          <cell r="G2108" t="str">
            <v>Gozando Férias</v>
          </cell>
          <cell r="H2108">
            <v>45180</v>
          </cell>
          <cell r="I2108">
            <v>30834</v>
          </cell>
          <cell r="J2108" t="str">
            <v>349.327.228-69</v>
          </cell>
          <cell r="K2108" t="str">
            <v>132.22111.81.1</v>
          </cell>
          <cell r="L2108" t="str">
            <v>Salário Mensal</v>
          </cell>
          <cell r="M2108" t="str">
            <v>Empregado (CLT)</v>
          </cell>
        </row>
        <row r="2109">
          <cell r="D2109" t="str">
            <v>ECOSAMPA M'Boi Mirim</v>
          </cell>
          <cell r="E2109">
            <v>43617</v>
          </cell>
          <cell r="F2109">
            <v>1319.67</v>
          </cell>
          <cell r="G2109" t="str">
            <v>Demitido em Meses Anteriores</v>
          </cell>
          <cell r="H2109">
            <v>44172</v>
          </cell>
          <cell r="I2109">
            <v>32083</v>
          </cell>
          <cell r="J2109" t="str">
            <v>409.010.158-14</v>
          </cell>
          <cell r="K2109" t="str">
            <v>201.52036.68.1</v>
          </cell>
          <cell r="L2109" t="str">
            <v>Salário Mensal</v>
          </cell>
          <cell r="M2109" t="str">
            <v>Empregado (CLT)</v>
          </cell>
        </row>
        <row r="2110">
          <cell r="D2110" t="str">
            <v>ECOSAMPA Operação Geral</v>
          </cell>
          <cell r="E2110">
            <v>43617</v>
          </cell>
          <cell r="F2110">
            <v>3050.22</v>
          </cell>
          <cell r="G2110" t="str">
            <v>Em Atividade Normal</v>
          </cell>
          <cell r="H2110">
            <v>45170</v>
          </cell>
          <cell r="I2110">
            <v>29858</v>
          </cell>
          <cell r="J2110" t="str">
            <v>223.483.498-84</v>
          </cell>
          <cell r="K2110" t="str">
            <v>129.49524.85.2</v>
          </cell>
          <cell r="L2110" t="str">
            <v>Salário Mensal</v>
          </cell>
          <cell r="M2110" t="str">
            <v>Empregado (CLT)</v>
          </cell>
        </row>
        <row r="2111">
          <cell r="D2111" t="str">
            <v>ECOSAMPA Operação Geral</v>
          </cell>
          <cell r="E2111">
            <v>43916</v>
          </cell>
          <cell r="F2111">
            <v>3050.22</v>
          </cell>
          <cell r="G2111" t="str">
            <v>Em Atividade Normal</v>
          </cell>
          <cell r="H2111">
            <v>45056</v>
          </cell>
          <cell r="I2111">
            <v>29750</v>
          </cell>
          <cell r="J2111" t="str">
            <v>295.542.148-04</v>
          </cell>
          <cell r="K2111" t="str">
            <v>126.59784.81.9</v>
          </cell>
          <cell r="L2111" t="str">
            <v>Salário Mensal</v>
          </cell>
          <cell r="M2111" t="str">
            <v>Empregado (CLT)</v>
          </cell>
        </row>
        <row r="2112">
          <cell r="D2112" t="str">
            <v>ECOSAMPA Capela do Socorro</v>
          </cell>
          <cell r="E2112">
            <v>43874</v>
          </cell>
          <cell r="F2112">
            <v>1603.99</v>
          </cell>
          <cell r="G2112" t="str">
            <v>Em Atividade Normal</v>
          </cell>
          <cell r="H2112">
            <v>45086</v>
          </cell>
          <cell r="I2112">
            <v>33535</v>
          </cell>
          <cell r="J2112" t="str">
            <v>401.755.418-09</v>
          </cell>
          <cell r="K2112" t="str">
            <v>165.92343.08.8</v>
          </cell>
          <cell r="L2112" t="str">
            <v>Salário Mensal</v>
          </cell>
          <cell r="M2112" t="str">
            <v>Empregado (CLT)</v>
          </cell>
        </row>
        <row r="2113">
          <cell r="D2113" t="str">
            <v>ECOSAMPA Capela do Socorro</v>
          </cell>
          <cell r="E2113">
            <v>43617</v>
          </cell>
          <cell r="F2113">
            <v>1231.95</v>
          </cell>
          <cell r="G2113" t="str">
            <v>Demitido em Meses Anteriores</v>
          </cell>
          <cell r="H2113">
            <v>43686</v>
          </cell>
          <cell r="I2113">
            <v>35575</v>
          </cell>
          <cell r="J2113" t="str">
            <v>145.813.516-00</v>
          </cell>
          <cell r="K2113" t="str">
            <v>145.53035.56.8</v>
          </cell>
          <cell r="L2113" t="str">
            <v>Salário Mensal</v>
          </cell>
          <cell r="M2113" t="str">
            <v>Empregado (CLT)</v>
          </cell>
        </row>
        <row r="2114">
          <cell r="D2114" t="str">
            <v>ECOSAMPA Campo Limpo</v>
          </cell>
          <cell r="E2114">
            <v>43617</v>
          </cell>
          <cell r="F2114">
            <v>1281.23</v>
          </cell>
          <cell r="G2114" t="str">
            <v>Demitido em Meses Anteriores</v>
          </cell>
          <cell r="H2114">
            <v>44029</v>
          </cell>
          <cell r="I2114">
            <v>21778</v>
          </cell>
          <cell r="J2114" t="str">
            <v>038.936.658-70</v>
          </cell>
          <cell r="K2114" t="str">
            <v>108.54275.79.4</v>
          </cell>
          <cell r="L2114" t="str">
            <v>Salário Mensal</v>
          </cell>
          <cell r="M2114" t="str">
            <v>Empregado (CLT)</v>
          </cell>
        </row>
        <row r="2115">
          <cell r="D2115" t="str">
            <v>ECOSAMPA Santo Amaro</v>
          </cell>
          <cell r="E2115">
            <v>43617</v>
          </cell>
          <cell r="F2115">
            <v>1281.23</v>
          </cell>
          <cell r="G2115" t="str">
            <v>Demitido em Meses Anteriores</v>
          </cell>
          <cell r="H2115">
            <v>43808</v>
          </cell>
          <cell r="I2115">
            <v>27870</v>
          </cell>
          <cell r="J2115" t="str">
            <v>406.450.138-11</v>
          </cell>
          <cell r="K2115" t="str">
            <v>204.33700.57.7</v>
          </cell>
          <cell r="L2115" t="str">
            <v>Salário Mensal</v>
          </cell>
          <cell r="M2115" t="str">
            <v>Empregado (CLT)</v>
          </cell>
        </row>
        <row r="2116">
          <cell r="D2116" t="str">
            <v>ECOSAMPA Santo Amaro</v>
          </cell>
          <cell r="E2116">
            <v>43617</v>
          </cell>
          <cell r="F2116">
            <v>1603.99</v>
          </cell>
          <cell r="G2116" t="str">
            <v>Demitido em Meses Anteriores</v>
          </cell>
          <cell r="H2116">
            <v>45026</v>
          </cell>
          <cell r="I2116">
            <v>29941</v>
          </cell>
          <cell r="J2116" t="str">
            <v>337.234.658-03</v>
          </cell>
          <cell r="K2116" t="str">
            <v>200.76423.20.9</v>
          </cell>
          <cell r="L2116" t="str">
            <v>Salário Mensal</v>
          </cell>
          <cell r="M2116" t="str">
            <v>Empregado (CLT)</v>
          </cell>
        </row>
        <row r="2117">
          <cell r="D2117" t="str">
            <v>ECOSAMPA Santo Amaro</v>
          </cell>
          <cell r="E2117">
            <v>43617</v>
          </cell>
          <cell r="F2117">
            <v>1603.99</v>
          </cell>
          <cell r="G2117" t="str">
            <v>Em Atividade Normal</v>
          </cell>
          <cell r="H2117">
            <v>44806</v>
          </cell>
          <cell r="I2117">
            <v>33456</v>
          </cell>
          <cell r="J2117" t="str">
            <v>401.956.158-32</v>
          </cell>
          <cell r="K2117" t="str">
            <v>166.21893.78.8</v>
          </cell>
          <cell r="L2117" t="str">
            <v>Salário Mensal</v>
          </cell>
          <cell r="M2117" t="str">
            <v>Empregado (CLT)</v>
          </cell>
        </row>
        <row r="2118">
          <cell r="D2118" t="str">
            <v>ECOSAMPA Santo Amaro</v>
          </cell>
          <cell r="E2118">
            <v>44154</v>
          </cell>
          <cell r="F2118">
            <v>1892.31</v>
          </cell>
          <cell r="G2118" t="str">
            <v>Demitido em Meses Anteriores</v>
          </cell>
          <cell r="H2118">
            <v>44809</v>
          </cell>
          <cell r="I2118">
            <v>30769</v>
          </cell>
          <cell r="J2118" t="str">
            <v>313.359.688-81</v>
          </cell>
          <cell r="K2118" t="str">
            <v>128.10327.81.7</v>
          </cell>
          <cell r="L2118" t="str">
            <v>Salário Mensal</v>
          </cell>
          <cell r="M2118" t="str">
            <v>Empregado (CLT)</v>
          </cell>
        </row>
        <row r="2119">
          <cell r="D2119" t="str">
            <v>ECOSAMPA M'Boi Mirim</v>
          </cell>
          <cell r="E2119">
            <v>44945</v>
          </cell>
          <cell r="F2119">
            <v>1603.99</v>
          </cell>
          <cell r="G2119" t="str">
            <v>Em Atividade Normal</v>
          </cell>
          <cell r="H2119">
            <v>44945</v>
          </cell>
          <cell r="I2119">
            <v>30413</v>
          </cell>
          <cell r="J2119" t="str">
            <v>324.849.158-29</v>
          </cell>
          <cell r="K2119" t="str">
            <v>136.58667.89.2</v>
          </cell>
          <cell r="L2119" t="str">
            <v>Salário Mensal</v>
          </cell>
          <cell r="M2119" t="str">
            <v>Empregado (CLT)</v>
          </cell>
        </row>
        <row r="2120">
          <cell r="D2120" t="str">
            <v>ECOSAMPA Operação Geral</v>
          </cell>
          <cell r="E2120">
            <v>43617</v>
          </cell>
          <cell r="F2120">
            <v>1907.79</v>
          </cell>
          <cell r="G2120" t="str">
            <v>Em Atividade Normal</v>
          </cell>
          <cell r="H2120">
            <v>45177</v>
          </cell>
          <cell r="I2120">
            <v>28974</v>
          </cell>
          <cell r="J2120" t="str">
            <v>291.468.988-83</v>
          </cell>
          <cell r="K2120" t="str">
            <v>130.52499.85.7</v>
          </cell>
          <cell r="L2120" t="str">
            <v>Salário Mensal</v>
          </cell>
          <cell r="M2120" t="str">
            <v>Empregado (CLT)</v>
          </cell>
        </row>
        <row r="2121">
          <cell r="D2121" t="str">
            <v>ECOSAMPA Operação Geral</v>
          </cell>
          <cell r="E2121">
            <v>43617</v>
          </cell>
          <cell r="F2121">
            <v>1523.89</v>
          </cell>
          <cell r="G2121" t="str">
            <v>Demitido em Meses Anteriores</v>
          </cell>
          <cell r="H2121">
            <v>43991</v>
          </cell>
          <cell r="I2121">
            <v>34566</v>
          </cell>
          <cell r="J2121" t="str">
            <v>416.148.158-60</v>
          </cell>
          <cell r="K2121" t="str">
            <v>203.90620.10.0</v>
          </cell>
          <cell r="L2121" t="str">
            <v>Salário Mensal</v>
          </cell>
          <cell r="M2121" t="str">
            <v>Empregado (CLT)</v>
          </cell>
        </row>
        <row r="2122">
          <cell r="D2122" t="str">
            <v>ECOSAMPA Capela do Socorro</v>
          </cell>
          <cell r="E2122">
            <v>44207</v>
          </cell>
          <cell r="F2122">
            <v>1603.99</v>
          </cell>
          <cell r="G2122" t="str">
            <v>Em Atividade Normal</v>
          </cell>
          <cell r="H2122">
            <v>45086</v>
          </cell>
          <cell r="I2122">
            <v>34566</v>
          </cell>
          <cell r="J2122" t="str">
            <v>416.148.158-60</v>
          </cell>
          <cell r="K2122" t="str">
            <v>203.90620.10.0</v>
          </cell>
          <cell r="L2122" t="str">
            <v>Salário Mensal</v>
          </cell>
          <cell r="M2122" t="str">
            <v>Empregado (CLT)</v>
          </cell>
        </row>
        <row r="2123">
          <cell r="D2123" t="str">
            <v>ECOSAMPA Parelheiros</v>
          </cell>
          <cell r="E2123">
            <v>43617</v>
          </cell>
          <cell r="F2123">
            <v>1319.67</v>
          </cell>
          <cell r="G2123" t="str">
            <v>Demitido em Meses Anteriores</v>
          </cell>
          <cell r="H2123">
            <v>44323</v>
          </cell>
          <cell r="I2123">
            <v>26918</v>
          </cell>
          <cell r="J2123" t="str">
            <v>330.977.628-09</v>
          </cell>
          <cell r="K2123" t="str">
            <v>126.36998.89.8</v>
          </cell>
          <cell r="L2123" t="str">
            <v>Salário Mensal</v>
          </cell>
          <cell r="M2123" t="str">
            <v>Empregado (CLT)</v>
          </cell>
        </row>
        <row r="2124">
          <cell r="D2124" t="str">
            <v>ECOSAMPA Pensionistas</v>
          </cell>
          <cell r="E2124">
            <v>44120</v>
          </cell>
          <cell r="F2124">
            <v>0.01</v>
          </cell>
          <cell r="G2124" t="str">
            <v>Em Atividade Normal</v>
          </cell>
          <cell r="H2124">
            <v>44120</v>
          </cell>
          <cell r="J2124" t="str">
            <v>333.376.108-46</v>
          </cell>
          <cell r="L2124" t="str">
            <v>Nenhuma</v>
          </cell>
          <cell r="M2124" t="str">
            <v>Pensionista</v>
          </cell>
        </row>
        <row r="2125">
          <cell r="D2125" t="str">
            <v>ECOSAMPA Capela do Socorro</v>
          </cell>
          <cell r="E2125">
            <v>43617</v>
          </cell>
          <cell r="F2125">
            <v>1281.23</v>
          </cell>
          <cell r="G2125" t="str">
            <v>Demitido em Meses Anteriores</v>
          </cell>
          <cell r="H2125">
            <v>44034</v>
          </cell>
          <cell r="I2125">
            <v>31647</v>
          </cell>
          <cell r="J2125" t="str">
            <v>359.231.908-69</v>
          </cell>
          <cell r="K2125" t="str">
            <v>134.65647.93.8</v>
          </cell>
          <cell r="L2125" t="str">
            <v>Salário Mensal</v>
          </cell>
          <cell r="M2125" t="str">
            <v>Empregado (CLT)</v>
          </cell>
        </row>
        <row r="2126">
          <cell r="D2126" t="str">
            <v>ECOSAMPA Campo Limpo</v>
          </cell>
          <cell r="E2126">
            <v>43617</v>
          </cell>
          <cell r="F2126">
            <v>1603.99</v>
          </cell>
          <cell r="G2126" t="str">
            <v>Em Atividade Normal</v>
          </cell>
          <cell r="H2126">
            <v>44776</v>
          </cell>
          <cell r="I2126">
            <v>24487</v>
          </cell>
          <cell r="J2126" t="str">
            <v>005.940.025-08</v>
          </cell>
          <cell r="K2126" t="str">
            <v>124.22098.68.3</v>
          </cell>
          <cell r="L2126" t="str">
            <v>Salário Mensal</v>
          </cell>
          <cell r="M2126" t="str">
            <v>Empregado (CLT)</v>
          </cell>
        </row>
        <row r="2127">
          <cell r="D2127" t="str">
            <v>ECOSAMPA Operação Geral</v>
          </cell>
          <cell r="E2127">
            <v>43617</v>
          </cell>
          <cell r="F2127">
            <v>3050.22</v>
          </cell>
          <cell r="G2127" t="str">
            <v>Em Atividade Normal</v>
          </cell>
          <cell r="H2127">
            <v>44993</v>
          </cell>
          <cell r="I2127">
            <v>29002</v>
          </cell>
          <cell r="J2127" t="str">
            <v>213.229.158-65</v>
          </cell>
          <cell r="K2127" t="str">
            <v>125.52572.22.9</v>
          </cell>
          <cell r="L2127" t="str">
            <v>Salário Mensal</v>
          </cell>
          <cell r="M2127" t="str">
            <v>Empregado (CLT)</v>
          </cell>
        </row>
        <row r="2128">
          <cell r="D2128" t="str">
            <v>ECOSAMPA Operação Geral</v>
          </cell>
          <cell r="E2128">
            <v>43617</v>
          </cell>
          <cell r="F2128">
            <v>1907.79</v>
          </cell>
          <cell r="G2128" t="str">
            <v>Em Atividade Normal</v>
          </cell>
          <cell r="H2128">
            <v>44993</v>
          </cell>
          <cell r="I2128">
            <v>23502</v>
          </cell>
          <cell r="J2128" t="str">
            <v>130.249.258-64</v>
          </cell>
          <cell r="K2128" t="str">
            <v>108.80591.83.5</v>
          </cell>
          <cell r="L2128" t="str">
            <v>Salário Mensal</v>
          </cell>
          <cell r="M2128" t="str">
            <v>Empregado (CLT)</v>
          </cell>
        </row>
        <row r="2129">
          <cell r="D2129" t="str">
            <v>ECOSAMPA Capela do Socorro</v>
          </cell>
          <cell r="E2129">
            <v>43916</v>
          </cell>
          <cell r="F2129">
            <v>1603.99</v>
          </cell>
          <cell r="G2129" t="str">
            <v>Em Atividade Normal</v>
          </cell>
          <cell r="H2129">
            <v>44776</v>
          </cell>
          <cell r="I2129">
            <v>24062</v>
          </cell>
          <cell r="J2129" t="str">
            <v>091.918.648-36</v>
          </cell>
          <cell r="K2129" t="str">
            <v>122.01003.77.9</v>
          </cell>
          <cell r="L2129" t="str">
            <v>Salário Mensal</v>
          </cell>
          <cell r="M2129" t="str">
            <v>Empregado (CLT)</v>
          </cell>
        </row>
        <row r="2130">
          <cell r="D2130" t="str">
            <v>ECOSAMPA Capela do Socorro</v>
          </cell>
          <cell r="E2130">
            <v>43617</v>
          </cell>
          <cell r="F2130">
            <v>1603.99</v>
          </cell>
          <cell r="G2130" t="str">
            <v>Em Atividade Normal</v>
          </cell>
          <cell r="H2130">
            <v>45149</v>
          </cell>
          <cell r="I2130">
            <v>21561</v>
          </cell>
          <cell r="J2130" t="str">
            <v>148.930.988-88</v>
          </cell>
          <cell r="K2130" t="str">
            <v>108.99203.78.4</v>
          </cell>
          <cell r="L2130" t="str">
            <v>Salário Mensal</v>
          </cell>
          <cell r="M2130" t="str">
            <v>Empregado (CLT)</v>
          </cell>
        </row>
        <row r="2131">
          <cell r="D2131" t="str">
            <v>ECOSAMPA M'Boi Mirim</v>
          </cell>
          <cell r="E2131">
            <v>43617</v>
          </cell>
          <cell r="F2131">
            <v>1281.23</v>
          </cell>
          <cell r="G2131" t="str">
            <v>Demitido em Meses Anteriores</v>
          </cell>
          <cell r="H2131">
            <v>43896</v>
          </cell>
          <cell r="I2131">
            <v>32496</v>
          </cell>
          <cell r="J2131" t="str">
            <v>404.833.368-23</v>
          </cell>
          <cell r="K2131" t="str">
            <v>166.49548.57.0</v>
          </cell>
          <cell r="L2131" t="str">
            <v>Salário Mensal</v>
          </cell>
          <cell r="M2131" t="str">
            <v>Empregado (CLT)</v>
          </cell>
        </row>
        <row r="2132">
          <cell r="D2132" t="str">
            <v>ECOSAMPA Santo Amaro</v>
          </cell>
          <cell r="E2132">
            <v>43617</v>
          </cell>
          <cell r="F2132">
            <v>1319.67</v>
          </cell>
          <cell r="G2132" t="str">
            <v>Demitido em Meses Anteriores</v>
          </cell>
          <cell r="H2132">
            <v>44242</v>
          </cell>
          <cell r="I2132">
            <v>32860</v>
          </cell>
          <cell r="J2132" t="str">
            <v>388.726.758-39</v>
          </cell>
          <cell r="K2132" t="str">
            <v>165.69047.56.7</v>
          </cell>
          <cell r="L2132" t="str">
            <v>Salário Mensal</v>
          </cell>
          <cell r="M2132" t="str">
            <v>Empregado (CLT)</v>
          </cell>
        </row>
        <row r="2133">
          <cell r="D2133" t="str">
            <v>ECOSAMPA Capela do Socorro</v>
          </cell>
          <cell r="E2133">
            <v>43617</v>
          </cell>
          <cell r="F2133">
            <v>1603.99</v>
          </cell>
          <cell r="G2133" t="str">
            <v>Em Atividade Normal</v>
          </cell>
          <cell r="H2133">
            <v>45023</v>
          </cell>
          <cell r="I2133">
            <v>35451</v>
          </cell>
          <cell r="J2133" t="str">
            <v>444.034.558-16</v>
          </cell>
          <cell r="K2133" t="str">
            <v>236.19552.04.1</v>
          </cell>
          <cell r="L2133" t="str">
            <v>Salário Mensal</v>
          </cell>
          <cell r="M2133" t="str">
            <v>Empregado (CLT)</v>
          </cell>
        </row>
        <row r="2134">
          <cell r="D2134" t="str">
            <v>ECOSAMPA Campo Limpo</v>
          </cell>
          <cell r="E2134">
            <v>43617</v>
          </cell>
          <cell r="F2134">
            <v>1603.99</v>
          </cell>
          <cell r="G2134" t="str">
            <v>Em Atividade Normal</v>
          </cell>
          <cell r="H2134">
            <v>44806</v>
          </cell>
          <cell r="I2134">
            <v>26845</v>
          </cell>
          <cell r="J2134" t="str">
            <v>854.637.954-87</v>
          </cell>
          <cell r="K2134" t="str">
            <v>124.79406.01.8</v>
          </cell>
          <cell r="L2134" t="str">
            <v>Salário Mensal</v>
          </cell>
          <cell r="M2134" t="str">
            <v>Empregado (CLT)</v>
          </cell>
        </row>
        <row r="2135">
          <cell r="D2135" t="str">
            <v>ECOSAMPA Capela do Socorro</v>
          </cell>
          <cell r="E2135">
            <v>44273</v>
          </cell>
          <cell r="F2135">
            <v>1603.99</v>
          </cell>
          <cell r="G2135" t="str">
            <v>Em Atividade Normal</v>
          </cell>
          <cell r="H2135">
            <v>44744</v>
          </cell>
          <cell r="I2135">
            <v>30046</v>
          </cell>
          <cell r="J2135" t="str">
            <v>323.347.598-56</v>
          </cell>
          <cell r="K2135" t="str">
            <v>166.56295.86.0</v>
          </cell>
          <cell r="L2135" t="str">
            <v>Salário Mensal</v>
          </cell>
          <cell r="M2135" t="str">
            <v>Empregado (CLT)</v>
          </cell>
        </row>
        <row r="2136">
          <cell r="D2136" t="str">
            <v>ECOSAMPA Administração</v>
          </cell>
          <cell r="E2136">
            <v>45040</v>
          </cell>
          <cell r="F2136">
            <v>1320</v>
          </cell>
          <cell r="G2136" t="str">
            <v>Em Atividade Normal</v>
          </cell>
          <cell r="H2136">
            <v>45040</v>
          </cell>
          <cell r="I2136">
            <v>38207</v>
          </cell>
          <cell r="J2136" t="str">
            <v>479.425.518-73</v>
          </cell>
          <cell r="K2136" t="str">
            <v>236.40876.76.4</v>
          </cell>
          <cell r="L2136" t="str">
            <v>Salário Mensal</v>
          </cell>
          <cell r="M2136" t="str">
            <v>Menor Aprendiz</v>
          </cell>
        </row>
        <row r="2137">
          <cell r="D2137" t="str">
            <v>ECOSAMPA Administração</v>
          </cell>
          <cell r="E2137">
            <v>44658</v>
          </cell>
          <cell r="F2137">
            <v>2610.2399999999998</v>
          </cell>
          <cell r="G2137" t="str">
            <v>Em Atividade Normal</v>
          </cell>
          <cell r="H2137">
            <v>44658</v>
          </cell>
          <cell r="I2137">
            <v>37207</v>
          </cell>
          <cell r="J2137" t="str">
            <v>506.066.068-07</v>
          </cell>
          <cell r="K2137" t="str">
            <v>236.14995.07.7</v>
          </cell>
          <cell r="L2137" t="str">
            <v>Salário Mensal</v>
          </cell>
          <cell r="M2137" t="str">
            <v>Empregado (CLT)</v>
          </cell>
        </row>
        <row r="2138">
          <cell r="D2138" t="str">
            <v>ECOSAMPA Pensionistas</v>
          </cell>
          <cell r="E2138">
            <v>44127</v>
          </cell>
          <cell r="F2138">
            <v>0.01</v>
          </cell>
          <cell r="G2138" t="str">
            <v>Demitido em Meses Anteriores</v>
          </cell>
          <cell r="H2138">
            <v>44575</v>
          </cell>
          <cell r="J2138" t="str">
            <v>450.023.708-96</v>
          </cell>
          <cell r="L2138" t="str">
            <v>Nenhuma</v>
          </cell>
          <cell r="M2138" t="str">
            <v>Pensionista</v>
          </cell>
        </row>
        <row r="2139">
          <cell r="D2139" t="str">
            <v>ECOSAMPA M'Boi Mirim</v>
          </cell>
          <cell r="E2139">
            <v>43617</v>
          </cell>
          <cell r="F2139">
            <v>1603.99</v>
          </cell>
          <cell r="G2139" t="str">
            <v>Demitido em Meses Anteriores</v>
          </cell>
          <cell r="H2139">
            <v>44903</v>
          </cell>
          <cell r="I2139">
            <v>36564</v>
          </cell>
          <cell r="J2139" t="str">
            <v>500.519.638-25</v>
          </cell>
          <cell r="K2139" t="str">
            <v>201.68921.95.7</v>
          </cell>
          <cell r="L2139" t="str">
            <v>Salário Mensal</v>
          </cell>
          <cell r="M2139" t="str">
            <v>Empregado (CLT)</v>
          </cell>
        </row>
        <row r="2140">
          <cell r="D2140" t="str">
            <v>ECOSAMPA Administração</v>
          </cell>
          <cell r="E2140">
            <v>44734</v>
          </cell>
          <cell r="F2140">
            <v>1302</v>
          </cell>
          <cell r="G2140" t="str">
            <v>Demitido em Meses Anteriores</v>
          </cell>
          <cell r="H2140">
            <v>45042</v>
          </cell>
          <cell r="I2140">
            <v>37831</v>
          </cell>
          <cell r="J2140" t="str">
            <v>498.820.528-27</v>
          </cell>
          <cell r="K2140" t="str">
            <v>166.73226.55.3</v>
          </cell>
          <cell r="L2140" t="str">
            <v>Salário Mensal</v>
          </cell>
          <cell r="M2140" t="str">
            <v>Menor Aprendiz</v>
          </cell>
        </row>
        <row r="2141">
          <cell r="D2141" t="str">
            <v>ECOSAMPA Operação Geral</v>
          </cell>
          <cell r="E2141">
            <v>45054</v>
          </cell>
          <cell r="F2141">
            <v>1952.99</v>
          </cell>
          <cell r="G2141" t="str">
            <v>Em Atividade Normal</v>
          </cell>
          <cell r="H2141">
            <v>45054</v>
          </cell>
          <cell r="I2141">
            <v>37831</v>
          </cell>
          <cell r="J2141" t="str">
            <v>498.820.528-27</v>
          </cell>
          <cell r="K2141" t="str">
            <v>166.73226.55.3</v>
          </cell>
          <cell r="L2141" t="str">
            <v>Salário Mensal</v>
          </cell>
          <cell r="M2141" t="str">
            <v>Empregado (CLT)</v>
          </cell>
        </row>
        <row r="2142">
          <cell r="D2142" t="str">
            <v>ECOSAMPA Administração</v>
          </cell>
          <cell r="E2142">
            <v>45019</v>
          </cell>
          <cell r="F2142">
            <v>1320</v>
          </cell>
          <cell r="G2142" t="str">
            <v>Em Atividade Normal</v>
          </cell>
          <cell r="H2142">
            <v>45019</v>
          </cell>
          <cell r="I2142">
            <v>38211</v>
          </cell>
          <cell r="J2142" t="str">
            <v>494.139.118-78</v>
          </cell>
          <cell r="K2142" t="str">
            <v>166.49555.57.7</v>
          </cell>
          <cell r="L2142" t="str">
            <v>Salário Mensal</v>
          </cell>
          <cell r="M2142" t="str">
            <v>Menor Aprendiz</v>
          </cell>
        </row>
        <row r="2143">
          <cell r="D2143" t="str">
            <v>ECOSAMPA Operação Geral</v>
          </cell>
          <cell r="E2143">
            <v>43917</v>
          </cell>
          <cell r="F2143">
            <v>1281.23</v>
          </cell>
          <cell r="G2143" t="str">
            <v>Demitido em Meses Anteriores</v>
          </cell>
          <cell r="H2143">
            <v>43941</v>
          </cell>
          <cell r="I2143">
            <v>35293</v>
          </cell>
          <cell r="J2143" t="str">
            <v>465.344.918-00</v>
          </cell>
          <cell r="K2143" t="str">
            <v>119.99128.82.0</v>
          </cell>
          <cell r="L2143" t="str">
            <v>Salário Mensal</v>
          </cell>
          <cell r="M2143" t="str">
            <v>Empregado (CLT)</v>
          </cell>
        </row>
        <row r="2144">
          <cell r="D2144" t="str">
            <v>ECOSAMPA M'Boi Mirim</v>
          </cell>
          <cell r="E2144">
            <v>43617</v>
          </cell>
          <cell r="F2144">
            <v>1603.99</v>
          </cell>
          <cell r="G2144" t="str">
            <v>Em Atividade Normal</v>
          </cell>
          <cell r="H2144">
            <v>44776</v>
          </cell>
          <cell r="I2144">
            <v>33682</v>
          </cell>
          <cell r="J2144" t="str">
            <v>364.662.328-40</v>
          </cell>
          <cell r="K2144" t="str">
            <v>200.22040.54.9</v>
          </cell>
          <cell r="L2144" t="str">
            <v>Salário Mensal</v>
          </cell>
          <cell r="M2144" t="str">
            <v>Empregado (CLT)</v>
          </cell>
        </row>
        <row r="2145">
          <cell r="D2145" t="str">
            <v>ECOSAMPA Capela do Socorro</v>
          </cell>
          <cell r="E2145">
            <v>43617</v>
          </cell>
          <cell r="F2145">
            <v>1603.99</v>
          </cell>
          <cell r="G2145" t="str">
            <v>Em Atividade Normal</v>
          </cell>
          <cell r="H2145">
            <v>45056</v>
          </cell>
          <cell r="I2145">
            <v>24717</v>
          </cell>
          <cell r="J2145" t="str">
            <v>107.201.228-64</v>
          </cell>
          <cell r="K2145" t="str">
            <v>123.14348.54.2</v>
          </cell>
          <cell r="L2145" t="str">
            <v>Salário Mensal</v>
          </cell>
          <cell r="M2145" t="str">
            <v>Empregado (CLT)</v>
          </cell>
        </row>
        <row r="2146">
          <cell r="D2146" t="str">
            <v>ECOSAMPA Santo Amaro</v>
          </cell>
          <cell r="E2146">
            <v>43617</v>
          </cell>
          <cell r="F2146">
            <v>1603.99</v>
          </cell>
          <cell r="G2146" t="str">
            <v>Em Atividade Normal</v>
          </cell>
          <cell r="H2146">
            <v>44989</v>
          </cell>
          <cell r="I2146">
            <v>23204</v>
          </cell>
          <cell r="J2146" t="str">
            <v>047.421.068-57</v>
          </cell>
          <cell r="K2146" t="str">
            <v>108.25651.22.8</v>
          </cell>
          <cell r="L2146" t="str">
            <v>Salário Mensal</v>
          </cell>
          <cell r="M2146" t="str">
            <v>Empregado (CLT)</v>
          </cell>
        </row>
        <row r="2147">
          <cell r="D2147" t="str">
            <v>ECOSAMPA Santo Amaro</v>
          </cell>
          <cell r="E2147">
            <v>43617</v>
          </cell>
          <cell r="F2147">
            <v>1281.23</v>
          </cell>
          <cell r="G2147" t="str">
            <v>Demitido em Meses Anteriores</v>
          </cell>
          <cell r="H2147">
            <v>43808</v>
          </cell>
          <cell r="I2147">
            <v>35483</v>
          </cell>
          <cell r="J2147" t="str">
            <v>521.552.228-66</v>
          </cell>
          <cell r="K2147" t="str">
            <v>165.94806.91.3</v>
          </cell>
          <cell r="L2147" t="str">
            <v>Salário Mensal</v>
          </cell>
          <cell r="M2147" t="str">
            <v>Empregado (CLT)</v>
          </cell>
        </row>
        <row r="2148">
          <cell r="D2148" t="str">
            <v>ECOSAMPA Operação Geral</v>
          </cell>
          <cell r="E2148">
            <v>43617</v>
          </cell>
          <cell r="F2148">
            <v>2785.59</v>
          </cell>
          <cell r="G2148" t="str">
            <v>Demitido em Meses Anteriores</v>
          </cell>
          <cell r="H2148">
            <v>44483</v>
          </cell>
          <cell r="I2148">
            <v>28191</v>
          </cell>
          <cell r="J2148" t="str">
            <v>892.799.724-72</v>
          </cell>
          <cell r="K2148" t="str">
            <v>125.32548.05.5</v>
          </cell>
          <cell r="L2148" t="str">
            <v>Salário Mensal</v>
          </cell>
          <cell r="M2148" t="str">
            <v>Empregado (CLT)</v>
          </cell>
        </row>
        <row r="2149">
          <cell r="D2149" t="str">
            <v>ECOSAMPA Capela do Socorro</v>
          </cell>
          <cell r="E2149">
            <v>43617</v>
          </cell>
          <cell r="F2149">
            <v>1603.99</v>
          </cell>
          <cell r="G2149" t="str">
            <v>Em Atividade Normal</v>
          </cell>
          <cell r="H2149">
            <v>45056</v>
          </cell>
          <cell r="I2149">
            <v>31471</v>
          </cell>
          <cell r="J2149" t="str">
            <v>393.081.018-29</v>
          </cell>
          <cell r="K2149" t="str">
            <v>201.15446.21.9</v>
          </cell>
          <cell r="L2149" t="str">
            <v>Salário Mensal</v>
          </cell>
          <cell r="M2149" t="str">
            <v>Empregado (CLT)</v>
          </cell>
        </row>
        <row r="2150">
          <cell r="D2150" t="str">
            <v>ECOSAMPA M'Boi Mirim</v>
          </cell>
          <cell r="E2150">
            <v>43617</v>
          </cell>
          <cell r="F2150">
            <v>1603.99</v>
          </cell>
          <cell r="G2150" t="str">
            <v>Em Atividade Normal</v>
          </cell>
          <cell r="H2150">
            <v>44776</v>
          </cell>
          <cell r="I2150">
            <v>34301</v>
          </cell>
          <cell r="J2150" t="str">
            <v>414.672.008-75</v>
          </cell>
          <cell r="K2150" t="str">
            <v>165.68424.95.2</v>
          </cell>
          <cell r="L2150" t="str">
            <v>Salário Mensal</v>
          </cell>
          <cell r="M2150" t="str">
            <v>Empregado (CLT)</v>
          </cell>
        </row>
        <row r="2151">
          <cell r="D2151" t="str">
            <v>ECOSAMPA Operação Geral</v>
          </cell>
          <cell r="E2151">
            <v>43917</v>
          </cell>
          <cell r="F2151">
            <v>1464.83</v>
          </cell>
          <cell r="G2151" t="str">
            <v>Demitido em Meses Anteriores</v>
          </cell>
          <cell r="H2151">
            <v>44743</v>
          </cell>
          <cell r="I2151">
            <v>32114</v>
          </cell>
          <cell r="J2151" t="str">
            <v>380.004.088-30</v>
          </cell>
          <cell r="K2151" t="str">
            <v>135.94811.89.0</v>
          </cell>
          <cell r="L2151" t="str">
            <v>Salário Mensal</v>
          </cell>
          <cell r="M2151" t="str">
            <v>Empregado (CLT)</v>
          </cell>
        </row>
        <row r="2152">
          <cell r="D2152" t="str">
            <v>ECOSAMPA Capela do Socorro</v>
          </cell>
          <cell r="E2152">
            <v>44419</v>
          </cell>
          <cell r="F2152">
            <v>1464.83</v>
          </cell>
          <cell r="G2152" t="str">
            <v>Demitido em Meses Anteriores</v>
          </cell>
          <cell r="H2152">
            <v>44505</v>
          </cell>
          <cell r="I2152">
            <v>35455</v>
          </cell>
          <cell r="J2152" t="str">
            <v>075.750.455-89</v>
          </cell>
          <cell r="K2152" t="str">
            <v>165.87913.54.8</v>
          </cell>
          <cell r="L2152" t="str">
            <v>Salário Mensal</v>
          </cell>
          <cell r="M2152" t="str">
            <v>Empregado (CLT)</v>
          </cell>
        </row>
        <row r="2153">
          <cell r="D2153" t="str">
            <v>ECOSAMPA Operação Geral</v>
          </cell>
          <cell r="E2153">
            <v>43617</v>
          </cell>
          <cell r="F2153">
            <v>1907.79</v>
          </cell>
          <cell r="G2153" t="str">
            <v>Em Atividade Normal</v>
          </cell>
          <cell r="H2153">
            <v>45056</v>
          </cell>
          <cell r="I2153">
            <v>28922</v>
          </cell>
          <cell r="J2153" t="str">
            <v>344.556.318-79</v>
          </cell>
          <cell r="K2153" t="str">
            <v>134.53573.85.3</v>
          </cell>
          <cell r="L2153" t="str">
            <v>Salário Mensal</v>
          </cell>
          <cell r="M2153" t="str">
            <v>Empregado (CLT)</v>
          </cell>
        </row>
        <row r="2154">
          <cell r="D2154" t="str">
            <v>ECOSAMPA Capela do Socorro</v>
          </cell>
          <cell r="E2154">
            <v>43617</v>
          </cell>
          <cell r="F2154">
            <v>1231.95</v>
          </cell>
          <cell r="G2154" t="str">
            <v>Demitido em Meses Anteriores</v>
          </cell>
          <cell r="H2154">
            <v>43628</v>
          </cell>
          <cell r="I2154">
            <v>25035</v>
          </cell>
          <cell r="J2154" t="str">
            <v>708.505.345-34</v>
          </cell>
          <cell r="K2154" t="str">
            <v>170.54389.00.8</v>
          </cell>
          <cell r="L2154" t="str">
            <v>Salário Mensal</v>
          </cell>
          <cell r="M2154" t="str">
            <v>Empregado (CLT)</v>
          </cell>
        </row>
        <row r="2155">
          <cell r="D2155" t="str">
            <v>ECOSAMPA Santo Amaro</v>
          </cell>
          <cell r="E2155">
            <v>43617</v>
          </cell>
          <cell r="F2155">
            <v>6154.04</v>
          </cell>
          <cell r="G2155" t="str">
            <v>Em Atividade Normal</v>
          </cell>
          <cell r="H2155">
            <v>45023</v>
          </cell>
          <cell r="I2155">
            <v>24747</v>
          </cell>
          <cell r="J2155" t="str">
            <v>101.961.848-51</v>
          </cell>
          <cell r="K2155" t="str">
            <v>123.02278.64.1</v>
          </cell>
          <cell r="L2155" t="str">
            <v>Salário Mensal</v>
          </cell>
          <cell r="M2155" t="str">
            <v>Empregado (CLT)</v>
          </cell>
        </row>
        <row r="2156">
          <cell r="D2156" t="str">
            <v>ECOSAMPA Campo Limpo</v>
          </cell>
          <cell r="E2156">
            <v>43617</v>
          </cell>
          <cell r="F2156">
            <v>1603.99</v>
          </cell>
          <cell r="G2156" t="str">
            <v>Em Atividade Normal</v>
          </cell>
          <cell r="H2156">
            <v>45023</v>
          </cell>
          <cell r="I2156">
            <v>31876</v>
          </cell>
          <cell r="J2156" t="str">
            <v>345.840.038-90</v>
          </cell>
          <cell r="K2156" t="str">
            <v>204.28924.96.9</v>
          </cell>
          <cell r="L2156" t="str">
            <v>Salário Mensal</v>
          </cell>
          <cell r="M2156" t="str">
            <v>Empregado (CLT)</v>
          </cell>
        </row>
        <row r="2157">
          <cell r="D2157" t="str">
            <v>ECOSAMPA Capela do Socorro</v>
          </cell>
          <cell r="E2157">
            <v>43874</v>
          </cell>
          <cell r="F2157">
            <v>1464.83</v>
          </cell>
          <cell r="G2157" t="str">
            <v>Demitido em Meses Anteriores</v>
          </cell>
          <cell r="H2157">
            <v>44505</v>
          </cell>
          <cell r="I2157">
            <v>34749</v>
          </cell>
          <cell r="J2157" t="str">
            <v>439.830.208-52</v>
          </cell>
          <cell r="K2157" t="str">
            <v>204.29485.07.1</v>
          </cell>
          <cell r="L2157" t="str">
            <v>Salário Mensal</v>
          </cell>
          <cell r="M2157" t="str">
            <v>Empregado (CLT)</v>
          </cell>
        </row>
        <row r="2158">
          <cell r="D2158" t="str">
            <v>ECOSAMPA Campo Limpo</v>
          </cell>
          <cell r="E2158">
            <v>43617</v>
          </cell>
          <cell r="F2158">
            <v>1231.95</v>
          </cell>
          <cell r="G2158" t="str">
            <v>Demitido em Meses Anteriores</v>
          </cell>
          <cell r="H2158">
            <v>43650</v>
          </cell>
          <cell r="I2158">
            <v>35584</v>
          </cell>
          <cell r="J2158" t="str">
            <v>471.021.278-39</v>
          </cell>
          <cell r="K2158" t="str">
            <v>209.78017.84.0</v>
          </cell>
          <cell r="L2158" t="str">
            <v>Salário Mensal</v>
          </cell>
          <cell r="M2158" t="str">
            <v>Empregado (CLT)</v>
          </cell>
        </row>
        <row r="2159">
          <cell r="D2159" t="str">
            <v>ECOSAMPA Capela do Socorro</v>
          </cell>
          <cell r="E2159">
            <v>43617</v>
          </cell>
          <cell r="F2159">
            <v>1603.99</v>
          </cell>
          <cell r="G2159" t="str">
            <v>Em Atividade Normal</v>
          </cell>
          <cell r="H2159">
            <v>44806</v>
          </cell>
          <cell r="I2159">
            <v>25329</v>
          </cell>
          <cell r="J2159" t="str">
            <v>117.023.348-13</v>
          </cell>
          <cell r="K2159" t="str">
            <v>123.35852.96.7</v>
          </cell>
          <cell r="L2159" t="str">
            <v>Salário Mensal</v>
          </cell>
          <cell r="M2159" t="str">
            <v>Empregado (CLT)</v>
          </cell>
        </row>
        <row r="2160">
          <cell r="D2160" t="str">
            <v>ECOSAMPA Campo Limpo</v>
          </cell>
          <cell r="E2160">
            <v>43617</v>
          </cell>
          <cell r="F2160">
            <v>1464.83</v>
          </cell>
          <cell r="G2160" t="str">
            <v>Demitido em Meses Anteriores</v>
          </cell>
          <cell r="H2160">
            <v>44631</v>
          </cell>
          <cell r="I2160">
            <v>24519</v>
          </cell>
          <cell r="J2160" t="str">
            <v>076.697.518-51</v>
          </cell>
          <cell r="K2160" t="str">
            <v>120.84457.08.6</v>
          </cell>
          <cell r="L2160" t="str">
            <v>Salário Mensal</v>
          </cell>
          <cell r="M2160" t="str">
            <v>Empregado (CLT)</v>
          </cell>
        </row>
        <row r="2161">
          <cell r="D2161" t="str">
            <v>ECOSAMPA Santo Amaro</v>
          </cell>
          <cell r="E2161">
            <v>43617</v>
          </cell>
          <cell r="F2161">
            <v>1603.99</v>
          </cell>
          <cell r="G2161" t="str">
            <v>Em Atividade Normal</v>
          </cell>
          <cell r="H2161">
            <v>44993</v>
          </cell>
          <cell r="I2161">
            <v>22948</v>
          </cell>
          <cell r="J2161" t="str">
            <v>346.407.034-49</v>
          </cell>
          <cell r="K2161" t="str">
            <v>120.27470.33.8</v>
          </cell>
          <cell r="L2161" t="str">
            <v>Salário Mensal</v>
          </cell>
          <cell r="M2161" t="str">
            <v>Empregado (CLT)</v>
          </cell>
        </row>
        <row r="2162">
          <cell r="D2162" t="str">
            <v>ECOSAMPA Operação Geral</v>
          </cell>
          <cell r="E2162">
            <v>43617</v>
          </cell>
          <cell r="F2162">
            <v>2342.7399999999998</v>
          </cell>
          <cell r="G2162" t="str">
            <v>Demitido em Meses Anteriores</v>
          </cell>
          <cell r="H2162">
            <v>43704</v>
          </cell>
          <cell r="I2162">
            <v>28802</v>
          </cell>
          <cell r="J2162" t="str">
            <v>271.951.028-90</v>
          </cell>
          <cell r="K2162" t="str">
            <v>129.69307.81.4</v>
          </cell>
          <cell r="L2162" t="str">
            <v>Salário Mensal</v>
          </cell>
          <cell r="M2162" t="str">
            <v>Empregado (CLT)</v>
          </cell>
        </row>
        <row r="2163">
          <cell r="D2163" t="str">
            <v>ECOSAMPA Operação Geral</v>
          </cell>
          <cell r="E2163">
            <v>43617</v>
          </cell>
          <cell r="F2163">
            <v>3050.22</v>
          </cell>
          <cell r="G2163" t="str">
            <v>Em Atividade Normal</v>
          </cell>
          <cell r="H2163">
            <v>45119</v>
          </cell>
          <cell r="I2163">
            <v>24332</v>
          </cell>
          <cell r="J2163" t="str">
            <v>086.941.858-06</v>
          </cell>
          <cell r="K2163" t="str">
            <v>120.68564.00.0</v>
          </cell>
          <cell r="L2163" t="str">
            <v>Salário Mensal</v>
          </cell>
          <cell r="M2163" t="str">
            <v>Empregado (CLT)</v>
          </cell>
        </row>
        <row r="2164">
          <cell r="D2164" t="str">
            <v>ECOSAMPA Operação Geral</v>
          </cell>
          <cell r="E2164">
            <v>43617</v>
          </cell>
          <cell r="F2164">
            <v>1907.79</v>
          </cell>
          <cell r="G2164" t="str">
            <v>Em Atividade Normal</v>
          </cell>
          <cell r="H2164">
            <v>45056</v>
          </cell>
          <cell r="I2164">
            <v>31318</v>
          </cell>
          <cell r="J2164" t="str">
            <v>379.567.648-74</v>
          </cell>
          <cell r="K2164" t="str">
            <v>136.50517.89.1</v>
          </cell>
          <cell r="L2164" t="str">
            <v>Salário Mensal</v>
          </cell>
          <cell r="M2164" t="str">
            <v>Empregado (CLT)</v>
          </cell>
        </row>
        <row r="2165">
          <cell r="D2165" t="str">
            <v>ECOSAMPA Campo Limpo</v>
          </cell>
          <cell r="E2165">
            <v>43617</v>
          </cell>
          <cell r="F2165">
            <v>1603.99</v>
          </cell>
          <cell r="G2165" t="str">
            <v>Em Atividade Normal</v>
          </cell>
          <cell r="H2165">
            <v>45056</v>
          </cell>
          <cell r="I2165">
            <v>22056</v>
          </cell>
          <cell r="J2165" t="str">
            <v>262.773.748-18</v>
          </cell>
          <cell r="K2165" t="str">
            <v>120.48982.02.8</v>
          </cell>
          <cell r="L2165" t="str">
            <v>Salário Mensal</v>
          </cell>
          <cell r="M2165" t="str">
            <v>Empregado (CLT)</v>
          </cell>
        </row>
        <row r="2166">
          <cell r="D2166" t="str">
            <v>ECOSAMPA Capela do Socorro</v>
          </cell>
          <cell r="E2166">
            <v>43874</v>
          </cell>
          <cell r="F2166">
            <v>1281.23</v>
          </cell>
          <cell r="G2166" t="str">
            <v>Demitido em Meses Anteriores</v>
          </cell>
          <cell r="H2166">
            <v>43888</v>
          </cell>
          <cell r="I2166">
            <v>34603</v>
          </cell>
          <cell r="J2166" t="str">
            <v>235.911.338-09</v>
          </cell>
          <cell r="K2166" t="str">
            <v>210.71803.33.8</v>
          </cell>
          <cell r="L2166" t="str">
            <v>Salário Mensal</v>
          </cell>
          <cell r="M2166" t="str">
            <v>Empregado (CLT)</v>
          </cell>
        </row>
        <row r="2167">
          <cell r="D2167" t="str">
            <v>ECOSAMPA Campo Limpo</v>
          </cell>
          <cell r="E2167">
            <v>43617</v>
          </cell>
          <cell r="F2167">
            <v>1907.79</v>
          </cell>
          <cell r="G2167" t="str">
            <v>Em Atividade Normal</v>
          </cell>
          <cell r="H2167">
            <v>44806</v>
          </cell>
          <cell r="I2167">
            <v>31618</v>
          </cell>
          <cell r="J2167" t="str">
            <v>348.971.928-03</v>
          </cell>
          <cell r="K2167" t="str">
            <v>166.56311.75.0</v>
          </cell>
          <cell r="L2167" t="str">
            <v>Salário Mensal</v>
          </cell>
          <cell r="M2167" t="str">
            <v>Empregado (CLT)</v>
          </cell>
        </row>
        <row r="2168">
          <cell r="D2168" t="str">
            <v>ECOSAMPA Operação Geral</v>
          </cell>
          <cell r="E2168">
            <v>43874</v>
          </cell>
          <cell r="F2168">
            <v>2436.4499999999998</v>
          </cell>
          <cell r="G2168" t="str">
            <v>Demitido em Meses Anteriores</v>
          </cell>
          <cell r="H2168">
            <v>43974</v>
          </cell>
          <cell r="I2168">
            <v>22911</v>
          </cell>
          <cell r="J2168" t="str">
            <v>086.339.688-78</v>
          </cell>
          <cell r="K2168" t="str">
            <v>108.37040.07.5</v>
          </cell>
          <cell r="L2168" t="str">
            <v>Salário Mensal</v>
          </cell>
          <cell r="M2168" t="str">
            <v>Empregado (CLT)</v>
          </cell>
        </row>
        <row r="2169">
          <cell r="D2169" t="str">
            <v>ECOSAMPA Santo Amaro</v>
          </cell>
          <cell r="E2169">
            <v>43617</v>
          </cell>
          <cell r="F2169">
            <v>1603.99</v>
          </cell>
          <cell r="G2169" t="str">
            <v>Em Atividade Normal</v>
          </cell>
          <cell r="H2169">
            <v>45023</v>
          </cell>
          <cell r="I2169">
            <v>26808</v>
          </cell>
          <cell r="J2169" t="str">
            <v>881.013.044-87</v>
          </cell>
          <cell r="K2169" t="str">
            <v>124.67984.93.3</v>
          </cell>
          <cell r="L2169" t="str">
            <v>Salário Mensal</v>
          </cell>
          <cell r="M2169" t="str">
            <v>Empregado (CLT)</v>
          </cell>
        </row>
        <row r="2170">
          <cell r="D2170" t="str">
            <v>ECOSAMPA M'Boi Mirim</v>
          </cell>
          <cell r="E2170">
            <v>43617</v>
          </cell>
          <cell r="F2170">
            <v>1603.99</v>
          </cell>
          <cell r="G2170" t="str">
            <v>Em Atividade Normal</v>
          </cell>
          <cell r="H2170">
            <v>44835</v>
          </cell>
          <cell r="I2170">
            <v>23711</v>
          </cell>
          <cell r="J2170" t="str">
            <v>515.679.544-72</v>
          </cell>
          <cell r="K2170" t="str">
            <v>123.58389.55.4</v>
          </cell>
          <cell r="L2170" t="str">
            <v>Salário Mensal</v>
          </cell>
          <cell r="M2170" t="str">
            <v>Empregado (CLT)</v>
          </cell>
        </row>
        <row r="2171">
          <cell r="D2171" t="str">
            <v>ECOSAMPA Campo Limpo</v>
          </cell>
          <cell r="E2171">
            <v>43617</v>
          </cell>
          <cell r="F2171">
            <v>1603.99</v>
          </cell>
          <cell r="G2171" t="str">
            <v>Em Atividade Normal</v>
          </cell>
          <cell r="H2171">
            <v>44806</v>
          </cell>
          <cell r="I2171">
            <v>27749</v>
          </cell>
          <cell r="J2171" t="str">
            <v>018.599.204-89</v>
          </cell>
          <cell r="K2171" t="str">
            <v>125.23331.06.5</v>
          </cell>
          <cell r="L2171" t="str">
            <v>Salário Mensal</v>
          </cell>
          <cell r="M2171" t="str">
            <v>Empregado (CLT)</v>
          </cell>
        </row>
        <row r="2172">
          <cell r="D2172" t="str">
            <v>ECOSAMPA Capela do Socorro</v>
          </cell>
          <cell r="E2172">
            <v>43617</v>
          </cell>
          <cell r="F2172">
            <v>1603.99</v>
          </cell>
          <cell r="G2172" t="str">
            <v>Demitido em Meses Anteriores</v>
          </cell>
          <cell r="H2172">
            <v>44858</v>
          </cell>
          <cell r="I2172">
            <v>22556</v>
          </cell>
          <cell r="J2172" t="str">
            <v>296.866.364-04</v>
          </cell>
          <cell r="K2172" t="str">
            <v>120.22071.50.8</v>
          </cell>
          <cell r="L2172" t="str">
            <v>Salário Mensal</v>
          </cell>
          <cell r="M2172" t="str">
            <v>Empregado (CLT)</v>
          </cell>
        </row>
        <row r="2173">
          <cell r="D2173" t="str">
            <v>ECOSAMPA Parelheiros</v>
          </cell>
          <cell r="E2173">
            <v>43617</v>
          </cell>
          <cell r="F2173">
            <v>1281.23</v>
          </cell>
          <cell r="G2173" t="str">
            <v>Demitido em Meses Anteriores</v>
          </cell>
          <cell r="H2173">
            <v>43906</v>
          </cell>
          <cell r="I2173">
            <v>22203</v>
          </cell>
          <cell r="J2173" t="str">
            <v>245.513.174-20</v>
          </cell>
          <cell r="K2173" t="str">
            <v>108.16514.05.1</v>
          </cell>
          <cell r="L2173" t="str">
            <v>Salário Mensal</v>
          </cell>
          <cell r="M2173" t="str">
            <v>Empregado (CLT)</v>
          </cell>
        </row>
        <row r="2174">
          <cell r="D2174" t="str">
            <v>ECOSAMPA Operação Geral</v>
          </cell>
          <cell r="E2174">
            <v>43617</v>
          </cell>
          <cell r="F2174">
            <v>1907.79</v>
          </cell>
          <cell r="G2174" t="str">
            <v>Em Atividade Normal</v>
          </cell>
          <cell r="H2174">
            <v>45119</v>
          </cell>
          <cell r="I2174">
            <v>22082</v>
          </cell>
          <cell r="J2174" t="str">
            <v>268.914.758-05</v>
          </cell>
          <cell r="K2174" t="str">
            <v>122.77308.33.3</v>
          </cell>
          <cell r="L2174" t="str">
            <v>Salário Mensal</v>
          </cell>
          <cell r="M2174" t="str">
            <v>Empregado (CLT)</v>
          </cell>
        </row>
        <row r="2175">
          <cell r="D2175" t="str">
            <v>ECOSAMPA Capela do Socorro</v>
          </cell>
          <cell r="E2175">
            <v>43617</v>
          </cell>
          <cell r="F2175">
            <v>1603.99</v>
          </cell>
          <cell r="G2175" t="str">
            <v>Em Atividade Normal</v>
          </cell>
          <cell r="H2175">
            <v>45023</v>
          </cell>
          <cell r="I2175">
            <v>30234</v>
          </cell>
          <cell r="J2175" t="str">
            <v>347.715.408-88</v>
          </cell>
          <cell r="K2175" t="str">
            <v>132.96761.77.1</v>
          </cell>
          <cell r="L2175" t="str">
            <v>Salário Mensal</v>
          </cell>
          <cell r="M2175" t="str">
            <v>Empregado (CLT)</v>
          </cell>
        </row>
        <row r="2176">
          <cell r="D2176" t="str">
            <v>ECOSAMPA M'Boi Mirim</v>
          </cell>
          <cell r="E2176">
            <v>44725</v>
          </cell>
          <cell r="F2176">
            <v>1603.99</v>
          </cell>
          <cell r="G2176" t="str">
            <v>Demitido em Meses Anteriores</v>
          </cell>
          <cell r="H2176">
            <v>45084</v>
          </cell>
          <cell r="I2176">
            <v>30159</v>
          </cell>
          <cell r="J2176" t="str">
            <v>047.555.474-40</v>
          </cell>
          <cell r="K2176" t="str">
            <v>129.59938.45.5</v>
          </cell>
          <cell r="L2176" t="str">
            <v>Salário Mensal</v>
          </cell>
          <cell r="M2176" t="str">
            <v>Empregado (CLT)</v>
          </cell>
        </row>
        <row r="2177">
          <cell r="D2177" t="str">
            <v>ECOSAMPA M'Boi Mirim</v>
          </cell>
          <cell r="E2177">
            <v>43617</v>
          </cell>
          <cell r="F2177">
            <v>1603.99</v>
          </cell>
          <cell r="G2177" t="str">
            <v>Em Atividade Normal</v>
          </cell>
          <cell r="H2177">
            <v>44776</v>
          </cell>
          <cell r="I2177">
            <v>28149</v>
          </cell>
          <cell r="J2177" t="str">
            <v>303.855.708-05</v>
          </cell>
          <cell r="K2177" t="str">
            <v>129.86720.85.6</v>
          </cell>
          <cell r="L2177" t="str">
            <v>Salário Mensal</v>
          </cell>
          <cell r="M2177" t="str">
            <v>Empregado (CLT)</v>
          </cell>
        </row>
        <row r="2178">
          <cell r="D2178" t="str">
            <v>ECOSAMPA M'Boi Mirim</v>
          </cell>
          <cell r="E2178">
            <v>43617</v>
          </cell>
          <cell r="F2178">
            <v>1603.99</v>
          </cell>
          <cell r="G2178" t="str">
            <v>Em Atividade Normal</v>
          </cell>
          <cell r="H2178">
            <v>44776</v>
          </cell>
          <cell r="I2178">
            <v>25522</v>
          </cell>
          <cell r="J2178" t="str">
            <v>687.586.344-87</v>
          </cell>
          <cell r="K2178" t="str">
            <v>123.82506.19.0</v>
          </cell>
          <cell r="L2178" t="str">
            <v>Salário Mensal</v>
          </cell>
          <cell r="M2178" t="str">
            <v>Empregado (CLT)</v>
          </cell>
        </row>
        <row r="2179">
          <cell r="D2179" t="str">
            <v>ECOSAMPA Operação Geral</v>
          </cell>
          <cell r="E2179">
            <v>43621</v>
          </cell>
          <cell r="F2179">
            <v>1952.99</v>
          </cell>
          <cell r="G2179" t="str">
            <v>Demitido em Meses Anteriores</v>
          </cell>
          <cell r="H2179">
            <v>45030</v>
          </cell>
          <cell r="I2179">
            <v>32608</v>
          </cell>
          <cell r="J2179" t="str">
            <v>394.489.688-25</v>
          </cell>
          <cell r="K2179" t="str">
            <v>165.92277.73.5</v>
          </cell>
          <cell r="L2179" t="str">
            <v>Salário Mensal</v>
          </cell>
          <cell r="M2179" t="str">
            <v>Empregado (CLT)</v>
          </cell>
        </row>
        <row r="2180">
          <cell r="D2180" t="str">
            <v>ECOSAMPA Pensionistas</v>
          </cell>
          <cell r="E2180">
            <v>43633</v>
          </cell>
          <cell r="F2180">
            <v>0.01</v>
          </cell>
          <cell r="G2180" t="str">
            <v>Em Atividade Normal</v>
          </cell>
          <cell r="H2180">
            <v>43633</v>
          </cell>
          <cell r="J2180" t="str">
            <v>382.964.768-94</v>
          </cell>
          <cell r="L2180" t="str">
            <v>Nenhuma</v>
          </cell>
          <cell r="M2180" t="str">
            <v>Pensionista</v>
          </cell>
        </row>
        <row r="2181">
          <cell r="D2181" t="str">
            <v>ECOSAMPA Operação Geral</v>
          </cell>
          <cell r="E2181">
            <v>43617</v>
          </cell>
          <cell r="F2181">
            <v>2785.59</v>
          </cell>
          <cell r="G2181" t="str">
            <v>Demitido em Meses Anteriores</v>
          </cell>
          <cell r="H2181">
            <v>44631</v>
          </cell>
          <cell r="I2181">
            <v>25648</v>
          </cell>
          <cell r="J2181" t="str">
            <v>103.284.938-05</v>
          </cell>
          <cell r="K2181" t="str">
            <v>122.89643.84.1</v>
          </cell>
          <cell r="L2181" t="str">
            <v>Salário Mensal</v>
          </cell>
          <cell r="M2181" t="str">
            <v>Empregado (CLT)</v>
          </cell>
        </row>
        <row r="2182">
          <cell r="D2182" t="str">
            <v>ECOSAMPA Capela do Socorro</v>
          </cell>
          <cell r="E2182">
            <v>44994</v>
          </cell>
          <cell r="F2182">
            <v>1603.99</v>
          </cell>
          <cell r="G2182" t="str">
            <v>Demitido em Meses Anteriores</v>
          </cell>
          <cell r="H2182">
            <v>44999</v>
          </cell>
          <cell r="I2182">
            <v>26211</v>
          </cell>
          <cell r="J2182" t="str">
            <v>161.077.868-56</v>
          </cell>
          <cell r="K2182" t="str">
            <v>123.13709.67.3</v>
          </cell>
          <cell r="L2182" t="str">
            <v>Salário Mensal</v>
          </cell>
          <cell r="M2182" t="str">
            <v>Empregado (CLT)</v>
          </cell>
        </row>
        <row r="2183">
          <cell r="D2183" t="str">
            <v>ECOSAMPA Capela do Socorro</v>
          </cell>
          <cell r="E2183">
            <v>43617</v>
          </cell>
          <cell r="F2183">
            <v>1603.99</v>
          </cell>
          <cell r="G2183" t="str">
            <v>Em Atividade Normal</v>
          </cell>
          <cell r="H2183">
            <v>45023</v>
          </cell>
          <cell r="I2183">
            <v>27435</v>
          </cell>
          <cell r="J2183" t="str">
            <v>690.756.705-91</v>
          </cell>
          <cell r="K2183" t="str">
            <v>124.41117.29.9</v>
          </cell>
          <cell r="L2183" t="str">
            <v>Salário Mensal</v>
          </cell>
          <cell r="M2183" t="str">
            <v>Empregado (CLT)</v>
          </cell>
        </row>
        <row r="2184">
          <cell r="D2184" t="str">
            <v>ECOSAMPA Operação Geral</v>
          </cell>
          <cell r="E2184">
            <v>44613</v>
          </cell>
          <cell r="F2184">
            <v>3050.22</v>
          </cell>
          <cell r="G2184" t="str">
            <v>Em Atividade Normal</v>
          </cell>
          <cell r="H2184">
            <v>45023</v>
          </cell>
          <cell r="I2184">
            <v>27637</v>
          </cell>
          <cell r="J2184" t="str">
            <v>153.649.818-19</v>
          </cell>
          <cell r="K2184" t="str">
            <v>124.50506.48.0</v>
          </cell>
          <cell r="L2184" t="str">
            <v>Salário Mensal</v>
          </cell>
          <cell r="M2184" t="str">
            <v>Empregado (CLT)</v>
          </cell>
        </row>
        <row r="2185">
          <cell r="D2185" t="str">
            <v>ECOSAMPA Operação Geral</v>
          </cell>
          <cell r="E2185">
            <v>44236</v>
          </cell>
          <cell r="F2185">
            <v>3050.22</v>
          </cell>
          <cell r="G2185" t="str">
            <v>Em Atividade Normal</v>
          </cell>
          <cell r="H2185">
            <v>45149</v>
          </cell>
          <cell r="I2185">
            <v>30384</v>
          </cell>
          <cell r="J2185" t="str">
            <v>317.519.878-33</v>
          </cell>
          <cell r="K2185" t="str">
            <v>133.25129.81.0</v>
          </cell>
          <cell r="L2185" t="str">
            <v>Salário Mensal</v>
          </cell>
          <cell r="M2185" t="str">
            <v>Empregado (CLT)</v>
          </cell>
        </row>
        <row r="2186">
          <cell r="D2186" t="str">
            <v>ECOSAMPA Operação Geral</v>
          </cell>
          <cell r="E2186">
            <v>43617</v>
          </cell>
          <cell r="F2186">
            <v>1603.99</v>
          </cell>
          <cell r="G2186" t="str">
            <v>Em Atividade Normal</v>
          </cell>
          <cell r="H2186">
            <v>44993</v>
          </cell>
          <cell r="I2186">
            <v>28249</v>
          </cell>
          <cell r="J2186" t="str">
            <v>163.382.888-35</v>
          </cell>
          <cell r="K2186" t="str">
            <v>124.59173.33.6</v>
          </cell>
          <cell r="L2186" t="str">
            <v>Salário Mensal</v>
          </cell>
          <cell r="M2186" t="str">
            <v>Empregado (CLT)</v>
          </cell>
        </row>
        <row r="2187">
          <cell r="D2187" t="str">
            <v>ECOSAMPA Operação Geral</v>
          </cell>
          <cell r="E2187">
            <v>44837</v>
          </cell>
          <cell r="F2187">
            <v>1600</v>
          </cell>
          <cell r="G2187" t="str">
            <v>Demitido em Meses Anteriores</v>
          </cell>
          <cell r="H2187">
            <v>45121</v>
          </cell>
          <cell r="I2187">
            <v>30104</v>
          </cell>
          <cell r="J2187" t="str">
            <v>312.624.628-19</v>
          </cell>
          <cell r="K2187" t="str">
            <v>209.75985.95.1</v>
          </cell>
          <cell r="L2187" t="str">
            <v>Salário Mensal</v>
          </cell>
          <cell r="M2187" t="str">
            <v>Estagiário</v>
          </cell>
        </row>
        <row r="2188">
          <cell r="D2188" t="str">
            <v>ECOSAMPA Campo Limpo</v>
          </cell>
          <cell r="E2188">
            <v>43617</v>
          </cell>
          <cell r="F2188">
            <v>1603.99</v>
          </cell>
          <cell r="G2188" t="str">
            <v>Em Atividade Normal</v>
          </cell>
          <cell r="H2188">
            <v>44835</v>
          </cell>
          <cell r="I2188">
            <v>25688</v>
          </cell>
          <cell r="J2188" t="str">
            <v>903.682.406-06</v>
          </cell>
          <cell r="K2188" t="str">
            <v>124.38238.30.7</v>
          </cell>
          <cell r="L2188" t="str">
            <v>Salário Mensal</v>
          </cell>
          <cell r="M2188" t="str">
            <v>Empregado (CLT)</v>
          </cell>
        </row>
        <row r="2189">
          <cell r="D2189" t="str">
            <v>ECOSAMPA Pensionistas</v>
          </cell>
          <cell r="E2189">
            <v>44701</v>
          </cell>
          <cell r="F2189">
            <v>0.01</v>
          </cell>
          <cell r="G2189" t="str">
            <v>Em Atividade Normal</v>
          </cell>
          <cell r="H2189">
            <v>44701</v>
          </cell>
          <cell r="J2189" t="str">
            <v>383.788.728-66</v>
          </cell>
          <cell r="L2189" t="str">
            <v>Nenhuma</v>
          </cell>
          <cell r="M2189" t="str">
            <v>Pensionista</v>
          </cell>
        </row>
        <row r="2190">
          <cell r="D2190" t="str">
            <v>ECOSAMPA Operação Geral</v>
          </cell>
          <cell r="E2190">
            <v>43617</v>
          </cell>
          <cell r="F2190">
            <v>3050.22</v>
          </cell>
          <cell r="G2190" t="str">
            <v>Em Atividade Normal</v>
          </cell>
          <cell r="H2190">
            <v>45119</v>
          </cell>
          <cell r="I2190">
            <v>24666</v>
          </cell>
          <cell r="J2190" t="str">
            <v>092.660.728-69</v>
          </cell>
          <cell r="K2190" t="str">
            <v>120.15529.83.9</v>
          </cell>
          <cell r="L2190" t="str">
            <v>Salário Mensal</v>
          </cell>
          <cell r="M2190" t="str">
            <v>Empregado (CLT)</v>
          </cell>
        </row>
        <row r="2191">
          <cell r="D2191" t="str">
            <v>ECOSAMPA Santo Amaro</v>
          </cell>
          <cell r="E2191">
            <v>43617</v>
          </cell>
          <cell r="F2191">
            <v>1907.79</v>
          </cell>
          <cell r="G2191" t="str">
            <v>Em Atividade Normal</v>
          </cell>
          <cell r="H2191">
            <v>45177</v>
          </cell>
          <cell r="I2191">
            <v>26272</v>
          </cell>
          <cell r="J2191" t="str">
            <v>129.584.638-18</v>
          </cell>
          <cell r="K2191" t="str">
            <v>123.13952.17.9</v>
          </cell>
          <cell r="L2191" t="str">
            <v>Salário Mensal</v>
          </cell>
          <cell r="M2191" t="str">
            <v>Empregado (CLT)</v>
          </cell>
        </row>
        <row r="2192">
          <cell r="D2192" t="str">
            <v>ECOSAMPA Capela do Socorro</v>
          </cell>
          <cell r="E2192">
            <v>45180</v>
          </cell>
          <cell r="F2192">
            <v>1603.99</v>
          </cell>
          <cell r="G2192" t="str">
            <v>Em Atividade Normal</v>
          </cell>
          <cell r="H2192">
            <v>45180</v>
          </cell>
          <cell r="I2192">
            <v>28591</v>
          </cell>
          <cell r="J2192" t="str">
            <v>047.212.744-67</v>
          </cell>
          <cell r="K2192" t="str">
            <v>165.63231.95.1</v>
          </cell>
          <cell r="L2192" t="str">
            <v>Salário Mensal</v>
          </cell>
          <cell r="M2192" t="str">
            <v>Empregado (CLT)</v>
          </cell>
        </row>
        <row r="2193">
          <cell r="D2193" t="str">
            <v>ECOSAMPA Parelheiros</v>
          </cell>
          <cell r="E2193">
            <v>43617</v>
          </cell>
          <cell r="F2193">
            <v>1907.79</v>
          </cell>
          <cell r="G2193" t="str">
            <v>Em Atividade Normal</v>
          </cell>
          <cell r="H2193">
            <v>44960</v>
          </cell>
          <cell r="I2193">
            <v>25426</v>
          </cell>
          <cell r="J2193" t="str">
            <v>118.575.498-99</v>
          </cell>
          <cell r="K2193" t="str">
            <v>122.53172.49.0</v>
          </cell>
          <cell r="L2193" t="str">
            <v>Salário Mensal</v>
          </cell>
          <cell r="M2193" t="str">
            <v>Empregado (CLT)</v>
          </cell>
        </row>
        <row r="2194">
          <cell r="D2194" t="str">
            <v>ECOSAMPA Operação Geral</v>
          </cell>
          <cell r="E2194">
            <v>43620</v>
          </cell>
          <cell r="F2194">
            <v>3050.22</v>
          </cell>
          <cell r="G2194" t="str">
            <v>Em Atividade Normal</v>
          </cell>
          <cell r="H2194">
            <v>44960</v>
          </cell>
          <cell r="I2194">
            <v>24247</v>
          </cell>
          <cell r="J2194" t="str">
            <v>084.752.408-60</v>
          </cell>
          <cell r="K2194" t="str">
            <v>108.91764.07.8</v>
          </cell>
          <cell r="L2194" t="str">
            <v>Salário Mensal</v>
          </cell>
          <cell r="M2194" t="str">
            <v>Empregado (CLT)</v>
          </cell>
        </row>
        <row r="2195">
          <cell r="D2195" t="str">
            <v>ECOSAMPA Santo Amaro</v>
          </cell>
          <cell r="E2195">
            <v>44048</v>
          </cell>
          <cell r="F2195">
            <v>1603.99</v>
          </cell>
          <cell r="G2195" t="str">
            <v>Em Atividade Normal</v>
          </cell>
          <cell r="H2195">
            <v>45086</v>
          </cell>
          <cell r="I2195">
            <v>28906</v>
          </cell>
          <cell r="J2195" t="str">
            <v>280.701.588-32</v>
          </cell>
          <cell r="K2195" t="str">
            <v>169.61714.00.6</v>
          </cell>
          <cell r="L2195" t="str">
            <v>Salário Mensal</v>
          </cell>
          <cell r="M2195" t="str">
            <v>Empregado (CLT)</v>
          </cell>
        </row>
        <row r="2196">
          <cell r="D2196" t="str">
            <v>ECOSAMPA Campo Limpo</v>
          </cell>
          <cell r="E2196">
            <v>44207</v>
          </cell>
          <cell r="F2196">
            <v>1603.99</v>
          </cell>
          <cell r="G2196" t="str">
            <v>Em Atividade Normal</v>
          </cell>
          <cell r="H2196">
            <v>45119</v>
          </cell>
          <cell r="I2196">
            <v>31860</v>
          </cell>
          <cell r="J2196" t="str">
            <v>371.443.338-44</v>
          </cell>
          <cell r="K2196" t="str">
            <v>165.94818.81.4</v>
          </cell>
          <cell r="L2196" t="str">
            <v>Salário Mensal</v>
          </cell>
          <cell r="M2196" t="str">
            <v>Empregado (CLT)</v>
          </cell>
        </row>
        <row r="2197">
          <cell r="D2197" t="str">
            <v>ECOSAMPA Santo Amaro</v>
          </cell>
          <cell r="E2197">
            <v>43617</v>
          </cell>
          <cell r="F2197">
            <v>1603.99</v>
          </cell>
          <cell r="G2197" t="str">
            <v>Em Atividade Normal</v>
          </cell>
          <cell r="H2197">
            <v>44806</v>
          </cell>
          <cell r="I2197">
            <v>24338</v>
          </cell>
          <cell r="J2197" t="str">
            <v>571.419.245-15</v>
          </cell>
          <cell r="K2197" t="str">
            <v>123.40677.75.2</v>
          </cell>
          <cell r="L2197" t="str">
            <v>Salário Mensal</v>
          </cell>
          <cell r="M2197" t="str">
            <v>Empregado (CLT)</v>
          </cell>
        </row>
        <row r="2198">
          <cell r="D2198" t="str">
            <v>ECOSAMPA Parelheiros</v>
          </cell>
          <cell r="E2198">
            <v>45061</v>
          </cell>
          <cell r="F2198">
            <v>1603.99</v>
          </cell>
          <cell r="G2198" t="str">
            <v>Demitido no Mês</v>
          </cell>
          <cell r="H2198">
            <v>45194</v>
          </cell>
          <cell r="I2198">
            <v>25181</v>
          </cell>
          <cell r="J2198" t="str">
            <v>326.628.313-91</v>
          </cell>
          <cell r="K2198" t="str">
            <v>123.81343.36.0</v>
          </cell>
          <cell r="L2198" t="str">
            <v>Salário Mensal</v>
          </cell>
          <cell r="M2198" t="str">
            <v>Empregado (CLT)</v>
          </cell>
        </row>
        <row r="2199">
          <cell r="D2199" t="str">
            <v>ECOSAMPA M'Boi Mirim</v>
          </cell>
          <cell r="E2199">
            <v>44967</v>
          </cell>
          <cell r="F2199">
            <v>1603.99</v>
          </cell>
          <cell r="G2199" t="str">
            <v>Em Atividade Normal</v>
          </cell>
          <cell r="H2199">
            <v>44967</v>
          </cell>
          <cell r="I2199">
            <v>30676</v>
          </cell>
          <cell r="J2199" t="str">
            <v>329.132.138-39</v>
          </cell>
          <cell r="K2199" t="str">
            <v>206.86927.31.6</v>
          </cell>
          <cell r="L2199" t="str">
            <v>Salário Mensal</v>
          </cell>
          <cell r="M2199" t="str">
            <v>Empregado (CLT)</v>
          </cell>
        </row>
        <row r="2200">
          <cell r="D2200" t="str">
            <v>ECOSAMPA Campo Limpo</v>
          </cell>
          <cell r="E2200">
            <v>44945</v>
          </cell>
          <cell r="F2200">
            <v>1603.99</v>
          </cell>
          <cell r="G2200" t="str">
            <v>Em Atividade Normal</v>
          </cell>
          <cell r="H2200">
            <v>44945</v>
          </cell>
          <cell r="I2200">
            <v>34801</v>
          </cell>
          <cell r="J2200" t="str">
            <v>439.289.128-36</v>
          </cell>
          <cell r="K2200" t="str">
            <v>209.78002.52.5</v>
          </cell>
          <cell r="L2200" t="str">
            <v>Salário Mensal</v>
          </cell>
          <cell r="M2200" t="str">
            <v>Empregado (CLT)</v>
          </cell>
        </row>
        <row r="2201">
          <cell r="D2201" t="str">
            <v>ECOSAMPA Santo Amaro</v>
          </cell>
          <cell r="E2201">
            <v>43617</v>
          </cell>
          <cell r="F2201">
            <v>1603.99</v>
          </cell>
          <cell r="G2201" t="str">
            <v>Em Atividade Normal</v>
          </cell>
          <cell r="H2201">
            <v>45023</v>
          </cell>
          <cell r="I2201">
            <v>25765</v>
          </cell>
          <cell r="J2201" t="str">
            <v>171.454.868-65</v>
          </cell>
          <cell r="K2201" t="str">
            <v>124.00340.57.0</v>
          </cell>
          <cell r="L2201" t="str">
            <v>Salário Mensal</v>
          </cell>
          <cell r="M2201" t="str">
            <v>Empregado (CLT)</v>
          </cell>
        </row>
        <row r="2202">
          <cell r="D2202" t="str">
            <v>ECOSAMPA Pensionistas</v>
          </cell>
          <cell r="E2202">
            <v>43647</v>
          </cell>
          <cell r="F2202">
            <v>0.01</v>
          </cell>
          <cell r="G2202" t="str">
            <v>Em Atividade Normal</v>
          </cell>
          <cell r="H2202">
            <v>43647</v>
          </cell>
          <cell r="J2202" t="str">
            <v>320.365.088-63</v>
          </cell>
          <cell r="L2202" t="str">
            <v>Nenhuma</v>
          </cell>
          <cell r="M2202" t="str">
            <v>Pensionista</v>
          </cell>
        </row>
        <row r="2203">
          <cell r="D2203" t="str">
            <v>ECOSAMPA Santo Amaro</v>
          </cell>
          <cell r="E2203">
            <v>43804</v>
          </cell>
          <cell r="F2203">
            <v>1281.23</v>
          </cell>
          <cell r="G2203" t="str">
            <v>Demitido em Meses Anteriores</v>
          </cell>
          <cell r="H2203">
            <v>43929</v>
          </cell>
          <cell r="I2203">
            <v>28062</v>
          </cell>
          <cell r="J2203" t="str">
            <v>233.357.028-83</v>
          </cell>
          <cell r="K2203" t="str">
            <v>166.93881.03.4</v>
          </cell>
          <cell r="L2203" t="str">
            <v>Salário Mensal</v>
          </cell>
          <cell r="M2203" t="str">
            <v>Empregado (CLT)</v>
          </cell>
        </row>
        <row r="2204">
          <cell r="D2204" t="str">
            <v>ECOSAMPA Pensionistas</v>
          </cell>
          <cell r="E2204">
            <v>44819</v>
          </cell>
          <cell r="F2204">
            <v>0.01</v>
          </cell>
          <cell r="G2204" t="str">
            <v>Em Atividade Normal</v>
          </cell>
          <cell r="H2204">
            <v>44819</v>
          </cell>
          <cell r="J2204" t="str">
            <v>257.522.298-20</v>
          </cell>
          <cell r="L2204" t="str">
            <v>Nenhuma</v>
          </cell>
          <cell r="M2204" t="str">
            <v>Pensionista</v>
          </cell>
        </row>
        <row r="2205">
          <cell r="D2205" t="str">
            <v>ECOSAMPA Operação Geral</v>
          </cell>
          <cell r="E2205">
            <v>44368</v>
          </cell>
          <cell r="F2205">
            <v>1464.83</v>
          </cell>
          <cell r="G2205" t="str">
            <v>Demitido em Meses Anteriores</v>
          </cell>
          <cell r="H2205">
            <v>44841</v>
          </cell>
          <cell r="I2205">
            <v>35346</v>
          </cell>
          <cell r="J2205" t="str">
            <v>496.632.738-52</v>
          </cell>
          <cell r="K2205" t="str">
            <v>140.14951.28.2</v>
          </cell>
          <cell r="L2205" t="str">
            <v>Salário Mensal</v>
          </cell>
          <cell r="M2205" t="str">
            <v>Empregado (CLT)</v>
          </cell>
        </row>
        <row r="2206">
          <cell r="D2206" t="str">
            <v>ECOSAMPA Pensionistas</v>
          </cell>
          <cell r="E2206">
            <v>44007</v>
          </cell>
          <cell r="F2206">
            <v>0.01</v>
          </cell>
          <cell r="G2206" t="str">
            <v>Em Atividade Normal</v>
          </cell>
          <cell r="H2206">
            <v>44007</v>
          </cell>
          <cell r="J2206" t="str">
            <v>359.997.538-80</v>
          </cell>
          <cell r="L2206" t="str">
            <v>Nenhuma</v>
          </cell>
          <cell r="M2206" t="str">
            <v>Pensionista</v>
          </cell>
        </row>
        <row r="2207">
          <cell r="D2207" t="str">
            <v>ECOSAMPA Administração</v>
          </cell>
          <cell r="E2207">
            <v>44734</v>
          </cell>
          <cell r="F2207">
            <v>1320</v>
          </cell>
          <cell r="G2207" t="str">
            <v>Em Atividade Normal</v>
          </cell>
          <cell r="H2207">
            <v>44734</v>
          </cell>
          <cell r="I2207">
            <v>37350</v>
          </cell>
          <cell r="J2207" t="str">
            <v>474.686.798-43</v>
          </cell>
          <cell r="K2207" t="str">
            <v>200.87921.34.5</v>
          </cell>
          <cell r="L2207" t="str">
            <v>Salário Mensal</v>
          </cell>
          <cell r="M2207" t="str">
            <v>Menor Aprendiz</v>
          </cell>
        </row>
        <row r="2208">
          <cell r="D2208" t="str">
            <v>ECOSAMPA M'Boi Mirim</v>
          </cell>
          <cell r="E2208">
            <v>45061</v>
          </cell>
          <cell r="F2208">
            <v>1603.99</v>
          </cell>
          <cell r="G2208" t="str">
            <v>Em Atividade Normal</v>
          </cell>
          <cell r="H2208">
            <v>45061</v>
          </cell>
          <cell r="I2208">
            <v>35062</v>
          </cell>
          <cell r="J2208" t="str">
            <v>470.737.978-86</v>
          </cell>
          <cell r="K2208" t="str">
            <v>237.54696.81.1</v>
          </cell>
          <cell r="L2208" t="str">
            <v>Salário Mensal</v>
          </cell>
          <cell r="M2208" t="str">
            <v>Empregado (CLT)</v>
          </cell>
        </row>
        <row r="2209">
          <cell r="D2209" t="str">
            <v>ECOSAMPA Pensionistas</v>
          </cell>
          <cell r="E2209">
            <v>44519</v>
          </cell>
          <cell r="F2209">
            <v>0.01</v>
          </cell>
          <cell r="G2209" t="str">
            <v>Em Atividade Normal</v>
          </cell>
          <cell r="H2209">
            <v>44519</v>
          </cell>
          <cell r="J2209" t="str">
            <v>336.766.928-88</v>
          </cell>
          <cell r="L2209" t="str">
            <v>Nenhuma</v>
          </cell>
          <cell r="M2209" t="str">
            <v>Pensionista</v>
          </cell>
        </row>
        <row r="2210">
          <cell r="D2210" t="str">
            <v>ECOSAMPA Pensionistas</v>
          </cell>
          <cell r="E2210">
            <v>44482</v>
          </cell>
          <cell r="F2210">
            <v>0.01</v>
          </cell>
          <cell r="G2210" t="str">
            <v>Demitido em Meses Anteriores</v>
          </cell>
          <cell r="H2210">
            <v>44743</v>
          </cell>
          <cell r="J2210" t="str">
            <v>462.553.768-18</v>
          </cell>
          <cell r="L2210" t="str">
            <v>Nenhuma</v>
          </cell>
          <cell r="M2210" t="str">
            <v>Pensionista</v>
          </cell>
        </row>
        <row r="2211">
          <cell r="D2211" t="str">
            <v>ECOSAMPA Capela do Socorro</v>
          </cell>
          <cell r="E2211">
            <v>45022</v>
          </cell>
          <cell r="F2211">
            <v>1603.99</v>
          </cell>
          <cell r="G2211" t="str">
            <v>Em Atividade Normal</v>
          </cell>
          <cell r="H2211">
            <v>45022</v>
          </cell>
          <cell r="I2211">
            <v>36485</v>
          </cell>
          <cell r="J2211" t="str">
            <v>444.034.318-01</v>
          </cell>
          <cell r="K2211" t="str">
            <v>267.13850.66.7</v>
          </cell>
          <cell r="L2211" t="str">
            <v>Salário Mensal</v>
          </cell>
          <cell r="M2211" t="str">
            <v>Empregado (CLT)</v>
          </cell>
        </row>
        <row r="2212">
          <cell r="D2212" t="str">
            <v>ECOSAMPA Pensionistas</v>
          </cell>
          <cell r="E2212">
            <v>43810</v>
          </cell>
          <cell r="F2212">
            <v>0.01</v>
          </cell>
          <cell r="G2212" t="str">
            <v>Em Atividade Normal</v>
          </cell>
          <cell r="H2212">
            <v>43810</v>
          </cell>
          <cell r="J2212" t="str">
            <v>438.417.008-45</v>
          </cell>
          <cell r="L2212" t="str">
            <v>Nenhuma</v>
          </cell>
          <cell r="M2212" t="str">
            <v>Pensionista</v>
          </cell>
        </row>
        <row r="2213">
          <cell r="D2213" t="str">
            <v>ECOSAMPA Operação Geral</v>
          </cell>
          <cell r="E2213">
            <v>44967</v>
          </cell>
          <cell r="F2213">
            <v>1603.99</v>
          </cell>
          <cell r="G2213" t="str">
            <v>Demitido em Meses Anteriores</v>
          </cell>
          <cell r="H2213">
            <v>44981</v>
          </cell>
          <cell r="I2213">
            <v>36750</v>
          </cell>
          <cell r="J2213" t="str">
            <v>508.385.728-63</v>
          </cell>
          <cell r="K2213" t="str">
            <v>236.41472.48.9</v>
          </cell>
          <cell r="L2213" t="str">
            <v>Salário Mensal</v>
          </cell>
          <cell r="M2213" t="str">
            <v>Empregado (CLT)</v>
          </cell>
        </row>
        <row r="2214">
          <cell r="D2214" t="str">
            <v>ECOSAMPA Campo Limpo</v>
          </cell>
          <cell r="E2214">
            <v>44522</v>
          </cell>
          <cell r="F2214">
            <v>1603.99</v>
          </cell>
          <cell r="G2214" t="str">
            <v>Em Atividade Normal</v>
          </cell>
          <cell r="H2214">
            <v>45086</v>
          </cell>
          <cell r="I2214">
            <v>32382</v>
          </cell>
          <cell r="J2214" t="str">
            <v>397.961.478-66</v>
          </cell>
          <cell r="K2214" t="str">
            <v>210.14816.94.9</v>
          </cell>
          <cell r="L2214" t="str">
            <v>Salário Mensal</v>
          </cell>
          <cell r="M2214" t="str">
            <v>Empregado (CLT)</v>
          </cell>
        </row>
        <row r="2215">
          <cell r="D2215" t="str">
            <v>ECOSAMPA Operação Geral</v>
          </cell>
          <cell r="E2215">
            <v>43617</v>
          </cell>
          <cell r="F2215">
            <v>3050.22</v>
          </cell>
          <cell r="G2215" t="str">
            <v>Em Atividade Normal</v>
          </cell>
          <cell r="H2215">
            <v>45056</v>
          </cell>
          <cell r="I2215">
            <v>32427</v>
          </cell>
          <cell r="J2215" t="str">
            <v>375.659.768-73</v>
          </cell>
          <cell r="K2215" t="str">
            <v>210.69394.66.3</v>
          </cell>
          <cell r="L2215" t="str">
            <v>Salário Mensal</v>
          </cell>
          <cell r="M2215" t="str">
            <v>Empregado (CLT)</v>
          </cell>
        </row>
        <row r="2216">
          <cell r="D2216" t="str">
            <v>ECOSAMPA Capela do Socorro</v>
          </cell>
          <cell r="E2216">
            <v>43728</v>
          </cell>
          <cell r="F2216">
            <v>1319.67</v>
          </cell>
          <cell r="G2216" t="str">
            <v>Demitido em Meses Anteriores</v>
          </cell>
          <cell r="H2216">
            <v>44113</v>
          </cell>
          <cell r="I2216">
            <v>35172</v>
          </cell>
          <cell r="J2216" t="str">
            <v>442.184.288-59</v>
          </cell>
          <cell r="K2216" t="str">
            <v>204.85435.41.6</v>
          </cell>
          <cell r="L2216" t="str">
            <v>Salário Mensal</v>
          </cell>
          <cell r="M2216" t="str">
            <v>Empregado (CLT)</v>
          </cell>
        </row>
        <row r="2217">
          <cell r="D2217" t="str">
            <v>ECOSAMPA Operação Geral</v>
          </cell>
          <cell r="E2217">
            <v>43617</v>
          </cell>
          <cell r="F2217">
            <v>2436.4499999999998</v>
          </cell>
          <cell r="G2217" t="str">
            <v>Demitido em Meses Anteriores</v>
          </cell>
          <cell r="H2217">
            <v>43895</v>
          </cell>
          <cell r="I2217">
            <v>32861</v>
          </cell>
          <cell r="J2217" t="str">
            <v>230.703.688-16</v>
          </cell>
          <cell r="K2217" t="str">
            <v>166.45711.34.5</v>
          </cell>
          <cell r="L2217" t="str">
            <v>Salário Mensal</v>
          </cell>
          <cell r="M2217" t="str">
            <v>Empregado (CLT)</v>
          </cell>
        </row>
        <row r="2218">
          <cell r="D2218" t="str">
            <v>ECOSAMPA Operação Geral</v>
          </cell>
          <cell r="E2218">
            <v>43617</v>
          </cell>
          <cell r="F2218">
            <v>3050.22</v>
          </cell>
          <cell r="G2218" t="str">
            <v>Em Atividade Normal</v>
          </cell>
          <cell r="H2218">
            <v>44806</v>
          </cell>
          <cell r="I2218">
            <v>31461</v>
          </cell>
          <cell r="J2218" t="str">
            <v>230.952.468-97</v>
          </cell>
          <cell r="K2218" t="str">
            <v>133.78169.77.9</v>
          </cell>
          <cell r="L2218" t="str">
            <v>Salário Mensal</v>
          </cell>
          <cell r="M2218" t="str">
            <v>Empregado (CLT)</v>
          </cell>
        </row>
        <row r="2219">
          <cell r="D2219" t="str">
            <v>ECOSAMPA Campo Limpo</v>
          </cell>
          <cell r="E2219">
            <v>43617</v>
          </cell>
          <cell r="F2219">
            <v>1281.23</v>
          </cell>
          <cell r="G2219" t="str">
            <v>Demitido em Meses Anteriores</v>
          </cell>
          <cell r="H2219">
            <v>43850</v>
          </cell>
          <cell r="I2219">
            <v>32168</v>
          </cell>
          <cell r="J2219" t="str">
            <v>372.933.288-00</v>
          </cell>
          <cell r="K2219" t="str">
            <v>206.86950.56.3</v>
          </cell>
          <cell r="L2219" t="str">
            <v>Salário Mensal</v>
          </cell>
          <cell r="M2219" t="str">
            <v>Empregado (CLT)</v>
          </cell>
        </row>
        <row r="2220">
          <cell r="D2220" t="str">
            <v>ECOSAMPA Capela do Socorro</v>
          </cell>
          <cell r="E2220">
            <v>44419</v>
          </cell>
          <cell r="F2220">
            <v>1603.99</v>
          </cell>
          <cell r="G2220" t="str">
            <v>Em Atividade Normal</v>
          </cell>
          <cell r="H2220">
            <v>45119</v>
          </cell>
          <cell r="I2220">
            <v>31640</v>
          </cell>
          <cell r="J2220" t="str">
            <v>344.488.658-60</v>
          </cell>
          <cell r="K2220" t="str">
            <v>136.87582.77.8</v>
          </cell>
          <cell r="L2220" t="str">
            <v>Salário Mensal</v>
          </cell>
          <cell r="M2220" t="str">
            <v>Empregado (CLT)</v>
          </cell>
        </row>
        <row r="2221">
          <cell r="D2221" t="str">
            <v>ECOSAMPA Administração</v>
          </cell>
          <cell r="E2221">
            <v>45040</v>
          </cell>
          <cell r="F2221">
            <v>1320</v>
          </cell>
          <cell r="G2221" t="str">
            <v>Em Atividade Normal</v>
          </cell>
          <cell r="H2221">
            <v>45040</v>
          </cell>
          <cell r="I2221">
            <v>38307</v>
          </cell>
          <cell r="J2221" t="str">
            <v>496.122.098-12</v>
          </cell>
          <cell r="K2221" t="str">
            <v>128.75556.91.8</v>
          </cell>
          <cell r="L2221" t="str">
            <v>Salário Mensal</v>
          </cell>
          <cell r="M2221" t="str">
            <v>Menor Aprendiz</v>
          </cell>
        </row>
        <row r="2222">
          <cell r="D2222" t="str">
            <v>ECOSAMPA Operação Geral</v>
          </cell>
          <cell r="E2222">
            <v>44236</v>
          </cell>
          <cell r="F2222">
            <v>3050.22</v>
          </cell>
          <cell r="G2222" t="str">
            <v>Em Atividade Normal</v>
          </cell>
          <cell r="H2222">
            <v>45023</v>
          </cell>
          <cell r="I2222">
            <v>31706</v>
          </cell>
          <cell r="J2222" t="str">
            <v>339.242.628-88</v>
          </cell>
          <cell r="K2222" t="str">
            <v>207.24542.53.6</v>
          </cell>
          <cell r="L2222" t="str">
            <v>Salário Mensal</v>
          </cell>
          <cell r="M2222" t="str">
            <v>Empregado (CLT)</v>
          </cell>
        </row>
        <row r="2223">
          <cell r="D2223" t="str">
            <v>ECOSAMPA Santo Amaro</v>
          </cell>
          <cell r="E2223">
            <v>43804</v>
          </cell>
          <cell r="F2223">
            <v>1603.99</v>
          </cell>
          <cell r="G2223" t="str">
            <v>Em Atividade Normal</v>
          </cell>
          <cell r="H2223">
            <v>45149</v>
          </cell>
          <cell r="I2223">
            <v>34701</v>
          </cell>
          <cell r="J2223" t="str">
            <v>423.297.078-94</v>
          </cell>
          <cell r="K2223" t="str">
            <v>212.90072.73.8</v>
          </cell>
          <cell r="L2223" t="str">
            <v>Salário Mensal</v>
          </cell>
          <cell r="M2223" t="str">
            <v>Empregado (CLT)</v>
          </cell>
        </row>
        <row r="2224">
          <cell r="D2224" t="str">
            <v>ECOSAMPA Campo Limpo</v>
          </cell>
          <cell r="E2224">
            <v>43874</v>
          </cell>
          <cell r="F2224">
            <v>1319.67</v>
          </cell>
          <cell r="G2224" t="str">
            <v>Demitido em Meses Anteriores</v>
          </cell>
          <cell r="H2224">
            <v>44173</v>
          </cell>
          <cell r="I2224">
            <v>33238</v>
          </cell>
          <cell r="J2224" t="str">
            <v>396.603.338-03</v>
          </cell>
          <cell r="K2224" t="str">
            <v>207.24627.93.0</v>
          </cell>
          <cell r="L2224" t="str">
            <v>Salário Mensal</v>
          </cell>
          <cell r="M2224" t="str">
            <v>Empregado (CLT)</v>
          </cell>
        </row>
        <row r="2225">
          <cell r="D2225" t="str">
            <v>ECOSAMPA Capela do Socorro</v>
          </cell>
          <cell r="E2225">
            <v>45061</v>
          </cell>
          <cell r="F2225">
            <v>1603.99</v>
          </cell>
          <cell r="G2225" t="str">
            <v>Auxílio-Doença</v>
          </cell>
          <cell r="H2225">
            <v>45163</v>
          </cell>
          <cell r="I2225">
            <v>31205</v>
          </cell>
          <cell r="J2225" t="str">
            <v>416.970.188-74</v>
          </cell>
          <cell r="K2225" t="str">
            <v>166.14833.96.1</v>
          </cell>
          <cell r="L2225" t="str">
            <v>Salário Mensal</v>
          </cell>
          <cell r="M2225" t="str">
            <v>Empregado (CLT)</v>
          </cell>
        </row>
        <row r="2226">
          <cell r="D2226" t="str">
            <v>ECOSAMPA Campo Limpo</v>
          </cell>
          <cell r="E2226">
            <v>44207</v>
          </cell>
          <cell r="F2226">
            <v>1319.67</v>
          </cell>
          <cell r="G2226" t="str">
            <v>Demitido em Meses Anteriores</v>
          </cell>
          <cell r="H2226">
            <v>44263</v>
          </cell>
          <cell r="I2226">
            <v>32356</v>
          </cell>
          <cell r="J2226" t="str">
            <v>218.525.358-14</v>
          </cell>
          <cell r="K2226" t="str">
            <v>165.69252.01.2</v>
          </cell>
          <cell r="L2226" t="str">
            <v>Salário Mensal</v>
          </cell>
          <cell r="M2226" t="str">
            <v>Empregado (CLT)</v>
          </cell>
        </row>
        <row r="2227">
          <cell r="D2227" t="str">
            <v>ECOSAMPA Santo Amaro</v>
          </cell>
          <cell r="E2227">
            <v>43617</v>
          </cell>
          <cell r="F2227">
            <v>1603.99</v>
          </cell>
          <cell r="G2227" t="str">
            <v>Demitido no Mês</v>
          </cell>
          <cell r="H2227">
            <v>45194</v>
          </cell>
          <cell r="I2227">
            <v>35515</v>
          </cell>
          <cell r="J2227" t="str">
            <v>426.847.788-84</v>
          </cell>
          <cell r="K2227" t="str">
            <v>206.87374.00.0</v>
          </cell>
          <cell r="L2227" t="str">
            <v>Salário Mensal</v>
          </cell>
          <cell r="M2227" t="str">
            <v>Empregado (CLT)</v>
          </cell>
        </row>
        <row r="2228">
          <cell r="D2228" t="str">
            <v>ECOSAMPA M'Boi Mirim</v>
          </cell>
          <cell r="E2228">
            <v>44328</v>
          </cell>
          <cell r="F2228">
            <v>1603.99</v>
          </cell>
          <cell r="G2228" t="str">
            <v>Em Atividade Normal</v>
          </cell>
          <cell r="H2228">
            <v>45143</v>
          </cell>
          <cell r="I2228">
            <v>31324</v>
          </cell>
          <cell r="J2228" t="str">
            <v>325.165.728-32</v>
          </cell>
          <cell r="K2228" t="str">
            <v>201.15357.06.2</v>
          </cell>
          <cell r="L2228" t="str">
            <v>Salário Mensal</v>
          </cell>
          <cell r="M2228" t="str">
            <v>Empregado (CLT)</v>
          </cell>
        </row>
        <row r="2229">
          <cell r="D2229" t="str">
            <v>ECOSAMPA Parelheiros</v>
          </cell>
          <cell r="E2229">
            <v>44900</v>
          </cell>
          <cell r="F2229">
            <v>1603.99</v>
          </cell>
          <cell r="G2229" t="str">
            <v>Demitido em Meses Anteriores</v>
          </cell>
          <cell r="H2229">
            <v>44902</v>
          </cell>
          <cell r="I2229">
            <v>36846</v>
          </cell>
          <cell r="J2229" t="str">
            <v>156.290.324-10</v>
          </cell>
          <cell r="K2229" t="str">
            <v>142.11584.85.1</v>
          </cell>
          <cell r="L2229" t="str">
            <v>Salário Mensal</v>
          </cell>
          <cell r="M2229" t="str">
            <v>Empregado (CLT)</v>
          </cell>
        </row>
        <row r="2230">
          <cell r="D2230" t="str">
            <v>ECOSAMPA Capela do Socorro</v>
          </cell>
          <cell r="E2230">
            <v>43617</v>
          </cell>
          <cell r="F2230">
            <v>1907.79</v>
          </cell>
          <cell r="G2230" t="str">
            <v>Em Atividade Normal</v>
          </cell>
          <cell r="H2230">
            <v>44993</v>
          </cell>
          <cell r="I2230">
            <v>29075</v>
          </cell>
          <cell r="J2230" t="str">
            <v>284.092.708-03</v>
          </cell>
          <cell r="K2230" t="str">
            <v>125.55230.42.6</v>
          </cell>
          <cell r="L2230" t="str">
            <v>Salário Mensal</v>
          </cell>
          <cell r="M2230" t="str">
            <v>Empregado (CLT)</v>
          </cell>
        </row>
        <row r="2231">
          <cell r="D2231" t="str">
            <v>ECOSAMPA Capela do Socorro</v>
          </cell>
          <cell r="E2231">
            <v>43617</v>
          </cell>
          <cell r="F2231">
            <v>1603.99</v>
          </cell>
          <cell r="G2231" t="str">
            <v>Em Atividade Normal</v>
          </cell>
          <cell r="H2231">
            <v>45023</v>
          </cell>
          <cell r="I2231">
            <v>31574</v>
          </cell>
          <cell r="J2231" t="str">
            <v>062.480.294-90</v>
          </cell>
          <cell r="K2231" t="str">
            <v>166.25700.49.6</v>
          </cell>
          <cell r="L2231" t="str">
            <v>Salário Mensal</v>
          </cell>
          <cell r="M2231" t="str">
            <v>Empregado (CLT)</v>
          </cell>
        </row>
        <row r="2232">
          <cell r="D2232" t="str">
            <v>ECOSAMPA Operação Geral</v>
          </cell>
          <cell r="E2232">
            <v>44967</v>
          </cell>
          <cell r="F2232">
            <v>1603.99</v>
          </cell>
          <cell r="G2232" t="str">
            <v>Demitido em Meses Anteriores</v>
          </cell>
          <cell r="H2232">
            <v>44981</v>
          </cell>
          <cell r="I2232">
            <v>30733</v>
          </cell>
          <cell r="J2232" t="str">
            <v>337.356.478-63</v>
          </cell>
          <cell r="K2232" t="str">
            <v>206.86145.09.1</v>
          </cell>
          <cell r="L2232" t="str">
            <v>Salário Mensal</v>
          </cell>
          <cell r="M2232" t="str">
            <v>Empregado (CLT)</v>
          </cell>
        </row>
        <row r="2233">
          <cell r="D2233" t="str">
            <v>ECOSAMPA Operação Geral</v>
          </cell>
          <cell r="E2233">
            <v>45117</v>
          </cell>
          <cell r="F2233">
            <v>1603.99</v>
          </cell>
          <cell r="G2233" t="str">
            <v>Demitido no Mês</v>
          </cell>
          <cell r="H2233">
            <v>45190</v>
          </cell>
          <cell r="I2233">
            <v>30733</v>
          </cell>
          <cell r="J2233" t="str">
            <v>337.356.478-63</v>
          </cell>
          <cell r="K2233" t="str">
            <v>206.86145.09.1</v>
          </cell>
          <cell r="L2233" t="str">
            <v>Salário Mensal</v>
          </cell>
          <cell r="M2233" t="str">
            <v>Empregado (CLT)</v>
          </cell>
        </row>
        <row r="2234">
          <cell r="D2234" t="str">
            <v>ECOSAMPA Operação Geral</v>
          </cell>
          <cell r="E2234">
            <v>43617</v>
          </cell>
          <cell r="F2234">
            <v>3050.22</v>
          </cell>
          <cell r="G2234" t="str">
            <v>Em Atividade Normal</v>
          </cell>
          <cell r="H2234">
            <v>45177</v>
          </cell>
          <cell r="I2234">
            <v>32644</v>
          </cell>
          <cell r="J2234" t="str">
            <v>374.613.048-44</v>
          </cell>
          <cell r="K2234" t="str">
            <v>206.86912.09.2</v>
          </cell>
          <cell r="L2234" t="str">
            <v>Salário Mensal</v>
          </cell>
          <cell r="M2234" t="str">
            <v>Empregado (CLT)</v>
          </cell>
        </row>
        <row r="2235">
          <cell r="D2235" t="str">
            <v>ECOSAMPA Parelheiros</v>
          </cell>
          <cell r="E2235">
            <v>45022</v>
          </cell>
          <cell r="F2235">
            <v>1603.99</v>
          </cell>
          <cell r="G2235" t="str">
            <v>Em Atividade Normal</v>
          </cell>
          <cell r="H2235">
            <v>45022</v>
          </cell>
          <cell r="I2235">
            <v>28987</v>
          </cell>
          <cell r="J2235" t="str">
            <v>305.793.898-12</v>
          </cell>
          <cell r="K2235" t="str">
            <v>135.68408.81.2</v>
          </cell>
          <cell r="L2235" t="str">
            <v>Salário Mensal</v>
          </cell>
          <cell r="M2235" t="str">
            <v>Empregado (CLT)</v>
          </cell>
        </row>
        <row r="2236">
          <cell r="D2236" t="str">
            <v>ECOSAMPA Parelheiros</v>
          </cell>
          <cell r="E2236">
            <v>43617</v>
          </cell>
          <cell r="F2236">
            <v>1231.95</v>
          </cell>
          <cell r="G2236" t="str">
            <v>Demitido em Meses Anteriores</v>
          </cell>
          <cell r="H2236">
            <v>43703</v>
          </cell>
          <cell r="I2236">
            <v>33265</v>
          </cell>
          <cell r="J2236" t="str">
            <v>392.776.088-97</v>
          </cell>
          <cell r="K2236" t="str">
            <v>204.16131.97.7</v>
          </cell>
          <cell r="L2236" t="str">
            <v>Salário Mensal</v>
          </cell>
          <cell r="M2236" t="str">
            <v>Empregado (CLT)</v>
          </cell>
        </row>
        <row r="2237">
          <cell r="D2237" t="str">
            <v>ECOSAMPA M'Boi Mirim</v>
          </cell>
          <cell r="E2237">
            <v>44967</v>
          </cell>
          <cell r="F2237">
            <v>1603.99</v>
          </cell>
          <cell r="G2237" t="str">
            <v>Em Atividade Normal</v>
          </cell>
          <cell r="H2237">
            <v>44967</v>
          </cell>
          <cell r="I2237">
            <v>33368</v>
          </cell>
          <cell r="J2237" t="str">
            <v>421.544.028-95</v>
          </cell>
          <cell r="K2237" t="str">
            <v>165.51869.54.9</v>
          </cell>
          <cell r="L2237" t="str">
            <v>Salário Mensal</v>
          </cell>
          <cell r="M2237" t="str">
            <v>Empregado (CLT)</v>
          </cell>
        </row>
        <row r="2238">
          <cell r="D2238" t="str">
            <v>ECOSAMPA M'Boi Mirim</v>
          </cell>
          <cell r="E2238">
            <v>43617</v>
          </cell>
          <cell r="F2238">
            <v>1319.67</v>
          </cell>
          <cell r="G2238" t="str">
            <v>Demitido em Meses Anteriores</v>
          </cell>
          <cell r="H2238">
            <v>44245</v>
          </cell>
          <cell r="I2238">
            <v>32644</v>
          </cell>
          <cell r="J2238" t="str">
            <v>388.391.208-58</v>
          </cell>
          <cell r="K2238" t="str">
            <v>165.50991.76.6</v>
          </cell>
          <cell r="L2238" t="str">
            <v>Salário Mensal</v>
          </cell>
          <cell r="M2238" t="str">
            <v>Empregado (CLT)</v>
          </cell>
        </row>
        <row r="2239">
          <cell r="D2239" t="str">
            <v>ECOSAMPA Parelheiros</v>
          </cell>
          <cell r="E2239">
            <v>43617</v>
          </cell>
          <cell r="F2239">
            <v>1603.99</v>
          </cell>
          <cell r="G2239" t="str">
            <v>Em Atividade Normal</v>
          </cell>
          <cell r="H2239">
            <v>45023</v>
          </cell>
          <cell r="I2239">
            <v>24215</v>
          </cell>
          <cell r="J2239" t="str">
            <v>446.357.534-68</v>
          </cell>
          <cell r="K2239" t="str">
            <v>122.48845.99.7</v>
          </cell>
          <cell r="L2239" t="str">
            <v>Salário Mensal</v>
          </cell>
          <cell r="M2239" t="str">
            <v>Empregado (CLT)</v>
          </cell>
        </row>
        <row r="2240">
          <cell r="D2240" t="str">
            <v>ECOSAMPA M'Boi Mirim</v>
          </cell>
          <cell r="E2240">
            <v>43617</v>
          </cell>
          <cell r="F2240">
            <v>1603.99</v>
          </cell>
          <cell r="G2240" t="str">
            <v>Em Atividade Normal</v>
          </cell>
          <cell r="H2240">
            <v>44776</v>
          </cell>
          <cell r="I2240">
            <v>22635</v>
          </cell>
          <cell r="J2240" t="str">
            <v>218.838.888-75</v>
          </cell>
          <cell r="K2240" t="str">
            <v>236.06658.85.7</v>
          </cell>
          <cell r="L2240" t="str">
            <v>Salário Mensal</v>
          </cell>
          <cell r="M2240" t="str">
            <v>Empregado (CLT)</v>
          </cell>
        </row>
        <row r="2241">
          <cell r="D2241" t="str">
            <v>ECOSAMPA Santo Amaro</v>
          </cell>
          <cell r="E2241">
            <v>43617</v>
          </cell>
          <cell r="F2241">
            <v>1907.79</v>
          </cell>
          <cell r="G2241" t="str">
            <v>Em Atividade Normal</v>
          </cell>
          <cell r="H2241">
            <v>45056</v>
          </cell>
          <cell r="I2241">
            <v>33826</v>
          </cell>
          <cell r="J2241" t="str">
            <v>414.532.688-12</v>
          </cell>
          <cell r="K2241" t="str">
            <v>201.15291.80.0</v>
          </cell>
          <cell r="L2241" t="str">
            <v>Salário Mensal</v>
          </cell>
          <cell r="M2241" t="str">
            <v>Empregado (CLT)</v>
          </cell>
        </row>
        <row r="2242">
          <cell r="D2242" t="str">
            <v>ECOSAMPA Capela do Socorro</v>
          </cell>
          <cell r="E2242">
            <v>43617</v>
          </cell>
          <cell r="F2242">
            <v>1464.83</v>
          </cell>
          <cell r="G2242" t="str">
            <v>Demitido em Meses Anteriores</v>
          </cell>
          <cell r="H2242">
            <v>44837</v>
          </cell>
          <cell r="I2242">
            <v>28555</v>
          </cell>
          <cell r="J2242" t="str">
            <v>216.795.498-04</v>
          </cell>
          <cell r="K2242" t="str">
            <v>127.86475.77.7</v>
          </cell>
          <cell r="L2242" t="str">
            <v>Salário Mensal</v>
          </cell>
          <cell r="M2242" t="str">
            <v>Empregado (CLT)</v>
          </cell>
        </row>
        <row r="2243">
          <cell r="D2243" t="str">
            <v>ECOSAMPA M'Boi Mirim</v>
          </cell>
          <cell r="E2243">
            <v>43617</v>
          </cell>
          <cell r="F2243">
            <v>1603.99</v>
          </cell>
          <cell r="G2243" t="str">
            <v>Em Atividade Normal</v>
          </cell>
          <cell r="H2243">
            <v>45063</v>
          </cell>
          <cell r="I2243">
            <v>32434</v>
          </cell>
          <cell r="J2243" t="str">
            <v>389.177.298-00</v>
          </cell>
          <cell r="K2243" t="str">
            <v>132.30346.56.3</v>
          </cell>
          <cell r="L2243" t="str">
            <v>Salário Mensal</v>
          </cell>
          <cell r="M2243" t="str">
            <v>Empregado (CLT)</v>
          </cell>
        </row>
        <row r="2244">
          <cell r="D2244" t="str">
            <v>ECOSAMPA Operação Geral</v>
          </cell>
          <cell r="E2244">
            <v>44967</v>
          </cell>
          <cell r="F2244">
            <v>1603.99</v>
          </cell>
          <cell r="G2244" t="str">
            <v>Demitido em Meses Anteriores</v>
          </cell>
          <cell r="H2244">
            <v>44981</v>
          </cell>
          <cell r="I2244">
            <v>34417</v>
          </cell>
          <cell r="J2244" t="str">
            <v>444.925.058-30</v>
          </cell>
          <cell r="K2244" t="str">
            <v>210.71134.23.1</v>
          </cell>
          <cell r="L2244" t="str">
            <v>Salário Mensal</v>
          </cell>
          <cell r="M2244" t="str">
            <v>Empregado (CLT)</v>
          </cell>
        </row>
        <row r="2245">
          <cell r="D2245" t="str">
            <v>ECOSAMPA Santo Amaro</v>
          </cell>
          <cell r="E2245">
            <v>43617</v>
          </cell>
          <cell r="F2245">
            <v>1281.23</v>
          </cell>
          <cell r="G2245" t="str">
            <v>Demitido em Meses Anteriores</v>
          </cell>
          <cell r="H2245">
            <v>43808</v>
          </cell>
          <cell r="I2245">
            <v>19295</v>
          </cell>
          <cell r="J2245" t="str">
            <v>657.634.325-68</v>
          </cell>
          <cell r="K2245" t="str">
            <v>125.33425.91.7</v>
          </cell>
          <cell r="L2245" t="str">
            <v>Salário Mensal</v>
          </cell>
          <cell r="M2245" t="str">
            <v>Empregado (CLT)</v>
          </cell>
        </row>
        <row r="2246">
          <cell r="D2246" t="str">
            <v>ECOSAMPA Operação Geral</v>
          </cell>
          <cell r="E2246">
            <v>43617</v>
          </cell>
          <cell r="F2246">
            <v>3050.22</v>
          </cell>
          <cell r="G2246" t="str">
            <v>Em Atividade Normal</v>
          </cell>
          <cell r="H2246">
            <v>45023</v>
          </cell>
          <cell r="I2246">
            <v>29707</v>
          </cell>
          <cell r="J2246" t="str">
            <v>009.353.905-37</v>
          </cell>
          <cell r="K2246" t="str">
            <v>135.02638.93.3</v>
          </cell>
          <cell r="L2246" t="str">
            <v>Salário Mensal</v>
          </cell>
          <cell r="M2246" t="str">
            <v>Empregado (CLT)</v>
          </cell>
        </row>
        <row r="2247">
          <cell r="D2247" t="str">
            <v>ECOSAMPA Campo Limpo</v>
          </cell>
          <cell r="E2247">
            <v>43617</v>
          </cell>
          <cell r="F2247">
            <v>1603.99</v>
          </cell>
          <cell r="G2247" t="str">
            <v>Em Atividade Normal</v>
          </cell>
          <cell r="H2247">
            <v>44867</v>
          </cell>
          <cell r="I2247">
            <v>31034</v>
          </cell>
          <cell r="J2247" t="str">
            <v>341.009.828-36</v>
          </cell>
          <cell r="K2247" t="str">
            <v>201.15330.42.3</v>
          </cell>
          <cell r="L2247" t="str">
            <v>Salário Mensal</v>
          </cell>
          <cell r="M2247" t="str">
            <v>Empregado (CLT)</v>
          </cell>
        </row>
        <row r="2248">
          <cell r="D2248" t="str">
            <v>ECOSAMPA Operação Geral</v>
          </cell>
          <cell r="E2248">
            <v>43739</v>
          </cell>
          <cell r="F2248">
            <v>3050.22</v>
          </cell>
          <cell r="G2248" t="str">
            <v>Em Atividade Normal</v>
          </cell>
          <cell r="H2248">
            <v>44898</v>
          </cell>
          <cell r="I2248">
            <v>26903</v>
          </cell>
          <cell r="J2248" t="str">
            <v>276.800.248-80</v>
          </cell>
          <cell r="K2248" t="str">
            <v>129.55567.85.1</v>
          </cell>
          <cell r="L2248" t="str">
            <v>Salário Mensal</v>
          </cell>
          <cell r="M2248" t="str">
            <v>Empregado (CLT)</v>
          </cell>
        </row>
        <row r="2249">
          <cell r="D2249" t="str">
            <v>ECOSAMPA Santo Amaro</v>
          </cell>
          <cell r="E2249">
            <v>45180</v>
          </cell>
          <cell r="F2249">
            <v>1603.99</v>
          </cell>
          <cell r="G2249" t="str">
            <v>Em Atividade Normal</v>
          </cell>
          <cell r="H2249">
            <v>45180</v>
          </cell>
          <cell r="I2249">
            <v>29914</v>
          </cell>
          <cell r="J2249" t="str">
            <v>047.468.175-02</v>
          </cell>
          <cell r="K2249" t="str">
            <v>166.86538.11.7</v>
          </cell>
          <cell r="L2249" t="str">
            <v>Salário Mensal</v>
          </cell>
          <cell r="M2249" t="str">
            <v>Empregado (CLT)</v>
          </cell>
        </row>
        <row r="2250">
          <cell r="D2250" t="str">
            <v>ECOSAMPA Operação Geral</v>
          </cell>
          <cell r="E2250">
            <v>43916</v>
          </cell>
          <cell r="F2250">
            <v>1603.99</v>
          </cell>
          <cell r="G2250" t="str">
            <v>Em Atividade Normal</v>
          </cell>
          <cell r="H2250">
            <v>45119</v>
          </cell>
          <cell r="I2250">
            <v>34247</v>
          </cell>
          <cell r="J2250" t="str">
            <v>441.487.218-97</v>
          </cell>
          <cell r="K2250" t="str">
            <v>210.71142.95.1</v>
          </cell>
          <cell r="L2250" t="str">
            <v>Salário Mensal</v>
          </cell>
          <cell r="M2250" t="str">
            <v>Empregado (CLT)</v>
          </cell>
        </row>
        <row r="2251">
          <cell r="D2251" t="str">
            <v>ECOSAMPA Santo Amaro</v>
          </cell>
          <cell r="E2251">
            <v>43874</v>
          </cell>
          <cell r="F2251">
            <v>1464.83</v>
          </cell>
          <cell r="G2251" t="str">
            <v>Demitido em Meses Anteriores</v>
          </cell>
          <cell r="H2251">
            <v>44505</v>
          </cell>
          <cell r="I2251">
            <v>29383</v>
          </cell>
          <cell r="J2251" t="str">
            <v>047.284.074-62</v>
          </cell>
          <cell r="K2251" t="str">
            <v>126.96894.48.7</v>
          </cell>
          <cell r="L2251" t="str">
            <v>Salário Mensal</v>
          </cell>
          <cell r="M2251" t="str">
            <v>Empregado (CLT)</v>
          </cell>
        </row>
        <row r="2252">
          <cell r="D2252" t="str">
            <v>ECOSAMPA Operação Geral</v>
          </cell>
          <cell r="E2252">
            <v>43617</v>
          </cell>
          <cell r="F2252">
            <v>3050.22</v>
          </cell>
          <cell r="G2252" t="str">
            <v>Em Atividade Normal</v>
          </cell>
          <cell r="H2252">
            <v>44867</v>
          </cell>
          <cell r="I2252">
            <v>27976</v>
          </cell>
          <cell r="J2252" t="str">
            <v>179.938.368-75</v>
          </cell>
          <cell r="K2252" t="str">
            <v>125.39122.01.0</v>
          </cell>
          <cell r="L2252" t="str">
            <v>Salário Mensal</v>
          </cell>
          <cell r="M2252" t="str">
            <v>Empregado (CLT)</v>
          </cell>
        </row>
        <row r="2253">
          <cell r="D2253" t="str">
            <v>ECOSAMPA Operação Geral</v>
          </cell>
          <cell r="E2253">
            <v>43627</v>
          </cell>
          <cell r="F2253">
            <v>2726.12</v>
          </cell>
          <cell r="G2253" t="str">
            <v>Demitido em Meses Anteriores</v>
          </cell>
          <cell r="H2253">
            <v>43705</v>
          </cell>
          <cell r="I2253">
            <v>28399</v>
          </cell>
          <cell r="J2253" t="str">
            <v>079.115.607-90</v>
          </cell>
          <cell r="K2253" t="str">
            <v>126.87074.54.5</v>
          </cell>
          <cell r="L2253" t="str">
            <v>Salário Mensal</v>
          </cell>
          <cell r="M2253" t="str">
            <v>Empregado (CLT)</v>
          </cell>
        </row>
        <row r="2254">
          <cell r="D2254" t="str">
            <v>ECOSAMPA Capela do Socorro</v>
          </cell>
          <cell r="E2254">
            <v>43617</v>
          </cell>
          <cell r="F2254">
            <v>1603.99</v>
          </cell>
          <cell r="G2254" t="str">
            <v>Em Atividade Normal</v>
          </cell>
          <cell r="H2254">
            <v>45023</v>
          </cell>
          <cell r="I2254">
            <v>25915</v>
          </cell>
          <cell r="J2254" t="str">
            <v>103.129.668-90</v>
          </cell>
          <cell r="K2254" t="str">
            <v>122.93549.37.4</v>
          </cell>
          <cell r="L2254" t="str">
            <v>Salário Mensal</v>
          </cell>
          <cell r="M2254" t="str">
            <v>Empregado (CLT)</v>
          </cell>
        </row>
        <row r="2255">
          <cell r="D2255" t="str">
            <v>ECOSAMPA Santo Amaro</v>
          </cell>
          <cell r="E2255">
            <v>43617</v>
          </cell>
          <cell r="F2255">
            <v>1603.99</v>
          </cell>
          <cell r="G2255" t="str">
            <v>Em Atividade Normal</v>
          </cell>
          <cell r="H2255">
            <v>44835</v>
          </cell>
          <cell r="I2255">
            <v>25054</v>
          </cell>
          <cell r="J2255" t="str">
            <v>133.204.038-18</v>
          </cell>
          <cell r="K2255" t="str">
            <v>125.49897.85.6</v>
          </cell>
          <cell r="L2255" t="str">
            <v>Salário Mensal</v>
          </cell>
          <cell r="M2255" t="str">
            <v>Empregado (CLT)</v>
          </cell>
        </row>
        <row r="2256">
          <cell r="D2256" t="str">
            <v>ECOSAMPA Operação Geral</v>
          </cell>
          <cell r="E2256">
            <v>43622</v>
          </cell>
          <cell r="F2256">
            <v>4820.3999999999996</v>
          </cell>
          <cell r="G2256" t="str">
            <v>Demitido em Meses Anteriores</v>
          </cell>
          <cell r="H2256">
            <v>44276</v>
          </cell>
          <cell r="I2256">
            <v>20597</v>
          </cell>
          <cell r="J2256" t="str">
            <v>648.849.108-34</v>
          </cell>
          <cell r="K2256" t="str">
            <v>107.30628.86.5</v>
          </cell>
          <cell r="L2256" t="str">
            <v>Salário Mensal</v>
          </cell>
          <cell r="M2256" t="str">
            <v>Empregado (CLT)</v>
          </cell>
        </row>
        <row r="2257">
          <cell r="D2257" t="str">
            <v>ECOSAMPA M'Boi Mirim</v>
          </cell>
          <cell r="E2257">
            <v>43617</v>
          </cell>
          <cell r="F2257">
            <v>1464.83</v>
          </cell>
          <cell r="G2257" t="str">
            <v>Demitido em Meses Anteriores</v>
          </cell>
          <cell r="H2257">
            <v>44669</v>
          </cell>
          <cell r="I2257">
            <v>34670</v>
          </cell>
          <cell r="J2257" t="str">
            <v>071.029.365-83</v>
          </cell>
          <cell r="K2257" t="str">
            <v>203.70288.03.8</v>
          </cell>
          <cell r="L2257" t="str">
            <v>Salário Mensal</v>
          </cell>
          <cell r="M2257" t="str">
            <v>Empregado (CLT)</v>
          </cell>
        </row>
        <row r="2258">
          <cell r="D2258" t="str">
            <v>ECOSAMPA Capela do Socorro</v>
          </cell>
          <cell r="E2258">
            <v>43617</v>
          </cell>
          <cell r="F2258">
            <v>1603.99</v>
          </cell>
          <cell r="G2258" t="str">
            <v>Em Atividade Normal</v>
          </cell>
          <cell r="H2258">
            <v>44835</v>
          </cell>
          <cell r="I2258">
            <v>26968</v>
          </cell>
          <cell r="J2258" t="str">
            <v>260.728.738-39</v>
          </cell>
          <cell r="K2258" t="str">
            <v>124.62900.48.0</v>
          </cell>
          <cell r="L2258" t="str">
            <v>Salário Mensal</v>
          </cell>
          <cell r="M2258" t="str">
            <v>Empregado (CLT)</v>
          </cell>
        </row>
        <row r="2259">
          <cell r="D2259" t="str">
            <v>ECOSAMPA Capela do Socorro</v>
          </cell>
          <cell r="E2259">
            <v>43617</v>
          </cell>
          <cell r="F2259">
            <v>1603.99</v>
          </cell>
          <cell r="G2259" t="str">
            <v>Em Atividade Normal</v>
          </cell>
          <cell r="H2259">
            <v>44835</v>
          </cell>
          <cell r="I2259">
            <v>29732</v>
          </cell>
          <cell r="J2259" t="str">
            <v>224.877.188-62</v>
          </cell>
          <cell r="K2259" t="str">
            <v>129.60107.81.2</v>
          </cell>
          <cell r="L2259" t="str">
            <v>Salário Mensal</v>
          </cell>
          <cell r="M2259" t="str">
            <v>Empregado (CLT)</v>
          </cell>
        </row>
        <row r="2260">
          <cell r="D2260" t="str">
            <v>ECOSAMPA Santo Amaro</v>
          </cell>
          <cell r="E2260">
            <v>43874</v>
          </cell>
          <cell r="F2260">
            <v>1603.99</v>
          </cell>
          <cell r="G2260" t="str">
            <v>Em Atividade Normal</v>
          </cell>
          <cell r="H2260">
            <v>44776</v>
          </cell>
          <cell r="I2260">
            <v>32062</v>
          </cell>
          <cell r="J2260" t="str">
            <v>381.296.788-02</v>
          </cell>
          <cell r="K2260" t="str">
            <v>210.16667.96.7</v>
          </cell>
          <cell r="L2260" t="str">
            <v>Salário Mensal</v>
          </cell>
          <cell r="M2260" t="str">
            <v>Empregado (CLT)</v>
          </cell>
        </row>
        <row r="2261">
          <cell r="D2261" t="str">
            <v>ECOSAMPA Campo Limpo</v>
          </cell>
          <cell r="E2261">
            <v>43617</v>
          </cell>
          <cell r="F2261">
            <v>1603.99</v>
          </cell>
          <cell r="G2261" t="str">
            <v>Em Atividade Normal</v>
          </cell>
          <cell r="H2261">
            <v>44835</v>
          </cell>
          <cell r="I2261">
            <v>25055</v>
          </cell>
          <cell r="J2261" t="str">
            <v>606.116.264-20</v>
          </cell>
          <cell r="K2261" t="str">
            <v>124.02121.46.9</v>
          </cell>
          <cell r="L2261" t="str">
            <v>Salário Mensal</v>
          </cell>
          <cell r="M2261" t="str">
            <v>Empregado (CLT)</v>
          </cell>
        </row>
        <row r="2262">
          <cell r="D2262" t="str">
            <v>ECOSAMPA Capela do Socorro</v>
          </cell>
          <cell r="E2262">
            <v>43617</v>
          </cell>
          <cell r="F2262">
            <v>1603.99</v>
          </cell>
          <cell r="G2262" t="str">
            <v>Em Atividade Normal</v>
          </cell>
          <cell r="H2262">
            <v>44806</v>
          </cell>
          <cell r="I2262">
            <v>26579</v>
          </cell>
          <cell r="J2262" t="str">
            <v>251.877.978-75</v>
          </cell>
          <cell r="K2262" t="str">
            <v>125.39269.75.5</v>
          </cell>
          <cell r="L2262" t="str">
            <v>Salário Mensal</v>
          </cell>
          <cell r="M2262" t="str">
            <v>Empregado (CLT)</v>
          </cell>
        </row>
        <row r="2263">
          <cell r="D2263" t="str">
            <v>ECOSAMPA Operação Geral</v>
          </cell>
          <cell r="E2263">
            <v>43617</v>
          </cell>
          <cell r="F2263">
            <v>1603.99</v>
          </cell>
          <cell r="G2263" t="str">
            <v>Em Atividade Normal</v>
          </cell>
          <cell r="H2263">
            <v>45177</v>
          </cell>
          <cell r="I2263">
            <v>30147</v>
          </cell>
          <cell r="J2263" t="str">
            <v>223.772.758-93</v>
          </cell>
          <cell r="K2263" t="str">
            <v>166.49735.14.1</v>
          </cell>
          <cell r="L2263" t="str">
            <v>Salário Mensal</v>
          </cell>
          <cell r="M2263" t="str">
            <v>Empregado (CLT)</v>
          </cell>
        </row>
        <row r="2264">
          <cell r="D2264" t="str">
            <v>ECOSAMPA Santo Amaro</v>
          </cell>
          <cell r="E2264">
            <v>43617</v>
          </cell>
          <cell r="F2264">
            <v>1603.99</v>
          </cell>
          <cell r="G2264" t="str">
            <v>Em Atividade Normal</v>
          </cell>
          <cell r="H2264">
            <v>45056</v>
          </cell>
          <cell r="I2264">
            <v>29024</v>
          </cell>
          <cell r="J2264" t="str">
            <v>286.901.128-80</v>
          </cell>
          <cell r="K2264" t="str">
            <v>128.17353.77.5</v>
          </cell>
          <cell r="L2264" t="str">
            <v>Salário Mensal</v>
          </cell>
          <cell r="M2264" t="str">
            <v>Empregado (CLT)</v>
          </cell>
        </row>
        <row r="2265">
          <cell r="D2265" t="str">
            <v>ECOSAMPA Operação Geral</v>
          </cell>
          <cell r="E2265">
            <v>43617</v>
          </cell>
          <cell r="F2265">
            <v>3072.1</v>
          </cell>
          <cell r="G2265" t="str">
            <v>Demitido em Meses Anteriores</v>
          </cell>
          <cell r="H2265">
            <v>43703</v>
          </cell>
          <cell r="I2265">
            <v>31737</v>
          </cell>
          <cell r="J2265" t="str">
            <v>070.414.764-56</v>
          </cell>
          <cell r="K2265" t="str">
            <v>209.76228.37.2</v>
          </cell>
          <cell r="L2265" t="str">
            <v>Salário Mensal</v>
          </cell>
          <cell r="M2265" t="str">
            <v>Empregado (CLT)</v>
          </cell>
        </row>
        <row r="2266">
          <cell r="D2266" t="str">
            <v>ECOSAMPA M'Boi Mirim</v>
          </cell>
          <cell r="E2266">
            <v>43617</v>
          </cell>
          <cell r="F2266">
            <v>1281.23</v>
          </cell>
          <cell r="G2266" t="str">
            <v>Demitido em Meses Anteriores</v>
          </cell>
          <cell r="H2266">
            <v>44029</v>
          </cell>
          <cell r="I2266">
            <v>20874</v>
          </cell>
          <cell r="J2266" t="str">
            <v>217.806.778-63</v>
          </cell>
          <cell r="K2266" t="str">
            <v>120.87450.53.8</v>
          </cell>
          <cell r="L2266" t="str">
            <v>Salário Mensal</v>
          </cell>
          <cell r="M2266" t="str">
            <v>Empregado (CLT)</v>
          </cell>
        </row>
        <row r="2267">
          <cell r="D2267" t="str">
            <v>ECOSAMPA Santo Amaro</v>
          </cell>
          <cell r="E2267">
            <v>43617</v>
          </cell>
          <cell r="F2267">
            <v>1603.99</v>
          </cell>
          <cell r="G2267" t="str">
            <v>Em Atividade Normal</v>
          </cell>
          <cell r="H2267">
            <v>45023</v>
          </cell>
          <cell r="I2267">
            <v>25657</v>
          </cell>
          <cell r="J2267" t="str">
            <v>623.224.195-91</v>
          </cell>
          <cell r="K2267" t="str">
            <v>125.46529.78.3</v>
          </cell>
          <cell r="L2267" t="str">
            <v>Salário Mensal</v>
          </cell>
          <cell r="M2267" t="str">
            <v>Empregado (CLT)</v>
          </cell>
        </row>
        <row r="2268">
          <cell r="D2268" t="str">
            <v>ECOSAMPA Capela do Socorro</v>
          </cell>
          <cell r="E2268">
            <v>45180</v>
          </cell>
          <cell r="F2268">
            <v>1603.99</v>
          </cell>
          <cell r="G2268" t="str">
            <v>Em Atividade Normal</v>
          </cell>
          <cell r="H2268">
            <v>45180</v>
          </cell>
          <cell r="I2268">
            <v>29791</v>
          </cell>
          <cell r="J2268" t="str">
            <v>293.501.308-58</v>
          </cell>
          <cell r="K2268" t="str">
            <v>129.12849.81.2</v>
          </cell>
          <cell r="L2268" t="str">
            <v>Salário Mensal</v>
          </cell>
          <cell r="M2268" t="str">
            <v>Empregado (CLT)</v>
          </cell>
        </row>
        <row r="2269">
          <cell r="D2269" t="str">
            <v>ECOSAMPA Operação Geral</v>
          </cell>
          <cell r="E2269">
            <v>44249</v>
          </cell>
          <cell r="F2269">
            <v>2610.2399999999998</v>
          </cell>
          <cell r="G2269" t="str">
            <v>Em Atividade Normal</v>
          </cell>
          <cell r="H2269">
            <v>45198</v>
          </cell>
          <cell r="I2269">
            <v>27406</v>
          </cell>
          <cell r="J2269" t="str">
            <v>149.427.548-10</v>
          </cell>
          <cell r="K2269" t="str">
            <v>124.87605.00.8</v>
          </cell>
          <cell r="L2269" t="str">
            <v>Salário Mensal</v>
          </cell>
          <cell r="M2269" t="str">
            <v>Empregado (CLT)</v>
          </cell>
        </row>
        <row r="2270">
          <cell r="D2270" t="str">
            <v>ECOSAMPA Campo Limpo</v>
          </cell>
          <cell r="E2270">
            <v>43617</v>
          </cell>
          <cell r="F2270">
            <v>1603.99</v>
          </cell>
          <cell r="G2270" t="str">
            <v>Em Atividade Normal</v>
          </cell>
          <cell r="H2270">
            <v>44835</v>
          </cell>
          <cell r="I2270">
            <v>29434</v>
          </cell>
          <cell r="J2270" t="str">
            <v>077.097.616-66</v>
          </cell>
          <cell r="K2270" t="str">
            <v>165.65435.93.7</v>
          </cell>
          <cell r="L2270" t="str">
            <v>Salário Mensal</v>
          </cell>
          <cell r="M2270" t="str">
            <v>Empregado (CLT)</v>
          </cell>
        </row>
        <row r="2271">
          <cell r="D2271" t="str">
            <v>ECOSAMPA Operação Geral</v>
          </cell>
          <cell r="E2271">
            <v>43617</v>
          </cell>
          <cell r="F2271">
            <v>3999.84</v>
          </cell>
          <cell r="G2271" t="str">
            <v>Demitido em Meses Anteriores</v>
          </cell>
          <cell r="H2271">
            <v>45026</v>
          </cell>
          <cell r="I2271">
            <v>29717</v>
          </cell>
          <cell r="J2271" t="str">
            <v>225.933.568-39</v>
          </cell>
          <cell r="K2271" t="str">
            <v>129.63538.85.7</v>
          </cell>
          <cell r="L2271" t="str">
            <v>Salário Mensal</v>
          </cell>
          <cell r="M2271" t="str">
            <v>Empregado (CLT)</v>
          </cell>
        </row>
        <row r="2272">
          <cell r="D2272" t="str">
            <v>ECOSAMPA Capela do Socorro</v>
          </cell>
          <cell r="E2272">
            <v>43617</v>
          </cell>
          <cell r="F2272">
            <v>1603.99</v>
          </cell>
          <cell r="G2272" t="str">
            <v>Em Atividade Normal</v>
          </cell>
          <cell r="H2272">
            <v>45177</v>
          </cell>
          <cell r="I2272">
            <v>22007</v>
          </cell>
          <cell r="J2272" t="str">
            <v>575.926.326-91</v>
          </cell>
          <cell r="K2272" t="str">
            <v>122.02781.76.7</v>
          </cell>
          <cell r="L2272" t="str">
            <v>Salário Mensal</v>
          </cell>
          <cell r="M2272" t="str">
            <v>Empregado (CLT)</v>
          </cell>
        </row>
        <row r="2273">
          <cell r="D2273" t="str">
            <v>ECOSAMPA Capela do Socorro</v>
          </cell>
          <cell r="E2273">
            <v>43617</v>
          </cell>
          <cell r="F2273">
            <v>1603.99</v>
          </cell>
          <cell r="G2273" t="str">
            <v>Gozando Férias</v>
          </cell>
          <cell r="H2273">
            <v>45180</v>
          </cell>
          <cell r="I2273">
            <v>29099</v>
          </cell>
          <cell r="J2273" t="str">
            <v>290.436.718-78</v>
          </cell>
          <cell r="K2273" t="str">
            <v>128.76467.77.3</v>
          </cell>
          <cell r="L2273" t="str">
            <v>Salário Mensal</v>
          </cell>
          <cell r="M2273" t="str">
            <v>Empregado (CLT)</v>
          </cell>
        </row>
        <row r="2274">
          <cell r="D2274" t="str">
            <v>ECOSAMPA Santo Amaro</v>
          </cell>
          <cell r="E2274">
            <v>43811</v>
          </cell>
          <cell r="F2274">
            <v>1281.23</v>
          </cell>
          <cell r="G2274" t="str">
            <v>Demitido em Meses Anteriores</v>
          </cell>
          <cell r="H2274">
            <v>43895</v>
          </cell>
          <cell r="I2274">
            <v>24529</v>
          </cell>
          <cell r="J2274" t="str">
            <v>083.514.698-74</v>
          </cell>
          <cell r="K2274" t="str">
            <v>121.93487.62.8</v>
          </cell>
          <cell r="L2274" t="str">
            <v>Salário Mensal</v>
          </cell>
          <cell r="M2274" t="str">
            <v>Empregado (CLT)</v>
          </cell>
        </row>
        <row r="2275">
          <cell r="D2275" t="str">
            <v>ECOSAMPA Operação Geral</v>
          </cell>
          <cell r="E2275">
            <v>43617</v>
          </cell>
          <cell r="F2275">
            <v>1523.89</v>
          </cell>
          <cell r="G2275" t="str">
            <v>Demitido em Meses Anteriores</v>
          </cell>
          <cell r="H2275">
            <v>43991</v>
          </cell>
          <cell r="I2275">
            <v>23768</v>
          </cell>
          <cell r="J2275" t="str">
            <v>511.462.315-04</v>
          </cell>
          <cell r="K2275" t="str">
            <v>123.81605.74.8</v>
          </cell>
          <cell r="L2275" t="str">
            <v>Salário Mensal</v>
          </cell>
          <cell r="M2275" t="str">
            <v>Empregado (CLT)</v>
          </cell>
        </row>
        <row r="2276">
          <cell r="D2276" t="str">
            <v>ECOSAMPA Operação Geral</v>
          </cell>
          <cell r="E2276">
            <v>43739</v>
          </cell>
          <cell r="F2276">
            <v>3050.22</v>
          </cell>
          <cell r="G2276" t="str">
            <v>Em Atividade Normal</v>
          </cell>
          <cell r="H2276">
            <v>44960</v>
          </cell>
          <cell r="I2276">
            <v>27419</v>
          </cell>
          <cell r="J2276" t="str">
            <v>056.889.156-25</v>
          </cell>
          <cell r="K2276" t="str">
            <v>132.49895.89.9</v>
          </cell>
          <cell r="L2276" t="str">
            <v>Salário Mensal</v>
          </cell>
          <cell r="M2276" t="str">
            <v>Empregado (CLT)</v>
          </cell>
        </row>
        <row r="2277">
          <cell r="D2277" t="str">
            <v>ECOSAMPA Santo Amaro</v>
          </cell>
          <cell r="E2277">
            <v>43617</v>
          </cell>
          <cell r="F2277">
            <v>1603.99</v>
          </cell>
          <cell r="G2277" t="str">
            <v>Em Atividade Normal</v>
          </cell>
          <cell r="H2277">
            <v>44835</v>
          </cell>
          <cell r="I2277">
            <v>32147</v>
          </cell>
          <cell r="J2277" t="str">
            <v>040.938.785-10</v>
          </cell>
          <cell r="K2277" t="str">
            <v>165.33015.93.2</v>
          </cell>
          <cell r="L2277" t="str">
            <v>Salário Mensal</v>
          </cell>
          <cell r="M2277" t="str">
            <v>Empregado (CLT)</v>
          </cell>
        </row>
        <row r="2278">
          <cell r="D2278" t="str">
            <v>ECOSAMPA Parelheiros</v>
          </cell>
          <cell r="E2278">
            <v>43617</v>
          </cell>
          <cell r="F2278">
            <v>1603.99</v>
          </cell>
          <cell r="G2278" t="str">
            <v>Em Atividade Normal</v>
          </cell>
          <cell r="H2278">
            <v>45119</v>
          </cell>
          <cell r="I2278">
            <v>21843</v>
          </cell>
          <cell r="J2278" t="str">
            <v>112.037.058-24</v>
          </cell>
          <cell r="K2278" t="str">
            <v>124.46970.40.2</v>
          </cell>
          <cell r="L2278" t="str">
            <v>Salário Mensal</v>
          </cell>
          <cell r="M2278" t="str">
            <v>Empregado (CLT)</v>
          </cell>
        </row>
        <row r="2279">
          <cell r="D2279" t="str">
            <v>ECOSAMPA Pensionistas</v>
          </cell>
          <cell r="E2279">
            <v>44942</v>
          </cell>
          <cell r="F2279">
            <v>0.01</v>
          </cell>
          <cell r="G2279" t="str">
            <v>Em Atividade Normal</v>
          </cell>
          <cell r="H2279">
            <v>44942</v>
          </cell>
          <cell r="J2279" t="str">
            <v>338.034.428-18</v>
          </cell>
          <cell r="L2279" t="str">
            <v>Nenhuma</v>
          </cell>
          <cell r="M2279" t="str">
            <v>Pensionista</v>
          </cell>
        </row>
        <row r="2280">
          <cell r="D2280" t="str">
            <v>ECOSAMPA Capela do Socorro</v>
          </cell>
          <cell r="E2280">
            <v>43874</v>
          </cell>
          <cell r="F2280">
            <v>1281.23</v>
          </cell>
          <cell r="G2280" t="str">
            <v>Demitido em Meses Anteriores</v>
          </cell>
          <cell r="H2280">
            <v>43888</v>
          </cell>
          <cell r="I2280">
            <v>28806</v>
          </cell>
          <cell r="J2280" t="str">
            <v>269.395.838-58</v>
          </cell>
          <cell r="K2280" t="str">
            <v>130.95744.89.6</v>
          </cell>
          <cell r="L2280" t="str">
            <v>Salário Mensal</v>
          </cell>
          <cell r="M2280" t="str">
            <v>Empregado (CLT)</v>
          </cell>
        </row>
        <row r="2281">
          <cell r="D2281" t="str">
            <v>ECOSAMPA Campo Limpo</v>
          </cell>
          <cell r="E2281">
            <v>43617</v>
          </cell>
          <cell r="F2281">
            <v>1603.99</v>
          </cell>
          <cell r="G2281" t="str">
            <v>Em Atividade Normal</v>
          </cell>
          <cell r="H2281">
            <v>44867</v>
          </cell>
          <cell r="I2281">
            <v>31126</v>
          </cell>
          <cell r="J2281" t="str">
            <v>346.572.818-10</v>
          </cell>
          <cell r="K2281" t="str">
            <v>203.22394.44.3</v>
          </cell>
          <cell r="L2281" t="str">
            <v>Salário Mensal</v>
          </cell>
          <cell r="M2281" t="str">
            <v>Empregado (CLT)</v>
          </cell>
        </row>
        <row r="2282">
          <cell r="D2282" t="str">
            <v>ECOSAMPA Operação Geral</v>
          </cell>
          <cell r="E2282">
            <v>43617</v>
          </cell>
          <cell r="F2282">
            <v>6154.04</v>
          </cell>
          <cell r="G2282" t="str">
            <v>Em Atividade Normal</v>
          </cell>
          <cell r="H2282">
            <v>45174</v>
          </cell>
          <cell r="I2282">
            <v>23024</v>
          </cell>
          <cell r="J2282" t="str">
            <v>028.325.638-99</v>
          </cell>
          <cell r="K2282" t="str">
            <v>107.40155.59.5</v>
          </cell>
          <cell r="L2282" t="str">
            <v>Salário Mensal</v>
          </cell>
          <cell r="M2282" t="str">
            <v>Empregado (CLT)</v>
          </cell>
        </row>
        <row r="2283">
          <cell r="D2283" t="str">
            <v>ECOSAMPA Operação Geral</v>
          </cell>
          <cell r="E2283">
            <v>43617</v>
          </cell>
          <cell r="F2283">
            <v>3050.22</v>
          </cell>
          <cell r="G2283" t="str">
            <v>Demitido em Meses Anteriores</v>
          </cell>
          <cell r="H2283">
            <v>44966</v>
          </cell>
          <cell r="I2283">
            <v>28712</v>
          </cell>
          <cell r="J2283" t="str">
            <v>269.395.898-99</v>
          </cell>
          <cell r="K2283" t="str">
            <v>127.11568.89.1</v>
          </cell>
          <cell r="L2283" t="str">
            <v>Salário Mensal</v>
          </cell>
          <cell r="M2283" t="str">
            <v>Empregado (CLT)</v>
          </cell>
        </row>
        <row r="2284">
          <cell r="D2284" t="str">
            <v>ECOSAMPA Capela do Socorro</v>
          </cell>
          <cell r="E2284">
            <v>43617</v>
          </cell>
          <cell r="F2284">
            <v>1603.99</v>
          </cell>
          <cell r="G2284" t="str">
            <v>Em Atividade Normal</v>
          </cell>
          <cell r="H2284">
            <v>44806</v>
          </cell>
          <cell r="I2284">
            <v>25240</v>
          </cell>
          <cell r="J2284" t="str">
            <v>142.716.328-64</v>
          </cell>
          <cell r="K2284" t="str">
            <v>123.08661.26.9</v>
          </cell>
          <cell r="L2284" t="str">
            <v>Salário Mensal</v>
          </cell>
          <cell r="M2284" t="str">
            <v>Empregado (CLT)</v>
          </cell>
        </row>
        <row r="2285">
          <cell r="D2285" t="str">
            <v>ECOSAMPA M'Boi Mirim</v>
          </cell>
          <cell r="E2285">
            <v>43617</v>
          </cell>
          <cell r="F2285">
            <v>1231.95</v>
          </cell>
          <cell r="G2285" t="str">
            <v>Demitido em Meses Anteriores</v>
          </cell>
          <cell r="H2285">
            <v>43703</v>
          </cell>
          <cell r="I2285">
            <v>29906</v>
          </cell>
          <cell r="J2285" t="str">
            <v>226.296.718-01</v>
          </cell>
          <cell r="K2285" t="str">
            <v>133.95558.89.3</v>
          </cell>
          <cell r="L2285" t="str">
            <v>Salário Mensal</v>
          </cell>
          <cell r="M2285" t="str">
            <v>Empregado (CLT)</v>
          </cell>
        </row>
        <row r="2286">
          <cell r="D2286" t="str">
            <v>ECOSAMPA Operação Geral</v>
          </cell>
          <cell r="E2286">
            <v>44236</v>
          </cell>
          <cell r="F2286">
            <v>3050.22</v>
          </cell>
          <cell r="G2286" t="str">
            <v>Em Atividade Normal</v>
          </cell>
          <cell r="H2286">
            <v>45056</v>
          </cell>
          <cell r="I2286">
            <v>25004</v>
          </cell>
          <cell r="J2286" t="str">
            <v>114.521.648-00</v>
          </cell>
          <cell r="K2286" t="str">
            <v>121.23637.01.9</v>
          </cell>
          <cell r="L2286" t="str">
            <v>Salário Mensal</v>
          </cell>
          <cell r="M2286" t="str">
            <v>Empregado (CLT)</v>
          </cell>
        </row>
        <row r="2287">
          <cell r="D2287" t="str">
            <v>ECOSAMPA Operação Geral</v>
          </cell>
          <cell r="E2287">
            <v>43619</v>
          </cell>
          <cell r="F2287">
            <v>8275.89</v>
          </cell>
          <cell r="G2287" t="str">
            <v>Em Atividade Normal</v>
          </cell>
          <cell r="H2287">
            <v>45071</v>
          </cell>
          <cell r="I2287">
            <v>29159</v>
          </cell>
          <cell r="J2287" t="str">
            <v>284.707.068-02</v>
          </cell>
          <cell r="K2287" t="str">
            <v>128.68035.93.2</v>
          </cell>
          <cell r="L2287" t="str">
            <v>Salário Mensal</v>
          </cell>
          <cell r="M2287" t="str">
            <v>Empregado (CLT)</v>
          </cell>
        </row>
        <row r="2288">
          <cell r="D2288" t="str">
            <v>ECOSAMPA M'Boi Mirim</v>
          </cell>
          <cell r="E2288">
            <v>43617</v>
          </cell>
          <cell r="F2288">
            <v>1603.99</v>
          </cell>
          <cell r="G2288" t="str">
            <v>Em Atividade Normal</v>
          </cell>
          <cell r="H2288">
            <v>44835</v>
          </cell>
          <cell r="I2288">
            <v>25158</v>
          </cell>
          <cell r="J2288" t="str">
            <v>118.412.648-81</v>
          </cell>
          <cell r="K2288" t="str">
            <v>123.32138.68.6</v>
          </cell>
          <cell r="L2288" t="str">
            <v>Salário Mensal</v>
          </cell>
          <cell r="M2288" t="str">
            <v>Empregado (CLT)</v>
          </cell>
        </row>
        <row r="2289">
          <cell r="D2289" t="str">
            <v>ECOSAMPA Operação Geral</v>
          </cell>
          <cell r="E2289">
            <v>43617</v>
          </cell>
          <cell r="F2289">
            <v>1281.23</v>
          </cell>
          <cell r="G2289" t="str">
            <v>Demitido em Meses Anteriores</v>
          </cell>
          <cell r="H2289">
            <v>43895</v>
          </cell>
          <cell r="I2289">
            <v>23478</v>
          </cell>
          <cell r="J2289" t="str">
            <v>033.269.438-06</v>
          </cell>
          <cell r="K2289" t="str">
            <v>120.05451.76.4</v>
          </cell>
          <cell r="L2289" t="str">
            <v>Salário Mensal</v>
          </cell>
          <cell r="M2289" t="str">
            <v>Empregado (CLT)</v>
          </cell>
        </row>
        <row r="2290">
          <cell r="D2290" t="str">
            <v>ECOSAMPA Operação Geral</v>
          </cell>
          <cell r="E2290">
            <v>43617</v>
          </cell>
          <cell r="F2290">
            <v>1907.79</v>
          </cell>
          <cell r="G2290" t="str">
            <v>Gozando Férias</v>
          </cell>
          <cell r="H2290">
            <v>45180</v>
          </cell>
          <cell r="I2290">
            <v>27196</v>
          </cell>
          <cell r="J2290" t="str">
            <v>458.870.713-20</v>
          </cell>
          <cell r="K2290" t="str">
            <v>138.24630.77.9</v>
          </cell>
          <cell r="L2290" t="str">
            <v>Salário Mensal</v>
          </cell>
          <cell r="M2290" t="str">
            <v>Empregado (CLT)</v>
          </cell>
        </row>
        <row r="2291">
          <cell r="D2291" t="str">
            <v>ECOSAMPA Operação Geral</v>
          </cell>
          <cell r="E2291">
            <v>43617</v>
          </cell>
          <cell r="F2291">
            <v>3050.22</v>
          </cell>
          <cell r="G2291" t="str">
            <v>Em Atividade Normal</v>
          </cell>
          <cell r="H2291">
            <v>45149</v>
          </cell>
          <cell r="I2291">
            <v>30511</v>
          </cell>
          <cell r="J2291" t="str">
            <v>017.160.985-99</v>
          </cell>
          <cell r="K2291" t="str">
            <v>209.19742.43.7</v>
          </cell>
          <cell r="L2291" t="str">
            <v>Salário Mensal</v>
          </cell>
          <cell r="M2291" t="str">
            <v>Empregado (CLT)</v>
          </cell>
        </row>
        <row r="2292">
          <cell r="D2292" t="str">
            <v>ECOSAMPA Operação Geral</v>
          </cell>
          <cell r="E2292">
            <v>43617</v>
          </cell>
          <cell r="F2292">
            <v>3999.84</v>
          </cell>
          <cell r="G2292" t="str">
            <v>Em Atividade Normal</v>
          </cell>
          <cell r="H2292">
            <v>44898</v>
          </cell>
          <cell r="I2292">
            <v>29909</v>
          </cell>
          <cell r="J2292" t="str">
            <v>329.869.358-85</v>
          </cell>
          <cell r="K2292" t="str">
            <v>203.90973.83.6</v>
          </cell>
          <cell r="L2292" t="str">
            <v>Salário Mensal</v>
          </cell>
          <cell r="M2292" t="str">
            <v>Empregado (CLT)</v>
          </cell>
        </row>
        <row r="2293">
          <cell r="D2293" t="str">
            <v>ECOSAMPA Operação Geral</v>
          </cell>
          <cell r="E2293">
            <v>43617</v>
          </cell>
          <cell r="F2293">
            <v>3050.22</v>
          </cell>
          <cell r="G2293" t="str">
            <v>Demitido em Meses Anteriores</v>
          </cell>
          <cell r="H2293">
            <v>45091</v>
          </cell>
          <cell r="I2293">
            <v>31036</v>
          </cell>
          <cell r="J2293" t="str">
            <v>339.712.518-97</v>
          </cell>
          <cell r="K2293" t="str">
            <v>207.24868.50.4</v>
          </cell>
          <cell r="L2293" t="str">
            <v>Salário Mensal</v>
          </cell>
          <cell r="M2293" t="str">
            <v>Empregado (CLT)</v>
          </cell>
        </row>
        <row r="2294">
          <cell r="D2294" t="str">
            <v>ECOSAMPA Operação Geral</v>
          </cell>
          <cell r="E2294">
            <v>43916</v>
          </cell>
          <cell r="F2294">
            <v>1603.99</v>
          </cell>
          <cell r="G2294" t="str">
            <v>Em Atividade Normal</v>
          </cell>
          <cell r="H2294">
            <v>45086</v>
          </cell>
          <cell r="I2294">
            <v>34064</v>
          </cell>
          <cell r="J2294" t="str">
            <v>415.765.798-59</v>
          </cell>
          <cell r="K2294" t="str">
            <v>201.14238.04.3</v>
          </cell>
          <cell r="L2294" t="str">
            <v>Salário Mensal</v>
          </cell>
          <cell r="M2294" t="str">
            <v>Empregado (CLT)</v>
          </cell>
        </row>
        <row r="2295">
          <cell r="D2295" t="str">
            <v>ECOSAMPA Pensionistas</v>
          </cell>
          <cell r="E2295">
            <v>43678</v>
          </cell>
          <cell r="F2295">
            <v>0.01</v>
          </cell>
          <cell r="G2295" t="str">
            <v>Em Atividade Normal</v>
          </cell>
          <cell r="H2295">
            <v>43678</v>
          </cell>
          <cell r="J2295" t="str">
            <v>416.445.788-08</v>
          </cell>
          <cell r="L2295" t="str">
            <v>Nenhuma</v>
          </cell>
          <cell r="M2295" t="str">
            <v>Pensionista</v>
          </cell>
        </row>
        <row r="2296">
          <cell r="D2296" t="str">
            <v>ECOSAMPA Operação Geral</v>
          </cell>
          <cell r="E2296">
            <v>44678</v>
          </cell>
          <cell r="F2296">
            <v>3254.98</v>
          </cell>
          <cell r="G2296" t="str">
            <v>Em Atividade Normal</v>
          </cell>
          <cell r="H2296">
            <v>45147</v>
          </cell>
          <cell r="I2296">
            <v>31561</v>
          </cell>
          <cell r="J2296" t="str">
            <v>340.859.228-40</v>
          </cell>
          <cell r="K2296" t="str">
            <v>135.26012.89.9</v>
          </cell>
          <cell r="L2296" t="str">
            <v>Salário Mensal</v>
          </cell>
          <cell r="M2296" t="str">
            <v>Empregado (CLT)</v>
          </cell>
        </row>
        <row r="2297">
          <cell r="D2297" t="str">
            <v>ECOSAMPA Pensionistas</v>
          </cell>
          <cell r="E2297">
            <v>44180</v>
          </cell>
          <cell r="F2297">
            <v>0.01</v>
          </cell>
          <cell r="G2297" t="str">
            <v>Em Atividade Normal</v>
          </cell>
          <cell r="H2297">
            <v>44180</v>
          </cell>
          <cell r="I2297">
            <v>31162</v>
          </cell>
          <cell r="J2297" t="str">
            <v>339.605.278-10</v>
          </cell>
          <cell r="L2297" t="str">
            <v>Nenhuma</v>
          </cell>
          <cell r="M2297" t="str">
            <v>Pensionista</v>
          </cell>
        </row>
        <row r="2298">
          <cell r="D2298" t="str">
            <v>ECOSAMPA Operação Geral</v>
          </cell>
          <cell r="E2298">
            <v>43696</v>
          </cell>
          <cell r="F2298">
            <v>3333.18</v>
          </cell>
          <cell r="G2298" t="str">
            <v>Em Atividade Normal</v>
          </cell>
          <cell r="H2298">
            <v>44993</v>
          </cell>
          <cell r="I2298">
            <v>27967</v>
          </cell>
          <cell r="J2298" t="str">
            <v>896.535.805-15</v>
          </cell>
          <cell r="K2298" t="str">
            <v>126.86776.76.7</v>
          </cell>
          <cell r="L2298" t="str">
            <v>Salário Mensal</v>
          </cell>
          <cell r="M2298" t="str">
            <v>Empregado (CLT)</v>
          </cell>
        </row>
        <row r="2299">
          <cell r="D2299" t="str">
            <v>ECOSAMPA Santo Amaro</v>
          </cell>
          <cell r="E2299">
            <v>43617</v>
          </cell>
          <cell r="F2299">
            <v>1281.23</v>
          </cell>
          <cell r="G2299" t="str">
            <v>Demitido em Meses Anteriores</v>
          </cell>
          <cell r="H2299">
            <v>43840</v>
          </cell>
          <cell r="I2299">
            <v>22667</v>
          </cell>
          <cell r="J2299" t="str">
            <v>036.050.328-42</v>
          </cell>
          <cell r="K2299" t="str">
            <v>108.14870.03.9</v>
          </cell>
          <cell r="L2299" t="str">
            <v>Salário Mensal</v>
          </cell>
          <cell r="M2299" t="str">
            <v>Empregado (CLT)</v>
          </cell>
        </row>
        <row r="2300">
          <cell r="D2300" t="str">
            <v>ECOSAMPA Santo Amaro</v>
          </cell>
          <cell r="E2300">
            <v>43617</v>
          </cell>
          <cell r="F2300">
            <v>1603.99</v>
          </cell>
          <cell r="G2300" t="str">
            <v>Em Atividade Normal</v>
          </cell>
          <cell r="H2300">
            <v>44835</v>
          </cell>
          <cell r="I2300">
            <v>30677</v>
          </cell>
          <cell r="J2300" t="str">
            <v>367.324.418-33</v>
          </cell>
          <cell r="K2300" t="str">
            <v>133.60867.81.4</v>
          </cell>
          <cell r="L2300" t="str">
            <v>Salário Mensal</v>
          </cell>
          <cell r="M2300" t="str">
            <v>Empregado (CLT)</v>
          </cell>
        </row>
        <row r="2301">
          <cell r="D2301" t="str">
            <v>ECOSAMPA Operação Geral</v>
          </cell>
          <cell r="E2301">
            <v>44967</v>
          </cell>
          <cell r="F2301">
            <v>1603.99</v>
          </cell>
          <cell r="G2301" t="str">
            <v>Demitido em Meses Anteriores</v>
          </cell>
          <cell r="H2301">
            <v>44981</v>
          </cell>
          <cell r="I2301">
            <v>36485</v>
          </cell>
          <cell r="J2301" t="str">
            <v>502.837.798-70</v>
          </cell>
          <cell r="K2301" t="str">
            <v>201.15520.92.3</v>
          </cell>
          <cell r="L2301" t="str">
            <v>Salário Mensal</v>
          </cell>
          <cell r="M2301" t="str">
            <v>Empregado (CLT)</v>
          </cell>
        </row>
        <row r="2302">
          <cell r="D2302" t="str">
            <v>ECOSAMPA Capela do Socorro</v>
          </cell>
          <cell r="E2302">
            <v>44308</v>
          </cell>
          <cell r="F2302">
            <v>1603.99</v>
          </cell>
          <cell r="G2302" t="str">
            <v>Em Atividade Normal</v>
          </cell>
          <cell r="H2302">
            <v>44990</v>
          </cell>
          <cell r="I2302">
            <v>36776</v>
          </cell>
          <cell r="J2302" t="str">
            <v>481.233.958-84</v>
          </cell>
          <cell r="K2302" t="str">
            <v>207.81605.78.9</v>
          </cell>
          <cell r="L2302" t="str">
            <v>Salário Mensal</v>
          </cell>
          <cell r="M2302" t="str">
            <v>Empregado (CLT)</v>
          </cell>
        </row>
        <row r="2303">
          <cell r="D2303" t="str">
            <v>ECOSAMPA Campo Limpo</v>
          </cell>
          <cell r="E2303">
            <v>43617</v>
          </cell>
          <cell r="F2303">
            <v>1464.83</v>
          </cell>
          <cell r="G2303" t="str">
            <v>Demitido em Meses Anteriores</v>
          </cell>
          <cell r="H2303">
            <v>44743</v>
          </cell>
          <cell r="I2303">
            <v>32379</v>
          </cell>
          <cell r="J2303" t="str">
            <v>352.519.518-41</v>
          </cell>
          <cell r="K2303" t="str">
            <v>206.86928.31.2</v>
          </cell>
          <cell r="L2303" t="str">
            <v>Salário Mensal</v>
          </cell>
          <cell r="M2303" t="str">
            <v>Empregado (CLT)</v>
          </cell>
        </row>
        <row r="2304">
          <cell r="D2304" t="str">
            <v>ECOSAMPA Parelheiros</v>
          </cell>
          <cell r="E2304">
            <v>44630</v>
          </cell>
          <cell r="F2304">
            <v>1603.99</v>
          </cell>
          <cell r="G2304" t="str">
            <v>Em Atividade Normal</v>
          </cell>
          <cell r="H2304">
            <v>45177</v>
          </cell>
          <cell r="I2304">
            <v>37498</v>
          </cell>
          <cell r="J2304" t="str">
            <v>461.108.828-60</v>
          </cell>
          <cell r="K2304" t="str">
            <v>166.49275.30.2</v>
          </cell>
          <cell r="L2304" t="str">
            <v>Salário Mensal</v>
          </cell>
          <cell r="M2304" t="str">
            <v>Empregado (CLT)</v>
          </cell>
        </row>
        <row r="2305">
          <cell r="D2305" t="str">
            <v>ECOSAMPA Operação Geral</v>
          </cell>
          <cell r="E2305">
            <v>43619</v>
          </cell>
          <cell r="F2305">
            <v>10712</v>
          </cell>
          <cell r="G2305" t="str">
            <v>Demitido em Meses Anteriores</v>
          </cell>
          <cell r="H2305">
            <v>44377</v>
          </cell>
          <cell r="I2305">
            <v>31996</v>
          </cell>
          <cell r="J2305" t="str">
            <v>015.682.410-89</v>
          </cell>
          <cell r="K2305" t="str">
            <v>129.59613.68.8</v>
          </cell>
          <cell r="L2305" t="str">
            <v>Salário Mensal</v>
          </cell>
          <cell r="M2305" t="str">
            <v>Empregado (CLT)</v>
          </cell>
        </row>
        <row r="2306">
          <cell r="D2306" t="str">
            <v>ECOSAMPA PJ</v>
          </cell>
          <cell r="E2306">
            <v>44370</v>
          </cell>
          <cell r="F2306">
            <v>0.01</v>
          </cell>
          <cell r="G2306" t="str">
            <v>Em Atividade Normal</v>
          </cell>
          <cell r="H2306">
            <v>44370</v>
          </cell>
          <cell r="I2306">
            <v>31996</v>
          </cell>
          <cell r="J2306" t="str">
            <v>015.682.410-89</v>
          </cell>
          <cell r="K2306" t="str">
            <v>129.59613.68.8</v>
          </cell>
          <cell r="L2306" t="str">
            <v>Salário Mensal</v>
          </cell>
          <cell r="M2306" t="str">
            <v>Pessoa Jurídica</v>
          </cell>
        </row>
        <row r="2307">
          <cell r="D2307" t="str">
            <v>ECOSAMPA Capela do Socorro</v>
          </cell>
          <cell r="E2307">
            <v>43617</v>
          </cell>
          <cell r="F2307">
            <v>1281.23</v>
          </cell>
          <cell r="G2307" t="str">
            <v>Demitido em Meses Anteriores</v>
          </cell>
          <cell r="H2307">
            <v>43808</v>
          </cell>
          <cell r="I2307">
            <v>22327</v>
          </cell>
          <cell r="J2307" t="str">
            <v>064.541.728-99</v>
          </cell>
          <cell r="K2307" t="str">
            <v>122.93808.13.2</v>
          </cell>
          <cell r="L2307" t="str">
            <v>Salário Mensal</v>
          </cell>
          <cell r="M2307" t="str">
            <v>Empregado (CLT)</v>
          </cell>
        </row>
        <row r="2308">
          <cell r="D2308" t="str">
            <v>ECOSAMPA Administração</v>
          </cell>
          <cell r="E2308">
            <v>45040</v>
          </cell>
          <cell r="F2308">
            <v>1320</v>
          </cell>
          <cell r="G2308" t="str">
            <v>Em Atividade Normal</v>
          </cell>
          <cell r="H2308">
            <v>45040</v>
          </cell>
          <cell r="I2308">
            <v>38369</v>
          </cell>
          <cell r="J2308" t="str">
            <v>509.239.628-83</v>
          </cell>
          <cell r="K2308" t="str">
            <v>270.40812.87.3</v>
          </cell>
          <cell r="L2308" t="str">
            <v>Salário Mensal</v>
          </cell>
          <cell r="M2308" t="str">
            <v>Menor Aprendiz</v>
          </cell>
        </row>
        <row r="2309">
          <cell r="D2309" t="str">
            <v>ECOSAMPA Capela do Socorro</v>
          </cell>
          <cell r="E2309">
            <v>43617</v>
          </cell>
          <cell r="F2309">
            <v>1319.67</v>
          </cell>
          <cell r="G2309" t="str">
            <v>Demitido em Meses Anteriores</v>
          </cell>
          <cell r="H2309">
            <v>44173</v>
          </cell>
          <cell r="I2309">
            <v>34301</v>
          </cell>
          <cell r="J2309" t="str">
            <v>436.491.708-76</v>
          </cell>
          <cell r="K2309" t="str">
            <v>207.79812.26.8</v>
          </cell>
          <cell r="L2309" t="str">
            <v>Salário Mensal</v>
          </cell>
          <cell r="M2309" t="str">
            <v>Empregado (CLT)</v>
          </cell>
        </row>
        <row r="2310">
          <cell r="D2310" t="str">
            <v>ECOSAMPA Capela do Socorro</v>
          </cell>
          <cell r="E2310">
            <v>43712</v>
          </cell>
          <cell r="F2310">
            <v>1603.99</v>
          </cell>
          <cell r="G2310" t="str">
            <v>Em Atividade Normal</v>
          </cell>
          <cell r="H2310">
            <v>45119</v>
          </cell>
          <cell r="I2310">
            <v>36566</v>
          </cell>
          <cell r="J2310" t="str">
            <v>543.902.668-10</v>
          </cell>
          <cell r="K2310" t="str">
            <v>137.32435.78.3</v>
          </cell>
          <cell r="L2310" t="str">
            <v>Salário Mensal</v>
          </cell>
          <cell r="M2310" t="str">
            <v>Empregado (CLT)</v>
          </cell>
        </row>
        <row r="2311">
          <cell r="D2311" t="str">
            <v>ECOSAMPA Santo Amaro</v>
          </cell>
          <cell r="E2311">
            <v>43811</v>
          </cell>
          <cell r="F2311">
            <v>1603.99</v>
          </cell>
          <cell r="G2311" t="str">
            <v>Em Atividade Normal</v>
          </cell>
          <cell r="H2311">
            <v>45086</v>
          </cell>
          <cell r="I2311">
            <v>36217</v>
          </cell>
          <cell r="J2311" t="str">
            <v>523.688.218-48</v>
          </cell>
          <cell r="K2311" t="str">
            <v>166.32429.23.9</v>
          </cell>
          <cell r="L2311" t="str">
            <v>Salário Mensal</v>
          </cell>
          <cell r="M2311" t="str">
            <v>Empregado (CLT)</v>
          </cell>
        </row>
        <row r="2312">
          <cell r="D2312" t="str">
            <v>ECOSAMPA Capela do Socorro</v>
          </cell>
          <cell r="E2312">
            <v>44048</v>
          </cell>
          <cell r="F2312">
            <v>1319.67</v>
          </cell>
          <cell r="G2312" t="str">
            <v>Demitido em Meses Anteriores</v>
          </cell>
          <cell r="H2312">
            <v>44361</v>
          </cell>
          <cell r="I2312">
            <v>35846</v>
          </cell>
          <cell r="J2312" t="str">
            <v>484.303.448-70</v>
          </cell>
          <cell r="K2312" t="str">
            <v>237.06181.35.1</v>
          </cell>
          <cell r="L2312" t="str">
            <v>Salário Mensal</v>
          </cell>
          <cell r="M2312" t="str">
            <v>Empregado (CLT)</v>
          </cell>
        </row>
        <row r="2313">
          <cell r="D2313" t="str">
            <v>ECOSAMPA Administração</v>
          </cell>
          <cell r="E2313">
            <v>43617</v>
          </cell>
          <cell r="F2313">
            <v>2610.2399999999998</v>
          </cell>
          <cell r="G2313" t="str">
            <v>Em Atividade Normal</v>
          </cell>
          <cell r="H2313">
            <v>44898</v>
          </cell>
          <cell r="I2313">
            <v>32664</v>
          </cell>
          <cell r="J2313" t="str">
            <v>230.705.028-06</v>
          </cell>
          <cell r="K2313" t="str">
            <v>201.15796.68.6</v>
          </cell>
          <cell r="L2313" t="str">
            <v>Salário Mensal</v>
          </cell>
          <cell r="M2313" t="str">
            <v>Empregado (CLT)</v>
          </cell>
        </row>
        <row r="2314">
          <cell r="D2314" t="str">
            <v>ECOSAMPA Capela do Socorro</v>
          </cell>
          <cell r="E2314">
            <v>43617</v>
          </cell>
          <cell r="F2314">
            <v>1281.23</v>
          </cell>
          <cell r="G2314" t="str">
            <v>Demitido em Meses Anteriores</v>
          </cell>
          <cell r="H2314">
            <v>43801</v>
          </cell>
          <cell r="I2314">
            <v>33609</v>
          </cell>
          <cell r="J2314" t="str">
            <v>419.758.798-80</v>
          </cell>
          <cell r="K2314" t="str">
            <v>210.13477.34.2</v>
          </cell>
          <cell r="L2314" t="str">
            <v>Salário Mensal</v>
          </cell>
          <cell r="M2314" t="str">
            <v>Empregado (CLT)</v>
          </cell>
        </row>
        <row r="2315">
          <cell r="D2315" t="str">
            <v>ECOSAMPA M'Boi Mirim</v>
          </cell>
          <cell r="E2315">
            <v>45022</v>
          </cell>
          <cell r="F2315">
            <v>1603.99</v>
          </cell>
          <cell r="G2315" t="str">
            <v>Em Atividade Normal</v>
          </cell>
          <cell r="H2315">
            <v>45022</v>
          </cell>
          <cell r="I2315">
            <v>29852</v>
          </cell>
          <cell r="J2315" t="str">
            <v>300.050.088-08</v>
          </cell>
          <cell r="K2315" t="str">
            <v>128.99536.93.3</v>
          </cell>
          <cell r="L2315" t="str">
            <v>Salário Mensal</v>
          </cell>
          <cell r="M2315" t="str">
            <v>Empregado (CLT)</v>
          </cell>
        </row>
        <row r="2316">
          <cell r="D2316" t="str">
            <v>ECOSAMPA Operação Geral</v>
          </cell>
          <cell r="E2316">
            <v>43619</v>
          </cell>
          <cell r="F2316">
            <v>2383.7800000000002</v>
          </cell>
          <cell r="G2316" t="str">
            <v>Demitido em Meses Anteriores</v>
          </cell>
          <cell r="H2316">
            <v>44533</v>
          </cell>
          <cell r="I2316">
            <v>30412</v>
          </cell>
          <cell r="J2316" t="str">
            <v>377.944.708-89</v>
          </cell>
          <cell r="K2316" t="str">
            <v>166.20032.28.2</v>
          </cell>
          <cell r="L2316" t="str">
            <v>Salário Mensal</v>
          </cell>
          <cell r="M2316" t="str">
            <v>Empregado (CLT)</v>
          </cell>
        </row>
        <row r="2317">
          <cell r="D2317" t="str">
            <v>ECOSAMPA Operação Geral</v>
          </cell>
          <cell r="E2317">
            <v>44967</v>
          </cell>
          <cell r="F2317">
            <v>3050.22</v>
          </cell>
          <cell r="G2317" t="str">
            <v>Demitido em Meses Anteriores</v>
          </cell>
          <cell r="H2317">
            <v>44981</v>
          </cell>
          <cell r="I2317">
            <v>29470</v>
          </cell>
          <cell r="J2317" t="str">
            <v>824.131.505-87</v>
          </cell>
          <cell r="K2317" t="str">
            <v>127.27517.08.6</v>
          </cell>
          <cell r="L2317" t="str">
            <v>Salário Mensal</v>
          </cell>
          <cell r="M2317" t="str">
            <v>Empregado (CLT)</v>
          </cell>
        </row>
        <row r="2318">
          <cell r="D2318" t="str">
            <v>ECOSAMPA Operação Geral</v>
          </cell>
          <cell r="E2318">
            <v>45089</v>
          </cell>
          <cell r="F2318">
            <v>3050.22</v>
          </cell>
          <cell r="G2318" t="str">
            <v>Em Atividade Normal</v>
          </cell>
          <cell r="H2318">
            <v>45089</v>
          </cell>
          <cell r="I2318">
            <v>29470</v>
          </cell>
          <cell r="J2318" t="str">
            <v>824.131.505-87</v>
          </cell>
          <cell r="K2318" t="str">
            <v>127.27517.08.6</v>
          </cell>
          <cell r="L2318" t="str">
            <v>Salário Mensal</v>
          </cell>
          <cell r="M2318" t="str">
            <v>Empregado (CLT)</v>
          </cell>
        </row>
        <row r="2319">
          <cell r="D2319" t="str">
            <v>ECOSAMPA Santo Amaro</v>
          </cell>
          <cell r="E2319">
            <v>43811</v>
          </cell>
          <cell r="F2319">
            <v>1281.23</v>
          </cell>
          <cell r="G2319" t="str">
            <v>Demitido em Meses Anteriores</v>
          </cell>
          <cell r="H2319">
            <v>43895</v>
          </cell>
          <cell r="I2319">
            <v>30367</v>
          </cell>
          <cell r="J2319" t="str">
            <v>304.761.478-40</v>
          </cell>
          <cell r="K2319" t="str">
            <v>131.66599.81.8</v>
          </cell>
          <cell r="L2319" t="str">
            <v>Salário Mensal</v>
          </cell>
          <cell r="M2319" t="str">
            <v>Empregado (CLT)</v>
          </cell>
        </row>
        <row r="2320">
          <cell r="D2320" t="str">
            <v>ECOSAMPA Capela do Socorro</v>
          </cell>
          <cell r="E2320">
            <v>45098</v>
          </cell>
          <cell r="F2320">
            <v>1603.99</v>
          </cell>
          <cell r="G2320" t="str">
            <v>Em Atividade Normal</v>
          </cell>
          <cell r="H2320">
            <v>45098</v>
          </cell>
          <cell r="I2320">
            <v>32255</v>
          </cell>
          <cell r="J2320" t="str">
            <v>356.490.648-73</v>
          </cell>
          <cell r="K2320" t="str">
            <v>210.13761.45.8</v>
          </cell>
          <cell r="L2320" t="str">
            <v>Salário Mensal</v>
          </cell>
          <cell r="M2320" t="str">
            <v>Empregado (CLT)</v>
          </cell>
        </row>
        <row r="2321">
          <cell r="D2321" t="str">
            <v>ECOSAMPA Santo Amaro</v>
          </cell>
          <cell r="E2321">
            <v>43811</v>
          </cell>
          <cell r="F2321">
            <v>1603.99</v>
          </cell>
          <cell r="G2321" t="str">
            <v>Em Atividade Normal</v>
          </cell>
          <cell r="H2321">
            <v>45119</v>
          </cell>
          <cell r="I2321">
            <v>25978</v>
          </cell>
          <cell r="J2321" t="str">
            <v>273.666.738-70</v>
          </cell>
          <cell r="K2321" t="str">
            <v>131.20730.81.4</v>
          </cell>
          <cell r="L2321" t="str">
            <v>Salário Mensal</v>
          </cell>
          <cell r="M2321" t="str">
            <v>Empregado (CLT)</v>
          </cell>
        </row>
        <row r="2322">
          <cell r="D2322" t="str">
            <v>ECOSAMPA Operação Geral</v>
          </cell>
          <cell r="E2322">
            <v>43617</v>
          </cell>
          <cell r="F2322">
            <v>3050.22</v>
          </cell>
          <cell r="G2322" t="str">
            <v>Em Atividade Normal</v>
          </cell>
          <cell r="H2322">
            <v>44835</v>
          </cell>
          <cell r="I2322">
            <v>32154</v>
          </cell>
          <cell r="J2322" t="str">
            <v>354.527.328-88</v>
          </cell>
          <cell r="K2322" t="str">
            <v>204.30338.79.6</v>
          </cell>
          <cell r="L2322" t="str">
            <v>Salário Mensal</v>
          </cell>
          <cell r="M2322" t="str">
            <v>Empregado (CLT)</v>
          </cell>
        </row>
        <row r="2323">
          <cell r="D2323" t="str">
            <v>ECOSAMPA Operação Geral</v>
          </cell>
          <cell r="E2323">
            <v>43617</v>
          </cell>
          <cell r="F2323">
            <v>3050.22</v>
          </cell>
          <cell r="G2323" t="str">
            <v>Em Atividade Normal</v>
          </cell>
          <cell r="H2323">
            <v>44867</v>
          </cell>
          <cell r="I2323">
            <v>28223</v>
          </cell>
          <cell r="J2323" t="str">
            <v>135.951.968-80</v>
          </cell>
          <cell r="K2323" t="str">
            <v>125.63428.77.9</v>
          </cell>
          <cell r="L2323" t="str">
            <v>Salário Mensal</v>
          </cell>
          <cell r="M2323" t="str">
            <v>Empregado (CLT)</v>
          </cell>
        </row>
        <row r="2324">
          <cell r="D2324" t="str">
            <v>ECOSAMPA Santo Amaro</v>
          </cell>
          <cell r="E2324">
            <v>44582</v>
          </cell>
          <cell r="F2324">
            <v>1603.99</v>
          </cell>
          <cell r="G2324" t="str">
            <v>Em Atividade Normal</v>
          </cell>
          <cell r="H2324">
            <v>44582</v>
          </cell>
          <cell r="I2324">
            <v>31787</v>
          </cell>
          <cell r="J2324" t="str">
            <v>346.339.828-18</v>
          </cell>
          <cell r="K2324" t="str">
            <v>165.69272.18.8</v>
          </cell>
          <cell r="L2324" t="str">
            <v>Salário Mensal</v>
          </cell>
          <cell r="M2324" t="str">
            <v>Empregado (CLT)</v>
          </cell>
        </row>
        <row r="2325">
          <cell r="D2325" t="str">
            <v>ECOSAMPA Operação Geral</v>
          </cell>
          <cell r="E2325">
            <v>44967</v>
          </cell>
          <cell r="F2325">
            <v>1603.99</v>
          </cell>
          <cell r="G2325" t="str">
            <v>Demitido em Meses Anteriores</v>
          </cell>
          <cell r="H2325">
            <v>44981</v>
          </cell>
          <cell r="I2325">
            <v>28570</v>
          </cell>
          <cell r="J2325" t="str">
            <v>226.785.808-81</v>
          </cell>
          <cell r="K2325" t="str">
            <v>130.33135.89.6</v>
          </cell>
          <cell r="L2325" t="str">
            <v>Salário Mensal</v>
          </cell>
          <cell r="M2325" t="str">
            <v>Empregado (CLT)</v>
          </cell>
        </row>
        <row r="2326">
          <cell r="D2326" t="str">
            <v>ECOSAMPA Campo Limpo</v>
          </cell>
          <cell r="E2326">
            <v>43617</v>
          </cell>
          <cell r="F2326">
            <v>1464.83</v>
          </cell>
          <cell r="G2326" t="str">
            <v>Demitido em Meses Anteriores</v>
          </cell>
          <cell r="H2326">
            <v>44743</v>
          </cell>
          <cell r="I2326">
            <v>33896</v>
          </cell>
          <cell r="J2326" t="str">
            <v>382.830.388-93</v>
          </cell>
          <cell r="K2326" t="str">
            <v>204.88501.96.7</v>
          </cell>
          <cell r="L2326" t="str">
            <v>Salário Mensal</v>
          </cell>
          <cell r="M2326" t="str">
            <v>Empregado (CLT)</v>
          </cell>
        </row>
        <row r="2327">
          <cell r="D2327" t="str">
            <v>ECOSAMPA Campo Limpo</v>
          </cell>
          <cell r="E2327">
            <v>43617</v>
          </cell>
          <cell r="F2327">
            <v>1464.83</v>
          </cell>
          <cell r="G2327" t="str">
            <v>Demitido em Meses Anteriores</v>
          </cell>
          <cell r="H2327">
            <v>44599</v>
          </cell>
          <cell r="I2327">
            <v>33264</v>
          </cell>
          <cell r="J2327" t="str">
            <v>381.410.598-23</v>
          </cell>
          <cell r="K2327" t="str">
            <v>210.14701.90.4</v>
          </cell>
          <cell r="L2327" t="str">
            <v>Salário Mensal</v>
          </cell>
          <cell r="M2327" t="str">
            <v>Empregado (CLT)</v>
          </cell>
        </row>
        <row r="2328">
          <cell r="D2328" t="str">
            <v>ECOSAMPA Operação Geral</v>
          </cell>
          <cell r="E2328">
            <v>43617</v>
          </cell>
          <cell r="F2328">
            <v>3050.22</v>
          </cell>
          <cell r="G2328" t="str">
            <v>Em Atividade Normal</v>
          </cell>
          <cell r="H2328">
            <v>45119</v>
          </cell>
          <cell r="I2328">
            <v>31658</v>
          </cell>
          <cell r="J2328" t="str">
            <v>346.023.628-00</v>
          </cell>
          <cell r="K2328" t="str">
            <v>201.15667.51.7</v>
          </cell>
          <cell r="L2328" t="str">
            <v>Salário Mensal</v>
          </cell>
          <cell r="M2328" t="str">
            <v>Empregado (CLT)</v>
          </cell>
        </row>
        <row r="2329">
          <cell r="D2329" t="str">
            <v>ECOSAMPA Campo Limpo</v>
          </cell>
          <cell r="E2329">
            <v>43617</v>
          </cell>
          <cell r="F2329">
            <v>1281.23</v>
          </cell>
          <cell r="G2329" t="str">
            <v>Demitido em Meses Anteriores</v>
          </cell>
          <cell r="H2329">
            <v>43895</v>
          </cell>
          <cell r="I2329">
            <v>30020</v>
          </cell>
          <cell r="J2329" t="str">
            <v>328.648.288-98</v>
          </cell>
          <cell r="K2329" t="str">
            <v>201.15509.64.4</v>
          </cell>
          <cell r="L2329" t="str">
            <v>Salário Mensal</v>
          </cell>
          <cell r="M2329" t="str">
            <v>Empregado (CLT)</v>
          </cell>
        </row>
        <row r="2330">
          <cell r="D2330" t="str">
            <v>ECOSAMPA Operação Geral</v>
          </cell>
          <cell r="E2330">
            <v>43917</v>
          </cell>
          <cell r="F2330">
            <v>3050.22</v>
          </cell>
          <cell r="G2330" t="str">
            <v>Em Atividade Normal</v>
          </cell>
          <cell r="H2330">
            <v>45086</v>
          </cell>
          <cell r="I2330">
            <v>25954</v>
          </cell>
          <cell r="J2330" t="str">
            <v>147.759.128-10</v>
          </cell>
          <cell r="K2330" t="str">
            <v>123.03058.76.9</v>
          </cell>
          <cell r="L2330" t="str">
            <v>Salário Mensal</v>
          </cell>
          <cell r="M2330" t="str">
            <v>Empregado (CLT)</v>
          </cell>
        </row>
        <row r="2331">
          <cell r="D2331" t="str">
            <v>ECOSAMPA Operação Geral</v>
          </cell>
          <cell r="E2331">
            <v>43916</v>
          </cell>
          <cell r="F2331">
            <v>1603.99</v>
          </cell>
          <cell r="G2331" t="str">
            <v>Em Atividade Normal</v>
          </cell>
          <cell r="H2331">
            <v>45149</v>
          </cell>
          <cell r="I2331">
            <v>36501</v>
          </cell>
          <cell r="J2331" t="str">
            <v>486.114.218-09</v>
          </cell>
          <cell r="K2331" t="str">
            <v>267.87237.06.3</v>
          </cell>
          <cell r="L2331" t="str">
            <v>Salário Mensal</v>
          </cell>
          <cell r="M2331" t="str">
            <v>Empregado (CLT)</v>
          </cell>
        </row>
        <row r="2332">
          <cell r="D2332" t="str">
            <v>ECOSAMPA Operação Geral</v>
          </cell>
          <cell r="E2332">
            <v>44967</v>
          </cell>
          <cell r="F2332">
            <v>3050.22</v>
          </cell>
          <cell r="G2332" t="str">
            <v>Demitido em Meses Anteriores</v>
          </cell>
          <cell r="H2332">
            <v>44981</v>
          </cell>
          <cell r="I2332">
            <v>22817</v>
          </cell>
          <cell r="J2332" t="str">
            <v>203.984.598-43</v>
          </cell>
          <cell r="K2332" t="str">
            <v>107.05082.78.1</v>
          </cell>
          <cell r="L2332" t="str">
            <v>Salário Mensal</v>
          </cell>
          <cell r="M2332" t="str">
            <v>Empregado (CLT)</v>
          </cell>
        </row>
        <row r="2333">
          <cell r="D2333" t="str">
            <v>ECOSAMPA Operação Geral</v>
          </cell>
          <cell r="E2333">
            <v>45089</v>
          </cell>
          <cell r="F2333">
            <v>3050.22</v>
          </cell>
          <cell r="G2333" t="str">
            <v>Em Atividade Normal</v>
          </cell>
          <cell r="H2333">
            <v>45089</v>
          </cell>
          <cell r="I2333">
            <v>22817</v>
          </cell>
          <cell r="J2333" t="str">
            <v>203.984.598-43</v>
          </cell>
          <cell r="K2333" t="str">
            <v>107.05082.78.1</v>
          </cell>
          <cell r="L2333" t="str">
            <v>Salário Mensal</v>
          </cell>
          <cell r="M2333" t="str">
            <v>Empregado (CLT)</v>
          </cell>
        </row>
        <row r="2334">
          <cell r="D2334" t="str">
            <v>ECOSAMPA Capela do Socorro</v>
          </cell>
          <cell r="E2334">
            <v>43617</v>
          </cell>
          <cell r="F2334">
            <v>1603.99</v>
          </cell>
          <cell r="G2334" t="str">
            <v>Em Atividade Normal</v>
          </cell>
          <cell r="H2334">
            <v>44835</v>
          </cell>
          <cell r="I2334">
            <v>28801</v>
          </cell>
          <cell r="J2334" t="str">
            <v>280.288.298-80</v>
          </cell>
          <cell r="K2334" t="str">
            <v>132.34404.77.0</v>
          </cell>
          <cell r="L2334" t="str">
            <v>Salário Mensal</v>
          </cell>
          <cell r="M2334" t="str">
            <v>Empregado (CLT)</v>
          </cell>
        </row>
        <row r="2335">
          <cell r="D2335" t="str">
            <v>ECOSAMPA Santo Amaro</v>
          </cell>
          <cell r="E2335">
            <v>43617</v>
          </cell>
          <cell r="F2335">
            <v>1603.99</v>
          </cell>
          <cell r="G2335" t="str">
            <v>Em Atividade Normal</v>
          </cell>
          <cell r="H2335">
            <v>45023</v>
          </cell>
          <cell r="I2335">
            <v>34873</v>
          </cell>
          <cell r="J2335" t="str">
            <v>417.207.828-14</v>
          </cell>
          <cell r="K2335" t="str">
            <v>206.22312.88.4</v>
          </cell>
          <cell r="L2335" t="str">
            <v>Salário Mensal</v>
          </cell>
          <cell r="M2335" t="str">
            <v>Empregado (CLT)</v>
          </cell>
        </row>
        <row r="2336">
          <cell r="D2336" t="str">
            <v>ECOSAMPA Operação Geral</v>
          </cell>
          <cell r="E2336">
            <v>44994</v>
          </cell>
          <cell r="F2336">
            <v>1952.99</v>
          </cell>
          <cell r="G2336" t="str">
            <v>Em Atividade Normal</v>
          </cell>
          <cell r="H2336">
            <v>44994</v>
          </cell>
          <cell r="I2336">
            <v>33975</v>
          </cell>
          <cell r="J2336" t="str">
            <v>416.014.658-90</v>
          </cell>
          <cell r="K2336" t="str">
            <v>201.15042.63.0</v>
          </cell>
          <cell r="L2336" t="str">
            <v>Salário Mensal</v>
          </cell>
          <cell r="M2336" t="str">
            <v>Empregado (CLT)</v>
          </cell>
        </row>
        <row r="2337">
          <cell r="D2337" t="str">
            <v>ECOSAMPA Operação Geral</v>
          </cell>
          <cell r="E2337">
            <v>44972</v>
          </cell>
          <cell r="F2337">
            <v>1603.99</v>
          </cell>
          <cell r="G2337" t="str">
            <v>Demitido em Meses Anteriores</v>
          </cell>
          <cell r="H2337">
            <v>44986</v>
          </cell>
          <cell r="I2337">
            <v>30519</v>
          </cell>
          <cell r="J2337" t="str">
            <v>310.216.358-04</v>
          </cell>
          <cell r="K2337" t="str">
            <v>129.13833.81.2</v>
          </cell>
          <cell r="L2337" t="str">
            <v>Salário Mensal</v>
          </cell>
          <cell r="M2337" t="str">
            <v>Empregado (CLT)</v>
          </cell>
        </row>
        <row r="2338">
          <cell r="D2338" t="str">
            <v>ECOSAMPA Campo Limpo</v>
          </cell>
          <cell r="E2338">
            <v>43617</v>
          </cell>
          <cell r="F2338">
            <v>1907.79</v>
          </cell>
          <cell r="G2338" t="str">
            <v>Em Atividade Normal</v>
          </cell>
          <cell r="H2338">
            <v>44993</v>
          </cell>
          <cell r="I2338">
            <v>27574</v>
          </cell>
          <cell r="J2338" t="str">
            <v>195.794.348-32</v>
          </cell>
          <cell r="K2338" t="str">
            <v>125.38193.41.0</v>
          </cell>
          <cell r="L2338" t="str">
            <v>Salário Mensal</v>
          </cell>
          <cell r="M2338" t="str">
            <v>Empregado (CLT)</v>
          </cell>
        </row>
        <row r="2339">
          <cell r="D2339" t="str">
            <v>ECOSAMPA M'Boi Mirim</v>
          </cell>
          <cell r="E2339">
            <v>43617</v>
          </cell>
          <cell r="F2339">
            <v>1603.99</v>
          </cell>
          <cell r="G2339" t="str">
            <v>Em Atividade Normal</v>
          </cell>
          <cell r="H2339">
            <v>44806</v>
          </cell>
          <cell r="I2339">
            <v>25357</v>
          </cell>
          <cell r="J2339" t="str">
            <v>900.586.905-49</v>
          </cell>
          <cell r="K2339" t="str">
            <v>125.57667.05.8</v>
          </cell>
          <cell r="L2339" t="str">
            <v>Salário Mensal</v>
          </cell>
          <cell r="M2339" t="str">
            <v>Empregado (CLT)</v>
          </cell>
        </row>
        <row r="2340">
          <cell r="D2340" t="str">
            <v>ECOSAMPA Capela do Socorro</v>
          </cell>
          <cell r="E2340">
            <v>44945</v>
          </cell>
          <cell r="F2340">
            <v>1603.99</v>
          </cell>
          <cell r="G2340" t="str">
            <v>Em Atividade Normal</v>
          </cell>
          <cell r="H2340">
            <v>44945</v>
          </cell>
          <cell r="I2340">
            <v>24106</v>
          </cell>
          <cell r="J2340" t="str">
            <v>077.914.158-01</v>
          </cell>
          <cell r="K2340" t="str">
            <v>108.67796.63.1</v>
          </cell>
          <cell r="L2340" t="str">
            <v>Salário Mensal</v>
          </cell>
          <cell r="M2340" t="str">
            <v>Empregado (CLT)</v>
          </cell>
        </row>
        <row r="2341">
          <cell r="D2341" t="str">
            <v>ECOSAMPA Campo Limpo</v>
          </cell>
          <cell r="E2341">
            <v>43617</v>
          </cell>
          <cell r="F2341">
            <v>1464.83</v>
          </cell>
          <cell r="G2341" t="str">
            <v>Demitido em Meses Anteriores</v>
          </cell>
          <cell r="H2341">
            <v>44658</v>
          </cell>
          <cell r="I2341">
            <v>32766</v>
          </cell>
          <cell r="J2341" t="str">
            <v>383.508.068-77</v>
          </cell>
          <cell r="K2341" t="str">
            <v>209.60084.16.3</v>
          </cell>
          <cell r="L2341" t="str">
            <v>Salário Mensal</v>
          </cell>
          <cell r="M2341" t="str">
            <v>Empregado (CLT)</v>
          </cell>
        </row>
        <row r="2342">
          <cell r="D2342" t="str">
            <v>ECOSAMPA Campo Limpo</v>
          </cell>
          <cell r="E2342">
            <v>43617</v>
          </cell>
          <cell r="F2342">
            <v>1464.83</v>
          </cell>
          <cell r="G2342" t="str">
            <v>Demitido em Meses Anteriores</v>
          </cell>
          <cell r="H2342">
            <v>44536</v>
          </cell>
          <cell r="I2342">
            <v>31429</v>
          </cell>
          <cell r="J2342" t="str">
            <v>331.969.568-14</v>
          </cell>
          <cell r="K2342" t="str">
            <v>206.86928.66.5</v>
          </cell>
          <cell r="L2342" t="str">
            <v>Salário Mensal</v>
          </cell>
          <cell r="M2342" t="str">
            <v>Empregado (CLT)</v>
          </cell>
        </row>
        <row r="2343">
          <cell r="D2343" t="str">
            <v>ECOSAMPA M'Boi Mirim</v>
          </cell>
          <cell r="E2343">
            <v>44018</v>
          </cell>
          <cell r="F2343">
            <v>1319.67</v>
          </cell>
          <cell r="G2343" t="str">
            <v>Demitido em Meses Anteriores</v>
          </cell>
          <cell r="H2343">
            <v>44382</v>
          </cell>
          <cell r="I2343">
            <v>28654</v>
          </cell>
          <cell r="J2343" t="str">
            <v>361.064.268-80</v>
          </cell>
          <cell r="K2343" t="str">
            <v>134.66207.85.0</v>
          </cell>
          <cell r="L2343" t="str">
            <v>Salário Mensal</v>
          </cell>
          <cell r="M2343" t="str">
            <v>Empregado (CLT)</v>
          </cell>
        </row>
        <row r="2344">
          <cell r="D2344" t="str">
            <v>ECOSAMPA Capela do Socorro</v>
          </cell>
          <cell r="E2344">
            <v>45098</v>
          </cell>
          <cell r="F2344">
            <v>1603.99</v>
          </cell>
          <cell r="G2344" t="str">
            <v>Em Atividade Normal</v>
          </cell>
          <cell r="H2344">
            <v>45098</v>
          </cell>
          <cell r="I2344">
            <v>34870</v>
          </cell>
          <cell r="J2344" t="str">
            <v>451.121.238-42</v>
          </cell>
          <cell r="K2344" t="str">
            <v>204.16152.43.5</v>
          </cell>
          <cell r="L2344" t="str">
            <v>Salário Mensal</v>
          </cell>
          <cell r="M2344" t="str">
            <v>Empregado (CLT)</v>
          </cell>
        </row>
        <row r="2345">
          <cell r="D2345" t="str">
            <v>ECOSAMPA Operação Geral</v>
          </cell>
          <cell r="E2345">
            <v>44967</v>
          </cell>
          <cell r="F2345">
            <v>1603.99</v>
          </cell>
          <cell r="G2345" t="str">
            <v>Demitido em Meses Anteriores</v>
          </cell>
          <cell r="H2345">
            <v>44970</v>
          </cell>
          <cell r="I2345">
            <v>34652</v>
          </cell>
          <cell r="J2345" t="str">
            <v>431.249.438-05</v>
          </cell>
          <cell r="K2345" t="str">
            <v>166.45804.79.3</v>
          </cell>
          <cell r="L2345" t="str">
            <v>Salário Mensal</v>
          </cell>
          <cell r="M2345" t="str">
            <v>Empregado (CLT)</v>
          </cell>
        </row>
        <row r="2346">
          <cell r="D2346" t="str">
            <v>ECOSAMPA Operação Geral</v>
          </cell>
          <cell r="E2346">
            <v>44967</v>
          </cell>
          <cell r="F2346">
            <v>1603.99</v>
          </cell>
          <cell r="G2346" t="str">
            <v>Demitido em Meses Anteriores</v>
          </cell>
          <cell r="H2346">
            <v>44981</v>
          </cell>
          <cell r="I2346">
            <v>33208</v>
          </cell>
          <cell r="J2346" t="str">
            <v>370.911.118-85</v>
          </cell>
          <cell r="K2346" t="str">
            <v>201.15147.93.9</v>
          </cell>
          <cell r="L2346" t="str">
            <v>Salário Mensal</v>
          </cell>
          <cell r="M2346" t="str">
            <v>Empregado (CLT)</v>
          </cell>
        </row>
        <row r="2347">
          <cell r="D2347" t="str">
            <v>ECOSAMPA Santo Amaro</v>
          </cell>
          <cell r="E2347">
            <v>44760</v>
          </cell>
          <cell r="F2347">
            <v>1603.99</v>
          </cell>
          <cell r="G2347" t="str">
            <v>Em Atividade Normal</v>
          </cell>
          <cell r="H2347">
            <v>44760</v>
          </cell>
          <cell r="I2347">
            <v>32576</v>
          </cell>
          <cell r="J2347" t="str">
            <v>377.239.268-71</v>
          </cell>
          <cell r="K2347" t="str">
            <v>207.30229.90.9</v>
          </cell>
          <cell r="L2347" t="str">
            <v>Salário Mensal</v>
          </cell>
          <cell r="M2347" t="str">
            <v>Empregado (CLT)</v>
          </cell>
        </row>
        <row r="2348">
          <cell r="D2348" t="str">
            <v>ECOSAMPA Santo Amaro</v>
          </cell>
          <cell r="E2348">
            <v>43617</v>
          </cell>
          <cell r="F2348">
            <v>1319.67</v>
          </cell>
          <cell r="G2348" t="str">
            <v>Demitido em Meses Anteriores</v>
          </cell>
          <cell r="H2348">
            <v>44361</v>
          </cell>
          <cell r="I2348">
            <v>36312</v>
          </cell>
          <cell r="J2348" t="str">
            <v>502.858.268-83</v>
          </cell>
          <cell r="K2348" t="str">
            <v>166.96557.77.7</v>
          </cell>
          <cell r="L2348" t="str">
            <v>Salário Mensal</v>
          </cell>
          <cell r="M2348" t="str">
            <v>Empregado (CLT)</v>
          </cell>
        </row>
        <row r="2349">
          <cell r="D2349" t="str">
            <v>ECOSAMPA Operação Geral</v>
          </cell>
          <cell r="E2349">
            <v>43617</v>
          </cell>
          <cell r="F2349">
            <v>1907.79</v>
          </cell>
          <cell r="G2349" t="str">
            <v>Em Atividade Normal</v>
          </cell>
          <cell r="H2349">
            <v>44960</v>
          </cell>
          <cell r="I2349">
            <v>28776</v>
          </cell>
          <cell r="J2349" t="str">
            <v>271.504.918-80</v>
          </cell>
          <cell r="K2349" t="str">
            <v>128.13279.81.3</v>
          </cell>
          <cell r="L2349" t="str">
            <v>Salário Mensal</v>
          </cell>
          <cell r="M2349" t="str">
            <v>Empregado (CLT)</v>
          </cell>
        </row>
        <row r="2350">
          <cell r="D2350" t="str">
            <v>ECOSAMPA Campo Limpo</v>
          </cell>
          <cell r="E2350">
            <v>44567</v>
          </cell>
          <cell r="F2350">
            <v>1603.99</v>
          </cell>
          <cell r="G2350" t="str">
            <v>Em Atividade Normal</v>
          </cell>
          <cell r="H2350">
            <v>45119</v>
          </cell>
          <cell r="I2350">
            <v>30828</v>
          </cell>
          <cell r="J2350" t="str">
            <v>371.396.468-80</v>
          </cell>
          <cell r="K2350" t="str">
            <v>209.64925.84.7</v>
          </cell>
          <cell r="L2350" t="str">
            <v>Salário Mensal</v>
          </cell>
          <cell r="M2350" t="str">
            <v>Empregado (CLT)</v>
          </cell>
        </row>
        <row r="2351">
          <cell r="D2351" t="str">
            <v>ECOSAMPA Campo Limpo</v>
          </cell>
          <cell r="E2351">
            <v>43617</v>
          </cell>
          <cell r="F2351">
            <v>1281.23</v>
          </cell>
          <cell r="G2351" t="str">
            <v>Demitido em Meses Anteriores</v>
          </cell>
          <cell r="H2351">
            <v>43808</v>
          </cell>
          <cell r="I2351">
            <v>33733</v>
          </cell>
          <cell r="J2351" t="str">
            <v>425.113.528-85</v>
          </cell>
          <cell r="K2351" t="str">
            <v>148.39482.05.1</v>
          </cell>
          <cell r="L2351" t="str">
            <v>Salário Mensal</v>
          </cell>
          <cell r="M2351" t="str">
            <v>Empregado (CLT)</v>
          </cell>
        </row>
        <row r="2352">
          <cell r="D2352" t="str">
            <v>ECOSAMPA Capela do Socorro</v>
          </cell>
          <cell r="E2352">
            <v>43617</v>
          </cell>
          <cell r="F2352">
            <v>1603.99</v>
          </cell>
          <cell r="G2352" t="str">
            <v>Em Atividade Normal</v>
          </cell>
          <cell r="H2352">
            <v>44835</v>
          </cell>
          <cell r="I2352">
            <v>31978</v>
          </cell>
          <cell r="J2352" t="str">
            <v>377.069.518-63</v>
          </cell>
          <cell r="K2352" t="str">
            <v>136.34274.81.5</v>
          </cell>
          <cell r="L2352" t="str">
            <v>Salário Mensal</v>
          </cell>
          <cell r="M2352" t="str">
            <v>Empregado (CLT)</v>
          </cell>
        </row>
        <row r="2353">
          <cell r="D2353" t="str">
            <v>ECOSAMPA Campo Limpo</v>
          </cell>
          <cell r="E2353">
            <v>43617</v>
          </cell>
          <cell r="F2353">
            <v>1603.99</v>
          </cell>
          <cell r="G2353" t="str">
            <v>Em Atividade Normal</v>
          </cell>
          <cell r="H2353">
            <v>44960</v>
          </cell>
          <cell r="I2353">
            <v>33420</v>
          </cell>
          <cell r="J2353" t="str">
            <v>420.324.558-38</v>
          </cell>
          <cell r="K2353" t="str">
            <v>204.88508.62.7</v>
          </cell>
          <cell r="L2353" t="str">
            <v>Salário Mensal</v>
          </cell>
          <cell r="M2353" t="str">
            <v>Empregado (CLT)</v>
          </cell>
        </row>
        <row r="2354">
          <cell r="D2354" t="str">
            <v>ECOSAMPA M'Boi Mirim</v>
          </cell>
          <cell r="E2354">
            <v>43617</v>
          </cell>
          <cell r="F2354">
            <v>1464.83</v>
          </cell>
          <cell r="G2354" t="str">
            <v>Demitido em Meses Anteriores</v>
          </cell>
          <cell r="H2354">
            <v>44565</v>
          </cell>
          <cell r="I2354">
            <v>31288</v>
          </cell>
          <cell r="J2354" t="str">
            <v>052.540.143-18</v>
          </cell>
          <cell r="K2354" t="str">
            <v>166.05345.01.1</v>
          </cell>
          <cell r="L2354" t="str">
            <v>Salário Mensal</v>
          </cell>
          <cell r="M2354" t="str">
            <v>Empregado (CLT)</v>
          </cell>
        </row>
        <row r="2355">
          <cell r="D2355" t="str">
            <v>ECOSAMPA M'Boi Mirim</v>
          </cell>
          <cell r="E2355">
            <v>44967</v>
          </cell>
          <cell r="F2355">
            <v>1603.99</v>
          </cell>
          <cell r="G2355" t="str">
            <v>Em Atividade Normal</v>
          </cell>
          <cell r="H2355">
            <v>44967</v>
          </cell>
          <cell r="I2355">
            <v>35125</v>
          </cell>
          <cell r="J2355" t="str">
            <v>452.062.968-30</v>
          </cell>
          <cell r="K2355" t="str">
            <v>134.34545.02.5</v>
          </cell>
          <cell r="L2355" t="str">
            <v>Salário Mensal</v>
          </cell>
          <cell r="M2355" t="str">
            <v>Empregado (CLT)</v>
          </cell>
        </row>
        <row r="2356">
          <cell r="D2356" t="str">
            <v>ECOSAMPA Capela do Socorro</v>
          </cell>
          <cell r="E2356">
            <v>43617</v>
          </cell>
          <cell r="F2356">
            <v>1603.99</v>
          </cell>
          <cell r="G2356" t="str">
            <v>Em Atividade Normal</v>
          </cell>
          <cell r="H2356">
            <v>45023</v>
          </cell>
          <cell r="I2356">
            <v>35500</v>
          </cell>
          <cell r="J2356" t="str">
            <v>389.954.348-30</v>
          </cell>
          <cell r="K2356" t="str">
            <v>207.11617.96.6</v>
          </cell>
          <cell r="L2356" t="str">
            <v>Salário Mensal</v>
          </cell>
          <cell r="M2356" t="str">
            <v>Empregado (CLT)</v>
          </cell>
        </row>
        <row r="2357">
          <cell r="D2357" t="str">
            <v>ECOSAMPA Santo Amaro</v>
          </cell>
          <cell r="E2357">
            <v>43804</v>
          </cell>
          <cell r="F2357">
            <v>1319.67</v>
          </cell>
          <cell r="G2357" t="str">
            <v>Demitido em Meses Anteriores</v>
          </cell>
          <cell r="H2357">
            <v>44235</v>
          </cell>
          <cell r="I2357">
            <v>35026</v>
          </cell>
          <cell r="J2357" t="str">
            <v>237.182.138-18</v>
          </cell>
          <cell r="K2357" t="str">
            <v>210.72318.77.8</v>
          </cell>
          <cell r="L2357" t="str">
            <v>Salário Mensal</v>
          </cell>
          <cell r="M2357" t="str">
            <v>Empregado (CLT)</v>
          </cell>
        </row>
        <row r="2358">
          <cell r="D2358" t="str">
            <v>ECOSAMPA Campo Limpo</v>
          </cell>
          <cell r="E2358">
            <v>43617</v>
          </cell>
          <cell r="F2358">
            <v>1603.99</v>
          </cell>
          <cell r="G2358" t="str">
            <v>Em Atividade Normal</v>
          </cell>
          <cell r="H2358">
            <v>44989</v>
          </cell>
          <cell r="I2358">
            <v>35774</v>
          </cell>
          <cell r="J2358" t="str">
            <v>463.583.098-54</v>
          </cell>
          <cell r="K2358" t="str">
            <v>210.71141.94.7</v>
          </cell>
          <cell r="L2358" t="str">
            <v>Salário Mensal</v>
          </cell>
          <cell r="M2358" t="str">
            <v>Empregado (CLT)</v>
          </cell>
        </row>
        <row r="2359">
          <cell r="D2359" t="str">
            <v>ECOSAMPA M'Boi Mirim</v>
          </cell>
          <cell r="E2359">
            <v>44725</v>
          </cell>
          <cell r="F2359">
            <v>1603.99</v>
          </cell>
          <cell r="G2359" t="str">
            <v>Em Atividade Normal</v>
          </cell>
          <cell r="H2359">
            <v>44725</v>
          </cell>
          <cell r="I2359">
            <v>35932</v>
          </cell>
          <cell r="J2359" t="str">
            <v>477.810.578-80</v>
          </cell>
          <cell r="K2359" t="str">
            <v>166.93058.67.2</v>
          </cell>
          <cell r="L2359" t="str">
            <v>Salário Mensal</v>
          </cell>
          <cell r="M2359" t="str">
            <v>Empregado (CLT)</v>
          </cell>
        </row>
        <row r="2360">
          <cell r="D2360" t="str">
            <v>ECOSAMPA Operação Geral</v>
          </cell>
          <cell r="E2360">
            <v>45054</v>
          </cell>
          <cell r="F2360">
            <v>2072.08</v>
          </cell>
          <cell r="G2360" t="str">
            <v>Em Atividade Normal</v>
          </cell>
          <cell r="H2360">
            <v>45054</v>
          </cell>
          <cell r="I2360">
            <v>34678</v>
          </cell>
          <cell r="J2360" t="str">
            <v>430.329.618-07</v>
          </cell>
          <cell r="K2360" t="str">
            <v>207.24755.23.8</v>
          </cell>
          <cell r="L2360" t="str">
            <v>Salário Mensal</v>
          </cell>
          <cell r="M2360" t="str">
            <v>Empregado (CLT)</v>
          </cell>
        </row>
        <row r="2361">
          <cell r="D2361" t="str">
            <v>ECOSAMPA M'Boi Mirim</v>
          </cell>
          <cell r="E2361">
            <v>43874</v>
          </cell>
          <cell r="F2361">
            <v>1319.67</v>
          </cell>
          <cell r="G2361" t="str">
            <v>Demitido em Meses Anteriores</v>
          </cell>
          <cell r="H2361">
            <v>44263</v>
          </cell>
          <cell r="I2361">
            <v>31679</v>
          </cell>
          <cell r="J2361" t="str">
            <v>375.391.478-90</v>
          </cell>
          <cell r="K2361" t="str">
            <v>203.90984.23.4</v>
          </cell>
          <cell r="L2361" t="str">
            <v>Salário Mensal</v>
          </cell>
          <cell r="M2361" t="str">
            <v>Empregado (CLT)</v>
          </cell>
        </row>
        <row r="2362">
          <cell r="D2362" t="str">
            <v>ECOSAMPA Santo Amaro</v>
          </cell>
          <cell r="E2362">
            <v>43811</v>
          </cell>
          <cell r="F2362">
            <v>1603.99</v>
          </cell>
          <cell r="G2362" t="str">
            <v>Gozando Férias</v>
          </cell>
          <cell r="H2362">
            <v>45180</v>
          </cell>
          <cell r="I2362">
            <v>33344</v>
          </cell>
          <cell r="J2362" t="str">
            <v>406.816.118-63</v>
          </cell>
          <cell r="K2362" t="str">
            <v>210.71764.54.5</v>
          </cell>
          <cell r="L2362" t="str">
            <v>Salário Mensal</v>
          </cell>
          <cell r="M2362" t="str">
            <v>Empregado (CLT)</v>
          </cell>
        </row>
        <row r="2363">
          <cell r="D2363" t="str">
            <v>ECOSAMPA Operação Geral</v>
          </cell>
          <cell r="E2363">
            <v>44972</v>
          </cell>
          <cell r="F2363">
            <v>1603.99</v>
          </cell>
          <cell r="G2363" t="str">
            <v>Demitido em Meses Anteriores</v>
          </cell>
          <cell r="H2363">
            <v>44986</v>
          </cell>
          <cell r="I2363">
            <v>32548</v>
          </cell>
          <cell r="J2363" t="str">
            <v>396.440.208-71</v>
          </cell>
          <cell r="K2363" t="str">
            <v>210.13488.86.7</v>
          </cell>
          <cell r="L2363" t="str">
            <v>Salário Mensal</v>
          </cell>
          <cell r="M2363" t="str">
            <v>Empregado (CLT)</v>
          </cell>
        </row>
        <row r="2364">
          <cell r="D2364" t="str">
            <v>ECOSAMPA Santo Amaro</v>
          </cell>
          <cell r="E2364">
            <v>45131</v>
          </cell>
          <cell r="F2364">
            <v>1603.99</v>
          </cell>
          <cell r="G2364" t="str">
            <v>Em Atividade Normal</v>
          </cell>
          <cell r="H2364">
            <v>45131</v>
          </cell>
          <cell r="I2364">
            <v>32548</v>
          </cell>
          <cell r="J2364" t="str">
            <v>396.440.208-71</v>
          </cell>
          <cell r="K2364" t="str">
            <v>210.13488.86.7</v>
          </cell>
          <cell r="L2364" t="str">
            <v>Salário Mensal</v>
          </cell>
          <cell r="M2364" t="str">
            <v>Empregado (CLT)</v>
          </cell>
        </row>
        <row r="2365">
          <cell r="D2365" t="str">
            <v>ECOSAMPA Operação Geral</v>
          </cell>
          <cell r="E2365">
            <v>44972</v>
          </cell>
          <cell r="F2365">
            <v>1603.99</v>
          </cell>
          <cell r="G2365" t="str">
            <v>Demitido em Meses Anteriores</v>
          </cell>
          <cell r="H2365">
            <v>44986</v>
          </cell>
          <cell r="I2365">
            <v>33521</v>
          </cell>
          <cell r="J2365" t="str">
            <v>395.247.488-60</v>
          </cell>
          <cell r="K2365" t="str">
            <v>207.24971.31.3</v>
          </cell>
          <cell r="L2365" t="str">
            <v>Salário Mensal</v>
          </cell>
          <cell r="M2365" t="str">
            <v>Empregado (CLT)</v>
          </cell>
        </row>
        <row r="2366">
          <cell r="D2366" t="str">
            <v>ECOSAMPA Santo Amaro</v>
          </cell>
          <cell r="E2366">
            <v>45131</v>
          </cell>
          <cell r="F2366">
            <v>1603.99</v>
          </cell>
          <cell r="G2366" t="str">
            <v>Em Atividade Normal</v>
          </cell>
          <cell r="H2366">
            <v>45131</v>
          </cell>
          <cell r="I2366">
            <v>33521</v>
          </cell>
          <cell r="J2366" t="str">
            <v>395.247.488-60</v>
          </cell>
          <cell r="K2366" t="str">
            <v>207.24971.31.3</v>
          </cell>
          <cell r="L2366" t="str">
            <v>Salário Mensal</v>
          </cell>
          <cell r="M2366" t="str">
            <v>Empregado (CLT)</v>
          </cell>
        </row>
        <row r="2367">
          <cell r="D2367" t="str">
            <v>ECOSAMPA Operação Geral</v>
          </cell>
          <cell r="E2367">
            <v>43617</v>
          </cell>
          <cell r="F2367">
            <v>3050.22</v>
          </cell>
          <cell r="G2367" t="str">
            <v>Em Atividade Normal</v>
          </cell>
          <cell r="H2367">
            <v>45119</v>
          </cell>
          <cell r="I2367">
            <v>27041</v>
          </cell>
          <cell r="J2367" t="str">
            <v>173.636.018-36</v>
          </cell>
          <cell r="K2367" t="str">
            <v>125.32507.56.1</v>
          </cell>
          <cell r="L2367" t="str">
            <v>Salário Mensal</v>
          </cell>
          <cell r="M2367" t="str">
            <v>Empregado (CLT)</v>
          </cell>
        </row>
        <row r="2368">
          <cell r="D2368" t="str">
            <v>ECOSAMPA Capela do Socorro</v>
          </cell>
          <cell r="E2368">
            <v>44945</v>
          </cell>
          <cell r="F2368">
            <v>1603.99</v>
          </cell>
          <cell r="G2368" t="str">
            <v>Demitido em Meses Anteriores</v>
          </cell>
          <cell r="H2368">
            <v>45030</v>
          </cell>
          <cell r="I2368">
            <v>37595</v>
          </cell>
          <cell r="J2368" t="str">
            <v>552.226.428-44</v>
          </cell>
          <cell r="K2368" t="str">
            <v>166.49248.94.1</v>
          </cell>
          <cell r="L2368" t="str">
            <v>Salário Mensal</v>
          </cell>
          <cell r="M2368" t="str">
            <v>Empregado (CLT)</v>
          </cell>
        </row>
        <row r="2369">
          <cell r="D2369" t="str">
            <v>ECOSAMPA M'Boi Mirim</v>
          </cell>
          <cell r="E2369">
            <v>44900</v>
          </cell>
          <cell r="F2369">
            <v>1603.99</v>
          </cell>
          <cell r="G2369" t="str">
            <v>Demitido em Meses Anteriores</v>
          </cell>
          <cell r="H2369">
            <v>45054</v>
          </cell>
          <cell r="I2369">
            <v>34802</v>
          </cell>
          <cell r="J2369" t="str">
            <v>107.023.654-32</v>
          </cell>
          <cell r="K2369" t="str">
            <v>200.50546.00.1</v>
          </cell>
          <cell r="L2369" t="str">
            <v>Salário Mensal</v>
          </cell>
          <cell r="M2369" t="str">
            <v>Empregado (CLT)</v>
          </cell>
        </row>
        <row r="2370">
          <cell r="D2370" t="str">
            <v>ECOSAMPA Campo Limpo</v>
          </cell>
          <cell r="E2370">
            <v>43617</v>
          </cell>
          <cell r="F2370">
            <v>1603.99</v>
          </cell>
          <cell r="G2370" t="str">
            <v>Em Atividade Normal</v>
          </cell>
          <cell r="H2370">
            <v>44898</v>
          </cell>
          <cell r="I2370">
            <v>30576</v>
          </cell>
          <cell r="J2370" t="str">
            <v>322.891.228-07</v>
          </cell>
          <cell r="K2370" t="str">
            <v>133.23099.77.9</v>
          </cell>
          <cell r="L2370" t="str">
            <v>Salário Mensal</v>
          </cell>
          <cell r="M2370" t="str">
            <v>Empregado (CLT)</v>
          </cell>
        </row>
        <row r="2371">
          <cell r="D2371" t="str">
            <v>ECOSAMPA Santo Amaro</v>
          </cell>
          <cell r="E2371">
            <v>43617</v>
          </cell>
          <cell r="F2371">
            <v>1281.23</v>
          </cell>
          <cell r="G2371" t="str">
            <v>Demitido em Meses Anteriores</v>
          </cell>
          <cell r="H2371">
            <v>43808</v>
          </cell>
          <cell r="I2371">
            <v>30799</v>
          </cell>
          <cell r="J2371" t="str">
            <v>052.115.774-93</v>
          </cell>
          <cell r="K2371" t="str">
            <v>127.26475.01.0</v>
          </cell>
          <cell r="L2371" t="str">
            <v>Salário Mensal</v>
          </cell>
          <cell r="M2371" t="str">
            <v>Empregado (CLT)</v>
          </cell>
        </row>
        <row r="2372">
          <cell r="D2372" t="str">
            <v>ECOSAMPA M'Boi Mirim</v>
          </cell>
          <cell r="E2372">
            <v>43728</v>
          </cell>
          <cell r="F2372">
            <v>1603.99</v>
          </cell>
          <cell r="G2372" t="str">
            <v>Em Atividade Normal</v>
          </cell>
          <cell r="H2372">
            <v>45086</v>
          </cell>
          <cell r="I2372">
            <v>32685</v>
          </cell>
          <cell r="J2372" t="str">
            <v>381.813.948-28</v>
          </cell>
          <cell r="K2372" t="str">
            <v>207.11647.64.4</v>
          </cell>
          <cell r="L2372" t="str">
            <v>Salário Mensal</v>
          </cell>
          <cell r="M2372" t="str">
            <v>Empregado (CLT)</v>
          </cell>
        </row>
        <row r="2373">
          <cell r="D2373" t="str">
            <v>ECOSAMPA M'Boi Mirim</v>
          </cell>
          <cell r="E2373">
            <v>43617</v>
          </cell>
          <cell r="F2373">
            <v>1603.99</v>
          </cell>
          <cell r="G2373" t="str">
            <v>Em Atividade Normal</v>
          </cell>
          <cell r="H2373">
            <v>44776</v>
          </cell>
          <cell r="I2373">
            <v>33609</v>
          </cell>
          <cell r="J2373" t="str">
            <v>422.390.808-17</v>
          </cell>
          <cell r="K2373" t="str">
            <v>166.22064.87.4</v>
          </cell>
          <cell r="L2373" t="str">
            <v>Salário Mensal</v>
          </cell>
          <cell r="M2373" t="str">
            <v>Empregado (CLT)</v>
          </cell>
        </row>
        <row r="2374">
          <cell r="D2374" t="str">
            <v>ECOSAMPA Santo Amaro</v>
          </cell>
          <cell r="E2374">
            <v>43617</v>
          </cell>
          <cell r="F2374">
            <v>3222.08</v>
          </cell>
          <cell r="G2374" t="str">
            <v>Em Atividade Normal</v>
          </cell>
          <cell r="H2374">
            <v>45195</v>
          </cell>
          <cell r="I2374">
            <v>33652</v>
          </cell>
          <cell r="J2374" t="str">
            <v>411.257.348-09</v>
          </cell>
          <cell r="K2374" t="str">
            <v>209.78335.97.4</v>
          </cell>
          <cell r="L2374" t="str">
            <v>Salário Mensal</v>
          </cell>
          <cell r="M2374" t="str">
            <v>Empregado (CLT)</v>
          </cell>
        </row>
        <row r="2375">
          <cell r="D2375" t="str">
            <v>ECOSAMPA Operação Geral</v>
          </cell>
          <cell r="E2375">
            <v>43617</v>
          </cell>
          <cell r="F2375">
            <v>1319.67</v>
          </cell>
          <cell r="G2375" t="str">
            <v>Demitido em Meses Anteriores</v>
          </cell>
          <cell r="H2375">
            <v>44428</v>
          </cell>
          <cell r="I2375">
            <v>35997</v>
          </cell>
          <cell r="J2375" t="str">
            <v>508.244.858-74</v>
          </cell>
          <cell r="K2375" t="str">
            <v>160.59201.78.5</v>
          </cell>
          <cell r="L2375" t="str">
            <v>Salário Mensal</v>
          </cell>
          <cell r="M2375" t="str">
            <v>Empregado (CLT)</v>
          </cell>
        </row>
        <row r="2376">
          <cell r="D2376" t="str">
            <v>ECOSAMPA Operação Geral</v>
          </cell>
          <cell r="E2376">
            <v>43918</v>
          </cell>
          <cell r="F2376">
            <v>1603.99</v>
          </cell>
          <cell r="G2376" t="str">
            <v>Demitido em Meses Anteriores</v>
          </cell>
          <cell r="H2376">
            <v>45091</v>
          </cell>
          <cell r="I2376">
            <v>34860</v>
          </cell>
          <cell r="J2376" t="str">
            <v>441.557.508-05</v>
          </cell>
          <cell r="K2376" t="str">
            <v>166.22063.73.8</v>
          </cell>
          <cell r="L2376" t="str">
            <v>Salário Mensal</v>
          </cell>
          <cell r="M2376" t="str">
            <v>Empregado (CLT)</v>
          </cell>
        </row>
        <row r="2377">
          <cell r="D2377" t="str">
            <v>ECOSAMPA Operação Geral</v>
          </cell>
          <cell r="E2377">
            <v>43617</v>
          </cell>
          <cell r="F2377">
            <v>1907.79</v>
          </cell>
          <cell r="G2377" t="str">
            <v>Em Atividade Normal</v>
          </cell>
          <cell r="H2377">
            <v>44960</v>
          </cell>
          <cell r="I2377">
            <v>30511</v>
          </cell>
          <cell r="J2377" t="str">
            <v>333.740.118-02</v>
          </cell>
          <cell r="K2377" t="str">
            <v>138.04031.85.3</v>
          </cell>
          <cell r="L2377" t="str">
            <v>Salário Mensal</v>
          </cell>
          <cell r="M2377" t="str">
            <v>Empregado (CLT)</v>
          </cell>
        </row>
        <row r="2378">
          <cell r="D2378" t="str">
            <v>ECOSAMPA Parelheiros</v>
          </cell>
          <cell r="E2378">
            <v>44308</v>
          </cell>
          <cell r="F2378">
            <v>1464.83</v>
          </cell>
          <cell r="G2378" t="str">
            <v>Demitido em Meses Anteriores</v>
          </cell>
          <cell r="H2378">
            <v>44806</v>
          </cell>
          <cell r="I2378">
            <v>27130</v>
          </cell>
          <cell r="J2378" t="str">
            <v>164.890.878-04</v>
          </cell>
          <cell r="K2378" t="str">
            <v>127.42060.77.6</v>
          </cell>
          <cell r="L2378" t="str">
            <v>Salário Mensal</v>
          </cell>
          <cell r="M2378" t="str">
            <v>Empregado (CLT)</v>
          </cell>
        </row>
        <row r="2379">
          <cell r="D2379" t="str">
            <v>ECOSAMPA Campo Limpo</v>
          </cell>
          <cell r="E2379">
            <v>43617</v>
          </cell>
          <cell r="F2379">
            <v>1603.99</v>
          </cell>
          <cell r="G2379" t="str">
            <v>Em Atividade Normal</v>
          </cell>
          <cell r="H2379">
            <v>44911</v>
          </cell>
          <cell r="I2379">
            <v>30512</v>
          </cell>
          <cell r="J2379" t="str">
            <v>230.156.188-73</v>
          </cell>
          <cell r="K2379" t="str">
            <v>134.53789.85.6</v>
          </cell>
          <cell r="L2379" t="str">
            <v>Salário Mensal</v>
          </cell>
          <cell r="M2379" t="str">
            <v>Empregado (CLT)</v>
          </cell>
        </row>
        <row r="2380">
          <cell r="D2380" t="str">
            <v>ECOSAMPA Capela do Socorro</v>
          </cell>
          <cell r="E2380">
            <v>43617</v>
          </cell>
          <cell r="F2380">
            <v>1603.99</v>
          </cell>
          <cell r="G2380" t="str">
            <v>Em Atividade Normal</v>
          </cell>
          <cell r="H2380">
            <v>44806</v>
          </cell>
          <cell r="I2380">
            <v>34141</v>
          </cell>
          <cell r="J2380" t="str">
            <v>397.043.738-56</v>
          </cell>
          <cell r="K2380" t="str">
            <v>165.69385.46.2</v>
          </cell>
          <cell r="L2380" t="str">
            <v>Salário Mensal</v>
          </cell>
          <cell r="M2380" t="str">
            <v>Empregado (CLT)</v>
          </cell>
        </row>
        <row r="2381">
          <cell r="D2381" t="str">
            <v>ECOSAMPA Administração</v>
          </cell>
          <cell r="E2381">
            <v>43648</v>
          </cell>
          <cell r="F2381">
            <v>3828.85</v>
          </cell>
          <cell r="G2381" t="str">
            <v>Em Atividade Normal</v>
          </cell>
          <cell r="H2381">
            <v>45160</v>
          </cell>
          <cell r="I2381">
            <v>29438</v>
          </cell>
          <cell r="J2381" t="str">
            <v>277.751.078-47</v>
          </cell>
          <cell r="K2381" t="str">
            <v>128.78804.89.0</v>
          </cell>
          <cell r="L2381" t="str">
            <v>Salário Mensal</v>
          </cell>
          <cell r="M2381" t="str">
            <v>Empregado (CLT)</v>
          </cell>
        </row>
        <row r="2382">
          <cell r="D2382" t="str">
            <v>ECOSAMPA Campo Limpo</v>
          </cell>
          <cell r="E2382">
            <v>44368</v>
          </cell>
          <cell r="F2382">
            <v>1319.67</v>
          </cell>
          <cell r="G2382" t="str">
            <v>Demitido em Meses Anteriores</v>
          </cell>
          <cell r="H2382">
            <v>44435</v>
          </cell>
          <cell r="I2382">
            <v>33602</v>
          </cell>
          <cell r="J2382" t="str">
            <v>235.944.798-03</v>
          </cell>
          <cell r="K2382" t="str">
            <v>156.97132.54.2</v>
          </cell>
          <cell r="L2382" t="str">
            <v>Salário Mensal</v>
          </cell>
          <cell r="M2382" t="str">
            <v>Empregado (CLT)</v>
          </cell>
        </row>
        <row r="2383">
          <cell r="D2383" t="str">
            <v>ECOSAMPA Operação Geral</v>
          </cell>
          <cell r="E2383">
            <v>43617</v>
          </cell>
          <cell r="F2383">
            <v>1907.79</v>
          </cell>
          <cell r="G2383" t="str">
            <v>Em Atividade Normal</v>
          </cell>
          <cell r="H2383">
            <v>45119</v>
          </cell>
          <cell r="I2383">
            <v>30442</v>
          </cell>
          <cell r="J2383" t="str">
            <v>331.600.848-92</v>
          </cell>
          <cell r="K2383" t="str">
            <v>206.88095.95.4</v>
          </cell>
          <cell r="L2383" t="str">
            <v>Salário Mensal</v>
          </cell>
          <cell r="M2383" t="str">
            <v>Empregado (CLT)</v>
          </cell>
        </row>
        <row r="2384">
          <cell r="D2384" t="str">
            <v>ECOSAMPA Capela do Socorro</v>
          </cell>
          <cell r="E2384">
            <v>43617</v>
          </cell>
          <cell r="F2384">
            <v>3222.08</v>
          </cell>
          <cell r="G2384" t="str">
            <v>Em Atividade Normal</v>
          </cell>
          <cell r="H2384">
            <v>45177</v>
          </cell>
          <cell r="I2384">
            <v>30227</v>
          </cell>
          <cell r="J2384" t="str">
            <v>301.346.378-36</v>
          </cell>
          <cell r="K2384" t="str">
            <v>126.97790.89.8</v>
          </cell>
          <cell r="L2384" t="str">
            <v>Salário Mensal</v>
          </cell>
          <cell r="M2384" t="str">
            <v>Empregado (CLT)</v>
          </cell>
        </row>
        <row r="2385">
          <cell r="D2385" t="str">
            <v>ECOSAMPA Capela do Socorro</v>
          </cell>
          <cell r="E2385">
            <v>43617</v>
          </cell>
          <cell r="F2385">
            <v>1603.99</v>
          </cell>
          <cell r="G2385" t="str">
            <v>Em Atividade Normal</v>
          </cell>
          <cell r="H2385">
            <v>45056</v>
          </cell>
          <cell r="I2385">
            <v>33612</v>
          </cell>
          <cell r="J2385" t="str">
            <v>115.498.044-80</v>
          </cell>
          <cell r="K2385" t="str">
            <v>165.69385.36.5</v>
          </cell>
          <cell r="L2385" t="str">
            <v>Salário Mensal</v>
          </cell>
          <cell r="M2385" t="str">
            <v>Empregado (CLT)</v>
          </cell>
        </row>
        <row r="2386">
          <cell r="D2386" t="str">
            <v>ECOSAMPA Operação Geral</v>
          </cell>
          <cell r="E2386">
            <v>43617</v>
          </cell>
          <cell r="F2386">
            <v>1231.95</v>
          </cell>
          <cell r="G2386" t="str">
            <v>Demitido em Meses Anteriores</v>
          </cell>
          <cell r="H2386">
            <v>43703</v>
          </cell>
          <cell r="I2386">
            <v>34547</v>
          </cell>
          <cell r="J2386" t="str">
            <v>421.023.388-94</v>
          </cell>
          <cell r="K2386" t="str">
            <v>207.25003.25.6</v>
          </cell>
          <cell r="L2386" t="str">
            <v>Salário Mensal</v>
          </cell>
          <cell r="M2386" t="str">
            <v>Empregado (CLT)</v>
          </cell>
        </row>
        <row r="2387">
          <cell r="D2387" t="str">
            <v>ECOSAMPA Operação Geral</v>
          </cell>
          <cell r="E2387">
            <v>43683</v>
          </cell>
          <cell r="F2387">
            <v>4387.7</v>
          </cell>
          <cell r="G2387" t="str">
            <v>Em Atividade Normal</v>
          </cell>
          <cell r="H2387">
            <v>45023</v>
          </cell>
          <cell r="I2387">
            <v>34305</v>
          </cell>
          <cell r="J2387" t="str">
            <v>420.911.638-64</v>
          </cell>
          <cell r="K2387" t="str">
            <v>204.91834.00.9</v>
          </cell>
          <cell r="L2387" t="str">
            <v>Salário Mensal</v>
          </cell>
          <cell r="M2387" t="str">
            <v>Empregado (CLT)</v>
          </cell>
        </row>
        <row r="2388">
          <cell r="D2388" t="str">
            <v>ECOSAMPA Operação Geral</v>
          </cell>
          <cell r="E2388">
            <v>43622</v>
          </cell>
          <cell r="F2388">
            <v>1606.8</v>
          </cell>
          <cell r="G2388" t="str">
            <v>Demitido em Meses Anteriores</v>
          </cell>
          <cell r="H2388">
            <v>44169</v>
          </cell>
          <cell r="I2388">
            <v>31300</v>
          </cell>
          <cell r="J2388" t="str">
            <v>344.326.658-40</v>
          </cell>
          <cell r="K2388" t="str">
            <v>133.00843.93.5</v>
          </cell>
          <cell r="L2388" t="str">
            <v>Salário Mensal</v>
          </cell>
          <cell r="M2388" t="str">
            <v>Empregado (CLT)</v>
          </cell>
        </row>
        <row r="2389">
          <cell r="D2389" t="str">
            <v>ECOSAMPA Capela do Socorro</v>
          </cell>
          <cell r="E2389">
            <v>44630</v>
          </cell>
          <cell r="F2389">
            <v>1603.99</v>
          </cell>
          <cell r="G2389" t="str">
            <v>Em Atividade Normal</v>
          </cell>
          <cell r="H2389">
            <v>45177</v>
          </cell>
          <cell r="I2389">
            <v>28250</v>
          </cell>
          <cell r="J2389" t="str">
            <v>293.415.778-45</v>
          </cell>
          <cell r="K2389" t="str">
            <v>135.11542.81.1</v>
          </cell>
          <cell r="L2389" t="str">
            <v>Salário Mensal</v>
          </cell>
          <cell r="M2389" t="str">
            <v>Empregado (CLT)</v>
          </cell>
        </row>
        <row r="2390">
          <cell r="D2390" t="str">
            <v>ECOSAMPA Santo Amaro</v>
          </cell>
          <cell r="E2390">
            <v>43804</v>
          </cell>
          <cell r="F2390">
            <v>1603.99</v>
          </cell>
          <cell r="G2390" t="str">
            <v>Em Atividade Normal</v>
          </cell>
          <cell r="H2390">
            <v>45149</v>
          </cell>
          <cell r="I2390">
            <v>31482</v>
          </cell>
          <cell r="J2390" t="str">
            <v>371.133.118-14</v>
          </cell>
          <cell r="K2390" t="str">
            <v>130.58523.64.4</v>
          </cell>
          <cell r="L2390" t="str">
            <v>Salário Mensal</v>
          </cell>
          <cell r="M2390" t="str">
            <v>Empregado (CLT)</v>
          </cell>
        </row>
        <row r="2391">
          <cell r="D2391" t="str">
            <v>ECOSAMPA Santo Amaro</v>
          </cell>
          <cell r="E2391">
            <v>43617</v>
          </cell>
          <cell r="F2391">
            <v>1603.99</v>
          </cell>
          <cell r="G2391" t="str">
            <v>Em Atividade Normal</v>
          </cell>
          <cell r="H2391">
            <v>44867</v>
          </cell>
          <cell r="I2391">
            <v>31147</v>
          </cell>
          <cell r="J2391" t="str">
            <v>026.223.645-12</v>
          </cell>
          <cell r="K2391" t="str">
            <v>203.02496.70.4</v>
          </cell>
          <cell r="L2391" t="str">
            <v>Salário Mensal</v>
          </cell>
          <cell r="M2391" t="str">
            <v>Empregado (CLT)</v>
          </cell>
        </row>
        <row r="2392">
          <cell r="D2392" t="str">
            <v>ECOSAMPA Operação Geral</v>
          </cell>
          <cell r="E2392">
            <v>43617</v>
          </cell>
          <cell r="F2392">
            <v>1907.79</v>
          </cell>
          <cell r="G2392" t="str">
            <v>Em Atividade Normal</v>
          </cell>
          <cell r="H2392">
            <v>45177</v>
          </cell>
          <cell r="I2392">
            <v>23344</v>
          </cell>
          <cell r="J2392" t="str">
            <v>073.389.268-08</v>
          </cell>
          <cell r="K2392" t="str">
            <v>121.74602.53.0</v>
          </cell>
          <cell r="L2392" t="str">
            <v>Salário Mensal</v>
          </cell>
          <cell r="M2392" t="str">
            <v>Empregado (CLT)</v>
          </cell>
        </row>
        <row r="2393">
          <cell r="D2393" t="str">
            <v>ECOSAMPA Santo Amaro</v>
          </cell>
          <cell r="E2393">
            <v>43874</v>
          </cell>
          <cell r="F2393">
            <v>1603.99</v>
          </cell>
          <cell r="G2393" t="str">
            <v>Gozando Férias</v>
          </cell>
          <cell r="H2393">
            <v>45180</v>
          </cell>
          <cell r="I2393">
            <v>27085</v>
          </cell>
          <cell r="J2393" t="str">
            <v>195.841.688-60</v>
          </cell>
          <cell r="K2393" t="str">
            <v>128.39725.81.0</v>
          </cell>
          <cell r="L2393" t="str">
            <v>Salário Mensal</v>
          </cell>
          <cell r="M2393" t="str">
            <v>Empregado (CLT)</v>
          </cell>
        </row>
        <row r="2394">
          <cell r="D2394" t="str">
            <v>ECOSAMPA Operação Geral</v>
          </cell>
          <cell r="E2394">
            <v>43874</v>
          </cell>
          <cell r="F2394">
            <v>2436.4499999999998</v>
          </cell>
          <cell r="G2394" t="str">
            <v>Demitido em Meses Anteriores</v>
          </cell>
          <cell r="H2394">
            <v>43888</v>
          </cell>
          <cell r="I2394">
            <v>28756</v>
          </cell>
          <cell r="J2394" t="str">
            <v>250.001.648-06</v>
          </cell>
          <cell r="K2394" t="str">
            <v>210.14570.30.3</v>
          </cell>
          <cell r="L2394" t="str">
            <v>Salário Mensal</v>
          </cell>
          <cell r="M2394" t="str">
            <v>Empregado (CLT)</v>
          </cell>
        </row>
        <row r="2395">
          <cell r="D2395" t="str">
            <v>ECOSAMPA Operação Geral</v>
          </cell>
          <cell r="E2395">
            <v>43916</v>
          </cell>
          <cell r="F2395">
            <v>3050.22</v>
          </cell>
          <cell r="G2395" t="str">
            <v>Em Atividade Normal</v>
          </cell>
          <cell r="H2395">
            <v>45056</v>
          </cell>
          <cell r="I2395">
            <v>28756</v>
          </cell>
          <cell r="J2395" t="str">
            <v>250.001.648-06</v>
          </cell>
          <cell r="K2395" t="str">
            <v>210.14570.30.3</v>
          </cell>
          <cell r="L2395" t="str">
            <v>Salário Mensal</v>
          </cell>
          <cell r="M2395" t="str">
            <v>Empregado (CLT)</v>
          </cell>
        </row>
        <row r="2396">
          <cell r="D2396" t="str">
            <v>ECOSAMPA PJ</v>
          </cell>
          <cell r="E2396">
            <v>43578</v>
          </cell>
          <cell r="F2396">
            <v>0.01</v>
          </cell>
          <cell r="G2396" t="str">
            <v>Em Atividade Normal</v>
          </cell>
          <cell r="H2396">
            <v>43578</v>
          </cell>
          <cell r="I2396">
            <v>22006</v>
          </cell>
          <cell r="J2396" t="str">
            <v>035.603.708-84</v>
          </cell>
          <cell r="L2396" t="str">
            <v>Salário Mensal</v>
          </cell>
          <cell r="M2396" t="str">
            <v>Pessoa Jurídica</v>
          </cell>
        </row>
        <row r="2397">
          <cell r="D2397" t="str">
            <v>ECOSAMPA Capela do Socorro</v>
          </cell>
          <cell r="E2397">
            <v>43617</v>
          </cell>
          <cell r="F2397">
            <v>1603.99</v>
          </cell>
          <cell r="G2397" t="str">
            <v>Demitido em Meses Anteriores</v>
          </cell>
          <cell r="H2397">
            <v>45126</v>
          </cell>
          <cell r="I2397">
            <v>29383</v>
          </cell>
          <cell r="J2397" t="str">
            <v>279.164.458-08</v>
          </cell>
          <cell r="K2397" t="str">
            <v>166.17764.28.6</v>
          </cell>
          <cell r="L2397" t="str">
            <v>Salário Mensal</v>
          </cell>
          <cell r="M2397" t="str">
            <v>Empregado (CLT)</v>
          </cell>
        </row>
        <row r="2398">
          <cell r="D2398" t="str">
            <v>ECOSAMPA Campo Limpo</v>
          </cell>
          <cell r="E2398">
            <v>43617</v>
          </cell>
          <cell r="F2398">
            <v>1231.95</v>
          </cell>
          <cell r="G2398" t="str">
            <v>Demitido em Meses Anteriores</v>
          </cell>
          <cell r="H2398">
            <v>43703</v>
          </cell>
          <cell r="I2398">
            <v>32511</v>
          </cell>
          <cell r="J2398" t="str">
            <v>365.656.948-77</v>
          </cell>
          <cell r="K2398" t="str">
            <v>210.71655.18.5</v>
          </cell>
          <cell r="L2398" t="str">
            <v>Salário Mensal</v>
          </cell>
          <cell r="M2398" t="str">
            <v>Empregado (CLT)</v>
          </cell>
        </row>
        <row r="2399">
          <cell r="D2399" t="str">
            <v>ECOSAMPA Operação Geral</v>
          </cell>
          <cell r="E2399">
            <v>43617</v>
          </cell>
          <cell r="F2399">
            <v>1907.79</v>
          </cell>
          <cell r="G2399" t="str">
            <v>Em Atividade Normal</v>
          </cell>
          <cell r="H2399">
            <v>45023</v>
          </cell>
          <cell r="I2399">
            <v>34063</v>
          </cell>
          <cell r="J2399" t="str">
            <v>420.145.198-46</v>
          </cell>
          <cell r="K2399" t="str">
            <v>210.72295.24.7</v>
          </cell>
          <cell r="L2399" t="str">
            <v>Salário Mensal</v>
          </cell>
          <cell r="M2399" t="str">
            <v>Empregado (CLT)</v>
          </cell>
        </row>
        <row r="2400">
          <cell r="D2400" t="str">
            <v>ECOSAMPA Campo Limpo</v>
          </cell>
          <cell r="E2400">
            <v>44368</v>
          </cell>
          <cell r="F2400">
            <v>1603.99</v>
          </cell>
          <cell r="G2400" t="str">
            <v>Demitido em Meses Anteriores</v>
          </cell>
          <cell r="H2400">
            <v>44935</v>
          </cell>
          <cell r="I2400">
            <v>37317</v>
          </cell>
          <cell r="J2400" t="str">
            <v>092.397.605-12</v>
          </cell>
          <cell r="K2400" t="str">
            <v>134.46530.79.6</v>
          </cell>
          <cell r="L2400" t="str">
            <v>Salário Mensal</v>
          </cell>
          <cell r="M2400" t="str">
            <v>Empregado (CLT)</v>
          </cell>
        </row>
        <row r="2401">
          <cell r="D2401" t="str">
            <v>ECOSAMPA Operação Geral</v>
          </cell>
          <cell r="E2401">
            <v>43617</v>
          </cell>
          <cell r="F2401">
            <v>1907.79</v>
          </cell>
          <cell r="G2401" t="str">
            <v>Em Atividade Normal</v>
          </cell>
          <cell r="H2401">
            <v>45177</v>
          </cell>
          <cell r="I2401">
            <v>29405</v>
          </cell>
          <cell r="J2401" t="str">
            <v>295.097.958-01</v>
          </cell>
          <cell r="K2401" t="str">
            <v>128.77567.93.3</v>
          </cell>
          <cell r="L2401" t="str">
            <v>Salário Mensal</v>
          </cell>
          <cell r="M2401" t="str">
            <v>Empregado (CLT)</v>
          </cell>
        </row>
        <row r="2402">
          <cell r="D2402" t="str">
            <v>ECOSAMPA Santo Amaro</v>
          </cell>
          <cell r="E2402">
            <v>43617</v>
          </cell>
          <cell r="F2402">
            <v>1603.99</v>
          </cell>
          <cell r="G2402" t="str">
            <v>Gozando Férias</v>
          </cell>
          <cell r="H2402">
            <v>45180</v>
          </cell>
          <cell r="I2402">
            <v>23325</v>
          </cell>
          <cell r="J2402" t="str">
            <v>114.389.138-42</v>
          </cell>
          <cell r="K2402" t="str">
            <v>129.26280.77.9</v>
          </cell>
          <cell r="L2402" t="str">
            <v>Salário Mensal</v>
          </cell>
          <cell r="M2402" t="str">
            <v>Empregado (CLT)</v>
          </cell>
        </row>
        <row r="2403">
          <cell r="D2403" t="str">
            <v>ECOSAMPA Operação Geral</v>
          </cell>
          <cell r="E2403">
            <v>43617</v>
          </cell>
          <cell r="F2403">
            <v>6108.5</v>
          </cell>
          <cell r="G2403" t="str">
            <v>Em Atividade Normal</v>
          </cell>
          <cell r="H2403">
            <v>45149</v>
          </cell>
          <cell r="I2403">
            <v>26857</v>
          </cell>
          <cell r="J2403" t="str">
            <v>151.960.498-00</v>
          </cell>
          <cell r="K2403" t="str">
            <v>123.81943.48.1</v>
          </cell>
          <cell r="L2403" t="str">
            <v>Salário Mensal</v>
          </cell>
          <cell r="M2403" t="str">
            <v>Empregado (CLT)</v>
          </cell>
        </row>
        <row r="2404">
          <cell r="D2404" t="str">
            <v>ECOSAMPA Operação Geral</v>
          </cell>
          <cell r="E2404">
            <v>43617</v>
          </cell>
          <cell r="F2404">
            <v>1523.89</v>
          </cell>
          <cell r="G2404" t="str">
            <v>Demitido em Meses Anteriores</v>
          </cell>
          <cell r="H2404">
            <v>43974</v>
          </cell>
          <cell r="I2404">
            <v>22514</v>
          </cell>
          <cell r="J2404" t="str">
            <v>381.831.535-34</v>
          </cell>
          <cell r="K2404" t="str">
            <v>122.81055.99.1</v>
          </cell>
          <cell r="L2404" t="str">
            <v>Salário Mensal</v>
          </cell>
          <cell r="M2404" t="str">
            <v>Empregado (CLT)</v>
          </cell>
        </row>
        <row r="2405">
          <cell r="D2405" t="str">
            <v>ECOSAMPA Campo Limpo</v>
          </cell>
          <cell r="E2405">
            <v>43617</v>
          </cell>
          <cell r="F2405">
            <v>1603.99</v>
          </cell>
          <cell r="G2405" t="str">
            <v>Em Atividade Normal</v>
          </cell>
          <cell r="H2405">
            <v>44835</v>
          </cell>
          <cell r="I2405">
            <v>24748</v>
          </cell>
          <cell r="J2405" t="str">
            <v>088.002.158-66</v>
          </cell>
          <cell r="K2405" t="str">
            <v>123.71800.51.3</v>
          </cell>
          <cell r="L2405" t="str">
            <v>Salário Mensal</v>
          </cell>
          <cell r="M2405" t="str">
            <v>Empregado (CLT)</v>
          </cell>
        </row>
        <row r="2406">
          <cell r="D2406" t="str">
            <v>ECOSAMPA Capela do Socorro</v>
          </cell>
          <cell r="E2406">
            <v>43817</v>
          </cell>
          <cell r="F2406">
            <v>1603.99</v>
          </cell>
          <cell r="G2406" t="str">
            <v>Demitido em Meses Anteriores</v>
          </cell>
          <cell r="H2406">
            <v>44844</v>
          </cell>
          <cell r="I2406">
            <v>28194</v>
          </cell>
          <cell r="J2406" t="str">
            <v>987.052.374-91</v>
          </cell>
          <cell r="K2406" t="str">
            <v>125.17661.25.3</v>
          </cell>
          <cell r="L2406" t="str">
            <v>Salário Mensal</v>
          </cell>
          <cell r="M2406" t="str">
            <v>Empregado (CLT)</v>
          </cell>
        </row>
        <row r="2407">
          <cell r="D2407" t="str">
            <v>ECOSAMPA Operação Geral</v>
          </cell>
          <cell r="E2407">
            <v>43617</v>
          </cell>
          <cell r="F2407">
            <v>1907.79</v>
          </cell>
          <cell r="G2407" t="str">
            <v>Em Atividade Normal</v>
          </cell>
          <cell r="H2407">
            <v>44930</v>
          </cell>
          <cell r="I2407">
            <v>28930</v>
          </cell>
          <cell r="J2407" t="str">
            <v>274.426.828-39</v>
          </cell>
          <cell r="K2407" t="str">
            <v>129.75994.77.1</v>
          </cell>
          <cell r="L2407" t="str">
            <v>Salário Mensal</v>
          </cell>
          <cell r="M2407" t="str">
            <v>Empregado (CLT)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io Neto" refreshedDate="45201.412443634261" createdVersion="8" refreshedVersion="8" minRefreshableVersion="3" recordCount="59" xr:uid="{075D14AA-AD9E-4B0B-BCDA-21AC9A869904}">
  <cacheSource type="worksheet">
    <worksheetSource ref="A1:E60" sheet="FALTAS"/>
  </cacheSource>
  <cacheFields count="5">
    <cacheField name="Id Contratado" numFmtId="166">
      <sharedItems containsSemiMixedTypes="0" containsString="0" containsNumber="1" containsInteger="1" minValue="112303" maxValue="122424"/>
    </cacheField>
    <cacheField name="Nome" numFmtId="0">
      <sharedItems/>
    </cacheField>
    <cacheField name="Cargo" numFmtId="0">
      <sharedItems/>
    </cacheField>
    <cacheField name="Quantidade da Verba" numFmtId="0">
      <sharedItems containsSemiMixedTypes="0" containsString="0" containsNumber="1" containsInteger="1" minValue="1" maxValue="26"/>
    </cacheField>
    <cacheField name="Código de Estrutura" numFmtId="0">
      <sharedItems count="4">
        <s v="Em Atividade Normal"/>
        <s v="Gozando Férias"/>
        <s v="Demitido no Mês"/>
        <s v="Auxílio-Doenç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io Neto" refreshedDate="45201.599790046297" createdVersion="8" refreshedVersion="8" minRefreshableVersion="3" recordCount="1452" xr:uid="{A1F133CA-7FB5-493C-A383-1DC8256BC5BF}">
  <cacheSource type="worksheet">
    <worksheetSource ref="A1:I1453" sheet="MES A MES"/>
  </cacheSource>
  <cacheFields count="9">
    <cacheField name="ID" numFmtId="166">
      <sharedItems containsSemiMixedTypes="0" containsString="0" containsNumber="1" containsInteger="1" minValue="112169" maxValue="122837"/>
    </cacheField>
    <cacheField name="NOME" numFmtId="0">
      <sharedItems/>
    </cacheField>
    <cacheField name="Cargo" numFmtId="0">
      <sharedItems/>
    </cacheField>
    <cacheField name="REGIONAL" numFmtId="0">
      <sharedItems count="8">
        <s v="ECOSAMPA M'Boi Mirim"/>
        <s v="ECOSAMPA Santo Amaro"/>
        <s v="ECOSAMPA Operação Geral"/>
        <s v="ECOSAMPA Capela do Socorro"/>
        <s v="ECOSAMPA Parelheiros"/>
        <s v="ECOSAMPA Campo Limpo"/>
        <s v="ECOSAMPA Administração"/>
        <s v="ECOSAMPA PJ"/>
      </sharedItems>
    </cacheField>
    <cacheField name="ADMISSÃO" numFmtId="14">
      <sharedItems containsSemiMixedTypes="0" containsNonDate="0" containsDate="1" containsString="0" minDate="2019-04-23T00:00:00" maxDate="2023-09-12T00:00:00"/>
    </cacheField>
    <cacheField name="SETEMBRO" numFmtId="165">
      <sharedItems containsSemiMixedTypes="0" containsString="0" containsNumber="1" minValue="0" maxValue="1845.5900000000001" count="22">
        <n v="1016.96"/>
        <n v="359.46"/>
        <n v="978.67000000000007"/>
        <n v="657.5"/>
        <n v="940.39"/>
        <n v="0"/>
        <n v="902.11"/>
        <n v="249.55"/>
        <n v="969.03"/>
        <n v="174.75"/>
        <n v="863.83"/>
        <n v="1309.18"/>
        <n v="885.46"/>
        <n v="787.26"/>
        <n v="335.49"/>
        <n v="1016.95"/>
        <n v="1845.5900000000001"/>
        <n v="825.55"/>
        <n v="634.14"/>
        <n v="1055.92"/>
        <n v="1200"/>
        <n v="748.98"/>
      </sharedItems>
    </cacheField>
    <cacheField name="OUTUBRO" numFmtId="165">
      <sharedItems containsSemiMixedTypes="0" containsString="0" containsNumber="1" minValue="0" maxValue="1385.16" count="21">
        <n v="1016.96"/>
        <n v="359.46"/>
        <n v="0"/>
        <n v="1055.25"/>
        <n v="657.5"/>
        <n v="978.67000000000007"/>
        <n v="863.83"/>
        <n v="1122.1600000000001"/>
        <n v="136.47"/>
        <n v="1270.31"/>
        <n v="902.11"/>
        <n v="442.73"/>
        <n v="1385.16"/>
        <n v="1069.56"/>
        <n v="825.55"/>
        <n v="940.39"/>
        <n v="136.75"/>
        <n v="1016.95"/>
        <n v="1260"/>
        <n v="251.32"/>
        <n v="595.85"/>
      </sharedItems>
    </cacheField>
    <cacheField name="DIFERENÇA" numFmtId="170">
      <sharedItems containsSemiMixedTypes="0" containsString="0" containsNumber="1" minValue="-1016.96" maxValue="1025.7"/>
    </cacheField>
    <cacheField name="Situação" numFmtId="0">
      <sharedItems count="5">
        <s v="Em Atividade Normal"/>
        <s v="Auxílio-Doença"/>
        <s v="Demitido no Mês"/>
        <s v="Gozando Férias"/>
        <s v="ADMISSÃ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">
  <r>
    <n v="112377"/>
    <s v="ADRIANO DA SILVA PEREIRA"/>
    <s v="BUEIRISTA"/>
    <n v="1"/>
    <x v="0"/>
  </r>
  <r>
    <n v="116076"/>
    <s v="ALAN ROCHA DA SILVA"/>
    <s v="LAVADOR"/>
    <n v="1"/>
    <x v="0"/>
  </r>
  <r>
    <n v="121954"/>
    <s v="ALBERTO ALENCAR DE JESUS"/>
    <s v="AJUDANTE EQ SERVICOS DIVERSOS"/>
    <n v="4"/>
    <x v="0"/>
  </r>
  <r>
    <n v="112664"/>
    <s v="ALESSANDRA SANTOSTASI TEIXEIRA"/>
    <s v="VARREDOR"/>
    <n v="1"/>
    <x v="0"/>
  </r>
  <r>
    <n v="114273"/>
    <s v="ALEX SANDRO DA SILVA XAVIER"/>
    <s v="AJUDANTE EQ SERVICOS DIVERSOS"/>
    <n v="1"/>
    <x v="0"/>
  </r>
  <r>
    <n v="118049"/>
    <s v="ALEXSSANDRO MORAES DO NASCIMEN"/>
    <s v="AJUDANTE EQ SERVICOS DIVERSOS"/>
    <n v="23"/>
    <x v="0"/>
  </r>
  <r>
    <n v="121449"/>
    <s v="ANDRE DE SOUZA RAMOS"/>
    <s v="AJUDANTE EQ SERVICOS DIVERSOS"/>
    <n v="1"/>
    <x v="0"/>
  </r>
  <r>
    <n v="114685"/>
    <s v="ANDRE LOPES DE SOUZA"/>
    <s v="VARREDOR"/>
    <n v="1"/>
    <x v="0"/>
  </r>
  <r>
    <n v="118646"/>
    <s v="ANDRE LUIZ DELMIRO"/>
    <s v="AJUDANTE EQ SERVICOS DIVERSOS"/>
    <n v="1"/>
    <x v="1"/>
  </r>
  <r>
    <n v="121673"/>
    <s v="ANTONIO CARLOS COSTA DA SILVA"/>
    <s v="AJUDANTE EQ SERVICOS DIVERSOS"/>
    <n v="3"/>
    <x v="0"/>
  </r>
  <r>
    <n v="113549"/>
    <s v="ANTONIO LIMA DE LACERDA"/>
    <s v="AJUDANTE EQ SERVICOS DIVERSOS"/>
    <n v="3"/>
    <x v="0"/>
  </r>
  <r>
    <n v="121849"/>
    <s v="ARTHUR ROGERIO DA SILVA"/>
    <s v="AJUDANTE EQ SERVICOS DIVERSOS"/>
    <n v="1"/>
    <x v="0"/>
  </r>
  <r>
    <n v="114691"/>
    <s v="CARLOS EDUARDO MACHADO SANTOS"/>
    <s v="AJUDANTE EQ SERVICOS DIVERSOS"/>
    <n v="15"/>
    <x v="0"/>
  </r>
  <r>
    <n v="112883"/>
    <s v="CRISTIANO SENA SILVA"/>
    <s v="AJUDANTE EQ SERVICOS DIVERSOS"/>
    <n v="1"/>
    <x v="0"/>
  </r>
  <r>
    <n v="116331"/>
    <s v="DANIEL LIMA CARVALHO"/>
    <s v="AJUDANTE EQ SERVICOS DIVERSOS"/>
    <n v="8"/>
    <x v="2"/>
  </r>
  <r>
    <n v="112956"/>
    <s v="DANLEY SILVA SANTOS"/>
    <s v="AJUDANTE EQ SERVICOS DIVERSOS"/>
    <n v="1"/>
    <x v="0"/>
  </r>
  <r>
    <n v="114500"/>
    <s v="DAVID BARBOSA EVANGELISTA"/>
    <s v="AJUDANTE EQ SERVICOS DIVERSOS"/>
    <n v="1"/>
    <x v="0"/>
  </r>
  <r>
    <n v="113498"/>
    <s v="EDMILSON LOPES SALES"/>
    <s v="AJUDANTE EQ SERVICOS DIVERSOS"/>
    <n v="1"/>
    <x v="1"/>
  </r>
  <r>
    <n v="119649"/>
    <s v="ELVIS MATHEUS BORBA DA CRUZ"/>
    <s v="AJUDANTE EQ SERVICOS DIVERSOS"/>
    <n v="1"/>
    <x v="2"/>
  </r>
  <r>
    <n v="116726"/>
    <s v="ERIC DOS SANTOS PINTO"/>
    <s v="VARREDOR"/>
    <n v="5"/>
    <x v="0"/>
  </r>
  <r>
    <n v="116027"/>
    <s v="EVERTON FREITAS DA SILVA"/>
    <s v="AJUDANTE EQ SERVICOS DIVERSOS"/>
    <n v="2"/>
    <x v="0"/>
  </r>
  <r>
    <n v="114702"/>
    <s v="FABIANO SILVA LEITAO"/>
    <s v="VARREDOR"/>
    <n v="4"/>
    <x v="0"/>
  </r>
  <r>
    <n v="115397"/>
    <s v="FELIPE DE JESUS"/>
    <s v="AJUDANTE EQ SERVICOS DIVERSOS"/>
    <n v="4"/>
    <x v="1"/>
  </r>
  <r>
    <n v="114316"/>
    <s v="FELIPE GOMES DA SILVA"/>
    <s v="AJUDANTE EQ SERVICOS DIVERSOS"/>
    <n v="2"/>
    <x v="0"/>
  </r>
  <r>
    <n v="117235"/>
    <s v="GLEICE FERNANDES DA SILVA"/>
    <s v="AJUDANTE EQ SERVICOS DIVERSOS"/>
    <n v="2"/>
    <x v="0"/>
  </r>
  <r>
    <n v="120191"/>
    <s v="HUMBERTO RAIMUNDO DE JESUS"/>
    <s v="MOTORISTA CAMINHAO"/>
    <n v="1"/>
    <x v="0"/>
  </r>
  <r>
    <n v="113486"/>
    <s v="IRAM MOREIRA DOS SANTOS"/>
    <s v="MOTORISTA CAMINHAO"/>
    <n v="3"/>
    <x v="2"/>
  </r>
  <r>
    <n v="121689"/>
    <s v="ITALO FERNANDO SILVA COSTA"/>
    <s v="AJUDANTE EQ SERVICOS DIVERSOS"/>
    <n v="2"/>
    <x v="0"/>
  </r>
  <r>
    <n v="118059"/>
    <s v="JACKSON WENDELL FIRMINO DE ARA"/>
    <s v="AJUDANTE EQ SERVICOS DIVERSOS"/>
    <n v="1"/>
    <x v="0"/>
  </r>
  <r>
    <n v="112303"/>
    <s v="JESUS FERREIRA DE CARVALHO"/>
    <s v="VARREDOR"/>
    <n v="1"/>
    <x v="0"/>
  </r>
  <r>
    <n v="113081"/>
    <s v="JHONATAN DE LIMA GOMES"/>
    <s v="AJUDANTE EQ SERVICOS DIVERSOS"/>
    <n v="1"/>
    <x v="0"/>
  </r>
  <r>
    <n v="114493"/>
    <s v="JOSE ALBERTO DE CASTRO BESERRA"/>
    <s v="VARREDOR"/>
    <n v="1"/>
    <x v="0"/>
  </r>
  <r>
    <n v="116004"/>
    <s v="JOSE ROBSON DA SILVA"/>
    <s v="AJUDANTE EQ SERVICOS DIVERSOS"/>
    <n v="3"/>
    <x v="0"/>
  </r>
  <r>
    <n v="112690"/>
    <s v="LETICIA FERREIRA DOS SANTOS"/>
    <s v="AJUDANTE EQ SERVICOS DIVERSOS"/>
    <n v="1"/>
    <x v="1"/>
  </r>
  <r>
    <n v="121317"/>
    <s v="LUCIANO RODRIGUES DE SOUZA"/>
    <s v="AJUDANTE EQ SERVICOS DIVERSOS"/>
    <n v="1"/>
    <x v="0"/>
  </r>
  <r>
    <n v="115012"/>
    <s v="MAURO JOSE DE JESUS SILVA"/>
    <s v="AJUDANTE EQ SERVICOS DIVERSOS"/>
    <n v="3"/>
    <x v="0"/>
  </r>
  <r>
    <n v="114733"/>
    <s v="MAURO MIGUEL SATO DE LIMA"/>
    <s v="AJUDANTE EQ SERVICOS DIVERSOS"/>
    <n v="1"/>
    <x v="0"/>
  </r>
  <r>
    <n v="121686"/>
    <s v="MICHEL ALVES PESSOA"/>
    <s v="AJUDANTE EQ SERVICOS DIVERSOS"/>
    <n v="14"/>
    <x v="2"/>
  </r>
  <r>
    <n v="122250"/>
    <s v="MICHEL ROGERIO SANTOS"/>
    <s v="AJUDANTE EQ SERVICOS DIVERSOS"/>
    <n v="3"/>
    <x v="2"/>
  </r>
  <r>
    <n v="113669"/>
    <s v="OZEIAS ROSA BARBOSA"/>
    <s v="VARREDOR"/>
    <n v="1"/>
    <x v="0"/>
  </r>
  <r>
    <n v="114980"/>
    <s v="PAULO FRANCISCO DO PRADO SILVA"/>
    <s v="AJUDANTE EQ SERVICOS DIVERSOS"/>
    <n v="2"/>
    <x v="0"/>
  </r>
  <r>
    <n v="114742"/>
    <s v="PAULO RICARDO SOARES SILVA"/>
    <s v="AJUDANTE EQ SERVICOS DIVERSOS"/>
    <n v="1"/>
    <x v="0"/>
  </r>
  <r>
    <n v="122424"/>
    <s v="PAULO ROGERIO MATIAS DOMINGUES"/>
    <s v="AJUDANTE EQ SERVICOS DIVERSOS"/>
    <n v="4"/>
    <x v="0"/>
  </r>
  <r>
    <n v="113449"/>
    <s v="PEDRO HELI DE CASTRO"/>
    <s v="AJUDANTE EQ SERVICOS DIVERSOS"/>
    <n v="2"/>
    <x v="0"/>
  </r>
  <r>
    <n v="116329"/>
    <s v="RHUAN MATHEUS PEREIRA BARRETO"/>
    <s v="AJUDANTE EQ SERVICOS DIVERSOS"/>
    <n v="1"/>
    <x v="0"/>
  </r>
  <r>
    <n v="114031"/>
    <s v="RICARDO APARECIDO DA CONCEICAO"/>
    <s v="FISCAL DE TURMA PLENO"/>
    <n v="1"/>
    <x v="0"/>
  </r>
  <r>
    <n v="114093"/>
    <s v="ROBERSON DOS SANTOS ALVES"/>
    <s v="AJUDANTE EQ SERVICOS DIVERSOS"/>
    <n v="20"/>
    <x v="0"/>
  </r>
  <r>
    <n v="119933"/>
    <s v="RODRIGO ALENCAR LINO DOS ANJOS"/>
    <s v="AJUDANTE EQ SERVICOS DIVERSOS"/>
    <n v="3"/>
    <x v="2"/>
  </r>
  <r>
    <n v="114937"/>
    <s v="ROGERIO ALEXANDRE DE SOUZA"/>
    <s v="AJUDANTE EQ SERVICOS DIVERSOS"/>
    <n v="5"/>
    <x v="0"/>
  </r>
  <r>
    <n v="112432"/>
    <s v="RUBENS SANTOS OLIVEIRA JUNIOR"/>
    <s v="AJUDANTE EQ SERVICOS DIVERSOS"/>
    <n v="1"/>
    <x v="0"/>
  </r>
  <r>
    <n v="112454"/>
    <s v="SANDRO PEREIRA DOS SANTOS"/>
    <s v="AJUDANTE EQ SERVICOS DIVERSOS"/>
    <n v="26"/>
    <x v="0"/>
  </r>
  <r>
    <n v="122087"/>
    <s v="SOLANGE APARECIDA DE ALENCAR C"/>
    <s v="AJUDANTE EQ SERVICOS DIVERSOS"/>
    <n v="1"/>
    <x v="2"/>
  </r>
  <r>
    <n v="122078"/>
    <s v="THIAGO SENA DA SILVA"/>
    <s v="AJUDANTE EQ SERVICOS DIVERSOS"/>
    <n v="4"/>
    <x v="3"/>
  </r>
  <r>
    <n v="112485"/>
    <s v="TIAGO DOS SANTOS COSTA"/>
    <s v="VARREDOR"/>
    <n v="1"/>
    <x v="0"/>
  </r>
  <r>
    <n v="122406"/>
    <s v="TIAGO FERNANDES DO NASCIMENTO"/>
    <s v="AJUDANTE EQ SERVICOS DIVERSOS"/>
    <n v="2"/>
    <x v="2"/>
  </r>
  <r>
    <n v="121460"/>
    <s v="TIAGO SANTOS DA CONCEICAO"/>
    <s v="AJUDANTE EQ SERVICOS DIVERSOS"/>
    <n v="1"/>
    <x v="0"/>
  </r>
  <r>
    <n v="114039"/>
    <s v="VITOR BARRETO DOS SANTOS"/>
    <s v="AJUDANTE EQ SERVICOS DIVERSOS"/>
    <n v="1"/>
    <x v="0"/>
  </r>
  <r>
    <n v="121853"/>
    <s v="VITOR SILVA DE SOUZA"/>
    <s v="AJUDANTE EQ SERVICOS DIVERSOS"/>
    <n v="11"/>
    <x v="0"/>
  </r>
  <r>
    <n v="112376"/>
    <s v="WILTON SOUSA SILVA"/>
    <s v="LAVADOR"/>
    <n v="1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52">
  <r>
    <n v="112194"/>
    <s v="ABELITO FERREIRA DOS SANTOS"/>
    <s v="VARREDOR"/>
    <x v="0"/>
    <d v="2019-06-01T00:00:00"/>
    <x v="0"/>
    <x v="0"/>
    <n v="0"/>
    <x v="0"/>
  </r>
  <r>
    <n v="112198"/>
    <s v="ADAELSON ADAUTO SENA DE SIQUEIRA"/>
    <s v="VARREDOR"/>
    <x v="1"/>
    <d v="2019-06-01T00:00:00"/>
    <x v="0"/>
    <x v="0"/>
    <n v="0"/>
    <x v="0"/>
  </r>
  <r>
    <n v="121403"/>
    <s v="ADAIL AUGUSTO VIEIRA"/>
    <s v="AJUDANTE EQ SERVICOS DIVERSOS"/>
    <x v="2"/>
    <d v="2023-02-10T00:00:00"/>
    <x v="0"/>
    <x v="0"/>
    <n v="0"/>
    <x v="0"/>
  </r>
  <r>
    <n v="112225"/>
    <s v="ADAILTON RODRIGUES SANTOS"/>
    <s v="AJUDANTE EQ SERVICOS DIVERSOS"/>
    <x v="2"/>
    <d v="2019-06-01T00:00:00"/>
    <x v="1"/>
    <x v="1"/>
    <n v="0"/>
    <x v="1"/>
  </r>
  <r>
    <n v="121531"/>
    <s v="ADAILTON SOUZA SANTOS"/>
    <s v="MOTORISTA CAMINHAO"/>
    <x v="2"/>
    <d v="2023-02-15T00:00:00"/>
    <x v="0"/>
    <x v="0"/>
    <n v="0"/>
    <x v="0"/>
  </r>
  <r>
    <n v="121851"/>
    <s v="ADAO BARBOZA DOS SANTOS"/>
    <s v="AJUDANTE EQ SERVICOS DIVERSOS"/>
    <x v="1"/>
    <d v="2023-04-06T00:00:00"/>
    <x v="0"/>
    <x v="2"/>
    <n v="-1016.96"/>
    <x v="2"/>
  </r>
  <r>
    <n v="114763"/>
    <s v="ADEILTON GOMES DA SILVA"/>
    <s v="MOTORISTA CAMINHAO"/>
    <x v="2"/>
    <d v="2020-02-13T00:00:00"/>
    <x v="0"/>
    <x v="0"/>
    <n v="0"/>
    <x v="0"/>
  </r>
  <r>
    <n v="122404"/>
    <s v="ADEILTON PEREIRA DE MELO"/>
    <s v="AJUDANTE EQ SERVICOS DIVERSOS"/>
    <x v="2"/>
    <d v="2023-07-10T00:00:00"/>
    <x v="0"/>
    <x v="0"/>
    <n v="0"/>
    <x v="0"/>
  </r>
  <r>
    <n v="112254"/>
    <s v="ADELCIO PIMENTEL DOS SANTOS"/>
    <s v="COLETOR"/>
    <x v="2"/>
    <d v="2019-06-01T00:00:00"/>
    <x v="0"/>
    <x v="0"/>
    <n v="0"/>
    <x v="0"/>
  </r>
  <r>
    <n v="112258"/>
    <s v="ADELSON BEZERRA DA SILVA"/>
    <s v="VARREDOR"/>
    <x v="3"/>
    <d v="2019-06-07T00:00:00"/>
    <x v="0"/>
    <x v="0"/>
    <n v="0"/>
    <x v="0"/>
  </r>
  <r>
    <n v="112265"/>
    <s v="ADELSON DOS SANTOS TEIXEIRA"/>
    <s v="AJUDANTE EQ SERVICOS DIVERSOS"/>
    <x v="0"/>
    <d v="2019-06-01T00:00:00"/>
    <x v="0"/>
    <x v="0"/>
    <n v="0"/>
    <x v="0"/>
  </r>
  <r>
    <n v="112271"/>
    <s v="ADELSON FRANCISCO FREITAS"/>
    <s v="AJUDANTE EQ SERVICOS DIVERSOS"/>
    <x v="4"/>
    <d v="2019-06-01T00:00:00"/>
    <x v="0"/>
    <x v="0"/>
    <n v="0"/>
    <x v="0"/>
  </r>
  <r>
    <n v="115223"/>
    <s v="ADEMILSON DE JESUS"/>
    <s v="AJUDANTE EQ SERVICOS DIVERSOS"/>
    <x v="5"/>
    <d v="2020-07-06T00:00:00"/>
    <x v="0"/>
    <x v="0"/>
    <n v="0"/>
    <x v="0"/>
  </r>
  <r>
    <n v="114910"/>
    <s v="ADEMIR HENRIQUE DO NASCIMENTO"/>
    <s v="AJUDANTE EQ SERVICOS DIVERSOS"/>
    <x v="2"/>
    <d v="2020-03-26T00:00:00"/>
    <x v="0"/>
    <x v="0"/>
    <n v="0"/>
    <x v="0"/>
  </r>
  <r>
    <n v="112279"/>
    <s v="ADEMIR MANOEL DA SILVA"/>
    <s v="VARREDOR"/>
    <x v="1"/>
    <d v="2019-06-01T00:00:00"/>
    <x v="0"/>
    <x v="0"/>
    <n v="0"/>
    <x v="3"/>
  </r>
  <r>
    <n v="112299"/>
    <s v="ADEMIR SILVA LIMA"/>
    <s v="VARREDOR"/>
    <x v="3"/>
    <d v="2019-06-01T00:00:00"/>
    <x v="0"/>
    <x v="0"/>
    <n v="0"/>
    <x v="0"/>
  </r>
  <r>
    <n v="121802"/>
    <s v="ADIJANILDO MONTEIRO BATISTA"/>
    <s v="ASSISTENTE DE COMPRAS"/>
    <x v="6"/>
    <d v="2023-03-23T00:00:00"/>
    <x v="0"/>
    <x v="0"/>
    <n v="0"/>
    <x v="0"/>
  </r>
  <r>
    <n v="120186"/>
    <s v="ADILSON DA CUNHA ALENCAR"/>
    <s v="MOTORISTA CAMINHAO"/>
    <x v="2"/>
    <d v="2022-08-18T00:00:00"/>
    <x v="0"/>
    <x v="0"/>
    <n v="0"/>
    <x v="0"/>
  </r>
  <r>
    <n v="112319"/>
    <s v="ADILSON DE MATOS FERREIRA JUNIOR"/>
    <s v="AJUDANTE EQ SERVICOS DIVERSOS"/>
    <x v="0"/>
    <d v="2019-06-01T00:00:00"/>
    <x v="0"/>
    <x v="0"/>
    <n v="0"/>
    <x v="0"/>
  </r>
  <r>
    <n v="116729"/>
    <s v="ADILSON FERREIRA DO NASCIMENTO"/>
    <s v="MOTORISTA CAMINHAO"/>
    <x v="2"/>
    <d v="2021-06-21T00:00:00"/>
    <x v="0"/>
    <x v="0"/>
    <n v="0"/>
    <x v="0"/>
  </r>
  <r>
    <n v="112171"/>
    <s v="ADILSON FLORES DE LIMA"/>
    <s v="AJUDANTE EQ SERVICOS DIVERSOS"/>
    <x v="1"/>
    <d v="2019-06-01T00:00:00"/>
    <x v="2"/>
    <x v="3"/>
    <n v="76.579999999999927"/>
    <x v="0"/>
  </r>
  <r>
    <n v="112355"/>
    <s v="ADILSON GOMES EMIDIO"/>
    <s v="VARREDOR"/>
    <x v="5"/>
    <d v="2019-06-01T00:00:00"/>
    <x v="0"/>
    <x v="0"/>
    <n v="0"/>
    <x v="0"/>
  </r>
  <r>
    <n v="112358"/>
    <s v="ADILSON GONCALVES DA SILVA"/>
    <s v="AJUDANTE EQ SERVICOS DIVERSOS"/>
    <x v="0"/>
    <d v="2019-06-01T00:00:00"/>
    <x v="0"/>
    <x v="0"/>
    <n v="0"/>
    <x v="0"/>
  </r>
  <r>
    <n v="114679"/>
    <s v="ADINALDO DE OLIVEIRA BASTOS"/>
    <s v="VARREDOR"/>
    <x v="5"/>
    <d v="2020-02-13T00:00:00"/>
    <x v="0"/>
    <x v="0"/>
    <n v="0"/>
    <x v="0"/>
  </r>
  <r>
    <n v="114239"/>
    <s v="ADINALDO MORAIS"/>
    <s v="FISCAL DE TURMA PLENO"/>
    <x v="4"/>
    <d v="2019-11-21T00:00:00"/>
    <x v="0"/>
    <x v="0"/>
    <n v="0"/>
    <x v="0"/>
  </r>
  <r>
    <n v="121941"/>
    <s v="ADRIAN CAUE DE SOUZA ANJOS"/>
    <s v="MENOR/JOVEM APRENDIZ"/>
    <x v="6"/>
    <d v="2023-04-24T00:00:00"/>
    <x v="3"/>
    <x v="4"/>
    <n v="0"/>
    <x v="0"/>
  </r>
  <r>
    <n v="112173"/>
    <s v="ADRIANA MARIA REGIS DA SILVA"/>
    <s v="AJUDANTE EQ SERVICOS DIVERSOS"/>
    <x v="3"/>
    <d v="2019-06-01T00:00:00"/>
    <x v="0"/>
    <x v="0"/>
    <n v="0"/>
    <x v="0"/>
  </r>
  <r>
    <n v="112377"/>
    <s v="ADRIANO DA SILVA PEREIRA"/>
    <s v="BUEIRISTA"/>
    <x v="5"/>
    <d v="2019-06-01T00:00:00"/>
    <x v="0"/>
    <x v="5"/>
    <n v="-38.289999999999964"/>
    <x v="0"/>
  </r>
  <r>
    <n v="116224"/>
    <s v="ADRIANO DE PAIVA BOTELHO"/>
    <s v="AJUDANTE EQ SERVICOS DIVERSOS"/>
    <x v="1"/>
    <d v="2021-03-18T00:00:00"/>
    <x v="0"/>
    <x v="0"/>
    <n v="0"/>
    <x v="0"/>
  </r>
  <r>
    <n v="116087"/>
    <s v="ADRIANO MARCELO DOS SANTOS"/>
    <s v="MOTORISTA CAMINHAO"/>
    <x v="2"/>
    <d v="2021-02-08T00:00:00"/>
    <x v="0"/>
    <x v="0"/>
    <n v="0"/>
    <x v="0"/>
  </r>
  <r>
    <n v="112389"/>
    <s v="ADRIANO MONTEIRO DOS SANTOS"/>
    <s v="VARREDOR"/>
    <x v="3"/>
    <d v="2019-06-01T00:00:00"/>
    <x v="0"/>
    <x v="0"/>
    <n v="0"/>
    <x v="0"/>
  </r>
  <r>
    <n v="112393"/>
    <s v="ADRIANO NEVES DE MATOS"/>
    <s v="AJUDANTE EQ SERVICOS DIVERSOS"/>
    <x v="0"/>
    <d v="2019-06-01T00:00:00"/>
    <x v="0"/>
    <x v="0"/>
    <n v="0"/>
    <x v="0"/>
  </r>
  <r>
    <n v="114607"/>
    <s v="ADRIANO OLIVEIRA DOS SANTOS"/>
    <s v="AUXILIAR DE TRAFEGO"/>
    <x v="2"/>
    <d v="2020-01-06T00:00:00"/>
    <x v="0"/>
    <x v="0"/>
    <n v="0"/>
    <x v="0"/>
  </r>
  <r>
    <n v="122411"/>
    <s v="ADRIANO PASTOR DA SILVA"/>
    <s v="AJUDANTE EQ SERVICOS DIVERSOS"/>
    <x v="2"/>
    <d v="2023-07-10T00:00:00"/>
    <x v="0"/>
    <x v="0"/>
    <n v="0"/>
    <x v="0"/>
  </r>
  <r>
    <n v="112399"/>
    <s v="ADRIANO RAMOS DOS SANTOS"/>
    <s v="VARREDOR"/>
    <x v="5"/>
    <d v="2019-06-01T00:00:00"/>
    <x v="0"/>
    <x v="0"/>
    <n v="0"/>
    <x v="3"/>
  </r>
  <r>
    <n v="112419"/>
    <s v="AFONSO CIMINIO"/>
    <s v="VARREDOR"/>
    <x v="0"/>
    <d v="2019-06-01T00:00:00"/>
    <x v="0"/>
    <x v="0"/>
    <n v="0"/>
    <x v="0"/>
  </r>
  <r>
    <n v="112422"/>
    <s v="AGNALDO BISPO DOS SANTOS"/>
    <s v="VARREDOR"/>
    <x v="5"/>
    <d v="2019-06-01T00:00:00"/>
    <x v="0"/>
    <x v="0"/>
    <n v="0"/>
    <x v="0"/>
  </r>
  <r>
    <n v="112174"/>
    <s v="AGNALDO DA SILVA ARAUJO"/>
    <s v="AJUDANTE EQ SERVICOS DIVERSOS"/>
    <x v="5"/>
    <d v="2019-06-01T00:00:00"/>
    <x v="0"/>
    <x v="0"/>
    <n v="0"/>
    <x v="0"/>
  </r>
  <r>
    <n v="112430"/>
    <s v="AGNELO MARTINS DE SOUZA"/>
    <s v="AJUDANTE EQ SERVICOS DIVERSOS"/>
    <x v="2"/>
    <d v="2019-06-01T00:00:00"/>
    <x v="0"/>
    <x v="0"/>
    <n v="0"/>
    <x v="0"/>
  </r>
  <r>
    <n v="112433"/>
    <s v="AGRIPINO BRANDAO DE SOUZA SOBRINHO"/>
    <s v="COLETOR"/>
    <x v="2"/>
    <d v="2019-06-01T00:00:00"/>
    <x v="0"/>
    <x v="0"/>
    <n v="0"/>
    <x v="0"/>
  </r>
  <r>
    <n v="112436"/>
    <s v="AGUINALDO NASCIMENTO"/>
    <s v="BUEIRISTA"/>
    <x v="5"/>
    <d v="2019-06-01T00:00:00"/>
    <x v="0"/>
    <x v="0"/>
    <n v="0"/>
    <x v="0"/>
  </r>
  <r>
    <n v="112462"/>
    <s v="AILTON ALVES DA SILVA"/>
    <s v="MOTORISTA CAMINHAO"/>
    <x v="2"/>
    <d v="2019-06-01T00:00:00"/>
    <x v="0"/>
    <x v="0"/>
    <n v="0"/>
    <x v="3"/>
  </r>
  <r>
    <n v="116968"/>
    <s v="AILTON CLAUDINO DA SILVA"/>
    <s v="AJUDANTE EQ SERVICOS DIVERSOS"/>
    <x v="3"/>
    <d v="2021-08-11T00:00:00"/>
    <x v="0"/>
    <x v="0"/>
    <n v="0"/>
    <x v="0"/>
  </r>
  <r>
    <n v="112547"/>
    <s v="AILTON CONCEICAO DA SILVA"/>
    <s v="VARREDOR"/>
    <x v="5"/>
    <d v="2019-06-01T00:00:00"/>
    <x v="0"/>
    <x v="0"/>
    <n v="0"/>
    <x v="0"/>
  </r>
  <r>
    <n v="112632"/>
    <s v="AILTON DE JESUS"/>
    <s v="VARREDOR"/>
    <x v="5"/>
    <d v="2019-06-01T00:00:00"/>
    <x v="0"/>
    <x v="0"/>
    <n v="0"/>
    <x v="0"/>
  </r>
  <r>
    <n v="112549"/>
    <s v="AILTON JOSE DO NASCIMENTO"/>
    <s v="VARREDOR"/>
    <x v="5"/>
    <d v="2019-06-01T00:00:00"/>
    <x v="0"/>
    <x v="0"/>
    <n v="0"/>
    <x v="0"/>
  </r>
  <r>
    <n v="112641"/>
    <s v="AIRTON COSTA"/>
    <s v="VARREDOR"/>
    <x v="5"/>
    <d v="2019-06-01T00:00:00"/>
    <x v="0"/>
    <x v="0"/>
    <n v="0"/>
    <x v="0"/>
  </r>
  <r>
    <n v="114966"/>
    <s v="AIRTON DE JESUS SANTOS"/>
    <s v="COLETOR"/>
    <x v="2"/>
    <d v="2020-03-27T00:00:00"/>
    <x v="0"/>
    <x v="0"/>
    <n v="0"/>
    <x v="0"/>
  </r>
  <r>
    <n v="116076"/>
    <s v="ALAN ROCHA DA SILVA"/>
    <s v="LAVADOR"/>
    <x v="2"/>
    <d v="2021-01-22T00:00:00"/>
    <x v="0"/>
    <x v="5"/>
    <n v="-38.289999999999964"/>
    <x v="0"/>
  </r>
  <r>
    <n v="112646"/>
    <s v="ALBERICO DA SILVA BRANDAO"/>
    <s v="AJUDANTE EQ SERVICOS DIVERSOS"/>
    <x v="0"/>
    <d v="2019-06-01T00:00:00"/>
    <x v="0"/>
    <x v="0"/>
    <n v="0"/>
    <x v="0"/>
  </r>
  <r>
    <n v="121954"/>
    <s v="ALBERTO ALENCAR DE JESUS"/>
    <s v="AJUDANTE EQ SERVICOS DIVERSOS"/>
    <x v="2"/>
    <d v="2023-04-24T00:00:00"/>
    <x v="4"/>
    <x v="6"/>
    <n v="-76.559999999999945"/>
    <x v="0"/>
  </r>
  <r>
    <n v="117290"/>
    <s v="ALBINO ISIDORO"/>
    <s v="ELETRICISTA ADM"/>
    <x v="2"/>
    <d v="2021-10-25T00:00:00"/>
    <x v="0"/>
    <x v="0"/>
    <n v="0"/>
    <x v="0"/>
  </r>
  <r>
    <n v="112652"/>
    <s v="ALCIDES JOSE DOS SANTOS"/>
    <s v="AJUDANTE EQ SERVICOS DIVERSOS"/>
    <x v="4"/>
    <d v="2019-06-01T00:00:00"/>
    <x v="0"/>
    <x v="0"/>
    <n v="0"/>
    <x v="3"/>
  </r>
  <r>
    <n v="112567"/>
    <s v="ALCIDES NEI JAIR INEZ"/>
    <s v="AJUDANTE EQ SERVICOS DIVERSOS"/>
    <x v="3"/>
    <d v="2019-06-01T00:00:00"/>
    <x v="0"/>
    <x v="0"/>
    <n v="0"/>
    <x v="3"/>
  </r>
  <r>
    <n v="112656"/>
    <s v="ALDO DOS SANTOS ORESTES"/>
    <s v="COLETOR"/>
    <x v="2"/>
    <d v="2019-06-01T00:00:00"/>
    <x v="0"/>
    <x v="0"/>
    <n v="0"/>
    <x v="0"/>
  </r>
  <r>
    <n v="114976"/>
    <s v="ALECIO CARVALHO DA SILVA"/>
    <s v="MOTORISTA CAMINHAO"/>
    <x v="2"/>
    <d v="2020-03-27T00:00:00"/>
    <x v="0"/>
    <x v="0"/>
    <n v="0"/>
    <x v="0"/>
  </r>
  <r>
    <n v="112664"/>
    <s v="ALESSANDRA SANTOSTASI TEIXEIRA"/>
    <s v="VARREDOR"/>
    <x v="1"/>
    <d v="2019-06-01T00:00:00"/>
    <x v="2"/>
    <x v="5"/>
    <n v="0"/>
    <x v="0"/>
  </r>
  <r>
    <n v="112691"/>
    <s v="ALESSANDRE DE OLIVEIRA SILVA"/>
    <s v="COLETOR"/>
    <x v="2"/>
    <d v="2019-06-01T00:00:00"/>
    <x v="0"/>
    <x v="0"/>
    <n v="0"/>
    <x v="0"/>
  </r>
  <r>
    <n v="112697"/>
    <s v="ALESSANDRO ARRUDA DE OLIVEIRA"/>
    <s v="VARREDOR"/>
    <x v="3"/>
    <d v="2019-06-01T00:00:00"/>
    <x v="0"/>
    <x v="0"/>
    <n v="0"/>
    <x v="0"/>
  </r>
  <r>
    <n v="112700"/>
    <s v="ALESSANDRO DE JESUS SILVA"/>
    <s v="VARREDOR"/>
    <x v="3"/>
    <d v="2019-06-01T00:00:00"/>
    <x v="0"/>
    <x v="0"/>
    <n v="0"/>
    <x v="0"/>
  </r>
  <r>
    <n v="112175"/>
    <s v="ALESSANDRO DOS SANTOS MARTINS"/>
    <s v="AJUDANTE EQ SERVICOS DIVERSOS"/>
    <x v="5"/>
    <d v="2019-06-01T00:00:00"/>
    <x v="0"/>
    <x v="0"/>
    <n v="0"/>
    <x v="0"/>
  </r>
  <r>
    <n v="121314"/>
    <s v="ALESSANDRO RAMALHO DIAS"/>
    <s v="AJUDANTE EQ SERVICOS DIVERSOS"/>
    <x v="5"/>
    <d v="2023-01-19T00:00:00"/>
    <x v="0"/>
    <x v="0"/>
    <n v="0"/>
    <x v="0"/>
  </r>
  <r>
    <n v="112719"/>
    <s v="ALEX APARECIDO DOS SANTOS"/>
    <s v="MOTORISTA CAMINHAO"/>
    <x v="2"/>
    <d v="2019-06-01T00:00:00"/>
    <x v="0"/>
    <x v="0"/>
    <n v="0"/>
    <x v="0"/>
  </r>
  <r>
    <n v="112726"/>
    <s v="ALEX DE FIGUEIREDO COSTA"/>
    <s v="COLETOR"/>
    <x v="2"/>
    <d v="2019-06-01T00:00:00"/>
    <x v="0"/>
    <x v="0"/>
    <n v="0"/>
    <x v="0"/>
  </r>
  <r>
    <n v="113795"/>
    <s v="ALEX DE SOUZA SILVA"/>
    <s v="ASSISTENTE DE RECURSOS HUMANOS"/>
    <x v="6"/>
    <d v="2019-06-12T00:00:00"/>
    <x v="0"/>
    <x v="0"/>
    <n v="0"/>
    <x v="0"/>
  </r>
  <r>
    <n v="116020"/>
    <s v="ALEX JULIO SILVA PEREIRA"/>
    <s v="AJUDANTE EQ SERVICOS DIVERSOS"/>
    <x v="1"/>
    <d v="2021-01-11T00:00:00"/>
    <x v="0"/>
    <x v="0"/>
    <n v="0"/>
    <x v="0"/>
  </r>
  <r>
    <n v="114101"/>
    <s v="ALEX JUNIOR FERREIRA DE MELO"/>
    <s v="AJUDANTE EQ SERVICOS DIVERSOS"/>
    <x v="0"/>
    <d v="2019-09-20T00:00:00"/>
    <x v="1"/>
    <x v="7"/>
    <n v="762.7"/>
    <x v="0"/>
  </r>
  <r>
    <n v="122437"/>
    <s v="ALEX MESSIAS ALMEIDA OLIVIO"/>
    <s v="AJUDANTE EQ SERVICOS DIVERSOS"/>
    <x v="2"/>
    <d v="2023-07-10T00:00:00"/>
    <x v="0"/>
    <x v="0"/>
    <n v="0"/>
    <x v="0"/>
  </r>
  <r>
    <n v="114273"/>
    <s v="ALEX SANDRO DA SILVA XAVIER"/>
    <s v="AJUDANTE EQ SERVICOS DIVERSOS"/>
    <x v="1"/>
    <d v="2019-12-05T00:00:00"/>
    <x v="0"/>
    <x v="5"/>
    <n v="-38.289999999999964"/>
    <x v="0"/>
  </r>
  <r>
    <n v="112763"/>
    <s v="ALEX SANDRO PEREIRA DOS SANTOS"/>
    <s v="MOTORISTA CAMINHAO"/>
    <x v="2"/>
    <d v="2019-06-11T00:00:00"/>
    <x v="0"/>
    <x v="0"/>
    <n v="0"/>
    <x v="0"/>
  </r>
  <r>
    <n v="113000"/>
    <s v="ALEXANDRE DAS NEVES NETO"/>
    <s v="MOTORISTA CAMINHAO"/>
    <x v="2"/>
    <d v="2019-06-01T00:00:00"/>
    <x v="0"/>
    <x v="0"/>
    <n v="0"/>
    <x v="0"/>
  </r>
  <r>
    <n v="112793"/>
    <s v="ALEXANDRE FERREIRA DA SILVA"/>
    <s v="VARREDOR"/>
    <x v="5"/>
    <d v="2019-06-01T00:00:00"/>
    <x v="0"/>
    <x v="0"/>
    <n v="0"/>
    <x v="0"/>
  </r>
  <r>
    <n v="117410"/>
    <s v="ALEXANDRE GEAN DA SILVA SANTOS"/>
    <s v="AUXILIAR DE ALMOXARIFADO PLENO"/>
    <x v="2"/>
    <d v="2021-11-22T00:00:00"/>
    <x v="0"/>
    <x v="0"/>
    <n v="0"/>
    <x v="0"/>
  </r>
  <r>
    <n v="112798"/>
    <s v="ALEXANDRE PEREIRA DA SILVA"/>
    <s v="VARREDOR"/>
    <x v="3"/>
    <d v="2019-06-01T00:00:00"/>
    <x v="0"/>
    <x v="0"/>
    <n v="0"/>
    <x v="0"/>
  </r>
  <r>
    <n v="113028"/>
    <s v="ALEXANDRE REINALDO DE SOUZA"/>
    <s v="ENCARREGADO DE TURMA"/>
    <x v="0"/>
    <d v="2019-06-01T00:00:00"/>
    <x v="0"/>
    <x v="0"/>
    <n v="0"/>
    <x v="0"/>
  </r>
  <r>
    <n v="112804"/>
    <s v="ALEXANDRE SILVA RAMOS"/>
    <s v="VARREDOR"/>
    <x v="4"/>
    <d v="2019-06-01T00:00:00"/>
    <x v="0"/>
    <x v="0"/>
    <n v="0"/>
    <x v="3"/>
  </r>
  <r>
    <n v="113043"/>
    <s v="ALEXANDRE XAVIER DA SILVA"/>
    <s v="AJUDANTE EQ SERVICOS DIVERSOS"/>
    <x v="5"/>
    <d v="2019-06-01T00:00:00"/>
    <x v="0"/>
    <x v="0"/>
    <n v="0"/>
    <x v="0"/>
  </r>
  <r>
    <n v="121482"/>
    <s v="ALEXSANDRO AUGUSTO RIBEIRO RUFINO"/>
    <s v="MOTORISTA CAMINHAO"/>
    <x v="2"/>
    <d v="2023-02-10T00:00:00"/>
    <x v="0"/>
    <x v="0"/>
    <n v="0"/>
    <x v="0"/>
  </r>
  <r>
    <n v="112812"/>
    <s v="ALEXSANDRO NOGUEIRA DE SANTANA"/>
    <s v="FISCAL DE TURMA PLENO"/>
    <x v="0"/>
    <d v="2019-06-01T00:00:00"/>
    <x v="0"/>
    <x v="0"/>
    <n v="0"/>
    <x v="0"/>
  </r>
  <r>
    <n v="112815"/>
    <s v="ALEXSANDRO SOARES CORREA"/>
    <s v="AJUDANTE EQ SERVICOS DIVERSOS"/>
    <x v="5"/>
    <d v="2019-06-01T00:00:00"/>
    <x v="0"/>
    <x v="0"/>
    <n v="0"/>
    <x v="0"/>
  </r>
  <r>
    <n v="118049"/>
    <s v="ALEXSSANDRO MORAES DO NASCIMENTO"/>
    <s v="AJUDANTE EQ SERVICOS DIVERSOS"/>
    <x v="1"/>
    <d v="2022-01-06T00:00:00"/>
    <x v="0"/>
    <x v="8"/>
    <n v="-880.49"/>
    <x v="0"/>
  </r>
  <r>
    <n v="113058"/>
    <s v="ALFREDO SEIFERT"/>
    <s v="VARREDOR"/>
    <x v="3"/>
    <d v="2019-06-01T00:00:00"/>
    <x v="0"/>
    <x v="0"/>
    <n v="0"/>
    <x v="0"/>
  </r>
  <r>
    <n v="112824"/>
    <s v="ALICIO SILVA DE ADORNO"/>
    <s v="VARREDOR"/>
    <x v="5"/>
    <d v="2019-06-01T00:00:00"/>
    <x v="0"/>
    <x v="0"/>
    <n v="0"/>
    <x v="0"/>
  </r>
  <r>
    <n v="113086"/>
    <s v="ALTAMIR REIS LUIZ"/>
    <s v="MOTORISTA CAMINHAO"/>
    <x v="2"/>
    <d v="2019-06-01T00:00:00"/>
    <x v="0"/>
    <x v="0"/>
    <n v="0"/>
    <x v="0"/>
  </r>
  <r>
    <n v="112995"/>
    <s v="ALTINO COSTA"/>
    <s v="VARREDOR"/>
    <x v="0"/>
    <d v="2019-06-01T00:00:00"/>
    <x v="0"/>
    <x v="0"/>
    <n v="0"/>
    <x v="0"/>
  </r>
  <r>
    <n v="116330"/>
    <s v="AMARILDO LOPES SANTANA"/>
    <s v="AJUDANTE EQ SERVICOS DIVERSOS"/>
    <x v="1"/>
    <d v="2021-04-22T00:00:00"/>
    <x v="0"/>
    <x v="0"/>
    <n v="0"/>
    <x v="0"/>
  </r>
  <r>
    <n v="113103"/>
    <s v="AMARILDO MAMEDE DA SILVA"/>
    <s v="AJUDANTE EQ SERVICOS DIVERSOS"/>
    <x v="3"/>
    <d v="2019-06-01T00:00:00"/>
    <x v="0"/>
    <x v="0"/>
    <n v="0"/>
    <x v="0"/>
  </r>
  <r>
    <n v="113109"/>
    <s v="AMARO NIVALDO PLINIO"/>
    <s v="BUEIRISTA"/>
    <x v="3"/>
    <d v="2019-06-01T00:00:00"/>
    <x v="0"/>
    <x v="0"/>
    <n v="0"/>
    <x v="0"/>
  </r>
  <r>
    <n v="113117"/>
    <s v="AMAURI FERREIRA DA SILVA"/>
    <s v="AJUDANTE EQ SERVICOS DIVERSOS"/>
    <x v="4"/>
    <d v="2019-06-01T00:00:00"/>
    <x v="0"/>
    <x v="0"/>
    <n v="0"/>
    <x v="0"/>
  </r>
  <r>
    <n v="113124"/>
    <s v="AMILTON PEREIRA SANTOS"/>
    <s v="COLETOR"/>
    <x v="2"/>
    <d v="2019-06-01T00:00:00"/>
    <x v="0"/>
    <x v="0"/>
    <n v="0"/>
    <x v="0"/>
  </r>
  <r>
    <n v="121817"/>
    <s v="ANA CAROLINA MARINHO DA SILVA"/>
    <s v="MENOR/JOVEM APRENDIZ"/>
    <x v="6"/>
    <d v="2023-04-03T00:00:00"/>
    <x v="3"/>
    <x v="4"/>
    <n v="0"/>
    <x v="0"/>
  </r>
  <r>
    <n v="113135"/>
    <s v="ANA CLAUDIA RODRIGUES BRITO"/>
    <s v="VARREDOR"/>
    <x v="0"/>
    <d v="2019-06-01T00:00:00"/>
    <x v="0"/>
    <x v="0"/>
    <n v="0"/>
    <x v="0"/>
  </r>
  <r>
    <n v="121672"/>
    <s v="ANA CRISTINA DA SILVA"/>
    <s v="AJUDANTE EQ SERVICOS DIVERSOS"/>
    <x v="4"/>
    <d v="2023-03-09T00:00:00"/>
    <x v="0"/>
    <x v="0"/>
    <n v="0"/>
    <x v="0"/>
  </r>
  <r>
    <n v="113139"/>
    <s v="ANA LUCIA GONZAGA DE SOUZA"/>
    <s v="VARREDOR"/>
    <x v="5"/>
    <d v="2019-06-01T00:00:00"/>
    <x v="0"/>
    <x v="0"/>
    <n v="0"/>
    <x v="0"/>
  </r>
  <r>
    <n v="113760"/>
    <s v="ANA PAULA STIGLIANI"/>
    <s v="AUXILIAR DE PLANEJAMENTO OPERACIONAL"/>
    <x v="2"/>
    <d v="2019-06-05T00:00:00"/>
    <x v="0"/>
    <x v="0"/>
    <n v="0"/>
    <x v="0"/>
  </r>
  <r>
    <n v="114682"/>
    <s v="ANALCASSIS LAMBIAZZI"/>
    <s v="AJUDANTE EQ SERVICOS DIVERSOS"/>
    <x v="5"/>
    <d v="2020-02-13T00:00:00"/>
    <x v="0"/>
    <x v="0"/>
    <n v="0"/>
    <x v="0"/>
  </r>
  <r>
    <n v="113151"/>
    <s v="ANDERSON ALBERTO LAPIETRA"/>
    <s v="AJUDANTE EQ SERVICOS DIVERSOS"/>
    <x v="4"/>
    <d v="2019-06-01T00:00:00"/>
    <x v="0"/>
    <x v="0"/>
    <n v="0"/>
    <x v="0"/>
  </r>
  <r>
    <n v="122440"/>
    <s v="ANDERSON APARECIDO DE ALMEIDA"/>
    <s v="AJUDANTE EQ SERVICOS DIVERSOS"/>
    <x v="2"/>
    <d v="2023-07-10T00:00:00"/>
    <x v="0"/>
    <x v="0"/>
    <n v="0"/>
    <x v="0"/>
  </r>
  <r>
    <n v="114968"/>
    <s v="ANDERSON BARROS DA SILVA"/>
    <s v="AJUDANTE EQ SERVICOS DIVERSOS"/>
    <x v="2"/>
    <d v="2020-03-27T00:00:00"/>
    <x v="0"/>
    <x v="0"/>
    <n v="0"/>
    <x v="0"/>
  </r>
  <r>
    <n v="113171"/>
    <s v="ANDERSON BUENO TAVARES"/>
    <s v="AJUDANTE EQ SERVICOS DIVERSOS"/>
    <x v="2"/>
    <d v="2019-06-01T00:00:00"/>
    <x v="0"/>
    <x v="0"/>
    <n v="0"/>
    <x v="0"/>
  </r>
  <r>
    <n v="114683"/>
    <s v="ANDERSON DE ALMEIDA SILVA"/>
    <s v="VARREDOR"/>
    <x v="0"/>
    <d v="2020-02-13T00:00:00"/>
    <x v="0"/>
    <x v="0"/>
    <n v="0"/>
    <x v="0"/>
  </r>
  <r>
    <n v="113173"/>
    <s v="ANDERSON DOS SANTOS ALVES"/>
    <s v="AJUDANTE EQ SERVICOS DIVERSOS"/>
    <x v="0"/>
    <d v="2019-06-01T00:00:00"/>
    <x v="0"/>
    <x v="0"/>
    <n v="0"/>
    <x v="0"/>
  </r>
  <r>
    <n v="114616"/>
    <s v="ANDERSON FERNANDES DA SILVA"/>
    <s v="MOTORISTA CAMINHAO"/>
    <x v="2"/>
    <d v="2020-01-10T00:00:00"/>
    <x v="1"/>
    <x v="1"/>
    <n v="0"/>
    <x v="1"/>
  </r>
  <r>
    <n v="122438"/>
    <s v="ANDERSON SILVA DE SOUZA"/>
    <s v="AJUDANTE EQ SERVICOS DIVERSOS"/>
    <x v="2"/>
    <d v="2023-07-10T00:00:00"/>
    <x v="0"/>
    <x v="0"/>
    <n v="0"/>
    <x v="0"/>
  </r>
  <r>
    <n v="114529"/>
    <s v="ANDERSON SILVA PEREIRA"/>
    <s v="AJUDANTE EQ SERVICOS DIVERSOS"/>
    <x v="2"/>
    <d v="2019-12-14T00:00:00"/>
    <x v="0"/>
    <x v="0"/>
    <n v="0"/>
    <x v="0"/>
  </r>
  <r>
    <n v="113186"/>
    <s v="ANDERSON SOARES CARDOSO"/>
    <s v="VARREDOR"/>
    <x v="3"/>
    <d v="2019-06-01T00:00:00"/>
    <x v="0"/>
    <x v="0"/>
    <n v="0"/>
    <x v="0"/>
  </r>
  <r>
    <n v="120187"/>
    <s v="ANDERSON SOUZA DA SILVA"/>
    <s v="AJUDANTE EQ SERVICOS DIVERSOS"/>
    <x v="2"/>
    <d v="2022-08-18T00:00:00"/>
    <x v="0"/>
    <x v="0"/>
    <n v="0"/>
    <x v="0"/>
  </r>
  <r>
    <n v="113792"/>
    <s v="ANDERSON SOUZA DE OLIVEIRA"/>
    <s v="MECANICO II"/>
    <x v="2"/>
    <d v="2019-06-11T00:00:00"/>
    <x v="0"/>
    <x v="0"/>
    <n v="0"/>
    <x v="0"/>
  </r>
  <r>
    <n v="114760"/>
    <s v="ANDERSON TAVARES OLIVEIRA"/>
    <s v="MOTORISTA CAMINHAO"/>
    <x v="2"/>
    <d v="2020-02-13T00:00:00"/>
    <x v="0"/>
    <x v="0"/>
    <n v="0"/>
    <x v="0"/>
  </r>
  <r>
    <n v="113213"/>
    <s v="ANDRE BARBOSA DE PAULA"/>
    <s v="MOTORISTA CAMINHAO"/>
    <x v="2"/>
    <d v="2019-06-01T00:00:00"/>
    <x v="0"/>
    <x v="0"/>
    <n v="0"/>
    <x v="3"/>
  </r>
  <r>
    <n v="113219"/>
    <s v="ANDRE BARBOSA MATIAS"/>
    <s v="MOTORISTA CAMINHAO"/>
    <x v="2"/>
    <d v="2019-06-01T00:00:00"/>
    <x v="0"/>
    <x v="0"/>
    <n v="0"/>
    <x v="0"/>
  </r>
  <r>
    <n v="113223"/>
    <s v="ANDRE BORGES SOUZA"/>
    <s v="AJUDANTE EQ SERVICOS DIVERSOS"/>
    <x v="3"/>
    <d v="2019-06-01T00:00:00"/>
    <x v="0"/>
    <x v="0"/>
    <n v="0"/>
    <x v="0"/>
  </r>
  <r>
    <n v="114684"/>
    <s v="ANDRE DA SILVA LIVERO"/>
    <s v="VARREDOR"/>
    <x v="1"/>
    <d v="2020-02-13T00:00:00"/>
    <x v="0"/>
    <x v="0"/>
    <n v="0"/>
    <x v="0"/>
  </r>
  <r>
    <n v="121449"/>
    <s v="ANDRE DE SOUZA RAMOS"/>
    <s v="AJUDANTE EQ SERVICOS DIVERSOS"/>
    <x v="2"/>
    <d v="2023-02-10T00:00:00"/>
    <x v="0"/>
    <x v="5"/>
    <n v="-38.289999999999964"/>
    <x v="0"/>
  </r>
  <r>
    <n v="113226"/>
    <s v="ANDRE FERREIRA DA SILVA"/>
    <s v="VARREDOR"/>
    <x v="1"/>
    <d v="2019-06-01T00:00:00"/>
    <x v="0"/>
    <x v="0"/>
    <n v="0"/>
    <x v="0"/>
  </r>
  <r>
    <n v="114546"/>
    <s v="ANDRE GONCALVES CRUZ"/>
    <s v="VARREDOR"/>
    <x v="3"/>
    <d v="2019-12-18T00:00:00"/>
    <x v="0"/>
    <x v="0"/>
    <n v="0"/>
    <x v="0"/>
  </r>
  <r>
    <n v="113232"/>
    <s v="ANDRE GUSTAVO DOS SANTOS"/>
    <s v="FISCAL DE TRAFEGO PLENO"/>
    <x v="2"/>
    <d v="2019-06-01T00:00:00"/>
    <x v="0"/>
    <x v="0"/>
    <n v="0"/>
    <x v="0"/>
  </r>
  <r>
    <n v="114685"/>
    <s v="ANDRE LOPES DE SOUZA"/>
    <s v="VARREDOR"/>
    <x v="5"/>
    <d v="2020-02-13T00:00:00"/>
    <x v="0"/>
    <x v="5"/>
    <n v="-38.289999999999964"/>
    <x v="0"/>
  </r>
  <r>
    <n v="120163"/>
    <s v="ANDRE LUIS ALMEIDA MARQUES"/>
    <s v="BUEIRISTA"/>
    <x v="3"/>
    <d v="2022-08-18T00:00:00"/>
    <x v="0"/>
    <x v="0"/>
    <n v="0"/>
    <x v="0"/>
  </r>
  <r>
    <n v="113251"/>
    <s v="ANDRE LUIZ ALMEIDA PEREIRA"/>
    <s v="MOTORISTA CAMINHAO"/>
    <x v="2"/>
    <d v="2019-06-01T00:00:00"/>
    <x v="0"/>
    <x v="0"/>
    <n v="0"/>
    <x v="0"/>
  </r>
  <r>
    <n v="118646"/>
    <s v="ANDRE LUIZ DELMIRO"/>
    <s v="AJUDANTE EQ SERVICOS DIVERSOS"/>
    <x v="1"/>
    <d v="2022-01-21T00:00:00"/>
    <x v="2"/>
    <x v="5"/>
    <n v="0"/>
    <x v="3"/>
  </r>
  <r>
    <n v="113253"/>
    <s v="ANDRE LUIZ LEITE DE JESUS"/>
    <s v="FISCAL DE TURMA PLENO"/>
    <x v="3"/>
    <d v="2019-06-01T00:00:00"/>
    <x v="0"/>
    <x v="0"/>
    <n v="0"/>
    <x v="3"/>
  </r>
  <r>
    <n v="114687"/>
    <s v="ANDRE LUIZ MIGUEL"/>
    <s v="VARREDOR"/>
    <x v="0"/>
    <d v="2020-02-13T00:00:00"/>
    <x v="0"/>
    <x v="0"/>
    <n v="0"/>
    <x v="0"/>
  </r>
  <r>
    <n v="113899"/>
    <s v="ANDRE LUIZ MOTTA"/>
    <s v="MOTORISTA CAMINHAO"/>
    <x v="2"/>
    <d v="2019-07-22T00:00:00"/>
    <x v="0"/>
    <x v="0"/>
    <n v="0"/>
    <x v="0"/>
  </r>
  <r>
    <n v="122832"/>
    <s v="ANDRE LUIZ MUNIZ DE ARRUDA"/>
    <s v="AJUDANTE EQ SERVICOS DIVERSOS"/>
    <x v="2"/>
    <d v="2023-09-11T00:00:00"/>
    <x v="5"/>
    <x v="0"/>
    <n v="1016.96"/>
    <x v="4"/>
  </r>
  <r>
    <n v="113258"/>
    <s v="ANDRE MISSIAS AMOROSO"/>
    <s v="AJUDANTE EQ SERVICOS DIVERSOS"/>
    <x v="3"/>
    <d v="2019-06-01T00:00:00"/>
    <x v="0"/>
    <x v="0"/>
    <n v="0"/>
    <x v="0"/>
  </r>
  <r>
    <n v="113302"/>
    <s v="ANDRE SOARES PADILHA LIMA"/>
    <s v="VARREDOR"/>
    <x v="3"/>
    <d v="2019-06-01T00:00:00"/>
    <x v="0"/>
    <x v="0"/>
    <n v="0"/>
    <x v="0"/>
  </r>
  <r>
    <n v="113415"/>
    <s v="ANGELO JOSE DOS SANTOS"/>
    <s v="VARREDOR"/>
    <x v="1"/>
    <d v="2019-06-01T00:00:00"/>
    <x v="0"/>
    <x v="0"/>
    <n v="0"/>
    <x v="0"/>
  </r>
  <r>
    <n v="113310"/>
    <s v="ANILTON RIBEIRO SOUZA"/>
    <s v="MOTORISTA CAMINHAO"/>
    <x v="2"/>
    <d v="2019-06-01T00:00:00"/>
    <x v="0"/>
    <x v="0"/>
    <n v="0"/>
    <x v="0"/>
  </r>
  <r>
    <n v="113419"/>
    <s v="ANNA KAROLINIE GALDINO DOS SANTOS"/>
    <s v="AUXILIAR DE SEGURANCA DO TRABALHO"/>
    <x v="2"/>
    <d v="2019-06-01T00:00:00"/>
    <x v="0"/>
    <x v="0"/>
    <n v="0"/>
    <x v="0"/>
  </r>
  <r>
    <n v="113334"/>
    <s v="ANTENOR VIEIRA LIMA"/>
    <s v="MOTORISTA CAMINHAO"/>
    <x v="2"/>
    <d v="2019-06-01T00:00:00"/>
    <x v="0"/>
    <x v="0"/>
    <n v="0"/>
    <x v="0"/>
  </r>
  <r>
    <n v="113355"/>
    <s v="ANTONIO AIRTON BARBOSA ALEXANDRE"/>
    <s v="AJUDANTE EQ SERVICOS DIVERSOS"/>
    <x v="1"/>
    <d v="2019-06-01T00:00:00"/>
    <x v="0"/>
    <x v="0"/>
    <n v="0"/>
    <x v="0"/>
  </r>
  <r>
    <n v="116969"/>
    <s v="ANTONIO ALVES CONCEICAO FILHO"/>
    <s v="AJUDANTE EQ SERVICOS DIVERSOS"/>
    <x v="3"/>
    <d v="2021-08-11T00:00:00"/>
    <x v="0"/>
    <x v="0"/>
    <n v="0"/>
    <x v="0"/>
  </r>
  <r>
    <n v="113431"/>
    <s v="ANTONIO AMORIM DA SILVA"/>
    <s v="VARREDOR"/>
    <x v="1"/>
    <d v="2019-06-01T00:00:00"/>
    <x v="0"/>
    <x v="0"/>
    <n v="0"/>
    <x v="0"/>
  </r>
  <r>
    <n v="113369"/>
    <s v="ANTONIO CARLOS ALVES RAMOS"/>
    <s v="VARREDOR"/>
    <x v="5"/>
    <d v="2019-06-01T00:00:00"/>
    <x v="0"/>
    <x v="0"/>
    <n v="0"/>
    <x v="0"/>
  </r>
  <r>
    <n v="121673"/>
    <s v="ANTONIO CARLOS COSTA DA SILVA"/>
    <s v="AJUDANTE EQ SERVICOS DIVERSOS"/>
    <x v="1"/>
    <d v="2023-03-09T00:00:00"/>
    <x v="1"/>
    <x v="9"/>
    <n v="910.84999999999991"/>
    <x v="0"/>
  </r>
  <r>
    <n v="113438"/>
    <s v="ANTONIO CARLOS DE OLIVEIRA"/>
    <s v="AJUDANTE EQ SERVICOS DIVERSOS"/>
    <x v="0"/>
    <d v="2019-06-01T00:00:00"/>
    <x v="0"/>
    <x v="0"/>
    <n v="0"/>
    <x v="0"/>
  </r>
  <r>
    <n v="113379"/>
    <s v="ANTONIO CARLOS GOMES DE PAULA"/>
    <s v="BUEIRISTA"/>
    <x v="3"/>
    <d v="2019-06-01T00:00:00"/>
    <x v="0"/>
    <x v="0"/>
    <n v="0"/>
    <x v="0"/>
  </r>
  <r>
    <n v="113445"/>
    <s v="ANTONIO CARLOS PEREIRA"/>
    <s v="AJUDANTE EQ SERVICOS DIVERSOS"/>
    <x v="3"/>
    <d v="2019-06-01T00:00:00"/>
    <x v="0"/>
    <x v="0"/>
    <n v="0"/>
    <x v="0"/>
  </r>
  <r>
    <n v="113388"/>
    <s v="ANTONIO CARLOS RIBEIRO"/>
    <s v="VARREDOR"/>
    <x v="1"/>
    <d v="2019-06-01T00:00:00"/>
    <x v="0"/>
    <x v="0"/>
    <n v="0"/>
    <x v="0"/>
  </r>
  <r>
    <n v="113396"/>
    <s v="ANTONIO CARLOS SOUSA DOS SANTOS"/>
    <s v="AJUDANTE EQ SERVICOS DIVERSOS"/>
    <x v="0"/>
    <d v="2019-06-01T00:00:00"/>
    <x v="0"/>
    <x v="0"/>
    <n v="0"/>
    <x v="0"/>
  </r>
  <r>
    <n v="113400"/>
    <s v="ANTONIO COSME FILHO"/>
    <s v="COLETOR"/>
    <x v="2"/>
    <d v="2019-06-01T00:00:00"/>
    <x v="0"/>
    <x v="0"/>
    <n v="0"/>
    <x v="0"/>
  </r>
  <r>
    <n v="113482"/>
    <s v="ANTONIO DA CONCEICAO SANTOS"/>
    <s v="ELETRICISTA"/>
    <x v="2"/>
    <d v="2019-06-01T00:00:00"/>
    <x v="0"/>
    <x v="0"/>
    <n v="0"/>
    <x v="0"/>
  </r>
  <r>
    <n v="116970"/>
    <s v="ANTONIO DA SILVA MENDES"/>
    <s v="AJUDANTE EQ SERVICOS DIVERSOS"/>
    <x v="4"/>
    <d v="2021-08-11T00:00:00"/>
    <x v="0"/>
    <x v="0"/>
    <n v="0"/>
    <x v="0"/>
  </r>
  <r>
    <n v="113490"/>
    <s v="ANTONIO DE LIMA RIBEIRO"/>
    <s v="MECANICO II"/>
    <x v="2"/>
    <d v="2019-06-01T00:00:00"/>
    <x v="0"/>
    <x v="0"/>
    <n v="0"/>
    <x v="0"/>
  </r>
  <r>
    <n v="113711"/>
    <s v="ANTONIO DE SOUSA NETO"/>
    <s v="ASSISTENTE DE DEPARTAMENTO PESSOAL"/>
    <x v="6"/>
    <d v="2019-06-03T00:00:00"/>
    <x v="0"/>
    <x v="0"/>
    <n v="0"/>
    <x v="0"/>
  </r>
  <r>
    <n v="115225"/>
    <s v="ANTONIO DEODATO DE ALBUQUERQUE"/>
    <s v="AJUDANTE EQ SERVICOS DIVERSOS"/>
    <x v="0"/>
    <d v="2020-07-06T00:00:00"/>
    <x v="0"/>
    <x v="0"/>
    <n v="0"/>
    <x v="0"/>
  </r>
  <r>
    <n v="113922"/>
    <s v="ANTONIO DOMINGOS MILANO"/>
    <s v="MEDICO DO TRABALHO"/>
    <x v="2"/>
    <d v="2019-08-05T00:00:00"/>
    <x v="0"/>
    <x v="0"/>
    <n v="0"/>
    <x v="0"/>
  </r>
  <r>
    <n v="118633"/>
    <s v="ANTONIO DOS SANTOS"/>
    <s v="AJUDANTE EQ SERVICOS DIVERSOS"/>
    <x v="1"/>
    <d v="2022-01-21T00:00:00"/>
    <x v="0"/>
    <x v="0"/>
    <n v="0"/>
    <x v="0"/>
  </r>
  <r>
    <n v="113508"/>
    <s v="ANTONIO FERREIRA FILHO"/>
    <s v="MOTORISTA CAMINHAO"/>
    <x v="2"/>
    <d v="2019-06-01T00:00:00"/>
    <x v="0"/>
    <x v="0"/>
    <n v="0"/>
    <x v="0"/>
  </r>
  <r>
    <n v="113699"/>
    <s v="ANTONIO FRANCISCO GUIMARAES FEITOSA"/>
    <s v="VARREDOR"/>
    <x v="3"/>
    <d v="2019-06-01T00:00:00"/>
    <x v="0"/>
    <x v="0"/>
    <n v="0"/>
    <x v="0"/>
  </r>
  <r>
    <n v="113515"/>
    <s v="ANTONIO GOMES DA MOTA"/>
    <s v="VARREDOR"/>
    <x v="5"/>
    <d v="2019-06-01T00:00:00"/>
    <x v="0"/>
    <x v="0"/>
    <n v="0"/>
    <x v="0"/>
  </r>
  <r>
    <n v="113679"/>
    <s v="ANTONIO GOMES DA SILVA"/>
    <s v="VARREDOR"/>
    <x v="1"/>
    <d v="2019-06-01T00:00:00"/>
    <x v="0"/>
    <x v="0"/>
    <n v="0"/>
    <x v="3"/>
  </r>
  <r>
    <n v="113529"/>
    <s v="ANTONIO JOSE DE OLIVEIRA"/>
    <s v="MOTORISTA CAMINHAO"/>
    <x v="2"/>
    <d v="2019-06-01T00:00:00"/>
    <x v="0"/>
    <x v="0"/>
    <n v="0"/>
    <x v="3"/>
  </r>
  <r>
    <n v="113533"/>
    <s v="ANTONIO JOSE DOS SANTOS"/>
    <s v="VARREDOR"/>
    <x v="5"/>
    <d v="2019-06-01T00:00:00"/>
    <x v="0"/>
    <x v="0"/>
    <n v="0"/>
    <x v="0"/>
  </r>
  <r>
    <n v="113543"/>
    <s v="ANTONIO LAERCIO DA SILVA"/>
    <s v="MOTORISTA CAMINHAO"/>
    <x v="2"/>
    <d v="2019-06-01T00:00:00"/>
    <x v="0"/>
    <x v="0"/>
    <n v="0"/>
    <x v="0"/>
  </r>
  <r>
    <n v="113549"/>
    <s v="ANTONIO LIMA DE LACERDA"/>
    <s v="AJUDANTE EQ SERVICOS DIVERSOS"/>
    <x v="1"/>
    <d v="2019-06-01T00:00:00"/>
    <x v="6"/>
    <x v="10"/>
    <n v="0"/>
    <x v="0"/>
  </r>
  <r>
    <n v="113553"/>
    <s v="ANTONIO LUIS SEVERO"/>
    <s v="VARREDOR"/>
    <x v="3"/>
    <d v="2019-06-01T00:00:00"/>
    <x v="0"/>
    <x v="0"/>
    <n v="0"/>
    <x v="0"/>
  </r>
  <r>
    <n v="119644"/>
    <s v="ANTONIO LUZIA DOS SANTOS"/>
    <s v="AJUDANTE EQ SERVICOS DIVERSOS"/>
    <x v="0"/>
    <d v="2022-06-13T00:00:00"/>
    <x v="0"/>
    <x v="0"/>
    <n v="0"/>
    <x v="0"/>
  </r>
  <r>
    <n v="113558"/>
    <s v="ANTONIO MARCOS MARQUES"/>
    <s v="VARREDOR"/>
    <x v="1"/>
    <d v="2019-06-01T00:00:00"/>
    <x v="0"/>
    <x v="0"/>
    <n v="0"/>
    <x v="0"/>
  </r>
  <r>
    <n v="113561"/>
    <s v="ANTONIO MARTINS DA SILVA"/>
    <s v="VARREDOR"/>
    <x v="5"/>
    <d v="2019-06-01T00:00:00"/>
    <x v="0"/>
    <x v="0"/>
    <n v="0"/>
    <x v="3"/>
  </r>
  <r>
    <n v="114973"/>
    <s v="ANTONIO RODRIGUES DA SILVA"/>
    <s v="MOTORISTA CAMINHAO"/>
    <x v="2"/>
    <d v="2020-03-27T00:00:00"/>
    <x v="0"/>
    <x v="0"/>
    <n v="0"/>
    <x v="0"/>
  </r>
  <r>
    <n v="113588"/>
    <s v="ANTONIO TEIXEIRA VASCONCELOS"/>
    <s v="VARREDOR"/>
    <x v="3"/>
    <d v="2019-06-01T00:00:00"/>
    <x v="0"/>
    <x v="0"/>
    <n v="0"/>
    <x v="0"/>
  </r>
  <r>
    <n v="113625"/>
    <s v="APARECIDA DE FATIMA RODRIGUES DE CASTRO"/>
    <s v="AJUDANTE EQ SERVICOS DIVERSOS"/>
    <x v="1"/>
    <d v="2019-06-01T00:00:00"/>
    <x v="0"/>
    <x v="0"/>
    <n v="0"/>
    <x v="0"/>
  </r>
  <r>
    <n v="113631"/>
    <s v="APARECIDO DA SILVA"/>
    <s v="VARREDOR"/>
    <x v="5"/>
    <d v="2019-06-01T00:00:00"/>
    <x v="0"/>
    <x v="0"/>
    <n v="0"/>
    <x v="3"/>
  </r>
  <r>
    <n v="113666"/>
    <s v="APARECIDO PEDRO DA SILVA"/>
    <s v="ENCARREGADO DE MANUTENCAO OFICINA"/>
    <x v="2"/>
    <d v="2019-06-01T00:00:00"/>
    <x v="0"/>
    <x v="0"/>
    <n v="0"/>
    <x v="0"/>
  </r>
  <r>
    <n v="113677"/>
    <s v="ARIACILDO BARROS VIEIRA"/>
    <s v="VARREDOR"/>
    <x v="5"/>
    <d v="2019-06-01T00:00:00"/>
    <x v="0"/>
    <x v="0"/>
    <n v="0"/>
    <x v="3"/>
  </r>
  <r>
    <n v="113694"/>
    <s v="ARISVALDO DE OLIVEIRA"/>
    <s v="MOTORISTA CAMINHAO"/>
    <x v="2"/>
    <d v="2019-06-01T00:00:00"/>
    <x v="0"/>
    <x v="0"/>
    <n v="0"/>
    <x v="0"/>
  </r>
  <r>
    <n v="113696"/>
    <s v="ARISVALDO LARANJEIRA DA SILVA NASCIMENTO"/>
    <s v="AJUDANTE EQ SERVICOS DIVERSOS"/>
    <x v="0"/>
    <d v="2019-06-01T00:00:00"/>
    <x v="0"/>
    <x v="0"/>
    <n v="0"/>
    <x v="0"/>
  </r>
  <r>
    <n v="113693"/>
    <s v="ARIVALDO DIAS DE ANDRADE"/>
    <s v="VARREDOR"/>
    <x v="1"/>
    <d v="2019-06-01T00:00:00"/>
    <x v="0"/>
    <x v="0"/>
    <n v="0"/>
    <x v="0"/>
  </r>
  <r>
    <n v="113686"/>
    <s v="ARLETE CRISTINA DOS SANTOS AMORIM"/>
    <s v="VARREDOR"/>
    <x v="4"/>
    <d v="2019-06-01T00:00:00"/>
    <x v="0"/>
    <x v="0"/>
    <n v="0"/>
    <x v="0"/>
  </r>
  <r>
    <n v="113681"/>
    <s v="ARMANDO IZIDIO DOS SANTOS"/>
    <s v="VARREDOR"/>
    <x v="1"/>
    <d v="2019-06-01T00:00:00"/>
    <x v="0"/>
    <x v="0"/>
    <n v="0"/>
    <x v="0"/>
  </r>
  <r>
    <n v="113698"/>
    <s v="ARNALDO ALVES DE JESUS"/>
    <s v="AJUDANTE EQ SERVICOS DIVERSOS"/>
    <x v="2"/>
    <d v="2019-06-01T00:00:00"/>
    <x v="0"/>
    <x v="0"/>
    <n v="0"/>
    <x v="3"/>
  </r>
  <r>
    <n v="114523"/>
    <s v="ARNALDO BATISTA DE SOUSA"/>
    <s v="MOTORISTA CAMINHAO"/>
    <x v="2"/>
    <d v="2019-12-14T00:00:00"/>
    <x v="0"/>
    <x v="0"/>
    <n v="0"/>
    <x v="0"/>
  </r>
  <r>
    <n v="113704"/>
    <s v="ARNALDO DA SILVA"/>
    <s v="VARREDOR"/>
    <x v="3"/>
    <d v="2019-06-01T00:00:00"/>
    <x v="0"/>
    <x v="0"/>
    <n v="0"/>
    <x v="0"/>
  </r>
  <r>
    <n v="113690"/>
    <s v="ARNALDO FREITAS DO NASCIMENTO"/>
    <s v="VARREDOR"/>
    <x v="3"/>
    <d v="2019-06-01T00:00:00"/>
    <x v="0"/>
    <x v="0"/>
    <n v="0"/>
    <x v="0"/>
  </r>
  <r>
    <n v="121849"/>
    <s v="ARTHUR ROGERIO DA SILVA"/>
    <s v="AJUDANTE EQ SERVICOS DIVERSOS"/>
    <x v="1"/>
    <d v="2023-04-06T00:00:00"/>
    <x v="2"/>
    <x v="5"/>
    <n v="0"/>
    <x v="0"/>
  </r>
  <r>
    <n v="119754"/>
    <s v="ARYANNE OLIVEIRA REIS"/>
    <s v="MENOR/JOVEM APRENDIZ"/>
    <x v="6"/>
    <d v="2022-06-22T00:00:00"/>
    <x v="3"/>
    <x v="4"/>
    <n v="0"/>
    <x v="0"/>
  </r>
  <r>
    <n v="118056"/>
    <s v="ATAIDE BERNARDO RODRIGUES"/>
    <s v="AJUDANTE EQ SERVICOS DIVERSOS"/>
    <x v="1"/>
    <d v="2022-01-06T00:00:00"/>
    <x v="0"/>
    <x v="0"/>
    <n v="0"/>
    <x v="0"/>
  </r>
  <r>
    <n v="122829"/>
    <s v="AUGUSTO DOS SANTOS FRANCISCO"/>
    <s v="AJUDANTE EQ SERVICOS DIVERSOS"/>
    <x v="2"/>
    <d v="2023-09-11T00:00:00"/>
    <x v="5"/>
    <x v="0"/>
    <n v="1016.96"/>
    <x v="4"/>
  </r>
  <r>
    <n v="113682"/>
    <s v="AURELIANO MATIAS MARTINS"/>
    <s v="AJUDANTE EQ SERVICOS DIVERSOS"/>
    <x v="2"/>
    <d v="2019-06-01T00:00:00"/>
    <x v="0"/>
    <x v="0"/>
    <n v="0"/>
    <x v="0"/>
  </r>
  <r>
    <n v="113678"/>
    <s v="AURELINO DE ALMEIDA SANTOS"/>
    <s v="AJUDANTE EQ SERVICOS DIVERSOS"/>
    <x v="1"/>
    <d v="2019-06-01T00:00:00"/>
    <x v="2"/>
    <x v="0"/>
    <n v="38.289999999999964"/>
    <x v="0"/>
  </r>
  <r>
    <n v="113930"/>
    <s v="BARBARA BAUSCHERT"/>
    <s v="ANALISTA JURIDICO"/>
    <x v="6"/>
    <d v="2019-08-05T00:00:00"/>
    <x v="0"/>
    <x v="0"/>
    <n v="0"/>
    <x v="0"/>
  </r>
  <r>
    <n v="113692"/>
    <s v="BARTOLOMEU SEBASTIAO FELICIANO"/>
    <s v="MOTORISTA CAMINHAO"/>
    <x v="2"/>
    <d v="2019-06-01T00:00:00"/>
    <x v="0"/>
    <x v="0"/>
    <n v="0"/>
    <x v="3"/>
  </r>
  <r>
    <n v="113683"/>
    <s v="BENEDITO AMORIM DA SILVA"/>
    <s v="VARREDOR"/>
    <x v="1"/>
    <d v="2019-06-01T00:00:00"/>
    <x v="0"/>
    <x v="0"/>
    <n v="0"/>
    <x v="0"/>
  </r>
  <r>
    <n v="113585"/>
    <s v="BENEDITO SOARES DA SILVA"/>
    <s v="VARREDOR"/>
    <x v="0"/>
    <d v="2019-06-01T00:00:00"/>
    <x v="0"/>
    <x v="0"/>
    <n v="0"/>
    <x v="0"/>
  </r>
  <r>
    <n v="116972"/>
    <s v="BIANCA ALMEIDA BIAGIONI"/>
    <s v="AJUDANTE EQ SERVICOS DIVERSOS"/>
    <x v="1"/>
    <d v="2021-08-11T00:00:00"/>
    <x v="0"/>
    <x v="0"/>
    <n v="0"/>
    <x v="0"/>
  </r>
  <r>
    <n v="113763"/>
    <s v="BILLY JOE ZAKARIAN"/>
    <s v="ENCARREGADO DE TRAFEGO II"/>
    <x v="2"/>
    <d v="2019-06-05T00:00:00"/>
    <x v="0"/>
    <x v="0"/>
    <n v="0"/>
    <x v="0"/>
  </r>
  <r>
    <n v="122028"/>
    <s v="BRUNNA FARIAS SANT ANA"/>
    <s v="AGENTE AMBIENTAL"/>
    <x v="2"/>
    <d v="2023-05-08T00:00:00"/>
    <x v="0"/>
    <x v="0"/>
    <n v="0"/>
    <x v="0"/>
  </r>
  <r>
    <n v="117238"/>
    <s v="BRUNO ANDRADE DA COSTA"/>
    <s v="AJUDANTE EQ SERVICOS DIVERSOS"/>
    <x v="2"/>
    <d v="2021-10-18T00:00:00"/>
    <x v="0"/>
    <x v="0"/>
    <n v="0"/>
    <x v="0"/>
  </r>
  <r>
    <n v="121320"/>
    <s v="BRUNO BEZERRA DOS SANTOS"/>
    <s v="VARREDOR"/>
    <x v="5"/>
    <d v="2023-01-19T00:00:00"/>
    <x v="0"/>
    <x v="0"/>
    <n v="0"/>
    <x v="0"/>
  </r>
  <r>
    <n v="122830"/>
    <s v="BRUNO DE JESUS SANTOS QUEIROZ"/>
    <s v="AJUDANTE EQ SERVICOS DIVERSOS"/>
    <x v="4"/>
    <d v="2023-09-11T00:00:00"/>
    <x v="5"/>
    <x v="0"/>
    <n v="1016.96"/>
    <x v="4"/>
  </r>
  <r>
    <n v="114266"/>
    <s v="BRUNO DOS SANTOS SILVA"/>
    <s v="VARREDOR"/>
    <x v="1"/>
    <d v="2019-12-05T00:00:00"/>
    <x v="0"/>
    <x v="0"/>
    <n v="0"/>
    <x v="0"/>
  </r>
  <r>
    <n v="113568"/>
    <s v="BRUNO FERNANDES DA SILVA"/>
    <s v="MOTORISTA CAMINHAO"/>
    <x v="2"/>
    <d v="2019-06-01T00:00:00"/>
    <x v="0"/>
    <x v="0"/>
    <n v="0"/>
    <x v="0"/>
  </r>
  <r>
    <n v="121857"/>
    <s v="BRUNO HENRIQUE DE SOUZA E SILVA"/>
    <s v="AJUDANTE EQ SERVICOS DIVERSOS"/>
    <x v="1"/>
    <d v="2023-04-06T00:00:00"/>
    <x v="0"/>
    <x v="0"/>
    <n v="0"/>
    <x v="0"/>
  </r>
  <r>
    <n v="113560"/>
    <s v="BRUNO LOPES DA SILVA"/>
    <s v="AJUDANTE EQ SERVICOS DIVERSOS"/>
    <x v="5"/>
    <d v="2019-06-01T00:00:00"/>
    <x v="0"/>
    <x v="0"/>
    <n v="0"/>
    <x v="0"/>
  </r>
  <r>
    <n v="113550"/>
    <s v="BRUNO PIZOLI DE MORAIS"/>
    <s v="AJUDANTE EQ SERVICOS DIVERSOS"/>
    <x v="1"/>
    <d v="2019-06-01T00:00:00"/>
    <x v="0"/>
    <x v="0"/>
    <n v="0"/>
    <x v="0"/>
  </r>
  <r>
    <n v="113546"/>
    <s v="BRUNO SANTANA DE SA"/>
    <s v="COLETOR"/>
    <x v="2"/>
    <d v="2019-06-01T00:00:00"/>
    <x v="0"/>
    <x v="0"/>
    <n v="0"/>
    <x v="0"/>
  </r>
  <r>
    <n v="113545"/>
    <s v="BRUNO SANTOS PINA"/>
    <s v="VARREDOR"/>
    <x v="3"/>
    <d v="2019-06-01T00:00:00"/>
    <x v="0"/>
    <x v="0"/>
    <n v="0"/>
    <x v="0"/>
  </r>
  <r>
    <n v="121947"/>
    <s v="CAIO GONCALVES DOS SANTOS"/>
    <s v="MENOR/JOVEM APRENDIZ"/>
    <x v="6"/>
    <d v="2023-04-24T00:00:00"/>
    <x v="3"/>
    <x v="4"/>
    <n v="0"/>
    <x v="0"/>
  </r>
  <r>
    <n v="113540"/>
    <s v="CAIO PINHEIRO DE SOUSA"/>
    <s v="MOTORISTA CAMINHAO"/>
    <x v="2"/>
    <d v="2019-06-01T00:00:00"/>
    <x v="0"/>
    <x v="0"/>
    <n v="0"/>
    <x v="0"/>
  </r>
  <r>
    <n v="120356"/>
    <s v="CAIO WENDELL ASSIS ROCHA SANTOS"/>
    <s v="AJUDANTE EQ SERVICOS DIVERSOS"/>
    <x v="4"/>
    <d v="2022-09-16T00:00:00"/>
    <x v="0"/>
    <x v="0"/>
    <n v="0"/>
    <x v="0"/>
  </r>
  <r>
    <n v="122410"/>
    <s v="CAIQUE RIBEIRO SILVA VALADARES"/>
    <s v="AJUDANTE EQ SERVICOS DIVERSOS"/>
    <x v="2"/>
    <d v="2023-07-10T00:00:00"/>
    <x v="0"/>
    <x v="0"/>
    <n v="0"/>
    <x v="0"/>
  </r>
  <r>
    <n v="121848"/>
    <s v="CARLINDO DA SILVA BARROS"/>
    <s v="AJUDANTE EQ SERVICOS DIVERSOS"/>
    <x v="3"/>
    <d v="2023-04-06T00:00:00"/>
    <x v="0"/>
    <x v="0"/>
    <n v="0"/>
    <x v="0"/>
  </r>
  <r>
    <n v="112169"/>
    <s v="CARLIONEI HOLANDA DE SOUSA"/>
    <s v="VARREDOR"/>
    <x v="1"/>
    <d v="2019-06-01T00:00:00"/>
    <x v="0"/>
    <x v="0"/>
    <n v="0"/>
    <x v="0"/>
  </r>
  <r>
    <n v="112170"/>
    <s v="CARLITO PASTOR DA SILVA"/>
    <s v="VARREDOR"/>
    <x v="1"/>
    <d v="2019-06-01T00:00:00"/>
    <x v="0"/>
    <x v="0"/>
    <n v="0"/>
    <x v="0"/>
  </r>
  <r>
    <n v="114549"/>
    <s v="CARLOS ALBERTO ALVES"/>
    <s v="VARREDOR"/>
    <x v="1"/>
    <d v="2019-12-18T00:00:00"/>
    <x v="0"/>
    <x v="0"/>
    <n v="0"/>
    <x v="0"/>
  </r>
  <r>
    <n v="116026"/>
    <s v="CARLOS ALBERTO BISPO DA CRUZ"/>
    <s v="AJUDANTE EQ SERVICOS DIVERSOS"/>
    <x v="1"/>
    <d v="2021-01-11T00:00:00"/>
    <x v="7"/>
    <x v="0"/>
    <n v="767.41000000000008"/>
    <x v="0"/>
  </r>
  <r>
    <n v="112177"/>
    <s v="CARLOS ALBERTO QUEIROZ DE OLIVEIRA"/>
    <s v="MOTORISTA CAMINHAO"/>
    <x v="2"/>
    <d v="2019-06-01T00:00:00"/>
    <x v="0"/>
    <x v="0"/>
    <n v="0"/>
    <x v="0"/>
  </r>
  <r>
    <n v="112179"/>
    <s v="CARLOS ALBERTO TEIXEIRA RAMOS"/>
    <s v="AJUDANTE EQ SERVICOS DIVERSOS"/>
    <x v="5"/>
    <d v="2019-06-01T00:00:00"/>
    <x v="0"/>
    <x v="0"/>
    <n v="0"/>
    <x v="0"/>
  </r>
  <r>
    <n v="115413"/>
    <s v="CARLOS ALBERTO VIEIRA"/>
    <s v="AJUDANTE EQ SERVICOS DIVERSOS"/>
    <x v="0"/>
    <d v="2020-08-05T00:00:00"/>
    <x v="0"/>
    <x v="0"/>
    <n v="0"/>
    <x v="0"/>
  </r>
  <r>
    <n v="116008"/>
    <s v="CARLOS APARIZ BARBOSA"/>
    <s v="AJUDANTE EQ SERVICOS DIVERSOS"/>
    <x v="1"/>
    <d v="2021-01-11T00:00:00"/>
    <x v="0"/>
    <x v="0"/>
    <n v="0"/>
    <x v="0"/>
  </r>
  <r>
    <n v="112183"/>
    <s v="CARLOS DE OLIVEIRA BORGES"/>
    <s v="AJUDANTE EQ SERVICOS DIVERSOS"/>
    <x v="5"/>
    <d v="2019-06-01T00:00:00"/>
    <x v="0"/>
    <x v="0"/>
    <n v="0"/>
    <x v="0"/>
  </r>
  <r>
    <n v="112184"/>
    <s v="CARLOS DOS SANTOS"/>
    <s v="VARREDOR"/>
    <x v="0"/>
    <d v="2019-06-01T00:00:00"/>
    <x v="0"/>
    <x v="0"/>
    <n v="0"/>
    <x v="0"/>
  </r>
  <r>
    <n v="121436"/>
    <s v="CARLOS EDUARDO DA SILVA"/>
    <s v="AJUDANTE EQ SERVICOS DIVERSOS"/>
    <x v="2"/>
    <d v="2023-02-10T00:00:00"/>
    <x v="0"/>
    <x v="0"/>
    <n v="0"/>
    <x v="0"/>
  </r>
  <r>
    <n v="118650"/>
    <s v="CARLOS EDUARDO DE SOUZA"/>
    <s v="AJUDANTE EQ SERVICOS DIVERSOS"/>
    <x v="2"/>
    <d v="2022-01-21T00:00:00"/>
    <x v="0"/>
    <x v="0"/>
    <n v="0"/>
    <x v="0"/>
  </r>
  <r>
    <n v="114253"/>
    <s v="CARLOS EDUARDO DOS REIS"/>
    <s v="AJUDANTE EQ SERVICOS DIVERSOS"/>
    <x v="1"/>
    <d v="2019-12-05T00:00:00"/>
    <x v="0"/>
    <x v="0"/>
    <n v="0"/>
    <x v="0"/>
  </r>
  <r>
    <n v="114691"/>
    <s v="CARLOS EDUARDO MACHADO SANTOS"/>
    <s v="AJUDANTE EQ SERVICOS DIVERSOS"/>
    <x v="1"/>
    <d v="2020-02-13T00:00:00"/>
    <x v="8"/>
    <x v="11"/>
    <n v="-526.29999999999995"/>
    <x v="0"/>
  </r>
  <r>
    <n v="112186"/>
    <s v="CARLOS HENRIQUE BASTOS DE OLIVEIRA"/>
    <s v="AJUDANTE EQ SERVICOS DIVERSOS"/>
    <x v="2"/>
    <d v="2019-06-04T00:00:00"/>
    <x v="0"/>
    <x v="0"/>
    <n v="0"/>
    <x v="0"/>
  </r>
  <r>
    <n v="112187"/>
    <s v="CARLOS HENRIQUE TEIXEIRA DE JESUS"/>
    <s v="COLETOR"/>
    <x v="2"/>
    <d v="2019-06-01T00:00:00"/>
    <x v="0"/>
    <x v="0"/>
    <n v="0"/>
    <x v="0"/>
  </r>
  <r>
    <n v="121674"/>
    <s v="CARLOS LUIS LIMA MATOS"/>
    <s v="AJUDANTE EQ SERVICOS DIVERSOS"/>
    <x v="2"/>
    <d v="2023-03-09T00:00:00"/>
    <x v="0"/>
    <x v="0"/>
    <n v="0"/>
    <x v="0"/>
  </r>
  <r>
    <n v="114504"/>
    <s v="CARLOS RICARDO RAMOS DOS SANTOS"/>
    <s v="VARREDOR"/>
    <x v="1"/>
    <d v="2019-12-12T00:00:00"/>
    <x v="0"/>
    <x v="0"/>
    <n v="0"/>
    <x v="0"/>
  </r>
  <r>
    <n v="112318"/>
    <s v="CARLOS ROBERTO BARBOSA SALES"/>
    <s v="VARREDOR"/>
    <x v="3"/>
    <d v="2019-06-01T00:00:00"/>
    <x v="0"/>
    <x v="0"/>
    <n v="0"/>
    <x v="0"/>
  </r>
  <r>
    <n v="112324"/>
    <s v="CARLOS ROBERTO DA SILVA"/>
    <s v="VARREDOR"/>
    <x v="1"/>
    <d v="2019-06-01T00:00:00"/>
    <x v="0"/>
    <x v="0"/>
    <n v="0"/>
    <x v="0"/>
  </r>
  <r>
    <n v="112327"/>
    <s v="CARLOS ROBERTO DA SILVA JESUS"/>
    <s v="AJUDANTE EQ SERVICOS DIVERSOS"/>
    <x v="0"/>
    <d v="2019-06-01T00:00:00"/>
    <x v="0"/>
    <x v="0"/>
    <n v="0"/>
    <x v="3"/>
  </r>
  <r>
    <n v="112334"/>
    <s v="CARLOS ROBERTO ROCHA DA SILVA"/>
    <s v="VARREDOR"/>
    <x v="0"/>
    <d v="2019-06-01T00:00:00"/>
    <x v="0"/>
    <x v="0"/>
    <n v="0"/>
    <x v="0"/>
  </r>
  <r>
    <n v="112340"/>
    <s v="CARLOS ROGER DE SOUZA JESUS"/>
    <s v="FISCAL DE TURMA PLENO"/>
    <x v="1"/>
    <d v="2019-06-01T00:00:00"/>
    <x v="0"/>
    <x v="0"/>
    <n v="0"/>
    <x v="0"/>
  </r>
  <r>
    <n v="112348"/>
    <s v="CARLOS SIMON SELIS DE OLIVEIRA"/>
    <s v="VARREDOR"/>
    <x v="3"/>
    <d v="2019-06-01T00:00:00"/>
    <x v="0"/>
    <x v="0"/>
    <n v="0"/>
    <x v="0"/>
  </r>
  <r>
    <n v="122343"/>
    <s v="CARLOS WENDELL DE SOUSA AMORIM"/>
    <s v="VARREDOR"/>
    <x v="3"/>
    <d v="2023-06-21T00:00:00"/>
    <x v="0"/>
    <x v="0"/>
    <n v="0"/>
    <x v="0"/>
  </r>
  <r>
    <n v="112443"/>
    <s v="CASSIA GOMES DA SILVA"/>
    <s v="AJUDANTE EQ SERVICOS DIVERSOS"/>
    <x v="0"/>
    <d v="2019-06-01T00:00:00"/>
    <x v="0"/>
    <x v="0"/>
    <n v="0"/>
    <x v="0"/>
  </r>
  <r>
    <n v="112490"/>
    <s v="CELSO APARECIDO AVELINO"/>
    <s v="COLETOR"/>
    <x v="2"/>
    <d v="2019-06-01T00:00:00"/>
    <x v="0"/>
    <x v="0"/>
    <n v="0"/>
    <x v="0"/>
  </r>
  <r>
    <n v="112502"/>
    <s v="CELSO RICARDO DE JESUS"/>
    <s v="MOTORISTA CAMINHAO"/>
    <x v="2"/>
    <d v="2019-06-01T00:00:00"/>
    <x v="0"/>
    <x v="0"/>
    <n v="0"/>
    <x v="0"/>
  </r>
  <r>
    <n v="112521"/>
    <s v="CELSON DUARTE"/>
    <s v="VARREDOR"/>
    <x v="3"/>
    <d v="2019-06-01T00:00:00"/>
    <x v="0"/>
    <x v="0"/>
    <n v="0"/>
    <x v="0"/>
  </r>
  <r>
    <n v="122824"/>
    <s v="CESAR FRANCISCO ALVES LIMA"/>
    <s v="AJUDANTE EQ SERVICOS DIVERSOS"/>
    <x v="1"/>
    <d v="2023-09-11T00:00:00"/>
    <x v="5"/>
    <x v="0"/>
    <n v="1016.96"/>
    <x v="4"/>
  </r>
  <r>
    <n v="113305"/>
    <s v="CHARLES DEIVIDSON DE CARVALHO"/>
    <s v="VARREDOR"/>
    <x v="1"/>
    <d v="2019-06-01T00:00:00"/>
    <x v="0"/>
    <x v="0"/>
    <n v="0"/>
    <x v="0"/>
  </r>
  <r>
    <n v="112525"/>
    <s v="CHARLES MOREIRA DOS SANTOS"/>
    <s v="MOTORISTA CAMINHAO"/>
    <x v="2"/>
    <d v="2019-06-01T00:00:00"/>
    <x v="0"/>
    <x v="0"/>
    <n v="0"/>
    <x v="0"/>
  </r>
  <r>
    <n v="112527"/>
    <s v="CHRISTIAN ALVES SIQUEIRA DE OLIVEIRA"/>
    <s v="MOTORISTA CAMINHAO"/>
    <x v="2"/>
    <d v="2019-06-01T00:00:00"/>
    <x v="0"/>
    <x v="0"/>
    <n v="0"/>
    <x v="0"/>
  </r>
  <r>
    <n v="112530"/>
    <s v="CICERO ALVES DE MARIO"/>
    <s v="MOTORISTA CAMINHAO"/>
    <x v="2"/>
    <d v="2019-06-01T00:00:00"/>
    <x v="0"/>
    <x v="0"/>
    <n v="0"/>
    <x v="0"/>
  </r>
  <r>
    <n v="112532"/>
    <s v="CICERO ANTONIO FAUSTINO"/>
    <s v="VARREDOR"/>
    <x v="5"/>
    <d v="2019-06-01T00:00:00"/>
    <x v="0"/>
    <x v="0"/>
    <n v="0"/>
    <x v="0"/>
  </r>
  <r>
    <n v="112533"/>
    <s v="CICERO APARECIDO DOS SANTOS"/>
    <s v="VARREDOR"/>
    <x v="1"/>
    <d v="2019-06-01T00:00:00"/>
    <x v="0"/>
    <x v="0"/>
    <n v="0"/>
    <x v="0"/>
  </r>
  <r>
    <n v="112535"/>
    <s v="CICERO BENEDITO DA SILVA"/>
    <s v="VARREDOR"/>
    <x v="3"/>
    <d v="2019-06-01T00:00:00"/>
    <x v="0"/>
    <x v="0"/>
    <n v="0"/>
    <x v="0"/>
  </r>
  <r>
    <n v="112538"/>
    <s v="CICERO DA SILVA COSTA"/>
    <s v="VARREDOR"/>
    <x v="5"/>
    <d v="2019-06-01T00:00:00"/>
    <x v="0"/>
    <x v="0"/>
    <n v="0"/>
    <x v="0"/>
  </r>
  <r>
    <n v="114537"/>
    <s v="CICERO DIAS FERREIRA"/>
    <s v="AJUDANTE EQ SERVICOS DIVERSOS"/>
    <x v="3"/>
    <d v="2019-12-18T00:00:00"/>
    <x v="0"/>
    <x v="0"/>
    <n v="0"/>
    <x v="0"/>
  </r>
  <r>
    <n v="115218"/>
    <s v="CICERO FERREIRA DA SILVA"/>
    <s v="AJUDANTE EQ SERVICOS DIVERSOS"/>
    <x v="0"/>
    <d v="2020-07-06T00:00:00"/>
    <x v="0"/>
    <x v="0"/>
    <n v="0"/>
    <x v="0"/>
  </r>
  <r>
    <n v="112548"/>
    <s v="CICERO LUIZ DA SILVA"/>
    <s v="BUEIRISTA"/>
    <x v="4"/>
    <d v="2019-06-01T00:00:00"/>
    <x v="0"/>
    <x v="0"/>
    <n v="0"/>
    <x v="3"/>
  </r>
  <r>
    <n v="116072"/>
    <s v="CICERO SILVA FRANCO"/>
    <s v="TECNICO EM SEGURANCA DO TRABALHO JUNIOR"/>
    <x v="2"/>
    <d v="2021-01-20T00:00:00"/>
    <x v="0"/>
    <x v="0"/>
    <n v="0"/>
    <x v="0"/>
  </r>
  <r>
    <n v="112551"/>
    <s v="CICERO VIEIRA"/>
    <s v="BUEIRISTA"/>
    <x v="0"/>
    <d v="2019-06-01T00:00:00"/>
    <x v="0"/>
    <x v="0"/>
    <n v="0"/>
    <x v="3"/>
  </r>
  <r>
    <n v="115415"/>
    <s v="CLAUDEMIR APARECIDO DE FREITAS"/>
    <s v="AJUDANTE EQ SERVICOS DIVERSOS"/>
    <x v="1"/>
    <d v="2020-08-05T00:00:00"/>
    <x v="0"/>
    <x v="0"/>
    <n v="0"/>
    <x v="0"/>
  </r>
  <r>
    <n v="112553"/>
    <s v="CLAUDEMIR DE ANDRADE FELICIANO"/>
    <s v="VARREDOR"/>
    <x v="3"/>
    <d v="2019-06-01T00:00:00"/>
    <x v="0"/>
    <x v="0"/>
    <n v="0"/>
    <x v="0"/>
  </r>
  <r>
    <n v="112555"/>
    <s v="CLAUDEMIRO PRATA DE ALMEIDA"/>
    <s v="VARREDOR"/>
    <x v="3"/>
    <d v="2019-06-01T00:00:00"/>
    <x v="0"/>
    <x v="0"/>
    <n v="0"/>
    <x v="0"/>
  </r>
  <r>
    <n v="112557"/>
    <s v="CLAUDINEI MENDES DA SILVA"/>
    <s v="COLETOR"/>
    <x v="2"/>
    <d v="2019-06-01T00:00:00"/>
    <x v="0"/>
    <x v="0"/>
    <n v="0"/>
    <x v="0"/>
  </r>
  <r>
    <n v="112559"/>
    <s v="CLAUDINEI OLIVEIRA E SILVA"/>
    <s v="VARREDOR"/>
    <x v="1"/>
    <d v="2019-06-01T00:00:00"/>
    <x v="0"/>
    <x v="0"/>
    <n v="0"/>
    <x v="3"/>
  </r>
  <r>
    <n v="112561"/>
    <s v="CLAUDIO DA SILVA ALVINO"/>
    <s v="VARREDOR"/>
    <x v="5"/>
    <d v="2019-06-01T00:00:00"/>
    <x v="0"/>
    <x v="0"/>
    <n v="0"/>
    <x v="3"/>
  </r>
  <r>
    <n v="116731"/>
    <s v="CLAUDIO DA SILVA GOMES"/>
    <s v="MOTORISTA CAMINHAO"/>
    <x v="2"/>
    <d v="2021-06-21T00:00:00"/>
    <x v="0"/>
    <x v="0"/>
    <n v="0"/>
    <x v="0"/>
  </r>
  <r>
    <n v="112563"/>
    <s v="CLAUDIO DE SOUZA"/>
    <s v="VARREDOR"/>
    <x v="1"/>
    <d v="2019-06-01T00:00:00"/>
    <x v="0"/>
    <x v="0"/>
    <n v="0"/>
    <x v="0"/>
  </r>
  <r>
    <n v="119109"/>
    <s v="CLAUDIO DIAS FERREIRA"/>
    <s v="AJUDANTE EQ SERVICOS DIVERSOS"/>
    <x v="2"/>
    <d v="2022-03-10T00:00:00"/>
    <x v="0"/>
    <x v="0"/>
    <n v="0"/>
    <x v="0"/>
  </r>
  <r>
    <n v="116315"/>
    <s v="CLAUDIO HENRIQUE RUFINO RODRIGUES"/>
    <s v="AJUDANTE EQ SERVICOS DIVERSOS"/>
    <x v="4"/>
    <d v="2021-04-22T00:00:00"/>
    <x v="0"/>
    <x v="0"/>
    <n v="0"/>
    <x v="0"/>
  </r>
  <r>
    <n v="112568"/>
    <s v="CLAUDIO MOREIRA DA SILVA"/>
    <s v="MOTORISTA CAMINHAO"/>
    <x v="2"/>
    <d v="2019-06-01T00:00:00"/>
    <x v="0"/>
    <x v="0"/>
    <n v="0"/>
    <x v="0"/>
  </r>
  <r>
    <n v="115406"/>
    <s v="CLAUDIONOR PROCOPIO DE OLIVEIRA"/>
    <s v="AJUDANTE EQ SERVICOS DIVERSOS"/>
    <x v="1"/>
    <d v="2020-08-05T00:00:00"/>
    <x v="0"/>
    <x v="0"/>
    <n v="0"/>
    <x v="0"/>
  </r>
  <r>
    <n v="112576"/>
    <s v="CLAYTON FERREIRA DE MELO"/>
    <s v="VARREDOR"/>
    <x v="3"/>
    <d v="2019-06-01T00:00:00"/>
    <x v="0"/>
    <x v="0"/>
    <n v="0"/>
    <x v="0"/>
  </r>
  <r>
    <n v="112581"/>
    <s v="CLAYVES CRISTIANO DE JESUS"/>
    <s v="AJUDANTE EQ SERVICOS DIVERSOS"/>
    <x v="2"/>
    <d v="2019-06-01T00:00:00"/>
    <x v="0"/>
    <x v="0"/>
    <n v="0"/>
    <x v="0"/>
  </r>
  <r>
    <n v="112587"/>
    <s v="CLEBER GONCALVES DOS SANTOS"/>
    <s v="VARREDOR"/>
    <x v="1"/>
    <d v="2019-06-01T00:00:00"/>
    <x v="0"/>
    <x v="0"/>
    <n v="0"/>
    <x v="3"/>
  </r>
  <r>
    <n v="114805"/>
    <s v="CLEBIO SOUZA SANTOS"/>
    <s v="MOTORISTA CAMINHAO"/>
    <x v="2"/>
    <d v="2020-02-20T00:00:00"/>
    <x v="0"/>
    <x v="0"/>
    <n v="0"/>
    <x v="0"/>
  </r>
  <r>
    <n v="114526"/>
    <s v="CLEBSMAR ROCHA DE ALMEIDA"/>
    <s v="MOTORISTA CAMINHAO"/>
    <x v="2"/>
    <d v="2019-12-14T00:00:00"/>
    <x v="0"/>
    <x v="0"/>
    <n v="0"/>
    <x v="0"/>
  </r>
  <r>
    <n v="121328"/>
    <s v="CLEITON APARECIDO MIGUEL"/>
    <s v="AJUDANTE EQ SERVICOS DIVERSOS"/>
    <x v="3"/>
    <d v="2023-01-19T00:00:00"/>
    <x v="0"/>
    <x v="0"/>
    <n v="0"/>
    <x v="0"/>
  </r>
  <r>
    <n v="112594"/>
    <s v="CLELIO ANDRADE ARAUJO"/>
    <s v="VARREDOR"/>
    <x v="4"/>
    <d v="2019-06-01T00:00:00"/>
    <x v="0"/>
    <x v="0"/>
    <n v="0"/>
    <x v="3"/>
  </r>
  <r>
    <n v="114693"/>
    <s v="CLENILSON REIS SANTOS"/>
    <s v="AJUDANTE EQ SERVICOS DIVERSOS"/>
    <x v="1"/>
    <d v="2020-02-13T00:00:00"/>
    <x v="0"/>
    <x v="0"/>
    <n v="0"/>
    <x v="0"/>
  </r>
  <r>
    <n v="112610"/>
    <s v="CLERISTON BELAU DOS SANTOS CRUZ"/>
    <s v="AJUDANTE EQ SERVICOS DIVERSOS"/>
    <x v="0"/>
    <d v="2019-06-01T00:00:00"/>
    <x v="0"/>
    <x v="0"/>
    <n v="0"/>
    <x v="3"/>
  </r>
  <r>
    <n v="112613"/>
    <s v="CLEYTON DIAS MACHADO"/>
    <s v="AJUDANTE EQ SERVICOS DIVERSOS"/>
    <x v="3"/>
    <d v="2019-06-01T00:00:00"/>
    <x v="0"/>
    <x v="0"/>
    <n v="0"/>
    <x v="0"/>
  </r>
  <r>
    <n v="112620"/>
    <s v="CLOVES TAVARES DIAS"/>
    <s v="AJUDANTE EQ SERVICOS DIVERSOS"/>
    <x v="5"/>
    <d v="2019-06-01T00:00:00"/>
    <x v="0"/>
    <x v="0"/>
    <n v="0"/>
    <x v="0"/>
  </r>
  <r>
    <n v="112634"/>
    <s v="COSMA LIBERATO DE OLIVEIRA"/>
    <s v="VARREDOR"/>
    <x v="1"/>
    <d v="2019-06-01T00:00:00"/>
    <x v="0"/>
    <x v="0"/>
    <n v="0"/>
    <x v="0"/>
  </r>
  <r>
    <n v="116712"/>
    <s v="COSME COSTA FERREIRA DA SILVA"/>
    <s v="AJUDANTE EQ SERVICOS DIVERSOS"/>
    <x v="5"/>
    <d v="2021-06-21T00:00:00"/>
    <x v="0"/>
    <x v="0"/>
    <n v="0"/>
    <x v="0"/>
  </r>
  <r>
    <n v="116973"/>
    <s v="COSME COSTA PEREIRA DOS SANTOS"/>
    <s v="AJUDANTE EQ SERVICOS DIVERSOS"/>
    <x v="1"/>
    <d v="2021-08-11T00:00:00"/>
    <x v="4"/>
    <x v="2"/>
    <n v="-940.39"/>
    <x v="2"/>
  </r>
  <r>
    <n v="112797"/>
    <s v="COSME GALDINO DA SILVA"/>
    <s v="VARREDOR"/>
    <x v="1"/>
    <d v="2019-06-01T00:00:00"/>
    <x v="0"/>
    <x v="0"/>
    <n v="0"/>
    <x v="3"/>
  </r>
  <r>
    <n v="112851"/>
    <s v="COSMO DOMINGOS DE SOUSA"/>
    <s v="AJUDANTE EQ SERVICOS DIVERSOS"/>
    <x v="3"/>
    <d v="2019-06-01T00:00:00"/>
    <x v="0"/>
    <x v="0"/>
    <n v="0"/>
    <x v="0"/>
  </r>
  <r>
    <n v="112855"/>
    <s v="COSMO FERNANDES PEREIRA"/>
    <s v="AJUDANTE EQ SERVICOS DIVERSOS"/>
    <x v="1"/>
    <d v="2019-06-01T00:00:00"/>
    <x v="0"/>
    <x v="0"/>
    <n v="0"/>
    <x v="0"/>
  </r>
  <r>
    <n v="112860"/>
    <s v="COSMO JOSE DE OLIVEIRA"/>
    <s v="AJUDANTE EQ SERVICOS DIVERSOS"/>
    <x v="2"/>
    <d v="2019-06-01T00:00:00"/>
    <x v="0"/>
    <x v="0"/>
    <n v="0"/>
    <x v="0"/>
  </r>
  <r>
    <n v="112865"/>
    <s v="CRISTIANE BARBOSA DA SILVA"/>
    <s v="VARREDOR"/>
    <x v="0"/>
    <d v="2019-06-01T00:00:00"/>
    <x v="0"/>
    <x v="0"/>
    <n v="0"/>
    <x v="0"/>
  </r>
  <r>
    <n v="113769"/>
    <s v="CRISTIANO APARECIDO VIEIRA LUZ"/>
    <s v="ASSISTENTE DE ALMOXARIFADO"/>
    <x v="2"/>
    <d v="2019-06-06T00:00:00"/>
    <x v="0"/>
    <x v="0"/>
    <n v="0"/>
    <x v="0"/>
  </r>
  <r>
    <n v="114988"/>
    <s v="CRISTIANO BASTOS DE OLIVEIRA"/>
    <s v="MOTORISTA CAMINHAO"/>
    <x v="2"/>
    <d v="2020-03-28T00:00:00"/>
    <x v="0"/>
    <x v="0"/>
    <n v="0"/>
    <x v="0"/>
  </r>
  <r>
    <n v="112875"/>
    <s v="CRISTIANO DA SILVA GOMES"/>
    <s v="MOTORISTA CAMINHAO"/>
    <x v="2"/>
    <d v="2019-06-04T00:00:00"/>
    <x v="0"/>
    <x v="0"/>
    <n v="0"/>
    <x v="0"/>
  </r>
  <r>
    <n v="113766"/>
    <s v="CRISTIANO DA SILVA OLIVEIRA"/>
    <s v="TECNICO EM SEGURANCA DO TRABALHO PLENO"/>
    <x v="2"/>
    <d v="2019-06-06T00:00:00"/>
    <x v="0"/>
    <x v="0"/>
    <n v="0"/>
    <x v="0"/>
  </r>
  <r>
    <n v="112883"/>
    <s v="CRISTIANO SENA SILVA"/>
    <s v="AJUDANTE EQ SERVICOS DIVERSOS"/>
    <x v="1"/>
    <d v="2019-06-01T00:00:00"/>
    <x v="0"/>
    <x v="5"/>
    <n v="-38.289999999999964"/>
    <x v="0"/>
  </r>
  <r>
    <n v="112891"/>
    <s v="CRISTIANO SILVA BEZERRA"/>
    <s v="VARREDOR"/>
    <x v="0"/>
    <d v="2019-06-01T00:00:00"/>
    <x v="0"/>
    <x v="0"/>
    <n v="0"/>
    <x v="0"/>
  </r>
  <r>
    <n v="112900"/>
    <s v="CRISTIANO TEIXEIRA DA SILVA"/>
    <s v="AJUDANTE EQ SERVICOS DIVERSOS"/>
    <x v="5"/>
    <d v="2019-06-01T00:00:00"/>
    <x v="0"/>
    <x v="0"/>
    <n v="0"/>
    <x v="0"/>
  </r>
  <r>
    <n v="112916"/>
    <s v="CRISTOVAO DE SOUSA"/>
    <s v="VARREDOR"/>
    <x v="0"/>
    <d v="2019-06-01T00:00:00"/>
    <x v="0"/>
    <x v="0"/>
    <n v="0"/>
    <x v="0"/>
  </r>
  <r>
    <n v="112534"/>
    <s v="DAMIAO BEZERRA DE OLIVEIRA"/>
    <s v="AJUDANTE EQ SERVICOS DIVERSOS"/>
    <x v="2"/>
    <d v="2019-06-01T00:00:00"/>
    <x v="0"/>
    <x v="0"/>
    <n v="0"/>
    <x v="0"/>
  </r>
  <r>
    <n v="114913"/>
    <s v="DAMIAO COSTA PEREIRA DOS SANTOS"/>
    <s v="AUXILIAR DE CHECK LIST"/>
    <x v="2"/>
    <d v="2020-03-26T00:00:00"/>
    <x v="0"/>
    <x v="0"/>
    <n v="0"/>
    <x v="0"/>
  </r>
  <r>
    <n v="112537"/>
    <s v="DAMIAO JOSE DA SILVA"/>
    <s v="AJUDANTE EQ SERVICOS DIVERSOS"/>
    <x v="5"/>
    <d v="2019-06-01T00:00:00"/>
    <x v="0"/>
    <x v="0"/>
    <n v="0"/>
    <x v="3"/>
  </r>
  <r>
    <n v="112539"/>
    <s v="DAMIAO LIMA BISPO"/>
    <s v="VARREDOR"/>
    <x v="1"/>
    <d v="2019-06-01T00:00:00"/>
    <x v="0"/>
    <x v="0"/>
    <n v="0"/>
    <x v="3"/>
  </r>
  <r>
    <n v="112540"/>
    <s v="DAMIAO RODRIGUES PITA"/>
    <s v="AJUDANTE EQ SERVICOS DIVERSOS"/>
    <x v="1"/>
    <d v="2019-06-01T00:00:00"/>
    <x v="0"/>
    <x v="0"/>
    <n v="0"/>
    <x v="0"/>
  </r>
  <r>
    <n v="113775"/>
    <s v="DANIEL ALEXANDRE DA COSTA MARQUES"/>
    <s v="MECANICO III"/>
    <x v="2"/>
    <d v="2019-06-07T00:00:00"/>
    <x v="0"/>
    <x v="0"/>
    <n v="0"/>
    <x v="0"/>
  </r>
  <r>
    <n v="122573"/>
    <s v="DANIEL ALVES DANTAS PEIXINHO"/>
    <s v="MOTORISTA CAMINHAO"/>
    <x v="2"/>
    <d v="2023-07-24T00:00:00"/>
    <x v="0"/>
    <x v="0"/>
    <n v="0"/>
    <x v="0"/>
  </r>
  <r>
    <n v="112821"/>
    <s v="DANIEL BONIFACIO"/>
    <s v="MOTORISTA CAMINHAO"/>
    <x v="2"/>
    <d v="2019-06-01T00:00:00"/>
    <x v="0"/>
    <x v="0"/>
    <n v="0"/>
    <x v="0"/>
  </r>
  <r>
    <n v="114907"/>
    <s v="DANIEL CARDOSO DA SILVA"/>
    <s v="AJUDANTE EQ SERVICOS DIVERSOS"/>
    <x v="2"/>
    <d v="2020-03-26T00:00:00"/>
    <x v="0"/>
    <x v="0"/>
    <n v="0"/>
    <x v="0"/>
  </r>
  <r>
    <n v="112827"/>
    <s v="DANIEL DA CUNHA PUPO"/>
    <s v="COLETOR"/>
    <x v="2"/>
    <d v="2019-06-01T00:00:00"/>
    <x v="0"/>
    <x v="0"/>
    <n v="0"/>
    <x v="0"/>
  </r>
  <r>
    <n v="112834"/>
    <s v="DANIEL DE PAULA CUNHA"/>
    <s v="VARREDOR"/>
    <x v="3"/>
    <d v="2019-06-01T00:00:00"/>
    <x v="0"/>
    <x v="0"/>
    <n v="0"/>
    <x v="3"/>
  </r>
  <r>
    <n v="112843"/>
    <s v="DANIEL DOS REIS CARVALHO"/>
    <s v="AJUDANTE EQ SERVICOS DIVERSOS"/>
    <x v="1"/>
    <d v="2019-06-01T00:00:00"/>
    <x v="2"/>
    <x v="3"/>
    <n v="76.579999999999927"/>
    <x v="0"/>
  </r>
  <r>
    <n v="112922"/>
    <s v="DANIEL GOMES DA SILVA"/>
    <s v="COLETOR"/>
    <x v="2"/>
    <d v="2019-06-01T00:00:00"/>
    <x v="0"/>
    <x v="0"/>
    <n v="0"/>
    <x v="0"/>
  </r>
  <r>
    <n v="112930"/>
    <s v="DANIEL JACINTO DA SILVA"/>
    <s v="AJUDANTE EQ SERVICOS DIVERSOS"/>
    <x v="5"/>
    <d v="2019-06-01T00:00:00"/>
    <x v="1"/>
    <x v="12"/>
    <n v="1025.7"/>
    <x v="0"/>
  </r>
  <r>
    <n v="116331"/>
    <s v="DANIEL LIMA CARVALHO"/>
    <s v="AJUDANTE EQ SERVICOS DIVERSOS"/>
    <x v="1"/>
    <d v="2021-04-22T00:00:00"/>
    <x v="9"/>
    <x v="2"/>
    <n v="-174.75"/>
    <x v="2"/>
  </r>
  <r>
    <n v="114418"/>
    <s v="DANIEL MARCOS DA SILVA"/>
    <s v="VARREDOR"/>
    <x v="1"/>
    <d v="2019-12-12T00:00:00"/>
    <x v="0"/>
    <x v="0"/>
    <n v="0"/>
    <x v="0"/>
  </r>
  <r>
    <n v="112936"/>
    <s v="DANIEL MARQUES ALVES"/>
    <s v="VARREDOR"/>
    <x v="0"/>
    <d v="2019-06-01T00:00:00"/>
    <x v="0"/>
    <x v="0"/>
    <n v="0"/>
    <x v="0"/>
  </r>
  <r>
    <n v="112942"/>
    <s v="DANIEL PAULO DOS SANTOS"/>
    <s v="MOTORISTA CAMINHAO"/>
    <x v="2"/>
    <d v="2019-06-04T00:00:00"/>
    <x v="0"/>
    <x v="0"/>
    <n v="0"/>
    <x v="0"/>
  </r>
  <r>
    <n v="113774"/>
    <s v="DANIEL SOUZA SANTOS ALEXANDRE"/>
    <s v="FISCAL DE TURMA PLENO"/>
    <x v="5"/>
    <d v="2019-06-07T00:00:00"/>
    <x v="0"/>
    <x v="0"/>
    <n v="0"/>
    <x v="0"/>
  </r>
  <r>
    <n v="116716"/>
    <s v="DANIELE CRISTINA PEDRO"/>
    <s v="VARREDOR"/>
    <x v="3"/>
    <d v="2021-06-21T00:00:00"/>
    <x v="0"/>
    <x v="0"/>
    <n v="0"/>
    <x v="0"/>
  </r>
  <r>
    <n v="121948"/>
    <s v="DANIELY LEANDRO DOS SANTOS"/>
    <s v="MENOR/JOVEM APRENDIZ"/>
    <x v="6"/>
    <d v="2023-04-24T00:00:00"/>
    <x v="3"/>
    <x v="4"/>
    <n v="0"/>
    <x v="0"/>
  </r>
  <r>
    <n v="112950"/>
    <s v="DANILO CARDOSO DA SILVA"/>
    <s v="VARREDOR"/>
    <x v="1"/>
    <d v="2019-06-01T00:00:00"/>
    <x v="0"/>
    <x v="0"/>
    <n v="0"/>
    <x v="0"/>
  </r>
  <r>
    <n v="114695"/>
    <s v="DANILO DE ALMEIDA"/>
    <s v="VARREDOR"/>
    <x v="0"/>
    <d v="2020-02-13T00:00:00"/>
    <x v="0"/>
    <x v="0"/>
    <n v="0"/>
    <x v="0"/>
  </r>
  <r>
    <n v="112954"/>
    <s v="DANILO SOARES OLIVEIRA"/>
    <s v="VARREDOR"/>
    <x v="3"/>
    <d v="2019-06-01T00:00:00"/>
    <x v="0"/>
    <x v="0"/>
    <n v="0"/>
    <x v="3"/>
  </r>
  <r>
    <n v="112956"/>
    <s v="DANLEY SILVA SANTOS"/>
    <s v="AJUDANTE EQ SERVICOS DIVERSOS"/>
    <x v="0"/>
    <d v="2019-06-01T00:00:00"/>
    <x v="0"/>
    <x v="5"/>
    <n v="-38.289999999999964"/>
    <x v="0"/>
  </r>
  <r>
    <n v="112961"/>
    <s v="DAVI FERREIRA DOS SANTOS RODRIGUES"/>
    <s v="MOTORISTA CAMINHAO"/>
    <x v="2"/>
    <d v="2019-06-01T00:00:00"/>
    <x v="0"/>
    <x v="0"/>
    <n v="0"/>
    <x v="0"/>
  </r>
  <r>
    <n v="114500"/>
    <s v="DAVID BARBOSA EVANGELISTA"/>
    <s v="AJUDANTE EQ SERVICOS DIVERSOS"/>
    <x v="1"/>
    <d v="2019-12-12T00:00:00"/>
    <x v="4"/>
    <x v="5"/>
    <n v="38.280000000000086"/>
    <x v="0"/>
  </r>
  <r>
    <n v="116326"/>
    <s v="DAVID DA SILVA QUIRINO"/>
    <s v="AJUDANTE EQ SERVICOS DIVERSOS"/>
    <x v="5"/>
    <d v="2021-04-22T00:00:00"/>
    <x v="0"/>
    <x v="0"/>
    <n v="0"/>
    <x v="0"/>
  </r>
  <r>
    <n v="113023"/>
    <s v="DAVID EDUARDO DA SILVA"/>
    <s v="MOTORISTA CAMINHAO"/>
    <x v="2"/>
    <d v="2019-06-01T00:00:00"/>
    <x v="0"/>
    <x v="0"/>
    <n v="0"/>
    <x v="0"/>
  </r>
  <r>
    <n v="113068"/>
    <s v="DAVID PEREIRA LIMA"/>
    <s v="COLETOR"/>
    <x v="2"/>
    <d v="2019-06-01T00:00:00"/>
    <x v="0"/>
    <x v="0"/>
    <n v="0"/>
    <x v="3"/>
  </r>
  <r>
    <n v="121030"/>
    <s v="DAYANE APARECIDA ABREU DA SILVA"/>
    <s v="VARREDOR"/>
    <x v="5"/>
    <d v="2022-12-05T00:00:00"/>
    <x v="0"/>
    <x v="0"/>
    <n v="0"/>
    <x v="0"/>
  </r>
  <r>
    <n v="113107"/>
    <s v="DENES GABRIEL COSTA SILVA"/>
    <s v="VARREDOR"/>
    <x v="3"/>
    <d v="2019-06-01T00:00:00"/>
    <x v="0"/>
    <x v="0"/>
    <n v="0"/>
    <x v="3"/>
  </r>
  <r>
    <n v="113119"/>
    <s v="DENILSON SOARES BATISTA"/>
    <s v="COLETOR"/>
    <x v="2"/>
    <d v="2019-06-01T00:00:00"/>
    <x v="0"/>
    <x v="0"/>
    <n v="0"/>
    <x v="0"/>
  </r>
  <r>
    <n v="113157"/>
    <s v="DENIS RODRIGUES DE ALMEIDA"/>
    <s v="VARREDOR"/>
    <x v="4"/>
    <d v="2019-06-01T00:00:00"/>
    <x v="0"/>
    <x v="0"/>
    <n v="0"/>
    <x v="0"/>
  </r>
  <r>
    <n v="113204"/>
    <s v="DENIS SANTOS DA SILVA"/>
    <s v="AJUDANTE EQ SERVICOS DIVERSOS"/>
    <x v="1"/>
    <d v="2019-06-01T00:00:00"/>
    <x v="0"/>
    <x v="0"/>
    <n v="0"/>
    <x v="0"/>
  </r>
  <r>
    <n v="116001"/>
    <s v="DENSON RIBEIRO DA SILVA"/>
    <s v="VARREDOR"/>
    <x v="1"/>
    <d v="2021-01-11T00:00:00"/>
    <x v="0"/>
    <x v="2"/>
    <n v="-1016.96"/>
    <x v="2"/>
  </r>
  <r>
    <n v="113712"/>
    <s v="DEVAIR MOREIRA ARAUJO"/>
    <s v="AJUDANTE EQ SERVICOS DIVERSOS"/>
    <x v="5"/>
    <d v="2019-06-03T00:00:00"/>
    <x v="0"/>
    <x v="0"/>
    <n v="0"/>
    <x v="0"/>
  </r>
  <r>
    <n v="121486"/>
    <s v="DIEGO AQUINO DOS SANTOS"/>
    <s v="MOTORISTA CAMINHAO"/>
    <x v="2"/>
    <d v="2023-02-10T00:00:00"/>
    <x v="0"/>
    <x v="0"/>
    <n v="0"/>
    <x v="0"/>
  </r>
  <r>
    <n v="113309"/>
    <s v="DIEGO AUGUSTO DA PAIXAO"/>
    <s v="VARREDOR"/>
    <x v="1"/>
    <d v="2019-06-01T00:00:00"/>
    <x v="0"/>
    <x v="0"/>
    <n v="0"/>
    <x v="0"/>
  </r>
  <r>
    <n v="113318"/>
    <s v="DIEGO DOS SANTOS SOUZA"/>
    <s v="VARREDOR"/>
    <x v="0"/>
    <d v="2019-06-01T00:00:00"/>
    <x v="0"/>
    <x v="0"/>
    <n v="0"/>
    <x v="3"/>
  </r>
  <r>
    <n v="122334"/>
    <s v="DIEGO JOSE RIBEIRO ARAUJO"/>
    <s v="MOTORISTA CAMINHAO"/>
    <x v="2"/>
    <d v="2023-06-21T00:00:00"/>
    <x v="0"/>
    <x v="0"/>
    <n v="0"/>
    <x v="0"/>
  </r>
  <r>
    <n v="116085"/>
    <s v="DIEGO SANTOS MUNIZ ALMEIDA"/>
    <s v="MOTORISTA CAMINHAO"/>
    <x v="2"/>
    <d v="2021-02-08T00:00:00"/>
    <x v="0"/>
    <x v="0"/>
    <n v="0"/>
    <x v="0"/>
  </r>
  <r>
    <n v="116225"/>
    <s v="DIEGO SANTOS NASCIMENTO"/>
    <s v="AJUDANTE EQ SERVICOS DIVERSOS"/>
    <x v="1"/>
    <d v="2021-03-18T00:00:00"/>
    <x v="1"/>
    <x v="13"/>
    <n v="710.09999999999991"/>
    <x v="0"/>
  </r>
  <r>
    <n v="113331"/>
    <s v="DIJALMA OLIVEIRA SOUZA"/>
    <s v="AJUDANTE EQ SERVICOS DIVERSOS"/>
    <x v="2"/>
    <d v="2019-06-01T00:00:00"/>
    <x v="0"/>
    <x v="0"/>
    <n v="0"/>
    <x v="0"/>
  </r>
  <r>
    <n v="113341"/>
    <s v="DIMAS XAVIER DE JESUS"/>
    <s v="VARREDOR"/>
    <x v="3"/>
    <d v="2019-06-01T00:00:00"/>
    <x v="0"/>
    <x v="0"/>
    <n v="0"/>
    <x v="0"/>
  </r>
  <r>
    <n v="113349"/>
    <s v="DIOGENES CARDOSO BARBOSA"/>
    <s v="MOTORISTA CAMINHAO"/>
    <x v="2"/>
    <d v="2019-06-01T00:00:00"/>
    <x v="0"/>
    <x v="0"/>
    <n v="0"/>
    <x v="0"/>
  </r>
  <r>
    <n v="113354"/>
    <s v="DIOGO DA CRUZ SILVEIRA"/>
    <s v="AJUDANTE EQ SERVICOS DIVERSOS"/>
    <x v="0"/>
    <d v="2019-06-01T00:00:00"/>
    <x v="0"/>
    <x v="0"/>
    <n v="0"/>
    <x v="3"/>
  </r>
  <r>
    <n v="116974"/>
    <s v="DIVA BRANDINO DE MORAES GONCALVES"/>
    <s v="AJUDANTE EQ SERVICOS DIVERSOS"/>
    <x v="5"/>
    <d v="2021-08-11T00:00:00"/>
    <x v="0"/>
    <x v="0"/>
    <n v="0"/>
    <x v="0"/>
  </r>
  <r>
    <n v="113739"/>
    <s v="DJAIR PATRICIO DA SILVA"/>
    <s v="COORDENADOR DE DEPARTAMENTO PESSOAL"/>
    <x v="6"/>
    <d v="2019-06-03T00:00:00"/>
    <x v="0"/>
    <x v="0"/>
    <n v="0"/>
    <x v="0"/>
  </r>
  <r>
    <n v="113361"/>
    <s v="DOMINGOS DA CRUZ DOS SANTOS"/>
    <s v="MOTORISTA CAMINHAO"/>
    <x v="2"/>
    <d v="2019-06-04T00:00:00"/>
    <x v="0"/>
    <x v="0"/>
    <n v="0"/>
    <x v="0"/>
  </r>
  <r>
    <n v="113364"/>
    <s v="DOMINGOS MENEZES DANTAS"/>
    <s v="VARREDOR"/>
    <x v="0"/>
    <d v="2019-06-01T00:00:00"/>
    <x v="0"/>
    <x v="0"/>
    <n v="0"/>
    <x v="3"/>
  </r>
  <r>
    <n v="113368"/>
    <s v="DOMINGOS NORBERTO RODRIGUES"/>
    <s v="VARREDOR"/>
    <x v="0"/>
    <d v="2019-06-01T00:00:00"/>
    <x v="0"/>
    <x v="0"/>
    <n v="0"/>
    <x v="3"/>
  </r>
  <r>
    <n v="113374"/>
    <s v="DOMINGOS SOUZA DE OLIVEIRA"/>
    <s v="VARREDOR"/>
    <x v="3"/>
    <d v="2019-06-01T00:00:00"/>
    <x v="0"/>
    <x v="0"/>
    <n v="0"/>
    <x v="3"/>
  </r>
  <r>
    <n v="117358"/>
    <s v="DONIAS DO NASCIMENTO"/>
    <s v="MOTORISTA CAMINHAO"/>
    <x v="2"/>
    <d v="2021-11-08T00:00:00"/>
    <x v="0"/>
    <x v="0"/>
    <n v="0"/>
    <x v="0"/>
  </r>
  <r>
    <n v="121675"/>
    <s v="DONIZETE VENANCIO"/>
    <s v="AJUDANTE EQ SERVICOS DIVERSOS"/>
    <x v="5"/>
    <d v="2023-03-09T00:00:00"/>
    <x v="0"/>
    <x v="0"/>
    <n v="0"/>
    <x v="0"/>
  </r>
  <r>
    <n v="119645"/>
    <s v="DORVALINO BRUIANI"/>
    <s v="AJUDANTE EQ SERVICOS DIVERSOS"/>
    <x v="1"/>
    <d v="2022-06-13T00:00:00"/>
    <x v="0"/>
    <x v="0"/>
    <n v="0"/>
    <x v="0"/>
  </r>
  <r>
    <n v="116226"/>
    <s v="DOUGLAS BARRETO DE SOUSA"/>
    <s v="AJUDANTE EQ SERVICOS DIVERSOS"/>
    <x v="1"/>
    <d v="2021-03-18T00:00:00"/>
    <x v="10"/>
    <x v="0"/>
    <n v="153.13"/>
    <x v="3"/>
  </r>
  <r>
    <n v="113390"/>
    <s v="DOUGLAS SABINO SILVA DOS SANTOS"/>
    <s v="AUXILIAR ADMINISTRATIVO"/>
    <x v="5"/>
    <d v="2019-06-01T00:00:00"/>
    <x v="0"/>
    <x v="0"/>
    <n v="0"/>
    <x v="0"/>
  </r>
  <r>
    <n v="113392"/>
    <s v="DURCINO SILVA DE BRITO"/>
    <s v="VARREDOR"/>
    <x v="5"/>
    <d v="2019-06-01T00:00:00"/>
    <x v="0"/>
    <x v="0"/>
    <n v="0"/>
    <x v="0"/>
  </r>
  <r>
    <n v="113404"/>
    <s v="DURVAL SABINO DOS SANTOS"/>
    <s v="ENCARREGADO DE TURMA"/>
    <x v="3"/>
    <d v="2019-06-01T00:00:00"/>
    <x v="0"/>
    <x v="0"/>
    <n v="0"/>
    <x v="0"/>
  </r>
  <r>
    <n v="112825"/>
    <s v="ECLYTON MYCAEL FERREIRA LOPES"/>
    <s v="MOTORISTA CAMINHAO"/>
    <x v="2"/>
    <d v="2019-06-01T00:00:00"/>
    <x v="0"/>
    <x v="0"/>
    <n v="0"/>
    <x v="0"/>
  </r>
  <r>
    <n v="112830"/>
    <s v="ED CARLOS BARBOSA ALVES"/>
    <s v="AJUDANTE EQ SERVICOS DIVERSOS"/>
    <x v="5"/>
    <d v="2019-06-01T00:00:00"/>
    <x v="0"/>
    <x v="0"/>
    <n v="0"/>
    <x v="3"/>
  </r>
  <r>
    <n v="112838"/>
    <s v="EDIEL ARAUJO SANTANA"/>
    <s v="MOTORISTA CAMINHAO"/>
    <x v="2"/>
    <d v="2019-06-01T00:00:00"/>
    <x v="0"/>
    <x v="0"/>
    <n v="0"/>
    <x v="0"/>
  </r>
  <r>
    <n v="113726"/>
    <s v="EDILEUMA DE SOUZA CAETANO"/>
    <s v="AJUDANTE EQ SERVICOS DIVERSOS"/>
    <x v="1"/>
    <d v="2019-06-03T00:00:00"/>
    <x v="0"/>
    <x v="0"/>
    <n v="0"/>
    <x v="0"/>
  </r>
  <r>
    <n v="112847"/>
    <s v="EDILSON APARECIDO DE SOUZA"/>
    <s v="BUEIRISTA"/>
    <x v="5"/>
    <d v="2019-06-01T00:00:00"/>
    <x v="0"/>
    <x v="0"/>
    <n v="0"/>
    <x v="0"/>
  </r>
  <r>
    <n v="112850"/>
    <s v="EDILSON GALDINO DA SILVA"/>
    <s v="MOTORISTA CAMINHAO"/>
    <x v="2"/>
    <d v="2019-06-01T00:00:00"/>
    <x v="0"/>
    <x v="0"/>
    <n v="0"/>
    <x v="0"/>
  </r>
  <r>
    <n v="112858"/>
    <s v="EDILSON MOREIRA DA COSTA"/>
    <s v="MOTORISTA CAMINHAO"/>
    <x v="2"/>
    <d v="2019-06-01T00:00:00"/>
    <x v="0"/>
    <x v="0"/>
    <n v="0"/>
    <x v="3"/>
  </r>
  <r>
    <n v="112866"/>
    <s v="EDILSON SANTOS DE JESUS"/>
    <s v="VARREDOR"/>
    <x v="3"/>
    <d v="2019-06-01T00:00:00"/>
    <x v="0"/>
    <x v="0"/>
    <n v="0"/>
    <x v="3"/>
  </r>
  <r>
    <n v="112867"/>
    <s v="EDIMILSON COSTA LIMA ROMANOS"/>
    <s v="VARREDOR"/>
    <x v="3"/>
    <d v="2019-06-01T00:00:00"/>
    <x v="0"/>
    <x v="0"/>
    <n v="0"/>
    <x v="3"/>
  </r>
  <r>
    <n v="112874"/>
    <s v="EDINALDO ALMEIDA DO NASCIMENTO"/>
    <s v="MOTORISTA CAMINHAO"/>
    <x v="2"/>
    <d v="2019-06-01T00:00:00"/>
    <x v="0"/>
    <x v="0"/>
    <n v="0"/>
    <x v="0"/>
  </r>
  <r>
    <n v="112881"/>
    <s v="EDINALDO DA SILVA"/>
    <s v="VARREDOR"/>
    <x v="1"/>
    <d v="2019-06-01T00:00:00"/>
    <x v="0"/>
    <x v="0"/>
    <n v="0"/>
    <x v="0"/>
  </r>
  <r>
    <n v="112878"/>
    <s v="EDINALDO FRANCISCO DA FONSECA"/>
    <s v="MOTORISTA CAMINHAO"/>
    <x v="2"/>
    <d v="2019-06-01T00:00:00"/>
    <x v="0"/>
    <x v="0"/>
    <n v="0"/>
    <x v="0"/>
  </r>
  <r>
    <n v="119662"/>
    <s v="EDINALDO PEREIRA DE SOUZA"/>
    <s v="MOTORISTA CAMINHAO"/>
    <x v="2"/>
    <d v="2022-06-13T00:00:00"/>
    <x v="0"/>
    <x v="0"/>
    <n v="0"/>
    <x v="0"/>
  </r>
  <r>
    <n v="115231"/>
    <s v="EDINEI RAMOS DE LIMA"/>
    <s v="AJUDANTE EQ SERVICOS DIVERSOS"/>
    <x v="2"/>
    <d v="2020-07-06T00:00:00"/>
    <x v="0"/>
    <x v="0"/>
    <n v="0"/>
    <x v="0"/>
  </r>
  <r>
    <n v="113416"/>
    <s v="EDINELIA PEREIRA DOS SANTOS"/>
    <s v="VARREDOR"/>
    <x v="1"/>
    <d v="2019-06-01T00:00:00"/>
    <x v="0"/>
    <x v="0"/>
    <n v="0"/>
    <x v="0"/>
  </r>
  <r>
    <n v="117359"/>
    <s v="EDIVALDO NEVES DA MATA"/>
    <s v="MOTORISTA CAMINHAO"/>
    <x v="2"/>
    <d v="2021-11-08T00:00:00"/>
    <x v="0"/>
    <x v="0"/>
    <n v="0"/>
    <x v="0"/>
  </r>
  <r>
    <n v="114977"/>
    <s v="EDIVALDO SILVA DA COSTA"/>
    <s v="AJUDANTE EQ SERVICOS DIVERSOS"/>
    <x v="2"/>
    <d v="2020-03-27T00:00:00"/>
    <x v="0"/>
    <x v="0"/>
    <n v="0"/>
    <x v="0"/>
  </r>
  <r>
    <n v="113442"/>
    <s v="EDIVALDO VALERIANO DA SILVA"/>
    <s v="VARREDOR"/>
    <x v="1"/>
    <d v="2019-06-01T00:00:00"/>
    <x v="0"/>
    <x v="0"/>
    <n v="0"/>
    <x v="0"/>
  </r>
  <r>
    <n v="115216"/>
    <s v="EDIVAN FERREIRA DA SILVA"/>
    <s v="AJUDANTE EQ SERVICOS DIVERSOS"/>
    <x v="3"/>
    <d v="2020-07-06T00:00:00"/>
    <x v="0"/>
    <x v="0"/>
    <n v="0"/>
    <x v="0"/>
  </r>
  <r>
    <n v="113447"/>
    <s v="EDIVAN MOURA DOS SANTOS"/>
    <s v="TECNICO EM SEGURANCA DO TRABALHO PLENO"/>
    <x v="2"/>
    <d v="2019-06-01T00:00:00"/>
    <x v="0"/>
    <x v="0"/>
    <n v="0"/>
    <x v="0"/>
  </r>
  <r>
    <n v="113457"/>
    <s v="EDJOVANE PALMA PALMITO"/>
    <s v="VARREDOR"/>
    <x v="4"/>
    <d v="2019-06-01T00:00:00"/>
    <x v="0"/>
    <x v="0"/>
    <n v="0"/>
    <x v="0"/>
  </r>
  <r>
    <n v="122574"/>
    <s v="EDMAR CESAR DA SILVA"/>
    <s v="MOTORISTA CAMINHAO"/>
    <x v="2"/>
    <d v="2023-07-24T00:00:00"/>
    <x v="0"/>
    <x v="0"/>
    <n v="0"/>
    <x v="0"/>
  </r>
  <r>
    <n v="113460"/>
    <s v="EDMAR DE FREITAS"/>
    <s v="COLETOR"/>
    <x v="2"/>
    <d v="2019-06-01T00:00:00"/>
    <x v="0"/>
    <x v="0"/>
    <n v="0"/>
    <x v="0"/>
  </r>
  <r>
    <n v="113469"/>
    <s v="EDMILSO ALVES DA SILVA"/>
    <s v="AJUDANTE EQ SERVICOS DIVERSOS"/>
    <x v="1"/>
    <d v="2019-06-01T00:00:00"/>
    <x v="0"/>
    <x v="0"/>
    <n v="0"/>
    <x v="0"/>
  </r>
  <r>
    <n v="113491"/>
    <s v="EDMILSON BATISTA DO NASCIMENTO"/>
    <s v="AJUDANTE EQ SERVICOS DIVERSOS"/>
    <x v="4"/>
    <d v="2019-06-01T00:00:00"/>
    <x v="0"/>
    <x v="0"/>
    <n v="0"/>
    <x v="0"/>
  </r>
  <r>
    <n v="113498"/>
    <s v="EDMILSON LOPES SALES"/>
    <s v="AJUDANTE EQ SERVICOS DIVERSOS"/>
    <x v="0"/>
    <d v="2019-06-01T00:00:00"/>
    <x v="0"/>
    <x v="5"/>
    <n v="-38.289999999999964"/>
    <x v="3"/>
  </r>
  <r>
    <n v="113510"/>
    <s v="EDMILSON TAVARES RAMOS"/>
    <s v="MOTORISTA CAMINHAO"/>
    <x v="2"/>
    <d v="2019-06-01T00:00:00"/>
    <x v="0"/>
    <x v="0"/>
    <n v="0"/>
    <x v="0"/>
  </r>
  <r>
    <n v="113512"/>
    <s v="EDMUNDO DE OLIVEIRA SOUZA"/>
    <s v="AJUDANTE EQ SERVICOS DIVERSOS"/>
    <x v="3"/>
    <d v="2019-06-01T00:00:00"/>
    <x v="0"/>
    <x v="0"/>
    <n v="0"/>
    <x v="3"/>
  </r>
  <r>
    <n v="113516"/>
    <s v="EDNA MONTEIRO DE TOLEDO"/>
    <s v="VARREDOR"/>
    <x v="5"/>
    <d v="2019-06-01T00:00:00"/>
    <x v="0"/>
    <x v="0"/>
    <n v="0"/>
    <x v="0"/>
  </r>
  <r>
    <n v="114108"/>
    <s v="EDNALDO BARBOSA SILVA"/>
    <s v="AJUDANTE EQ SERVICOS DIVERSOS"/>
    <x v="3"/>
    <d v="2019-09-20T00:00:00"/>
    <x v="0"/>
    <x v="0"/>
    <n v="0"/>
    <x v="0"/>
  </r>
  <r>
    <n v="113521"/>
    <s v="EDNALDO DE LIMA SILVA"/>
    <s v="VARREDOR"/>
    <x v="1"/>
    <d v="2019-06-01T00:00:00"/>
    <x v="0"/>
    <x v="0"/>
    <n v="0"/>
    <x v="0"/>
  </r>
  <r>
    <n v="116327"/>
    <s v="EDNILSON ALVES FERREIRA"/>
    <s v="AJUDANTE EQ SERVICOS DIVERSOS"/>
    <x v="1"/>
    <d v="2021-04-22T00:00:00"/>
    <x v="0"/>
    <x v="0"/>
    <n v="0"/>
    <x v="0"/>
  </r>
  <r>
    <n v="113524"/>
    <s v="EDNILSON CARLOS ARCANJO DE JESUS"/>
    <s v="AJUDANTE EQ SERVICOS DIVERSOS"/>
    <x v="0"/>
    <d v="2019-06-01T00:00:00"/>
    <x v="0"/>
    <x v="0"/>
    <n v="0"/>
    <x v="0"/>
  </r>
  <r>
    <n v="113530"/>
    <s v="EDSON ALBERTINO DA COSTA SILVA"/>
    <s v="VARREDOR"/>
    <x v="1"/>
    <d v="2019-06-01T00:00:00"/>
    <x v="0"/>
    <x v="0"/>
    <n v="0"/>
    <x v="0"/>
  </r>
  <r>
    <n v="113532"/>
    <s v="EDSON ALMEIDA BONFIM"/>
    <s v="AJUDANTE EQ SERVICOS DIVERSOS"/>
    <x v="5"/>
    <d v="2019-06-01T00:00:00"/>
    <x v="0"/>
    <x v="0"/>
    <n v="0"/>
    <x v="0"/>
  </r>
  <r>
    <n v="113535"/>
    <s v="EDSON ANTONIO DA SILVA"/>
    <s v="AJUDANTE DE MECANICO"/>
    <x v="2"/>
    <d v="2019-06-01T00:00:00"/>
    <x v="0"/>
    <x v="0"/>
    <n v="0"/>
    <x v="0"/>
  </r>
  <r>
    <n v="113537"/>
    <s v="EDSON BERNARDO DA SILVA"/>
    <s v="VARREDOR"/>
    <x v="1"/>
    <d v="2019-06-01T00:00:00"/>
    <x v="0"/>
    <x v="0"/>
    <n v="0"/>
    <x v="3"/>
  </r>
  <r>
    <n v="113541"/>
    <s v="EDSON BEZERRA DO NASCIMENTO"/>
    <s v="FISCAL DE TRAFEGO PLENO"/>
    <x v="2"/>
    <d v="2019-06-01T00:00:00"/>
    <x v="0"/>
    <x v="0"/>
    <n v="0"/>
    <x v="0"/>
  </r>
  <r>
    <n v="113548"/>
    <s v="EDSON BRAZ DA SILVA FILHO"/>
    <s v="AJUDANTE EQ SERVICOS DIVERSOS"/>
    <x v="1"/>
    <d v="2019-06-01T00:00:00"/>
    <x v="0"/>
    <x v="0"/>
    <n v="0"/>
    <x v="0"/>
  </r>
  <r>
    <n v="113551"/>
    <s v="EDSON CARLOS DA SILVA"/>
    <s v="VARREDOR"/>
    <x v="1"/>
    <d v="2019-06-01T00:00:00"/>
    <x v="0"/>
    <x v="0"/>
    <n v="0"/>
    <x v="3"/>
  </r>
  <r>
    <n v="114697"/>
    <s v="EDSON CARLOS DOS SANTOS"/>
    <s v="BUEIRISTA"/>
    <x v="4"/>
    <d v="2020-02-13T00:00:00"/>
    <x v="0"/>
    <x v="0"/>
    <n v="0"/>
    <x v="0"/>
  </r>
  <r>
    <n v="113594"/>
    <s v="EDSON DE JESUS GUERRA"/>
    <s v="AJUDANTE EQ SERVICOS DIVERSOS"/>
    <x v="1"/>
    <d v="2019-06-01T00:00:00"/>
    <x v="0"/>
    <x v="0"/>
    <n v="0"/>
    <x v="0"/>
  </r>
  <r>
    <n v="113566"/>
    <s v="EDSON FERREIRA DA SILVA"/>
    <s v="VARREDOR"/>
    <x v="1"/>
    <d v="2019-06-01T00:00:00"/>
    <x v="0"/>
    <x v="0"/>
    <n v="0"/>
    <x v="0"/>
  </r>
  <r>
    <n v="113597"/>
    <s v="EDSON LINO DE JESUS"/>
    <s v="VARREDOR"/>
    <x v="3"/>
    <d v="2019-06-01T00:00:00"/>
    <x v="0"/>
    <x v="0"/>
    <n v="0"/>
    <x v="3"/>
  </r>
  <r>
    <n v="113579"/>
    <s v="EDSON NASCIMENTO DA SILVA"/>
    <s v="VARREDOR"/>
    <x v="3"/>
    <d v="2019-06-01T00:00:00"/>
    <x v="0"/>
    <x v="0"/>
    <n v="0"/>
    <x v="0"/>
  </r>
  <r>
    <n v="113584"/>
    <s v="EDUARDO AMAURI ALVES DA SILVA"/>
    <s v="BUEIRISTA"/>
    <x v="1"/>
    <d v="2019-06-01T00:00:00"/>
    <x v="0"/>
    <x v="0"/>
    <n v="0"/>
    <x v="0"/>
  </r>
  <r>
    <n v="113586"/>
    <s v="EDUARDO ANDRADE DE SANTANA"/>
    <s v="VARREDOR"/>
    <x v="5"/>
    <d v="2019-06-01T00:00:00"/>
    <x v="0"/>
    <x v="0"/>
    <n v="0"/>
    <x v="0"/>
  </r>
  <r>
    <n v="113589"/>
    <s v="EDUARDO APARECIDO DE MORAES"/>
    <s v="AJUDANTE EQ SERVICOS DIVERSOS"/>
    <x v="5"/>
    <d v="2019-06-01T00:00:00"/>
    <x v="0"/>
    <x v="0"/>
    <n v="0"/>
    <x v="0"/>
  </r>
  <r>
    <n v="114525"/>
    <s v="EDUARDO EVANGELISTA DE CARVALHO"/>
    <s v="MOTORISTA CAMINHAO"/>
    <x v="2"/>
    <d v="2019-12-14T00:00:00"/>
    <x v="0"/>
    <x v="0"/>
    <n v="0"/>
    <x v="0"/>
  </r>
  <r>
    <n v="113590"/>
    <s v="EDUARDO FELIPE LIRA PACHECO"/>
    <s v="AJUDANTE EQ SERVICOS DIVERSOS"/>
    <x v="5"/>
    <d v="2019-06-01T00:00:00"/>
    <x v="0"/>
    <x v="0"/>
    <n v="0"/>
    <x v="0"/>
  </r>
  <r>
    <n v="113592"/>
    <s v="EDUARDO LOPES DA COSTA"/>
    <s v="MOTORISTA CAMINHAO"/>
    <x v="2"/>
    <d v="2019-06-01T00:00:00"/>
    <x v="0"/>
    <x v="0"/>
    <n v="0"/>
    <x v="0"/>
  </r>
  <r>
    <n v="121428"/>
    <s v="EDUARDO PINHEIRO DA SILVA"/>
    <s v="AJUDANTE EQ SERVICOS DIVERSOS"/>
    <x v="2"/>
    <d v="2023-02-10T00:00:00"/>
    <x v="0"/>
    <x v="0"/>
    <n v="0"/>
    <x v="0"/>
  </r>
  <r>
    <n v="113603"/>
    <s v="EDVALDO ALVES"/>
    <s v="BUEIRISTA"/>
    <x v="3"/>
    <d v="2019-06-01T00:00:00"/>
    <x v="2"/>
    <x v="0"/>
    <n v="38.289999999999964"/>
    <x v="0"/>
  </r>
  <r>
    <n v="113607"/>
    <s v="EDVALDO ARAUJO DO NASCIMENTO"/>
    <s v="MOTORISTA CAMINHAO"/>
    <x v="2"/>
    <d v="2019-06-01T00:00:00"/>
    <x v="0"/>
    <x v="0"/>
    <n v="0"/>
    <x v="0"/>
  </r>
  <r>
    <n v="113609"/>
    <s v="EDVALDO DA SILVA FERREIRA"/>
    <s v="AJUDANTE EQ SERVICOS DIVERSOS"/>
    <x v="5"/>
    <d v="2019-06-01T00:00:00"/>
    <x v="0"/>
    <x v="0"/>
    <n v="0"/>
    <x v="0"/>
  </r>
  <r>
    <n v="113661"/>
    <s v="EDVALDO FORTUNATO DA SILVA"/>
    <s v="VARREDOR"/>
    <x v="3"/>
    <d v="2019-06-01T00:00:00"/>
    <x v="0"/>
    <x v="0"/>
    <n v="0"/>
    <x v="0"/>
  </r>
  <r>
    <n v="113612"/>
    <s v="EDVALDO NASCIMENTO SILVA"/>
    <s v="VARREDOR"/>
    <x v="3"/>
    <d v="2019-06-01T00:00:00"/>
    <x v="0"/>
    <x v="0"/>
    <n v="0"/>
    <x v="0"/>
  </r>
  <r>
    <n v="113619"/>
    <s v="EDVALDO ROCHA DE LIMA"/>
    <s v="AJUDANTE EQ SERVICOS DIVERSOS"/>
    <x v="3"/>
    <d v="2019-06-01T00:00:00"/>
    <x v="0"/>
    <x v="0"/>
    <n v="0"/>
    <x v="0"/>
  </r>
  <r>
    <n v="113623"/>
    <s v="EDVALDO RUFINO PEREIRA"/>
    <s v="VARREDOR"/>
    <x v="0"/>
    <d v="2019-06-01T00:00:00"/>
    <x v="0"/>
    <x v="0"/>
    <n v="0"/>
    <x v="3"/>
  </r>
  <r>
    <n v="113626"/>
    <s v="EDVAN ALVES PINHEIRO"/>
    <s v="BORRACHEIRO II"/>
    <x v="2"/>
    <d v="2019-06-01T00:00:00"/>
    <x v="11"/>
    <x v="0"/>
    <n v="-292.22000000000003"/>
    <x v="0"/>
  </r>
  <r>
    <n v="113636"/>
    <s v="EDVAN RIBEIRO DOS SANTOS"/>
    <s v="AJUDANTE EQ SERVICOS DIVERSOS"/>
    <x v="0"/>
    <d v="2019-06-01T00:00:00"/>
    <x v="0"/>
    <x v="0"/>
    <n v="0"/>
    <x v="3"/>
  </r>
  <r>
    <n v="113674"/>
    <s v="EGUINALDO ULISSES DO NASCIMENTO"/>
    <s v="VARREDOR"/>
    <x v="3"/>
    <d v="2019-06-01T00:00:00"/>
    <x v="0"/>
    <x v="0"/>
    <n v="0"/>
    <x v="0"/>
  </r>
  <r>
    <n v="122081"/>
    <s v="ELAINE SOUZA DAMACENO DE JESUS"/>
    <s v="AJUDANTE EQ SERVICOS DIVERSOS"/>
    <x v="5"/>
    <d v="2023-05-15T00:00:00"/>
    <x v="0"/>
    <x v="0"/>
    <n v="0"/>
    <x v="0"/>
  </r>
  <r>
    <n v="113785"/>
    <s v="ELEN CRISTINA GOMES"/>
    <s v="MOTORISTA CAMINHAO"/>
    <x v="2"/>
    <d v="2019-06-08T00:00:00"/>
    <x v="0"/>
    <x v="0"/>
    <n v="0"/>
    <x v="0"/>
  </r>
  <r>
    <n v="121404"/>
    <s v="ELI PINHEIRO DE ALCANTARA"/>
    <s v="AJUDANTE EQ SERVICOS DIVERSOS"/>
    <x v="2"/>
    <d v="2023-02-10T00:00:00"/>
    <x v="0"/>
    <x v="0"/>
    <n v="0"/>
    <x v="0"/>
  </r>
  <r>
    <n v="113728"/>
    <s v="ELIANA GONCALVES DA SILVA"/>
    <s v="AJUDANTE EQ SERVICOS DIVERSOS"/>
    <x v="0"/>
    <d v="2019-06-03T00:00:00"/>
    <x v="0"/>
    <x v="0"/>
    <n v="0"/>
    <x v="0"/>
  </r>
  <r>
    <n v="113646"/>
    <s v="ELIANE CICERA DUARTE CARDOZO"/>
    <s v="VARREDOR"/>
    <x v="4"/>
    <d v="2019-06-01T00:00:00"/>
    <x v="0"/>
    <x v="0"/>
    <n v="0"/>
    <x v="0"/>
  </r>
  <r>
    <n v="113656"/>
    <s v="ELIAS FERREIRA DOS SANTOS"/>
    <s v="VARREDOR"/>
    <x v="1"/>
    <d v="2019-06-01T00:00:00"/>
    <x v="0"/>
    <x v="0"/>
    <n v="0"/>
    <x v="0"/>
  </r>
  <r>
    <n v="114698"/>
    <s v="ELISANGELA BARRETO OLIVEIRA"/>
    <s v="AJUDANTE EQ SERVICOS DIVERSOS"/>
    <x v="1"/>
    <d v="2020-02-13T00:00:00"/>
    <x v="0"/>
    <x v="0"/>
    <n v="0"/>
    <x v="0"/>
  </r>
  <r>
    <n v="114385"/>
    <s v="ELISANGELA VIEIRA DE SOUZA CORREIA"/>
    <s v="AGENTE AMBIENTAL"/>
    <x v="2"/>
    <d v="2019-12-12T00:00:00"/>
    <x v="0"/>
    <x v="0"/>
    <n v="0"/>
    <x v="0"/>
  </r>
  <r>
    <n v="112288"/>
    <s v="ELISEU DE CARVALHO NETO"/>
    <s v="VARREDOR"/>
    <x v="0"/>
    <d v="2019-06-01T00:00:00"/>
    <x v="0"/>
    <x v="0"/>
    <n v="0"/>
    <x v="0"/>
  </r>
  <r>
    <n v="118051"/>
    <s v="ELISSANDRA FERREIRA LIMA DOS SANTOS"/>
    <s v="AJUDANTE EQ SERVICOS DIVERSOS"/>
    <x v="0"/>
    <d v="2022-01-06T00:00:00"/>
    <x v="0"/>
    <x v="0"/>
    <n v="0"/>
    <x v="0"/>
  </r>
  <r>
    <n v="112297"/>
    <s v="ELIVANIO BARBOSA SANTOS"/>
    <s v="MOTORISTA CAMINHAO"/>
    <x v="2"/>
    <d v="2019-06-01T00:00:00"/>
    <x v="0"/>
    <x v="0"/>
    <n v="0"/>
    <x v="0"/>
  </r>
  <r>
    <n v="112359"/>
    <s v="ELIZEU DA SILVA PEREIRA"/>
    <s v="VARREDOR"/>
    <x v="1"/>
    <d v="2019-06-01T00:00:00"/>
    <x v="0"/>
    <x v="0"/>
    <n v="0"/>
    <x v="0"/>
  </r>
  <r>
    <n v="112366"/>
    <s v="ELOI ALENCAR MATIAS"/>
    <s v="MOTORISTA CAMINHAO"/>
    <x v="2"/>
    <d v="2019-06-01T00:00:00"/>
    <x v="0"/>
    <x v="0"/>
    <n v="0"/>
    <x v="0"/>
  </r>
  <r>
    <n v="112372"/>
    <s v="ELOISA LOPES LARANJEIRA"/>
    <s v="VARREDOR"/>
    <x v="1"/>
    <d v="2019-06-01T00:00:00"/>
    <x v="0"/>
    <x v="0"/>
    <n v="0"/>
    <x v="0"/>
  </r>
  <r>
    <n v="112378"/>
    <s v="ELSON AMORIM DE SOUSA"/>
    <s v="VARREDOR"/>
    <x v="1"/>
    <d v="2019-06-01T00:00:00"/>
    <x v="0"/>
    <x v="0"/>
    <n v="0"/>
    <x v="0"/>
  </r>
  <r>
    <n v="112382"/>
    <s v="ELSON DOS SANTOS SILVA"/>
    <s v="FISCAL DE TURMA PLENO"/>
    <x v="0"/>
    <d v="2019-06-01T00:00:00"/>
    <x v="0"/>
    <x v="0"/>
    <n v="0"/>
    <x v="0"/>
  </r>
  <r>
    <n v="114916"/>
    <s v="ELVIS DOS SANTOS BATISTA"/>
    <s v="AUXILIAR DE TRAFEGO"/>
    <x v="2"/>
    <d v="2020-03-26T00:00:00"/>
    <x v="0"/>
    <x v="0"/>
    <n v="0"/>
    <x v="0"/>
  </r>
  <r>
    <n v="119649"/>
    <s v="ELVIS MATHEUS BORBA DA CRUZ"/>
    <s v="AJUDANTE EQ SERVICOS DIVERSOS"/>
    <x v="1"/>
    <d v="2022-06-13T00:00:00"/>
    <x v="2"/>
    <x v="2"/>
    <n v="-978.67000000000007"/>
    <x v="2"/>
  </r>
  <r>
    <n v="122833"/>
    <s v="ELZA DE JESUS ALVES DE SOUZA OLIVEIRA"/>
    <s v="AJUDANTE EQ SERVICOS DIVERSOS"/>
    <x v="1"/>
    <d v="2023-09-11T00:00:00"/>
    <x v="5"/>
    <x v="0"/>
    <n v="1016.96"/>
    <x v="4"/>
  </r>
  <r>
    <n v="114315"/>
    <s v="EMANOEL GOMES DA SILVA"/>
    <s v="AJUDANTE EQ SERVICOS DIVERSOS"/>
    <x v="1"/>
    <d v="2019-12-12T00:00:00"/>
    <x v="0"/>
    <x v="0"/>
    <n v="0"/>
    <x v="0"/>
  </r>
  <r>
    <n v="112400"/>
    <s v="EMERSON ARAUJO PEDROSO"/>
    <s v="AUXILIAR DE CONTROLE OPERACIONAL"/>
    <x v="2"/>
    <d v="2019-06-01T00:00:00"/>
    <x v="0"/>
    <x v="0"/>
    <n v="0"/>
    <x v="0"/>
  </r>
  <r>
    <n v="122415"/>
    <s v="EMERSON CLAYTON DA SILVA FILHO"/>
    <s v="AJUDANTE EQ SERVICOS DIVERSOS"/>
    <x v="2"/>
    <d v="2023-07-10T00:00:00"/>
    <x v="0"/>
    <x v="0"/>
    <n v="0"/>
    <x v="0"/>
  </r>
  <r>
    <n v="112410"/>
    <s v="EMERSON GOMES DA SILVA"/>
    <s v="MOTORISTA CAMINHAO"/>
    <x v="2"/>
    <d v="2019-06-01T00:00:00"/>
    <x v="0"/>
    <x v="0"/>
    <n v="0"/>
    <x v="0"/>
  </r>
  <r>
    <n v="114548"/>
    <s v="EMERSON JESUS DO CARMO"/>
    <s v="VARREDOR"/>
    <x v="0"/>
    <d v="2019-12-18T00:00:00"/>
    <x v="2"/>
    <x v="0"/>
    <n v="38.289999999999964"/>
    <x v="0"/>
  </r>
  <r>
    <n v="112413"/>
    <s v="EMERSON NEVES COSTA"/>
    <s v="MOTORISTA CAMINHAO"/>
    <x v="2"/>
    <d v="2019-06-01T00:00:00"/>
    <x v="0"/>
    <x v="0"/>
    <n v="0"/>
    <x v="0"/>
  </r>
  <r>
    <n v="112417"/>
    <s v="EMERSON PAULO DA SILVA LIMA"/>
    <s v="VARREDOR"/>
    <x v="1"/>
    <d v="2019-06-01T00:00:00"/>
    <x v="0"/>
    <x v="0"/>
    <n v="0"/>
    <x v="0"/>
  </r>
  <r>
    <n v="112439"/>
    <s v="ERALDO COSME DA SILVA"/>
    <s v="COLETOR"/>
    <x v="2"/>
    <d v="2019-06-01T00:00:00"/>
    <x v="0"/>
    <x v="0"/>
    <n v="0"/>
    <x v="0"/>
  </r>
  <r>
    <n v="112449"/>
    <s v="ERALDO SILVA DE OLIVEIRA"/>
    <s v="VARREDOR"/>
    <x v="1"/>
    <d v="2019-06-01T00:00:00"/>
    <x v="0"/>
    <x v="0"/>
    <n v="0"/>
    <x v="0"/>
  </r>
  <r>
    <n v="112471"/>
    <s v="ERASMO MIRANDA DOS SANTOS"/>
    <s v="AJUDANTE EQ SERVICOS DIVERSOS"/>
    <x v="3"/>
    <d v="2019-06-01T00:00:00"/>
    <x v="0"/>
    <x v="0"/>
    <n v="0"/>
    <x v="0"/>
  </r>
  <r>
    <n v="114255"/>
    <s v="ERDILENE RODRIGUES DE SOUSA"/>
    <s v="AJUDANTE EQ SERVICOS DIVERSOS"/>
    <x v="2"/>
    <d v="2019-12-05T00:00:00"/>
    <x v="0"/>
    <x v="0"/>
    <n v="0"/>
    <x v="0"/>
  </r>
  <r>
    <n v="116726"/>
    <s v="ERIC DOS SANTOS PINTO"/>
    <s v="VARREDOR"/>
    <x v="0"/>
    <d v="2021-06-21T00:00:00"/>
    <x v="12"/>
    <x v="14"/>
    <n v="-59.910000000000082"/>
    <x v="0"/>
  </r>
  <r>
    <n v="112473"/>
    <s v="ERICK WILLIAM BORGES ARAUJO"/>
    <s v="AUXILIAR DE CONTROLE OPERACIONAL"/>
    <x v="2"/>
    <d v="2019-06-01T00:00:00"/>
    <x v="0"/>
    <x v="0"/>
    <n v="0"/>
    <x v="0"/>
  </r>
  <r>
    <n v="114699"/>
    <s v="ERIK RIBEIRO DA SILVA"/>
    <s v="AJUDANTE EQ SERVICOS DIVERSOS"/>
    <x v="1"/>
    <d v="2020-02-13T00:00:00"/>
    <x v="0"/>
    <x v="0"/>
    <n v="0"/>
    <x v="0"/>
  </r>
  <r>
    <n v="119652"/>
    <s v="ERIKA DOS SANTOS OLIVEIRA"/>
    <s v="VARREDOR"/>
    <x v="1"/>
    <d v="2022-06-13T00:00:00"/>
    <x v="0"/>
    <x v="0"/>
    <n v="0"/>
    <x v="3"/>
  </r>
  <r>
    <n v="112494"/>
    <s v="ERIVALDO PEREIRA DE GOUVEIA"/>
    <s v="BUEIRISTA"/>
    <x v="1"/>
    <d v="2019-06-01T00:00:00"/>
    <x v="0"/>
    <x v="0"/>
    <n v="0"/>
    <x v="0"/>
  </r>
  <r>
    <n v="113776"/>
    <s v="ERIVALDO TIBURCIO DE MELO"/>
    <s v="MECANICO III"/>
    <x v="2"/>
    <d v="2019-06-07T00:00:00"/>
    <x v="0"/>
    <x v="0"/>
    <n v="0"/>
    <x v="0"/>
  </r>
  <r>
    <n v="112500"/>
    <s v="ERIVAN SILVA ALVES"/>
    <s v="AJUDANTE EQ SERVICOS DIVERSOS"/>
    <x v="0"/>
    <d v="2019-06-01T00:00:00"/>
    <x v="0"/>
    <x v="0"/>
    <n v="0"/>
    <x v="0"/>
  </r>
  <r>
    <n v="112506"/>
    <s v="ERIVANILDO BATISTA LOPES"/>
    <s v="MOTORISTA CAMINHAO"/>
    <x v="2"/>
    <d v="2019-06-01T00:00:00"/>
    <x v="0"/>
    <x v="0"/>
    <n v="0"/>
    <x v="0"/>
  </r>
  <r>
    <n v="112510"/>
    <s v="ERNALDO SOUSA DE JESUS"/>
    <s v="AJUDANTE EQ SERVICOS DIVERSOS"/>
    <x v="5"/>
    <d v="2019-06-01T00:00:00"/>
    <x v="0"/>
    <x v="0"/>
    <n v="0"/>
    <x v="0"/>
  </r>
  <r>
    <n v="112514"/>
    <s v="ERNANDES FLORENTINO SOARES"/>
    <s v="BUEIRISTA"/>
    <x v="3"/>
    <d v="2019-06-01T00:00:00"/>
    <x v="0"/>
    <x v="0"/>
    <n v="0"/>
    <x v="0"/>
  </r>
  <r>
    <n v="112518"/>
    <s v="ERONILDO BATISTA DO NASCIMENTO"/>
    <s v="MOTORISTA CAMINHAO"/>
    <x v="2"/>
    <d v="2019-06-01T00:00:00"/>
    <x v="0"/>
    <x v="0"/>
    <n v="0"/>
    <x v="0"/>
  </r>
  <r>
    <n v="112520"/>
    <s v="ESPEDITO RODRIGUES DOS SANTOS"/>
    <s v="VARREDOR"/>
    <x v="1"/>
    <d v="2019-06-01T00:00:00"/>
    <x v="0"/>
    <x v="0"/>
    <n v="0"/>
    <x v="0"/>
  </r>
  <r>
    <n v="112522"/>
    <s v="ESPERIDIAO CORREIA DA SILVA"/>
    <s v="VARREDOR"/>
    <x v="5"/>
    <d v="2019-06-01T00:00:00"/>
    <x v="0"/>
    <x v="0"/>
    <n v="0"/>
    <x v="0"/>
  </r>
  <r>
    <n v="112586"/>
    <s v="EUZEMAR FRANCO DE LIMA"/>
    <s v="VARREDOR"/>
    <x v="5"/>
    <d v="2019-06-01T00:00:00"/>
    <x v="0"/>
    <x v="0"/>
    <n v="0"/>
    <x v="0"/>
  </r>
  <r>
    <n v="112590"/>
    <s v="EVACI FERREIRA DOS SANTOS"/>
    <s v="COLETOR"/>
    <x v="2"/>
    <d v="2019-06-01T00:00:00"/>
    <x v="0"/>
    <x v="0"/>
    <n v="0"/>
    <x v="3"/>
  </r>
  <r>
    <n v="112598"/>
    <s v="EVALDO MOREIRA SANTOS"/>
    <s v="MOTORISTA CAMINHAO"/>
    <x v="2"/>
    <d v="2019-06-01T00:00:00"/>
    <x v="0"/>
    <x v="0"/>
    <n v="0"/>
    <x v="3"/>
  </r>
  <r>
    <n v="112602"/>
    <s v="EVALDO SILVA"/>
    <s v="FISCAL DE TURMA PLENO"/>
    <x v="3"/>
    <d v="2019-06-01T00:00:00"/>
    <x v="0"/>
    <x v="0"/>
    <n v="0"/>
    <x v="0"/>
  </r>
  <r>
    <n v="112606"/>
    <s v="EVANDRO ANTONIO DA CUNHA"/>
    <s v="COLETOR"/>
    <x v="2"/>
    <d v="2019-06-01T00:00:00"/>
    <x v="0"/>
    <x v="0"/>
    <n v="0"/>
    <x v="0"/>
  </r>
  <r>
    <n v="112609"/>
    <s v="EVANDRO RAMOS DA SILVA"/>
    <s v="VARREDOR"/>
    <x v="3"/>
    <d v="2019-06-01T00:00:00"/>
    <x v="0"/>
    <x v="0"/>
    <n v="0"/>
    <x v="0"/>
  </r>
  <r>
    <n v="112619"/>
    <s v="EVERSSON HENRIQUE CIPRIANO"/>
    <s v="AJUDANTE EQ SERVICOS DIVERSOS"/>
    <x v="3"/>
    <d v="2019-06-01T00:00:00"/>
    <x v="0"/>
    <x v="0"/>
    <n v="0"/>
    <x v="0"/>
  </r>
  <r>
    <n v="116027"/>
    <s v="EVERTON FREITAS DA SILVA"/>
    <s v="AJUDANTE EQ SERVICOS DIVERSOS"/>
    <x v="5"/>
    <d v="2021-01-11T00:00:00"/>
    <x v="4"/>
    <x v="15"/>
    <n v="0"/>
    <x v="0"/>
  </r>
  <r>
    <n v="121525"/>
    <s v="EVERTON SOUZA DA SILVA"/>
    <s v="AJUDANTE EQ SERVICOS DIVERSOS"/>
    <x v="0"/>
    <d v="2023-02-15T00:00:00"/>
    <x v="2"/>
    <x v="0"/>
    <n v="38.289999999999964"/>
    <x v="0"/>
  </r>
  <r>
    <n v="112629"/>
    <s v="EXPEDITO FERREIRA DA SILVA"/>
    <s v="VARREDOR"/>
    <x v="1"/>
    <d v="2019-06-01T00:00:00"/>
    <x v="0"/>
    <x v="0"/>
    <n v="0"/>
    <x v="0"/>
  </r>
  <r>
    <n v="117398"/>
    <s v="FABIANA ARIANE TEIXEIRA DOS REIS"/>
    <s v="ANALISTA DE PLANEJAMENTO OPERACIONAL"/>
    <x v="2"/>
    <d v="2021-11-22T00:00:00"/>
    <x v="0"/>
    <x v="0"/>
    <n v="0"/>
    <x v="0"/>
  </r>
  <r>
    <n v="114538"/>
    <s v="FABIANO ANSALDI DOMINGOS"/>
    <s v="ENCARREGADO DE TURMA"/>
    <x v="1"/>
    <d v="2019-12-18T00:00:00"/>
    <x v="0"/>
    <x v="0"/>
    <n v="0"/>
    <x v="0"/>
  </r>
  <r>
    <n v="112638"/>
    <s v="FABIANO CHAGAS MACIEL"/>
    <s v="AJUDANTE EQ SERVICOS DIVERSOS"/>
    <x v="3"/>
    <d v="2019-06-01T00:00:00"/>
    <x v="0"/>
    <x v="0"/>
    <n v="0"/>
    <x v="0"/>
  </r>
  <r>
    <n v="119642"/>
    <s v="FABIANO FRANCISCO LOPES"/>
    <s v="AJUDANTE EQ SERVICOS DIVERSOS"/>
    <x v="0"/>
    <d v="2022-06-13T00:00:00"/>
    <x v="0"/>
    <x v="0"/>
    <n v="0"/>
    <x v="0"/>
  </r>
  <r>
    <n v="112643"/>
    <s v="FABIANO LANDIM DA ROCHA"/>
    <s v="FISCAL DE TURMA PLENO"/>
    <x v="4"/>
    <d v="2019-06-01T00:00:00"/>
    <x v="0"/>
    <x v="0"/>
    <n v="0"/>
    <x v="0"/>
  </r>
  <r>
    <n v="112650"/>
    <s v="FABIANO PEREIRA DE OLIVEIRA SANTOS"/>
    <s v="VARREDOR"/>
    <x v="3"/>
    <d v="2019-06-01T00:00:00"/>
    <x v="0"/>
    <x v="0"/>
    <n v="0"/>
    <x v="0"/>
  </r>
  <r>
    <n v="114702"/>
    <s v="FABIANO SILVA LEITAO"/>
    <s v="VARREDOR"/>
    <x v="5"/>
    <d v="2020-02-13T00:00:00"/>
    <x v="2"/>
    <x v="6"/>
    <n v="-114.84000000000003"/>
    <x v="0"/>
  </r>
  <r>
    <n v="114260"/>
    <s v="FABIO ALVES DE LIMA"/>
    <s v="AJUDANTE EQ SERVICOS DIVERSOS"/>
    <x v="1"/>
    <d v="2019-12-05T00:00:00"/>
    <x v="0"/>
    <x v="0"/>
    <n v="0"/>
    <x v="0"/>
  </r>
  <r>
    <n v="112654"/>
    <s v="FABIO CESAR DE OLIVEIRA SOUZA"/>
    <s v="MOTORISTA CAMINHAO"/>
    <x v="2"/>
    <d v="2019-06-04T00:00:00"/>
    <x v="0"/>
    <x v="0"/>
    <n v="0"/>
    <x v="0"/>
  </r>
  <r>
    <n v="113735"/>
    <s v="FABIO DA COSTA FERNANDES"/>
    <s v="ENCARREGADO DE PLANEJAMENTO"/>
    <x v="2"/>
    <d v="2019-06-03T00:00:00"/>
    <x v="0"/>
    <x v="0"/>
    <n v="0"/>
    <x v="0"/>
  </r>
  <r>
    <n v="112661"/>
    <s v="FABIO DA SILVA ALVES ROLIM"/>
    <s v="MOTORISTA CAMINHAO"/>
    <x v="2"/>
    <d v="2019-06-01T00:00:00"/>
    <x v="0"/>
    <x v="0"/>
    <n v="0"/>
    <x v="3"/>
  </r>
  <r>
    <n v="112668"/>
    <s v="FABIO DA SILVA DUARTE"/>
    <s v="VARREDOR"/>
    <x v="0"/>
    <d v="2019-06-01T00:00:00"/>
    <x v="0"/>
    <x v="0"/>
    <n v="0"/>
    <x v="3"/>
  </r>
  <r>
    <n v="114700"/>
    <s v="FABIO DOS SANTOS SOUZA"/>
    <s v="VARREDOR"/>
    <x v="1"/>
    <d v="2020-02-13T00:00:00"/>
    <x v="4"/>
    <x v="2"/>
    <n v="-940.39"/>
    <x v="2"/>
  </r>
  <r>
    <n v="112680"/>
    <s v="FABIO FERREIRA DO NASCIMENTO"/>
    <s v="FISCAL DE TURMA PLENO"/>
    <x v="1"/>
    <d v="2019-06-01T00:00:00"/>
    <x v="0"/>
    <x v="0"/>
    <n v="0"/>
    <x v="0"/>
  </r>
  <r>
    <n v="114506"/>
    <s v="FABIO JOSE DOS SANTOS"/>
    <s v="PEDREIRO"/>
    <x v="2"/>
    <d v="2019-12-12T00:00:00"/>
    <x v="0"/>
    <x v="0"/>
    <n v="0"/>
    <x v="0"/>
  </r>
  <r>
    <n v="112709"/>
    <s v="FABIO JULIO FRANCISCO LUZ DA SILVA"/>
    <s v="MOTORISTA CAMINHAO"/>
    <x v="2"/>
    <d v="2019-06-01T00:00:00"/>
    <x v="0"/>
    <x v="0"/>
    <n v="0"/>
    <x v="0"/>
  </r>
  <r>
    <n v="122821"/>
    <s v="FABIO JUNIO MUNIZ DE ARRUDA"/>
    <s v="AJUDANTE EQ SERVICOS DIVERSOS"/>
    <x v="4"/>
    <d v="2023-09-11T00:00:00"/>
    <x v="5"/>
    <x v="0"/>
    <n v="1016.96"/>
    <x v="4"/>
  </r>
  <r>
    <n v="112713"/>
    <s v="FABIO JUNIOR DOS SANTOS COSTA"/>
    <s v="MOTORISTA CAMINHAO"/>
    <x v="2"/>
    <d v="2019-06-01T00:00:00"/>
    <x v="0"/>
    <x v="0"/>
    <n v="0"/>
    <x v="0"/>
  </r>
  <r>
    <n v="112716"/>
    <s v="FABIO MIRANDA SILVA"/>
    <s v="VARREDOR"/>
    <x v="5"/>
    <d v="2019-06-01T00:00:00"/>
    <x v="0"/>
    <x v="0"/>
    <n v="0"/>
    <x v="0"/>
  </r>
  <r>
    <n v="112720"/>
    <s v="FABIO OLIVEIRA DOS ANJOS"/>
    <s v="VARREDOR"/>
    <x v="1"/>
    <d v="2019-06-01T00:00:00"/>
    <x v="0"/>
    <x v="0"/>
    <n v="0"/>
    <x v="0"/>
  </r>
  <r>
    <n v="112724"/>
    <s v="FABIO PEREIRA BARROS"/>
    <s v="AJUDANTE EQ SERVICOS DIVERSOS"/>
    <x v="4"/>
    <d v="2019-06-01T00:00:00"/>
    <x v="0"/>
    <x v="0"/>
    <n v="0"/>
    <x v="0"/>
  </r>
  <r>
    <n v="114120"/>
    <s v="FABIO ROBERTO DOS SANTOS"/>
    <s v="OPERADOR DE MAQUINA SENIOR"/>
    <x v="2"/>
    <d v="2019-10-01T00:00:00"/>
    <x v="0"/>
    <x v="0"/>
    <n v="0"/>
    <x v="0"/>
  </r>
  <r>
    <n v="112737"/>
    <s v="FABIO ROBERTO SILVA"/>
    <s v="VARREDOR"/>
    <x v="1"/>
    <d v="2019-06-01T00:00:00"/>
    <x v="0"/>
    <x v="0"/>
    <n v="0"/>
    <x v="3"/>
  </r>
  <r>
    <n v="112742"/>
    <s v="FABIO SANTOS SALES"/>
    <s v="FISCAL DE TURMA PLENO"/>
    <x v="2"/>
    <d v="2019-06-01T00:00:00"/>
    <x v="0"/>
    <x v="0"/>
    <n v="0"/>
    <x v="0"/>
  </r>
  <r>
    <n v="121956"/>
    <s v="FABRIANO SOUSA LIMA"/>
    <s v="AJUDANTE EQ SERVICOS DIVERSOS"/>
    <x v="3"/>
    <d v="2023-04-24T00:00:00"/>
    <x v="0"/>
    <x v="0"/>
    <n v="0"/>
    <x v="0"/>
  </r>
  <r>
    <n v="112745"/>
    <s v="FABRICIO DA COSTA GOMES"/>
    <s v="LAVADOR"/>
    <x v="2"/>
    <d v="2019-06-01T00:00:00"/>
    <x v="0"/>
    <x v="0"/>
    <n v="0"/>
    <x v="0"/>
  </r>
  <r>
    <n v="114606"/>
    <s v="FABRICIO REGIS DO REGO"/>
    <s v="VARREDOR"/>
    <x v="1"/>
    <d v="2020-01-06T00:00:00"/>
    <x v="0"/>
    <x v="0"/>
    <n v="0"/>
    <x v="0"/>
  </r>
  <r>
    <n v="112749"/>
    <s v="FAUSTINIANO MONTEIRO MAGALHAES"/>
    <s v="VARREDOR"/>
    <x v="1"/>
    <d v="2019-06-01T00:00:00"/>
    <x v="0"/>
    <x v="0"/>
    <n v="0"/>
    <x v="0"/>
  </r>
  <r>
    <n v="112753"/>
    <s v="FAUSTINO ARNALDO DE LANA"/>
    <s v="MECANICO II"/>
    <x v="2"/>
    <d v="2019-06-01T00:00:00"/>
    <x v="0"/>
    <x v="0"/>
    <n v="0"/>
    <x v="0"/>
  </r>
  <r>
    <n v="112757"/>
    <s v="FAUSTO ALVES DE ALMEIDA"/>
    <s v="MOTORISTA CAMINHAO"/>
    <x v="2"/>
    <d v="2019-06-01T00:00:00"/>
    <x v="0"/>
    <x v="0"/>
    <n v="0"/>
    <x v="3"/>
  </r>
  <r>
    <n v="114918"/>
    <s v="FELIPE CESAR SATO AZEVEDO"/>
    <s v="AJUDANTE EQ SERVICOS DIVERSOS"/>
    <x v="2"/>
    <d v="2020-03-26T00:00:00"/>
    <x v="0"/>
    <x v="0"/>
    <n v="0"/>
    <x v="0"/>
  </r>
  <r>
    <n v="115214"/>
    <s v="FELIPE CUSTODIO DA SILVA"/>
    <s v="AJUDANTE EQ SERVICOS DIVERSOS"/>
    <x v="3"/>
    <d v="2020-07-06T00:00:00"/>
    <x v="0"/>
    <x v="0"/>
    <n v="0"/>
    <x v="0"/>
  </r>
  <r>
    <n v="115397"/>
    <s v="FELIPE DE JESUS"/>
    <s v="AJUDANTE EQ SERVICOS DIVERSOS"/>
    <x v="2"/>
    <d v="2020-08-05T00:00:00"/>
    <x v="0"/>
    <x v="6"/>
    <n v="-153.13"/>
    <x v="3"/>
  </r>
  <r>
    <n v="115378"/>
    <s v="FELIPE DE SOUZA TELES"/>
    <s v="AJUDANTE EQ SERVICOS DIVERSOS"/>
    <x v="1"/>
    <d v="2020-08-03T00:00:00"/>
    <x v="2"/>
    <x v="0"/>
    <n v="38.289999999999964"/>
    <x v="0"/>
  </r>
  <r>
    <n v="114729"/>
    <s v="FELIPE DOS SANTOS"/>
    <s v="VARREDOR"/>
    <x v="3"/>
    <d v="2020-02-13T00:00:00"/>
    <x v="0"/>
    <x v="0"/>
    <n v="0"/>
    <x v="0"/>
  </r>
  <r>
    <n v="119665"/>
    <s v="FELIPE FERREIRA PINTO"/>
    <s v="VARREDOR"/>
    <x v="5"/>
    <d v="2022-06-13T00:00:00"/>
    <x v="0"/>
    <x v="0"/>
    <n v="0"/>
    <x v="0"/>
  </r>
  <r>
    <n v="112764"/>
    <s v="FELIPE FIGUEIREDO DA SILVA"/>
    <s v="FISCAL DE TURMA PLENO"/>
    <x v="0"/>
    <d v="2019-06-01T00:00:00"/>
    <x v="0"/>
    <x v="0"/>
    <n v="0"/>
    <x v="0"/>
  </r>
  <r>
    <n v="114316"/>
    <s v="FELIPE GOMES DA SILVA"/>
    <s v="AJUDANTE EQ SERVICOS DIVERSOS"/>
    <x v="1"/>
    <d v="2019-12-12T00:00:00"/>
    <x v="4"/>
    <x v="15"/>
    <n v="0"/>
    <x v="0"/>
  </r>
  <r>
    <n v="115818"/>
    <s v="FELIPE MENDES DO AMARANTE SOUSA"/>
    <s v="AJUDANTE EQ SERVICOS DIVERSOS"/>
    <x v="1"/>
    <d v="2020-11-19T00:00:00"/>
    <x v="0"/>
    <x v="0"/>
    <n v="0"/>
    <x v="0"/>
  </r>
  <r>
    <n v="112766"/>
    <s v="FERNANDO ALVES DE SOUSA"/>
    <s v="AJUDANTE EQ SERVICOS DIVERSOS"/>
    <x v="3"/>
    <d v="2019-06-01T00:00:00"/>
    <x v="2"/>
    <x v="0"/>
    <n v="38.289999999999964"/>
    <x v="0"/>
  </r>
  <r>
    <n v="112768"/>
    <s v="FERNANDO ANTONIO DA SILVA"/>
    <s v="COLETOR"/>
    <x v="2"/>
    <d v="2019-06-01T00:00:00"/>
    <x v="0"/>
    <x v="0"/>
    <n v="0"/>
    <x v="0"/>
  </r>
  <r>
    <n v="112799"/>
    <s v="FERNANDO JESUS DO CARMO"/>
    <s v="AJUDANTE EQ SERVICOS DIVERSOS"/>
    <x v="4"/>
    <d v="2019-06-01T00:00:00"/>
    <x v="0"/>
    <x v="0"/>
    <n v="0"/>
    <x v="0"/>
  </r>
  <r>
    <n v="116738"/>
    <s v="FERNANDO SARDINHA MIGUEL DE LIMA"/>
    <s v="AUXILIAR DE PLANEJAMENTO OPERACIONAL"/>
    <x v="2"/>
    <d v="2021-06-23T00:00:00"/>
    <x v="0"/>
    <x v="0"/>
    <n v="0"/>
    <x v="0"/>
  </r>
  <r>
    <n v="113714"/>
    <s v="FILIPE NASCIMENTO DE PAULA"/>
    <s v="ASSISTENTE ADMINISTRATIVO"/>
    <x v="2"/>
    <d v="2019-06-03T00:00:00"/>
    <x v="0"/>
    <x v="0"/>
    <n v="0"/>
    <x v="0"/>
  </r>
  <r>
    <n v="114765"/>
    <s v="FLAVIO DOS SANTOS MALAQUIAS"/>
    <s v="MOTORISTA CAMINHAO"/>
    <x v="2"/>
    <d v="2020-02-13T00:00:00"/>
    <x v="0"/>
    <x v="0"/>
    <n v="0"/>
    <x v="0"/>
  </r>
  <r>
    <n v="122822"/>
    <s v="FLAVIO FELIX DOS SANTOS"/>
    <s v="AJUDANTE EQ SERVICOS DIVERSOS"/>
    <x v="3"/>
    <d v="2023-09-11T00:00:00"/>
    <x v="5"/>
    <x v="0"/>
    <n v="1016.96"/>
    <x v="4"/>
  </r>
  <r>
    <n v="112818"/>
    <s v="FLAVIO FIGUEREDO DOS SANTOS"/>
    <s v="FISCAL DE TURMA PLENO"/>
    <x v="5"/>
    <d v="2019-06-01T00:00:00"/>
    <x v="0"/>
    <x v="0"/>
    <n v="0"/>
    <x v="0"/>
  </r>
  <r>
    <n v="115409"/>
    <s v="FLAVIO MANOEL DUARTE"/>
    <s v="AJUDANTE EQ SERVICOS DIVERSOS"/>
    <x v="0"/>
    <d v="2020-08-05T00:00:00"/>
    <x v="10"/>
    <x v="0"/>
    <n v="153.13"/>
    <x v="0"/>
  </r>
  <r>
    <n v="122089"/>
    <s v="FLAVIO RABELO DE MORAIS"/>
    <s v="AJUDANTE EQ SERVICOS DIVERSOS"/>
    <x v="1"/>
    <d v="2023-05-15T00:00:00"/>
    <x v="0"/>
    <x v="0"/>
    <n v="0"/>
    <x v="0"/>
  </r>
  <r>
    <n v="112829"/>
    <s v="FLAVIO RODRIGUES JOAQUIM"/>
    <s v="MOTORISTA CAMINHAO"/>
    <x v="2"/>
    <d v="2019-06-01T00:00:00"/>
    <x v="0"/>
    <x v="0"/>
    <n v="0"/>
    <x v="0"/>
  </r>
  <r>
    <n v="112832"/>
    <s v="FRANCIMARIO FERREIRA ANTUNES"/>
    <s v="COLETOR"/>
    <x v="2"/>
    <d v="2019-06-01T00:00:00"/>
    <x v="0"/>
    <x v="0"/>
    <n v="0"/>
    <x v="0"/>
  </r>
  <r>
    <n v="112840"/>
    <s v="FRANCISCO ALVES MARTINS"/>
    <s v="VARREDOR"/>
    <x v="3"/>
    <d v="2019-06-01T00:00:00"/>
    <x v="0"/>
    <x v="0"/>
    <n v="0"/>
    <x v="0"/>
  </r>
  <r>
    <n v="112849"/>
    <s v="FRANCISCO ASSIS DE OLIVEIRA"/>
    <s v="VARREDOR"/>
    <x v="3"/>
    <d v="2019-06-01T00:00:00"/>
    <x v="0"/>
    <x v="0"/>
    <n v="0"/>
    <x v="0"/>
  </r>
  <r>
    <n v="112864"/>
    <s v="FRANCISCO CARLOS LIMEIRA DA SILVA"/>
    <s v="VARREDOR"/>
    <x v="1"/>
    <d v="2019-06-01T00:00:00"/>
    <x v="0"/>
    <x v="0"/>
    <n v="0"/>
    <x v="0"/>
  </r>
  <r>
    <n v="112870"/>
    <s v="FRANCISCO DAS CHAGAS GOMES PINTO"/>
    <s v="VARREDOR"/>
    <x v="5"/>
    <d v="2019-06-01T00:00:00"/>
    <x v="0"/>
    <x v="0"/>
    <n v="0"/>
    <x v="0"/>
  </r>
  <r>
    <n v="112886"/>
    <s v="FRANCISCO DE ASSIS ALEXANDRE NUNES"/>
    <s v="VARREDOR"/>
    <x v="3"/>
    <d v="2019-06-01T00:00:00"/>
    <x v="0"/>
    <x v="0"/>
    <n v="0"/>
    <x v="0"/>
  </r>
  <r>
    <n v="114954"/>
    <s v="FRANCISCO DE ASSIS SOUZA"/>
    <s v="MOTORISTA CAMINHAO"/>
    <x v="2"/>
    <d v="2020-03-26T00:00:00"/>
    <x v="0"/>
    <x v="0"/>
    <n v="0"/>
    <x v="0"/>
  </r>
  <r>
    <n v="112904"/>
    <s v="FRANCISCO DUTRA DA PAIXAO"/>
    <s v="MOTORISTA CAMINHAO"/>
    <x v="2"/>
    <d v="2019-06-04T00:00:00"/>
    <x v="0"/>
    <x v="0"/>
    <n v="0"/>
    <x v="0"/>
  </r>
  <r>
    <n v="112912"/>
    <s v="FRANCISCO EDIVALDO GALDINO FREITAS"/>
    <s v="VARREDOR"/>
    <x v="1"/>
    <d v="2019-06-01T00:00:00"/>
    <x v="0"/>
    <x v="0"/>
    <n v="0"/>
    <x v="0"/>
  </r>
  <r>
    <n v="112974"/>
    <s v="FRANCISCO ELSON COSTA PEREIRA"/>
    <s v="VARREDOR"/>
    <x v="1"/>
    <d v="2019-06-01T00:00:00"/>
    <x v="0"/>
    <x v="0"/>
    <n v="0"/>
    <x v="0"/>
  </r>
  <r>
    <n v="112978"/>
    <s v="FRANCISCO ERIVAN DA SILVA FELIX"/>
    <s v="VARREDOR"/>
    <x v="1"/>
    <d v="2019-06-01T00:00:00"/>
    <x v="0"/>
    <x v="0"/>
    <n v="0"/>
    <x v="0"/>
  </r>
  <r>
    <n v="119632"/>
    <s v="FRANCISCO FIRMINO ALVES JUNIOR"/>
    <s v="MOTORISTA CAMINHAO"/>
    <x v="2"/>
    <d v="2022-06-13T00:00:00"/>
    <x v="0"/>
    <x v="0"/>
    <n v="0"/>
    <x v="0"/>
  </r>
  <r>
    <n v="114770"/>
    <s v="FRANCISCO GEAN PEREIRA DE ARAUJO"/>
    <s v="MOTORISTA CAMINHAO"/>
    <x v="2"/>
    <d v="2020-02-13T00:00:00"/>
    <x v="0"/>
    <x v="0"/>
    <n v="0"/>
    <x v="0"/>
  </r>
  <r>
    <n v="113029"/>
    <s v="FRANCISCO NACELIO DE SOUSA"/>
    <s v="MOTORISTA CAMINHAO"/>
    <x v="2"/>
    <d v="2019-06-01T00:00:00"/>
    <x v="0"/>
    <x v="0"/>
    <n v="0"/>
    <x v="0"/>
  </r>
  <r>
    <n v="113035"/>
    <s v="FRANCISCO NILBERTO BEZERRA DO NASCIMENTO"/>
    <s v="COLETOR"/>
    <x v="2"/>
    <d v="2019-06-01T00:00:00"/>
    <x v="0"/>
    <x v="0"/>
    <n v="0"/>
    <x v="0"/>
  </r>
  <r>
    <n v="120172"/>
    <s v="FRANCISCO SANTOS FERNANDES DE LIMA"/>
    <s v="AJUDANTE EQ SERVICOS DIVERSOS"/>
    <x v="0"/>
    <d v="2022-08-18T00:00:00"/>
    <x v="0"/>
    <x v="0"/>
    <n v="0"/>
    <x v="0"/>
  </r>
  <r>
    <n v="113064"/>
    <s v="FRANCISNALDO DA SILVA NEPOMUCENO"/>
    <s v="AJUDANTE EQ SERVICOS DIVERSOS"/>
    <x v="2"/>
    <d v="2019-06-01T00:00:00"/>
    <x v="2"/>
    <x v="0"/>
    <n v="38.289999999999964"/>
    <x v="0"/>
  </r>
  <r>
    <n v="113071"/>
    <s v="FRANQUILANIO DA SILVA"/>
    <s v="FISCAL DE TURMA PLENO"/>
    <x v="1"/>
    <d v="2019-06-01T00:00:00"/>
    <x v="0"/>
    <x v="0"/>
    <n v="0"/>
    <x v="3"/>
  </r>
  <r>
    <n v="113075"/>
    <s v="FREDSON VIEIRA BRAGA"/>
    <s v="VARREDOR"/>
    <x v="1"/>
    <d v="2019-06-01T00:00:00"/>
    <x v="0"/>
    <x v="0"/>
    <n v="0"/>
    <x v="0"/>
  </r>
  <r>
    <n v="117407"/>
    <s v="GABRIEL ANTONIO COSTA DA SILVA"/>
    <s v="VARREDOR"/>
    <x v="3"/>
    <d v="2021-11-22T00:00:00"/>
    <x v="0"/>
    <x v="0"/>
    <n v="0"/>
    <x v="0"/>
  </r>
  <r>
    <n v="113079"/>
    <s v="GABRIEL AUGUSTO DE ANDRADE"/>
    <s v="AJUDANTE EQ SERVICOS DIVERSOS"/>
    <x v="3"/>
    <d v="2019-06-01T00:00:00"/>
    <x v="0"/>
    <x v="0"/>
    <n v="0"/>
    <x v="0"/>
  </r>
  <r>
    <n v="116323"/>
    <s v="GABRIEL BARBOSA SOUZA"/>
    <s v="AJUDANTE EQ SERVICOS DIVERSOS"/>
    <x v="1"/>
    <d v="2021-04-22T00:00:00"/>
    <x v="0"/>
    <x v="0"/>
    <n v="0"/>
    <x v="0"/>
  </r>
  <r>
    <n v="116003"/>
    <s v="GABRIEL DA SILVA PRADO"/>
    <s v="AJUDANTE EQ SERVICOS DIVERSOS"/>
    <x v="1"/>
    <d v="2021-01-11T00:00:00"/>
    <x v="0"/>
    <x v="0"/>
    <n v="0"/>
    <x v="0"/>
  </r>
  <r>
    <n v="119679"/>
    <s v="GABRIEL JOSE DA SILVA"/>
    <s v="AJUDANTE EQ SERVICOS DIVERSOS"/>
    <x v="1"/>
    <d v="2022-06-13T00:00:00"/>
    <x v="0"/>
    <x v="0"/>
    <n v="0"/>
    <x v="0"/>
  </r>
  <r>
    <n v="113111"/>
    <s v="GABRIEL SANTOS QUARESMA"/>
    <s v="AJUDANTE EQ SERVICOS DIVERSOS"/>
    <x v="1"/>
    <d v="2019-06-01T00:00:00"/>
    <x v="4"/>
    <x v="0"/>
    <n v="76.57000000000005"/>
    <x v="0"/>
  </r>
  <r>
    <n v="117412"/>
    <s v="GABRIEL SILVA MARQUES TRAJANO"/>
    <s v="VARREDOR"/>
    <x v="0"/>
    <d v="2021-11-22T00:00:00"/>
    <x v="0"/>
    <x v="0"/>
    <n v="0"/>
    <x v="0"/>
  </r>
  <r>
    <n v="114269"/>
    <s v="GABRIELA FERREIRA DE JESUS"/>
    <s v="AJUDANTE EQ SERVICOS DIVERSOS"/>
    <x v="1"/>
    <d v="2019-12-05T00:00:00"/>
    <x v="0"/>
    <x v="0"/>
    <n v="0"/>
    <x v="0"/>
  </r>
  <r>
    <n v="113121"/>
    <s v="GENEILSON RODRIGUES DA SILVA"/>
    <s v="MOTORISTA CAMINHAO"/>
    <x v="2"/>
    <d v="2019-06-01T00:00:00"/>
    <x v="0"/>
    <x v="0"/>
    <n v="0"/>
    <x v="0"/>
  </r>
  <r>
    <n v="113131"/>
    <s v="GENEVAL JOSE DA SILVA"/>
    <s v="VARREDOR"/>
    <x v="0"/>
    <d v="2019-06-01T00:00:00"/>
    <x v="0"/>
    <x v="0"/>
    <n v="0"/>
    <x v="0"/>
  </r>
  <r>
    <n v="113136"/>
    <s v="GENILSON BATISTA CALADO"/>
    <s v="COLETOR"/>
    <x v="2"/>
    <d v="2019-06-01T00:00:00"/>
    <x v="0"/>
    <x v="0"/>
    <n v="0"/>
    <x v="0"/>
  </r>
  <r>
    <n v="113150"/>
    <s v="GENIVALDO DA SILVA"/>
    <s v="COLETOR"/>
    <x v="2"/>
    <d v="2019-06-01T00:00:00"/>
    <x v="0"/>
    <x v="0"/>
    <n v="0"/>
    <x v="0"/>
  </r>
  <r>
    <n v="113153"/>
    <s v="GENIVALDO DOS SANTOS ARAUJO"/>
    <s v="AJUDANTE EQ SERVICOS DIVERSOS"/>
    <x v="5"/>
    <d v="2019-06-01T00:00:00"/>
    <x v="0"/>
    <x v="0"/>
    <n v="0"/>
    <x v="0"/>
  </r>
  <r>
    <n v="113179"/>
    <s v="GENIVALDO SANTOS DE JESUS"/>
    <s v="AJUDANTE EQ SERVICOS DIVERSOS"/>
    <x v="1"/>
    <d v="2019-06-01T00:00:00"/>
    <x v="0"/>
    <x v="0"/>
    <n v="0"/>
    <x v="0"/>
  </r>
  <r>
    <n v="113181"/>
    <s v="GEORGE DOS SANTOS BARBOSA"/>
    <s v="AJUDANTE EQ SERVICOS DIVERSOS"/>
    <x v="1"/>
    <d v="2019-06-01T00:00:00"/>
    <x v="0"/>
    <x v="0"/>
    <n v="0"/>
    <x v="0"/>
  </r>
  <r>
    <n v="116235"/>
    <s v="GERALDO CORREA"/>
    <s v="VARREDOR"/>
    <x v="3"/>
    <d v="2021-03-18T00:00:00"/>
    <x v="0"/>
    <x v="0"/>
    <n v="0"/>
    <x v="0"/>
  </r>
  <r>
    <n v="113194"/>
    <s v="GERALDO EVANGELISTA DE CARVALHO"/>
    <s v="VARREDOR"/>
    <x v="3"/>
    <d v="2019-06-01T00:00:00"/>
    <x v="0"/>
    <x v="0"/>
    <n v="0"/>
    <x v="0"/>
  </r>
  <r>
    <n v="113199"/>
    <s v="GERALDO GUEDES DA SILVA"/>
    <s v="VARREDOR"/>
    <x v="3"/>
    <d v="2019-06-01T00:00:00"/>
    <x v="0"/>
    <x v="0"/>
    <n v="0"/>
    <x v="0"/>
  </r>
  <r>
    <n v="113202"/>
    <s v="GERALDO LEONILDO DA SILVA"/>
    <s v="AJUDANTE EQ SERVICOS DIVERSOS"/>
    <x v="4"/>
    <d v="2019-06-01T00:00:00"/>
    <x v="0"/>
    <x v="0"/>
    <n v="0"/>
    <x v="0"/>
  </r>
  <r>
    <n v="113206"/>
    <s v="GERALDO MANGELA DAMASIO"/>
    <s v="VARREDOR"/>
    <x v="5"/>
    <d v="2019-06-01T00:00:00"/>
    <x v="0"/>
    <x v="0"/>
    <n v="0"/>
    <x v="0"/>
  </r>
  <r>
    <n v="113209"/>
    <s v="GERALDO MANOEL DO NASCIMENTO"/>
    <s v="VARREDOR"/>
    <x v="1"/>
    <d v="2019-06-01T00:00:00"/>
    <x v="0"/>
    <x v="0"/>
    <n v="0"/>
    <x v="0"/>
  </r>
  <r>
    <n v="116804"/>
    <s v="GERRI ALVES DOS SANTOS"/>
    <s v="AGENTE AMBIENTAL"/>
    <x v="2"/>
    <d v="2021-07-13T00:00:00"/>
    <x v="2"/>
    <x v="0"/>
    <n v="38.289999999999964"/>
    <x v="3"/>
  </r>
  <r>
    <n v="113225"/>
    <s v="GERSON CAETANO DO NASCIMENTO"/>
    <s v="VARREDOR"/>
    <x v="1"/>
    <d v="2019-06-01T00:00:00"/>
    <x v="0"/>
    <x v="0"/>
    <n v="0"/>
    <x v="0"/>
  </r>
  <r>
    <n v="113228"/>
    <s v="GERSON DE JESUS SOARES"/>
    <s v="COLETOR"/>
    <x v="2"/>
    <d v="2019-06-01T00:00:00"/>
    <x v="0"/>
    <x v="0"/>
    <n v="0"/>
    <x v="0"/>
  </r>
  <r>
    <n v="113233"/>
    <s v="GERSON FERNANDO LIMA SOUSA"/>
    <s v="AJUDANTE EQ SERVICOS DIVERSOS"/>
    <x v="1"/>
    <d v="2019-06-01T00:00:00"/>
    <x v="0"/>
    <x v="0"/>
    <n v="0"/>
    <x v="0"/>
  </r>
  <r>
    <n v="113246"/>
    <s v="GERSON RODRIGUES CAVALCANTE"/>
    <s v="MOTORISTA CAMINHAO"/>
    <x v="2"/>
    <d v="2019-06-01T00:00:00"/>
    <x v="0"/>
    <x v="0"/>
    <n v="0"/>
    <x v="0"/>
  </r>
  <r>
    <n v="113249"/>
    <s v="GIDALTO SOUSA DE CASTRO"/>
    <s v="VARREDOR"/>
    <x v="0"/>
    <d v="2019-06-01T00:00:00"/>
    <x v="0"/>
    <x v="0"/>
    <n v="0"/>
    <x v="0"/>
  </r>
  <r>
    <n v="118057"/>
    <s v="GILBERTO BENTO RODRIGUES"/>
    <s v="AJUDANTE EQ SERVICOS DIVERSOS"/>
    <x v="1"/>
    <d v="2022-01-06T00:00:00"/>
    <x v="2"/>
    <x v="0"/>
    <n v="38.289999999999964"/>
    <x v="0"/>
  </r>
  <r>
    <n v="113260"/>
    <s v="GILBERTO DA COSTA"/>
    <s v="AJUDANTE EQ SERVICOS DIVERSOS"/>
    <x v="0"/>
    <d v="2019-06-01T00:00:00"/>
    <x v="0"/>
    <x v="0"/>
    <n v="0"/>
    <x v="0"/>
  </r>
  <r>
    <n v="113264"/>
    <s v="GILBERTO DE JESUS OLIVEIRA"/>
    <s v="VARREDOR"/>
    <x v="0"/>
    <d v="2019-06-01T00:00:00"/>
    <x v="0"/>
    <x v="0"/>
    <n v="0"/>
    <x v="0"/>
  </r>
  <r>
    <n v="113268"/>
    <s v="GILBERTO GOMES TEIXEIRA"/>
    <s v="AJUDANTE EQ SERVICOS DIVERSOS"/>
    <x v="3"/>
    <d v="2019-06-01T00:00:00"/>
    <x v="0"/>
    <x v="0"/>
    <n v="0"/>
    <x v="0"/>
  </r>
  <r>
    <n v="113272"/>
    <s v="GILBERTO SILVA SANTOS"/>
    <s v="VARREDOR"/>
    <x v="1"/>
    <d v="2019-06-01T00:00:00"/>
    <x v="0"/>
    <x v="0"/>
    <n v="0"/>
    <x v="0"/>
  </r>
  <r>
    <n v="113274"/>
    <s v="GILCELIO SOARES"/>
    <s v="VARREDOR"/>
    <x v="3"/>
    <d v="2019-06-01T00:00:00"/>
    <x v="0"/>
    <x v="0"/>
    <n v="0"/>
    <x v="0"/>
  </r>
  <r>
    <n v="113278"/>
    <s v="GILDENE DA SILVA"/>
    <s v="AJUDANTE EQ SERVICOS DIVERSOS"/>
    <x v="5"/>
    <d v="2019-06-01T00:00:00"/>
    <x v="0"/>
    <x v="0"/>
    <n v="0"/>
    <x v="3"/>
  </r>
  <r>
    <n v="113280"/>
    <s v="GILMAR RIBEIRO"/>
    <s v="AJUDANTE EQ SERVICOS DIVERSOS"/>
    <x v="0"/>
    <d v="2019-06-01T00:00:00"/>
    <x v="0"/>
    <x v="0"/>
    <n v="0"/>
    <x v="0"/>
  </r>
  <r>
    <n v="113287"/>
    <s v="GILSON ALVES DA SILVA"/>
    <s v="VARREDOR"/>
    <x v="3"/>
    <d v="2019-06-01T00:00:00"/>
    <x v="0"/>
    <x v="0"/>
    <n v="0"/>
    <x v="0"/>
  </r>
  <r>
    <n v="122570"/>
    <s v="GILSON ARAUJO DE LIMA"/>
    <s v="MOTORISTA CAMINHAO"/>
    <x v="2"/>
    <d v="2023-07-24T00:00:00"/>
    <x v="0"/>
    <x v="0"/>
    <n v="0"/>
    <x v="0"/>
  </r>
  <r>
    <n v="113289"/>
    <s v="GILSON DE OLIVEIRA"/>
    <s v="VARREDOR"/>
    <x v="5"/>
    <d v="2019-06-01T00:00:00"/>
    <x v="0"/>
    <x v="0"/>
    <n v="0"/>
    <x v="0"/>
  </r>
  <r>
    <n v="116389"/>
    <s v="GILSON MUNIZ SILVA"/>
    <s v="VARREDOR"/>
    <x v="1"/>
    <d v="2021-05-12T00:00:00"/>
    <x v="0"/>
    <x v="1"/>
    <n v="-657.5"/>
    <x v="1"/>
  </r>
  <r>
    <n v="122079"/>
    <s v="GILSON SILVA DIAS"/>
    <s v="AJUDANTE EQ SERVICOS DIVERSOS"/>
    <x v="3"/>
    <d v="2023-05-15T00:00:00"/>
    <x v="0"/>
    <x v="0"/>
    <n v="0"/>
    <x v="0"/>
  </r>
  <r>
    <n v="113298"/>
    <s v="GILVAN DE JESUS ROSA"/>
    <s v="COLETOR"/>
    <x v="2"/>
    <d v="2019-06-01T00:00:00"/>
    <x v="0"/>
    <x v="0"/>
    <n v="0"/>
    <x v="0"/>
  </r>
  <r>
    <n v="113308"/>
    <s v="GILVANIA VIEIRA DOS SANTOS"/>
    <s v="FAXINEIRO(A)"/>
    <x v="2"/>
    <d v="2019-06-01T00:00:00"/>
    <x v="0"/>
    <x v="0"/>
    <n v="0"/>
    <x v="0"/>
  </r>
  <r>
    <n v="113317"/>
    <s v="GIRLANIO CAVALCANTE DE ALMEIDA"/>
    <s v="VARREDOR"/>
    <x v="1"/>
    <d v="2019-06-01T00:00:00"/>
    <x v="0"/>
    <x v="0"/>
    <n v="0"/>
    <x v="0"/>
  </r>
  <r>
    <n v="113323"/>
    <s v="GISLAINE ALMEIDA DE JESUS"/>
    <s v="AJUDANTE EQ SERVICOS DIVERSOS"/>
    <x v="5"/>
    <d v="2019-06-01T00:00:00"/>
    <x v="0"/>
    <x v="0"/>
    <n v="0"/>
    <x v="0"/>
  </r>
  <r>
    <n v="113328"/>
    <s v="GIULIANO HENRIQUE DA SILVA"/>
    <s v="VARREDOR"/>
    <x v="3"/>
    <d v="2019-06-01T00:00:00"/>
    <x v="0"/>
    <x v="0"/>
    <n v="0"/>
    <x v="0"/>
  </r>
  <r>
    <n v="113353"/>
    <s v="GIVANILDO FREIRE DE NOVAES"/>
    <s v="MOTORISTA CAMINHAO"/>
    <x v="2"/>
    <d v="2019-06-01T00:00:00"/>
    <x v="0"/>
    <x v="0"/>
    <n v="0"/>
    <x v="3"/>
  </r>
  <r>
    <n v="117235"/>
    <s v="GLEICE FERNANDES DA SILVA"/>
    <s v="AJUDANTE EQ SERVICOS DIVERSOS"/>
    <x v="1"/>
    <d v="2021-10-18T00:00:00"/>
    <x v="2"/>
    <x v="15"/>
    <n v="-38.280000000000086"/>
    <x v="0"/>
  </r>
  <r>
    <n v="113357"/>
    <s v="GLEIDSTON BANDEIRA DA SILVA"/>
    <s v="VARREDOR"/>
    <x v="4"/>
    <d v="2019-06-01T00:00:00"/>
    <x v="0"/>
    <x v="0"/>
    <n v="0"/>
    <x v="0"/>
  </r>
  <r>
    <n v="113367"/>
    <s v="GLEISON ALAN DOS SANTOS"/>
    <s v="COLETOR"/>
    <x v="2"/>
    <d v="2019-06-01T00:00:00"/>
    <x v="0"/>
    <x v="0"/>
    <n v="0"/>
    <x v="0"/>
  </r>
  <r>
    <n v="114547"/>
    <s v="GLEYSSON NASCIMENTO DOS SANTOS"/>
    <s v="VARREDOR"/>
    <x v="3"/>
    <d v="2019-12-18T00:00:00"/>
    <x v="13"/>
    <x v="0"/>
    <n v="229.70000000000005"/>
    <x v="0"/>
  </r>
  <r>
    <n v="113376"/>
    <s v="GRACIMAR MARIA PASSOS"/>
    <s v="VARREDOR"/>
    <x v="0"/>
    <d v="2019-06-01T00:00:00"/>
    <x v="0"/>
    <x v="0"/>
    <n v="0"/>
    <x v="0"/>
  </r>
  <r>
    <n v="114107"/>
    <s v="GUILHERME DA SILVA FIM"/>
    <s v="VARREDOR"/>
    <x v="0"/>
    <d v="2019-09-20T00:00:00"/>
    <x v="0"/>
    <x v="0"/>
    <n v="0"/>
    <x v="0"/>
  </r>
  <r>
    <n v="116316"/>
    <s v="GUILHERME MARINHO DOS SANTOS"/>
    <s v="AJUDANTE EQ SERVICOS DIVERSOS"/>
    <x v="5"/>
    <d v="2021-04-22T00:00:00"/>
    <x v="0"/>
    <x v="0"/>
    <n v="0"/>
    <x v="0"/>
  </r>
  <r>
    <n v="120357"/>
    <s v="GUILHERME PEREIRA MENDES"/>
    <s v="AJUDANTE EQ SERVICOS DIVERSOS"/>
    <x v="5"/>
    <d v="2022-09-16T00:00:00"/>
    <x v="0"/>
    <x v="0"/>
    <n v="0"/>
    <x v="0"/>
  </r>
  <r>
    <n v="116728"/>
    <s v="GUILHERME PIOVESAN CUSTODIO"/>
    <s v="AJUDANTE EQ SERVICOS DIVERSOS"/>
    <x v="1"/>
    <d v="2021-06-21T00:00:00"/>
    <x v="14"/>
    <x v="0"/>
    <n v="681.47"/>
    <x v="0"/>
  </r>
  <r>
    <n v="113391"/>
    <s v="GUSTAVO DIAS TOMAZ"/>
    <s v="VARREDOR"/>
    <x v="0"/>
    <d v="2019-06-01T00:00:00"/>
    <x v="0"/>
    <x v="0"/>
    <n v="0"/>
    <x v="0"/>
  </r>
  <r>
    <n v="117245"/>
    <s v="GUSTAVO DO NASCIMENTO BATISTA"/>
    <s v="AJUDANTE EQ SERVICOS DIVERSOS"/>
    <x v="2"/>
    <d v="2021-10-18T00:00:00"/>
    <x v="0"/>
    <x v="0"/>
    <n v="0"/>
    <x v="0"/>
  </r>
  <r>
    <n v="113394"/>
    <s v="GUSTAVO OLIVEIRA SOUZA"/>
    <s v="BUEIRISTA"/>
    <x v="3"/>
    <d v="2019-06-01T00:00:00"/>
    <x v="0"/>
    <x v="0"/>
    <n v="0"/>
    <x v="0"/>
  </r>
  <r>
    <n v="121024"/>
    <s v="GUSTAVO RODRIGUES DOS SANTOS"/>
    <s v="VARREDOR"/>
    <x v="0"/>
    <d v="2022-12-05T00:00:00"/>
    <x v="0"/>
    <x v="0"/>
    <n v="0"/>
    <x v="0"/>
  </r>
  <r>
    <n v="116652"/>
    <s v="GUSTAVO VALZACHI BENATTI"/>
    <s v="GERENTE OPERACIONAL"/>
    <x v="7"/>
    <d v="2021-06-23T00:00:00"/>
    <x v="0"/>
    <x v="0"/>
    <n v="0"/>
    <x v="0"/>
  </r>
  <r>
    <n v="113405"/>
    <s v="HELCIO SOARES SARAIVA"/>
    <s v="VARREDOR"/>
    <x v="3"/>
    <d v="2019-06-01T00:00:00"/>
    <x v="0"/>
    <x v="0"/>
    <n v="0"/>
    <x v="0"/>
  </r>
  <r>
    <n v="113413"/>
    <s v="HELIO ALVES DE OLIVEIRA"/>
    <s v="VARREDOR"/>
    <x v="1"/>
    <d v="2019-06-01T00:00:00"/>
    <x v="0"/>
    <x v="0"/>
    <n v="0"/>
    <x v="0"/>
  </r>
  <r>
    <n v="114948"/>
    <s v="HELIO CORDEIRO LUCIO"/>
    <s v="MOTORISTA CAMINHAO"/>
    <x v="2"/>
    <d v="2020-03-26T00:00:00"/>
    <x v="0"/>
    <x v="0"/>
    <n v="0"/>
    <x v="0"/>
  </r>
  <r>
    <n v="113418"/>
    <s v="HELIO DE OLIVEIRA"/>
    <s v="VARREDOR"/>
    <x v="3"/>
    <d v="2019-06-01T00:00:00"/>
    <x v="0"/>
    <x v="0"/>
    <n v="0"/>
    <x v="0"/>
  </r>
  <r>
    <n v="113421"/>
    <s v="HELIO FRANCISCO DE OLIVEIRA"/>
    <s v="MOTORISTA CAMINHAO"/>
    <x v="2"/>
    <d v="2019-06-01T00:00:00"/>
    <x v="0"/>
    <x v="0"/>
    <n v="0"/>
    <x v="0"/>
  </r>
  <r>
    <n v="113433"/>
    <s v="HENRIQUE BARBOSA DE SOUSA CORDEIRO"/>
    <s v="FISCAL DE TRAFEGO PLENO"/>
    <x v="2"/>
    <d v="2019-06-01T00:00:00"/>
    <x v="0"/>
    <x v="0"/>
    <n v="0"/>
    <x v="0"/>
  </r>
  <r>
    <n v="113441"/>
    <s v="HENRIQUE DOS SANTOS LANA"/>
    <s v="MOTORISTA CAMINHAO"/>
    <x v="2"/>
    <d v="2019-06-01T00:00:00"/>
    <x v="0"/>
    <x v="0"/>
    <n v="0"/>
    <x v="0"/>
  </r>
  <r>
    <n v="116238"/>
    <s v="HENRIQUE LISBOA DA SILVA"/>
    <s v="VARREDOR"/>
    <x v="3"/>
    <d v="2021-03-18T00:00:00"/>
    <x v="0"/>
    <x v="0"/>
    <n v="0"/>
    <x v="0"/>
  </r>
  <r>
    <n v="113455"/>
    <s v="HERCULANO CONCEICAO DE ARAUJO"/>
    <s v="AJUDANTE EQ SERVICOS DIVERSOS"/>
    <x v="3"/>
    <d v="2019-06-01T00:00:00"/>
    <x v="0"/>
    <x v="0"/>
    <n v="0"/>
    <x v="0"/>
  </r>
  <r>
    <n v="113459"/>
    <s v="HIGOR SABINO"/>
    <s v="AJUDANTE EQ SERVICOS DIVERSOS"/>
    <x v="4"/>
    <d v="2019-06-01T00:00:00"/>
    <x v="0"/>
    <x v="0"/>
    <n v="0"/>
    <x v="0"/>
  </r>
  <r>
    <n v="113464"/>
    <s v="HUGO CESAR CANUTO"/>
    <s v="BUEIRISTA"/>
    <x v="5"/>
    <d v="2019-06-01T00:00:00"/>
    <x v="0"/>
    <x v="0"/>
    <n v="0"/>
    <x v="0"/>
  </r>
  <r>
    <n v="122425"/>
    <s v="HUGO VINICIUS DOS SANTOS"/>
    <s v="AJUDANTE EQ SERVICOS DIVERSOS"/>
    <x v="2"/>
    <d v="2023-07-10T00:00:00"/>
    <x v="0"/>
    <x v="0"/>
    <n v="0"/>
    <x v="0"/>
  </r>
  <r>
    <n v="114990"/>
    <s v="HUMBERTO CARLOS DA SILVA"/>
    <s v="MOTORISTA CAMINHAO"/>
    <x v="2"/>
    <d v="2020-03-28T00:00:00"/>
    <x v="0"/>
    <x v="2"/>
    <n v="-1016.96"/>
    <x v="2"/>
  </r>
  <r>
    <n v="113471"/>
    <s v="HUMBERTO JOSE DA SILVA"/>
    <s v="AJUDANTE EQ SERVICOS DIVERSOS"/>
    <x v="5"/>
    <d v="2019-06-01T00:00:00"/>
    <x v="0"/>
    <x v="0"/>
    <n v="0"/>
    <x v="0"/>
  </r>
  <r>
    <n v="120191"/>
    <s v="HUMBERTO RAIMUNDO DE JESUS"/>
    <s v="MOTORISTA CAMINHAO"/>
    <x v="2"/>
    <d v="2022-08-18T00:00:00"/>
    <x v="0"/>
    <x v="5"/>
    <n v="-38.289999999999964"/>
    <x v="0"/>
  </r>
  <r>
    <n v="121950"/>
    <s v="IAGO ALVES DA SILVA"/>
    <s v="MENOR/JOVEM APRENDIZ"/>
    <x v="6"/>
    <d v="2023-04-24T00:00:00"/>
    <x v="3"/>
    <x v="4"/>
    <n v="0"/>
    <x v="0"/>
  </r>
  <r>
    <n v="121322"/>
    <s v="IAGO HENRIQUE PEREIRA OLIVEIRA"/>
    <s v="AJUDANTE EQ SERVICOS DIVERSOS"/>
    <x v="2"/>
    <d v="2023-01-19T00:00:00"/>
    <x v="2"/>
    <x v="0"/>
    <n v="38.289999999999964"/>
    <x v="0"/>
  </r>
  <r>
    <n v="119113"/>
    <s v="IDAEL LOPES RODRIGUES"/>
    <s v="AJUDANTE EQ SERVICOS DIVERSOS"/>
    <x v="2"/>
    <d v="2022-03-10T00:00:00"/>
    <x v="0"/>
    <x v="0"/>
    <n v="0"/>
    <x v="3"/>
  </r>
  <r>
    <n v="113474"/>
    <s v="IDENILSON PAURA RIBEIRO"/>
    <s v="AJUDANTE EQ SERVICOS DIVERSOS"/>
    <x v="3"/>
    <d v="2019-06-01T00:00:00"/>
    <x v="0"/>
    <x v="0"/>
    <n v="0"/>
    <x v="0"/>
  </r>
  <r>
    <n v="121323"/>
    <s v="IGOR RENATO SOARES MARTINS"/>
    <s v="AJUDANTE EQ SERVICOS DIVERSOS"/>
    <x v="2"/>
    <d v="2023-01-19T00:00:00"/>
    <x v="0"/>
    <x v="0"/>
    <n v="0"/>
    <x v="0"/>
  </r>
  <r>
    <n v="113478"/>
    <s v="IGOR SANTOS PALMEIRA"/>
    <s v="OPERADOR DE PA CARREGADEIRA"/>
    <x v="2"/>
    <d v="2019-06-01T00:00:00"/>
    <x v="0"/>
    <x v="0"/>
    <n v="0"/>
    <x v="0"/>
  </r>
  <r>
    <n v="114942"/>
    <s v="IGOR SANTOS SILVA"/>
    <s v="COLETOR"/>
    <x v="2"/>
    <d v="2020-03-26T00:00:00"/>
    <x v="0"/>
    <x v="0"/>
    <n v="0"/>
    <x v="0"/>
  </r>
  <r>
    <n v="113480"/>
    <s v="ILDETE ARAUJO COELHO"/>
    <s v="VARREDOR"/>
    <x v="5"/>
    <d v="2019-06-01T00:00:00"/>
    <x v="0"/>
    <x v="0"/>
    <n v="0"/>
    <x v="0"/>
  </r>
  <r>
    <n v="114944"/>
    <s v="ILSON ROBERTO FONSECA"/>
    <s v="AJUDANTE EQ SERVICOS DIVERSOS"/>
    <x v="2"/>
    <d v="2020-03-26T00:00:00"/>
    <x v="0"/>
    <x v="0"/>
    <n v="0"/>
    <x v="0"/>
  </r>
  <r>
    <n v="117234"/>
    <s v="IOLANDA MARIA DA SILVA"/>
    <s v="AJUDANTE EQ SERVICOS DIVERSOS"/>
    <x v="3"/>
    <d v="2021-10-18T00:00:00"/>
    <x v="0"/>
    <x v="0"/>
    <n v="0"/>
    <x v="0"/>
  </r>
  <r>
    <n v="113486"/>
    <s v="IRAM MOREIRA DOS SANTOS"/>
    <s v="MOTORISTA CAMINHAO"/>
    <x v="2"/>
    <d v="2019-06-01T00:00:00"/>
    <x v="0"/>
    <x v="2"/>
    <n v="-1016.96"/>
    <x v="2"/>
  </r>
  <r>
    <n v="121677"/>
    <s v="IRANILDO DOS SANTOS"/>
    <s v="AJUDANTE EQ SERVICOS DIVERSOS"/>
    <x v="1"/>
    <d v="2023-03-09T00:00:00"/>
    <x v="0"/>
    <x v="0"/>
    <n v="0"/>
    <x v="0"/>
  </r>
  <r>
    <n v="113489"/>
    <s v="IRINEU DE LIMA ASSUMPCAO"/>
    <s v="VARREDOR"/>
    <x v="0"/>
    <d v="2019-06-01T00:00:00"/>
    <x v="0"/>
    <x v="0"/>
    <n v="0"/>
    <x v="0"/>
  </r>
  <r>
    <n v="113499"/>
    <s v="IRISMAR BARBOSA SILVA"/>
    <s v="VARREDOR"/>
    <x v="1"/>
    <d v="2019-06-01T00:00:00"/>
    <x v="0"/>
    <x v="0"/>
    <n v="0"/>
    <x v="0"/>
  </r>
  <r>
    <n v="113505"/>
    <s v="ISAIA DE ANDRADE CRUZ DUARTE"/>
    <s v="VARREDOR"/>
    <x v="1"/>
    <d v="2019-06-01T00:00:00"/>
    <x v="0"/>
    <x v="0"/>
    <n v="0"/>
    <x v="0"/>
  </r>
  <r>
    <n v="116229"/>
    <s v="ISAQUE DE LIMA"/>
    <s v="AJUDANTE EQ SERVICOS DIVERSOS"/>
    <x v="3"/>
    <d v="2021-03-18T00:00:00"/>
    <x v="0"/>
    <x v="0"/>
    <n v="0"/>
    <x v="0"/>
  </r>
  <r>
    <n v="113519"/>
    <s v="ISAQUIEL OLIMPIO BERNARDO"/>
    <s v="BUEIRISTA"/>
    <x v="1"/>
    <d v="2019-06-01T00:00:00"/>
    <x v="0"/>
    <x v="0"/>
    <n v="0"/>
    <x v="0"/>
  </r>
  <r>
    <n v="112529"/>
    <s v="ISRAEL DANTAS DOS SANTOS"/>
    <s v="VARREDOR"/>
    <x v="3"/>
    <d v="2019-06-01T00:00:00"/>
    <x v="0"/>
    <x v="0"/>
    <n v="0"/>
    <x v="0"/>
  </r>
  <r>
    <n v="114963"/>
    <s v="ISRAEL DO NASCIMENTO SILVA"/>
    <s v="AJUDANTE EQ SERVICOS DIVERSOS"/>
    <x v="2"/>
    <d v="2020-03-27T00:00:00"/>
    <x v="0"/>
    <x v="0"/>
    <n v="0"/>
    <x v="0"/>
  </r>
  <r>
    <n v="122559"/>
    <s v="ISRAEL MARTINS DA SILVA"/>
    <s v="AJUDANTE EQ SERVICOS DIVERSOS"/>
    <x v="4"/>
    <d v="2023-07-24T00:00:00"/>
    <x v="0"/>
    <x v="0"/>
    <n v="0"/>
    <x v="0"/>
  </r>
  <r>
    <n v="121689"/>
    <s v="ITALO FERNANDO SILVA COSTA"/>
    <s v="AJUDANTE EQ SERVICOS DIVERSOS"/>
    <x v="4"/>
    <d v="2023-03-09T00:00:00"/>
    <x v="0"/>
    <x v="15"/>
    <n v="-76.57000000000005"/>
    <x v="0"/>
  </r>
  <r>
    <n v="121330"/>
    <s v="ITAMAR DOS SANTOS COSTA"/>
    <s v="VARREDOR"/>
    <x v="3"/>
    <d v="2023-01-19T00:00:00"/>
    <x v="0"/>
    <x v="0"/>
    <n v="0"/>
    <x v="0"/>
  </r>
  <r>
    <n v="112531"/>
    <s v="ITAMAR INACIO DA SILVA"/>
    <s v="VARREDOR"/>
    <x v="4"/>
    <d v="2019-06-01T00:00:00"/>
    <x v="0"/>
    <x v="0"/>
    <n v="0"/>
    <x v="0"/>
  </r>
  <r>
    <n v="113426"/>
    <s v="ITAMAR NOVAIS SANTOS"/>
    <s v="VARREDOR"/>
    <x v="1"/>
    <d v="2019-06-01T00:00:00"/>
    <x v="0"/>
    <x v="0"/>
    <n v="0"/>
    <x v="0"/>
  </r>
  <r>
    <n v="113050"/>
    <s v="IVAN SANTOS BALBINO DA SILVA"/>
    <s v="VARREDOR"/>
    <x v="0"/>
    <d v="2019-06-01T00:00:00"/>
    <x v="0"/>
    <x v="0"/>
    <n v="0"/>
    <x v="0"/>
  </r>
  <r>
    <n v="113093"/>
    <s v="IVANILDO ALEXANDRE DOS SANTOS"/>
    <s v="AJUDANTE EQ SERVICOS DIVERSOS"/>
    <x v="1"/>
    <d v="2019-06-01T00:00:00"/>
    <x v="0"/>
    <x v="0"/>
    <n v="0"/>
    <x v="0"/>
  </r>
  <r>
    <n v="113094"/>
    <s v="IVANILDO DA SILVA LEITE"/>
    <s v="AJUDANTE EQ SERVICOS DIVERSOS"/>
    <x v="2"/>
    <d v="2019-06-01T00:00:00"/>
    <x v="0"/>
    <x v="0"/>
    <n v="0"/>
    <x v="0"/>
  </r>
  <r>
    <n v="112178"/>
    <s v="IVANILDO JOSE DE FREITAS"/>
    <s v="AJUDANTE EQ SERVICOS DIVERSOS"/>
    <x v="5"/>
    <d v="2019-06-01T00:00:00"/>
    <x v="0"/>
    <x v="0"/>
    <n v="0"/>
    <x v="0"/>
  </r>
  <r>
    <n v="113098"/>
    <s v="IVANILDO PASSOS DOS SANTOS"/>
    <s v="COLETOR"/>
    <x v="2"/>
    <d v="2019-06-01T00:00:00"/>
    <x v="0"/>
    <x v="0"/>
    <n v="0"/>
    <x v="3"/>
  </r>
  <r>
    <n v="116236"/>
    <s v="IVANILDO SANTOS NOVAIS"/>
    <s v="VARREDOR"/>
    <x v="3"/>
    <d v="2021-03-18T00:00:00"/>
    <x v="0"/>
    <x v="0"/>
    <n v="0"/>
    <x v="0"/>
  </r>
  <r>
    <n v="113072"/>
    <s v="IVO FERREIRA DE AZEVEDO"/>
    <s v="AJUDANTE EQ SERVICOS DIVERSOS"/>
    <x v="1"/>
    <d v="2019-06-01T00:00:00"/>
    <x v="0"/>
    <x v="0"/>
    <n v="0"/>
    <x v="0"/>
  </r>
  <r>
    <n v="112774"/>
    <s v="IZAIAS MOREIRA DA COSTA"/>
    <s v="VARREDOR"/>
    <x v="3"/>
    <d v="2019-06-01T00:00:00"/>
    <x v="0"/>
    <x v="0"/>
    <n v="0"/>
    <x v="0"/>
  </r>
  <r>
    <n v="113164"/>
    <s v="IZAIAS RODRIGUES MIRANDA"/>
    <s v="COLETOR"/>
    <x v="2"/>
    <d v="2019-06-01T00:00:00"/>
    <x v="0"/>
    <x v="0"/>
    <n v="0"/>
    <x v="0"/>
  </r>
  <r>
    <n v="112967"/>
    <s v="IZAIAS VIEIRA COSTA"/>
    <s v="AJUDANTE EQ SERVICOS DIVERSOS"/>
    <x v="4"/>
    <d v="2019-06-01T00:00:00"/>
    <x v="0"/>
    <x v="0"/>
    <n v="0"/>
    <x v="3"/>
  </r>
  <r>
    <n v="121953"/>
    <s v="IZAQUE JUSTINO CANDIDO"/>
    <s v="AJUDANTE EQ SERVICOS DIVERSOS"/>
    <x v="1"/>
    <d v="2023-04-24T00:00:00"/>
    <x v="0"/>
    <x v="0"/>
    <n v="0"/>
    <x v="0"/>
  </r>
  <r>
    <n v="116010"/>
    <s v="JACIRA DA SILVA ALBANO"/>
    <s v="AJUDANTE EQ SERVICOS DIVERSOS"/>
    <x v="1"/>
    <d v="2021-01-11T00:00:00"/>
    <x v="0"/>
    <x v="0"/>
    <n v="0"/>
    <x v="0"/>
  </r>
  <r>
    <n v="121414"/>
    <s v="JACKSON GAMA DIAS"/>
    <s v="AJUDANTE EQ SERVICOS DIVERSOS"/>
    <x v="0"/>
    <d v="2023-02-10T00:00:00"/>
    <x v="0"/>
    <x v="0"/>
    <n v="0"/>
    <x v="0"/>
  </r>
  <r>
    <n v="113406"/>
    <s v="JACKSON PIRES NASCIMENTO"/>
    <s v="VARREDOR"/>
    <x v="1"/>
    <d v="2019-06-01T00:00:00"/>
    <x v="0"/>
    <x v="0"/>
    <n v="0"/>
    <x v="0"/>
  </r>
  <r>
    <n v="118059"/>
    <s v="JACKSON WENDELL FIRMINO DE ARAUJO"/>
    <s v="AJUDANTE EQ SERVICOS DIVERSOS"/>
    <x v="1"/>
    <d v="2022-01-06T00:00:00"/>
    <x v="2"/>
    <x v="5"/>
    <n v="0"/>
    <x v="0"/>
  </r>
  <r>
    <n v="113599"/>
    <s v="JACO LAURIANO DA SILVA"/>
    <s v="MOTORISTA CAMINHAO"/>
    <x v="2"/>
    <d v="2019-06-01T00:00:00"/>
    <x v="0"/>
    <x v="0"/>
    <n v="0"/>
    <x v="0"/>
  </r>
  <r>
    <n v="117409"/>
    <s v="JACSON VALENTIM"/>
    <s v="VARREDOR"/>
    <x v="1"/>
    <d v="2021-11-22T00:00:00"/>
    <x v="0"/>
    <x v="0"/>
    <n v="0"/>
    <x v="0"/>
  </r>
  <r>
    <n v="122835"/>
    <s v="JAILSON AMANCIO DA SILVA"/>
    <s v="AJUDANTE EQ SERVICOS DIVERSOS"/>
    <x v="4"/>
    <d v="2023-09-11T00:00:00"/>
    <x v="5"/>
    <x v="0"/>
    <n v="1016.96"/>
    <x v="4"/>
  </r>
  <r>
    <n v="113132"/>
    <s v="JAILSON CONCEICAO DOS SANTOS"/>
    <s v="COLETOR"/>
    <x v="2"/>
    <d v="2019-06-01T00:00:00"/>
    <x v="0"/>
    <x v="0"/>
    <n v="0"/>
    <x v="0"/>
  </r>
  <r>
    <n v="112957"/>
    <s v="JAILTON DA SILVA AMARAL NASCIMENTO"/>
    <s v="MOTORISTA CAMINHAO"/>
    <x v="2"/>
    <d v="2019-06-01T00:00:00"/>
    <x v="0"/>
    <x v="0"/>
    <n v="0"/>
    <x v="0"/>
  </r>
  <r>
    <n v="112226"/>
    <s v="JAILTON DE AZEVEDO SILVA"/>
    <s v="VARREDOR"/>
    <x v="5"/>
    <d v="2019-06-01T00:00:00"/>
    <x v="0"/>
    <x v="0"/>
    <n v="0"/>
    <x v="3"/>
  </r>
  <r>
    <n v="113166"/>
    <s v="JAIME MENDES DOS SANTOS"/>
    <s v="COLETOR"/>
    <x v="2"/>
    <d v="2019-06-01T00:00:00"/>
    <x v="0"/>
    <x v="0"/>
    <n v="0"/>
    <x v="0"/>
  </r>
  <r>
    <n v="112789"/>
    <s v="JAIR LUIZ DOS SANTOS"/>
    <s v="VARREDOR"/>
    <x v="3"/>
    <d v="2019-06-01T00:00:00"/>
    <x v="0"/>
    <x v="0"/>
    <n v="0"/>
    <x v="0"/>
  </r>
  <r>
    <n v="113410"/>
    <s v="JAIR SOARES DE OLIVEIRA"/>
    <s v="VARREDOR"/>
    <x v="1"/>
    <d v="2019-06-01T00:00:00"/>
    <x v="0"/>
    <x v="0"/>
    <n v="0"/>
    <x v="0"/>
  </r>
  <r>
    <n v="114800"/>
    <s v="JAIR VIEIRA DA COSTA"/>
    <s v="MOTORISTA CAMINHAO"/>
    <x v="2"/>
    <d v="2020-02-19T00:00:00"/>
    <x v="0"/>
    <x v="0"/>
    <n v="0"/>
    <x v="0"/>
  </r>
  <r>
    <n v="115008"/>
    <s v="JAMES RODRIGUES DA SILVA"/>
    <s v="AJUDANTE EQ SERVICOS DIVERSOS"/>
    <x v="1"/>
    <d v="2020-04-09T00:00:00"/>
    <x v="0"/>
    <x v="0"/>
    <n v="0"/>
    <x v="0"/>
  </r>
  <r>
    <n v="114263"/>
    <s v="JANAUCI LUIZ DOS SANTOS"/>
    <s v="VARREDOR"/>
    <x v="0"/>
    <d v="2019-12-05T00:00:00"/>
    <x v="0"/>
    <x v="0"/>
    <n v="0"/>
    <x v="0"/>
  </r>
  <r>
    <n v="116002"/>
    <s v="JAQUELINE DE ANDRADE GARCIA"/>
    <s v="AJUDANTE EQ SERVICOS DIVERSOS"/>
    <x v="1"/>
    <d v="2021-01-11T00:00:00"/>
    <x v="0"/>
    <x v="0"/>
    <n v="0"/>
    <x v="0"/>
  </r>
  <r>
    <n v="121685"/>
    <s v="JARSON BENTES LUCENA DOS SANTOS"/>
    <s v="AJUDANTE EQ SERVICOS DIVERSOS"/>
    <x v="1"/>
    <d v="2023-03-09T00:00:00"/>
    <x v="0"/>
    <x v="0"/>
    <n v="0"/>
    <x v="0"/>
  </r>
  <r>
    <n v="113077"/>
    <s v="JEAN DE LIMA GOMES"/>
    <s v="AJUDANTE EQ SERVICOS DIVERSOS"/>
    <x v="1"/>
    <d v="2019-06-01T00:00:00"/>
    <x v="2"/>
    <x v="1"/>
    <n v="-619.21"/>
    <x v="1"/>
  </r>
  <r>
    <n v="113123"/>
    <s v="JEDSON DA SILVA SANTOS"/>
    <s v="MOTORISTA CAMINHAO"/>
    <x v="2"/>
    <d v="2019-06-01T00:00:00"/>
    <x v="0"/>
    <x v="0"/>
    <n v="0"/>
    <x v="3"/>
  </r>
  <r>
    <n v="121326"/>
    <s v="JEFERSON DE JESUS DA SILVA"/>
    <s v="AJUDANTE EQ SERVICOS DIVERSOS"/>
    <x v="4"/>
    <d v="2023-01-19T00:00:00"/>
    <x v="0"/>
    <x v="0"/>
    <n v="0"/>
    <x v="0"/>
  </r>
  <r>
    <n v="112513"/>
    <s v="JEFERSON JOSE ANDRADE DE SOUZA"/>
    <s v="FISCAL DE TURMA PLENO"/>
    <x v="3"/>
    <d v="2019-06-01T00:00:00"/>
    <x v="0"/>
    <x v="0"/>
    <n v="0"/>
    <x v="0"/>
  </r>
  <r>
    <n v="122439"/>
    <s v="JEFERSON XAVIER"/>
    <s v="AJUDANTE EQ SERVICOS DIVERSOS"/>
    <x v="2"/>
    <d v="2023-07-10T00:00:00"/>
    <x v="0"/>
    <x v="0"/>
    <n v="0"/>
    <x v="0"/>
  </r>
  <r>
    <n v="121321"/>
    <s v="JEFFERSON DA SILVA"/>
    <s v="VARREDOR"/>
    <x v="0"/>
    <d v="2023-01-19T00:00:00"/>
    <x v="0"/>
    <x v="0"/>
    <n v="0"/>
    <x v="0"/>
  </r>
  <r>
    <n v="112218"/>
    <s v="JEFFERSON DE LIMA SILVA"/>
    <s v="AJUDANTE EQ SERVICOS DIVERSOS"/>
    <x v="1"/>
    <d v="2019-06-01T00:00:00"/>
    <x v="0"/>
    <x v="0"/>
    <n v="0"/>
    <x v="0"/>
  </r>
  <r>
    <n v="112451"/>
    <s v="JEFFERSON SANTOS FERRAZ"/>
    <s v="AJUDANTE EQ SERVICOS DIVERSOS"/>
    <x v="3"/>
    <d v="2019-06-01T00:00:00"/>
    <x v="2"/>
    <x v="0"/>
    <n v="38.289999999999964"/>
    <x v="0"/>
  </r>
  <r>
    <n v="113303"/>
    <s v="JEFFERSON SILVA ROSA"/>
    <s v="COLETOR"/>
    <x v="2"/>
    <d v="2019-06-01T00:00:00"/>
    <x v="0"/>
    <x v="0"/>
    <n v="0"/>
    <x v="0"/>
  </r>
  <r>
    <n v="113080"/>
    <s v="JEFISON COSTA DE OLIVEIRA"/>
    <s v="COLETOR"/>
    <x v="2"/>
    <d v="2019-06-01T00:00:00"/>
    <x v="0"/>
    <x v="0"/>
    <n v="0"/>
    <x v="0"/>
  </r>
  <r>
    <n v="122575"/>
    <s v="JEMIMA JOSEPH LOUIS"/>
    <s v="AJUDANTE EQ SERVICOS DIVERSOS"/>
    <x v="3"/>
    <d v="2023-07-24T00:00:00"/>
    <x v="0"/>
    <x v="0"/>
    <n v="0"/>
    <x v="0"/>
  </r>
  <r>
    <n v="113602"/>
    <s v="JEOVA SULPINO COSTA"/>
    <s v="MOTORISTA CAMINHAO"/>
    <x v="2"/>
    <d v="2019-06-01T00:00:00"/>
    <x v="0"/>
    <x v="0"/>
    <n v="0"/>
    <x v="0"/>
  </r>
  <r>
    <n v="113432"/>
    <s v="JERONIMO LEITE DOS SANTOS"/>
    <s v="VARREDOR"/>
    <x v="1"/>
    <d v="2019-06-01T00:00:00"/>
    <x v="0"/>
    <x v="0"/>
    <n v="0"/>
    <x v="0"/>
  </r>
  <r>
    <n v="112303"/>
    <s v="JESUS FERREIRA DE CARVALHO"/>
    <s v="VARREDOR"/>
    <x v="5"/>
    <d v="2019-06-01T00:00:00"/>
    <x v="2"/>
    <x v="5"/>
    <n v="0"/>
    <x v="0"/>
  </r>
  <r>
    <n v="113081"/>
    <s v="JHONATAN DE LIMA GOMES"/>
    <s v="AJUDANTE EQ SERVICOS DIVERSOS"/>
    <x v="1"/>
    <d v="2019-06-01T00:00:00"/>
    <x v="0"/>
    <x v="5"/>
    <n v="-38.289999999999964"/>
    <x v="0"/>
  </r>
  <r>
    <n v="114925"/>
    <s v="JHONATAN SILVIO RODRIGUES"/>
    <s v="AUXILIAR DE CHECK LIST"/>
    <x v="2"/>
    <d v="2020-03-26T00:00:00"/>
    <x v="0"/>
    <x v="0"/>
    <n v="0"/>
    <x v="0"/>
  </r>
  <r>
    <n v="112338"/>
    <s v="JHONY ROCHA DE LIMA"/>
    <s v="AJUDANTE EQ SERVICOS DIVERSOS"/>
    <x v="3"/>
    <d v="2019-06-01T00:00:00"/>
    <x v="0"/>
    <x v="0"/>
    <n v="0"/>
    <x v="0"/>
  </r>
  <r>
    <n v="113370"/>
    <s v="JO ROSA RODRIGUES"/>
    <s v="VARREDOR"/>
    <x v="1"/>
    <d v="2019-06-01T00:00:00"/>
    <x v="0"/>
    <x v="0"/>
    <n v="0"/>
    <x v="3"/>
  </r>
  <r>
    <n v="113120"/>
    <s v="JOALDO ALVES DOS ANJOS"/>
    <s v="BUEIRISTA"/>
    <x v="5"/>
    <d v="2019-06-01T00:00:00"/>
    <x v="0"/>
    <x v="0"/>
    <n v="0"/>
    <x v="0"/>
  </r>
  <r>
    <n v="112909"/>
    <s v="JOAN NUNES GOMES"/>
    <s v="VARREDOR"/>
    <x v="3"/>
    <d v="2019-06-01T00:00:00"/>
    <x v="0"/>
    <x v="0"/>
    <n v="0"/>
    <x v="0"/>
  </r>
  <r>
    <n v="112204"/>
    <s v="JOANA MORAIS OLIVEIRA"/>
    <s v="AJUDANTE EQ SERVICOS DIVERSOS"/>
    <x v="5"/>
    <d v="2019-06-01T00:00:00"/>
    <x v="0"/>
    <x v="0"/>
    <n v="0"/>
    <x v="3"/>
  </r>
  <r>
    <n v="113715"/>
    <s v="JOAO ANDRE GALVAO"/>
    <s v="PEDREIRO PLENO"/>
    <x v="2"/>
    <d v="2019-06-03T00:00:00"/>
    <x v="0"/>
    <x v="0"/>
    <n v="0"/>
    <x v="0"/>
  </r>
  <r>
    <n v="112232"/>
    <s v="JOAO BATISTA DA SILVA"/>
    <s v="VARREDOR"/>
    <x v="5"/>
    <d v="2019-06-01T00:00:00"/>
    <x v="0"/>
    <x v="0"/>
    <n v="0"/>
    <x v="0"/>
  </r>
  <r>
    <n v="113021"/>
    <s v="JOAO BATISTA DA SILVA"/>
    <s v="VARREDOR"/>
    <x v="0"/>
    <d v="2019-06-04T00:00:00"/>
    <x v="0"/>
    <x v="0"/>
    <n v="0"/>
    <x v="0"/>
  </r>
  <r>
    <n v="113373"/>
    <s v="JOAO BATISTA DA SILVA"/>
    <s v="VARREDOR"/>
    <x v="1"/>
    <d v="2019-06-01T00:00:00"/>
    <x v="0"/>
    <x v="0"/>
    <n v="0"/>
    <x v="0"/>
  </r>
  <r>
    <n v="113420"/>
    <s v="JOAO BATISTA DA SILVA"/>
    <s v="VARREDOR"/>
    <x v="1"/>
    <d v="2019-06-01T00:00:00"/>
    <x v="0"/>
    <x v="0"/>
    <n v="0"/>
    <x v="0"/>
  </r>
  <r>
    <n v="112917"/>
    <s v="JOAO BATISTA DE SOUZA"/>
    <s v="VARREDOR"/>
    <x v="3"/>
    <d v="2019-06-01T00:00:00"/>
    <x v="0"/>
    <x v="0"/>
    <n v="0"/>
    <x v="0"/>
  </r>
  <r>
    <n v="112341"/>
    <s v="JOAO BATISTA DOS SANTOS"/>
    <s v="AJUDANTE EQ SERVICOS DIVERSOS"/>
    <x v="3"/>
    <d v="2019-06-01T00:00:00"/>
    <x v="0"/>
    <x v="0"/>
    <n v="0"/>
    <x v="3"/>
  </r>
  <r>
    <n v="112236"/>
    <s v="JOAO CARLOS ARAUJO DA SILVA"/>
    <s v="VARREDOR"/>
    <x v="0"/>
    <d v="2019-06-01T00:00:00"/>
    <x v="0"/>
    <x v="0"/>
    <n v="0"/>
    <x v="0"/>
  </r>
  <r>
    <n v="112991"/>
    <s v="JOAO CARLOS MARCONDES DE BRITO"/>
    <s v="FISCAL DE TURMA PLENO"/>
    <x v="0"/>
    <d v="2019-06-01T00:00:00"/>
    <x v="0"/>
    <x v="0"/>
    <n v="0"/>
    <x v="0"/>
  </r>
  <r>
    <n v="113422"/>
    <s v="JOAO DA COSTA MOREIRA"/>
    <s v="VARREDOR"/>
    <x v="1"/>
    <d v="2019-06-01T00:00:00"/>
    <x v="0"/>
    <x v="0"/>
    <n v="0"/>
    <x v="0"/>
  </r>
  <r>
    <n v="113375"/>
    <s v="JOAO DA COSTA NUNES"/>
    <s v="VARREDOR"/>
    <x v="1"/>
    <d v="2019-06-01T00:00:00"/>
    <x v="0"/>
    <x v="0"/>
    <n v="0"/>
    <x v="0"/>
  </r>
  <r>
    <n v="112346"/>
    <s v="JOAO DOMINGOS DA SILVA FILHO"/>
    <s v="AJUDANTE EQ SERVICOS DIVERSOS"/>
    <x v="3"/>
    <d v="2019-06-01T00:00:00"/>
    <x v="0"/>
    <x v="0"/>
    <n v="0"/>
    <x v="0"/>
  </r>
  <r>
    <n v="112208"/>
    <s v="JOAO EVANGELISTA VIERA DO NASCIMENTO"/>
    <s v="AJUDANTE EQ SERVICOS DIVERSOS"/>
    <x v="5"/>
    <d v="2019-06-01T00:00:00"/>
    <x v="0"/>
    <x v="0"/>
    <n v="0"/>
    <x v="3"/>
  </r>
  <r>
    <n v="114541"/>
    <s v="JOAO JOAQUIM DOS SANTOS FILHO"/>
    <s v="AJUDANTE EQ SERVICOS DIVERSOS"/>
    <x v="5"/>
    <d v="2019-12-18T00:00:00"/>
    <x v="2"/>
    <x v="0"/>
    <n v="38.289999999999964"/>
    <x v="0"/>
  </r>
  <r>
    <n v="112238"/>
    <s v="JOAO JOSE DA SILVA"/>
    <s v="VARREDOR"/>
    <x v="5"/>
    <d v="2019-06-01T00:00:00"/>
    <x v="0"/>
    <x v="0"/>
    <n v="0"/>
    <x v="0"/>
  </r>
  <r>
    <n v="112924"/>
    <s v="JOAO JUASSELE CUNHA ANDRADE"/>
    <s v="VARREDOR"/>
    <x v="3"/>
    <d v="2019-06-01T00:00:00"/>
    <x v="0"/>
    <x v="0"/>
    <n v="0"/>
    <x v="0"/>
  </r>
  <r>
    <n v="122251"/>
    <s v="JOAO LUIS STACHUK"/>
    <s v="AJUDANTE EQ SERVICOS DIVERSOS"/>
    <x v="3"/>
    <d v="2023-06-12T00:00:00"/>
    <x v="0"/>
    <x v="0"/>
    <n v="0"/>
    <x v="0"/>
  </r>
  <r>
    <n v="113363"/>
    <s v="JOAO MANOEL DA SILVA"/>
    <s v="VARREDOR"/>
    <x v="1"/>
    <d v="2019-06-01T00:00:00"/>
    <x v="0"/>
    <x v="0"/>
    <n v="0"/>
    <x v="0"/>
  </r>
  <r>
    <n v="112245"/>
    <s v="JOAO MARTINS DE SOBRAL"/>
    <s v="VARREDOR"/>
    <x v="5"/>
    <d v="2019-06-01T00:00:00"/>
    <x v="0"/>
    <x v="0"/>
    <n v="0"/>
    <x v="0"/>
  </r>
  <r>
    <n v="116654"/>
    <s v="JOAO PAULO SALES DE PAULA"/>
    <s v="GERENTE DE PLANEJAMENTO"/>
    <x v="7"/>
    <d v="2021-06-23T00:00:00"/>
    <x v="0"/>
    <x v="0"/>
    <n v="0"/>
    <x v="0"/>
  </r>
  <r>
    <n v="112349"/>
    <s v="JOAO PAULO VIEIRA"/>
    <s v="AJUDANTE EQ SERVICOS DIVERSOS"/>
    <x v="3"/>
    <d v="2019-06-01T00:00:00"/>
    <x v="0"/>
    <x v="0"/>
    <n v="0"/>
    <x v="0"/>
  </r>
  <r>
    <n v="112926"/>
    <s v="JOAO PEREIRA DE OLIVEIRA"/>
    <s v="VARREDOR"/>
    <x v="3"/>
    <d v="2019-06-01T00:00:00"/>
    <x v="0"/>
    <x v="0"/>
    <n v="0"/>
    <x v="0"/>
  </r>
  <r>
    <n v="122252"/>
    <s v="JOAO QUEIROZ DOS SANTOS"/>
    <s v="AJUDANTE EQ SERVICOS DIVERSOS"/>
    <x v="2"/>
    <d v="2023-06-12T00:00:00"/>
    <x v="0"/>
    <x v="0"/>
    <n v="0"/>
    <x v="0"/>
  </r>
  <r>
    <n v="112248"/>
    <s v="JOAO SEBASTIAO DA SILVA"/>
    <s v="VARREDOR"/>
    <x v="5"/>
    <d v="2019-06-01T00:00:00"/>
    <x v="0"/>
    <x v="0"/>
    <n v="0"/>
    <x v="0"/>
  </r>
  <r>
    <n v="113056"/>
    <s v="JOAO VICENTE NETO"/>
    <s v="VARREDOR"/>
    <x v="0"/>
    <d v="2019-06-01T00:00:00"/>
    <x v="0"/>
    <x v="0"/>
    <n v="0"/>
    <x v="0"/>
  </r>
  <r>
    <n v="112973"/>
    <s v="JOAO VICTOR DOS SANTOS SILVA"/>
    <s v="AJUDANTE EQ SERVICOS DIVERSOS"/>
    <x v="0"/>
    <d v="2019-06-01T00:00:00"/>
    <x v="0"/>
    <x v="0"/>
    <n v="0"/>
    <x v="0"/>
  </r>
  <r>
    <n v="117239"/>
    <s v="JOAO VITOR GOMES RIBEIRO"/>
    <s v="AJUDANTE EQ SERVICOS DIVERSOS"/>
    <x v="3"/>
    <d v="2021-10-18T00:00:00"/>
    <x v="0"/>
    <x v="0"/>
    <n v="0"/>
    <x v="0"/>
  </r>
  <r>
    <n v="112459"/>
    <s v="JOAQUIM BARBOSA FILHO"/>
    <s v="AUXILIAR DE SEGURANCA DO TRABALHO"/>
    <x v="2"/>
    <d v="2019-06-01T00:00:00"/>
    <x v="0"/>
    <x v="0"/>
    <n v="0"/>
    <x v="0"/>
  </r>
  <r>
    <n v="113377"/>
    <s v="JOAQUIM BATISTA DE OLIVEIRA"/>
    <s v="VARREDOR"/>
    <x v="1"/>
    <d v="2019-06-01T00:00:00"/>
    <x v="0"/>
    <x v="0"/>
    <n v="0"/>
    <x v="0"/>
  </r>
  <r>
    <n v="112307"/>
    <s v="JOAQUIM INACIO DE BRITO FILHO"/>
    <s v="VARREDOR"/>
    <x v="0"/>
    <d v="2019-06-01T00:00:00"/>
    <x v="0"/>
    <x v="0"/>
    <n v="0"/>
    <x v="0"/>
  </r>
  <r>
    <n v="112927"/>
    <s v="JOAQUIM SATIRO DE PAULO"/>
    <s v="VARREDOR"/>
    <x v="3"/>
    <d v="2019-06-01T00:00:00"/>
    <x v="0"/>
    <x v="0"/>
    <n v="0"/>
    <x v="0"/>
  </r>
  <r>
    <n v="112959"/>
    <s v="JOEL PEREIRA CRUZ FILHO"/>
    <s v="AJUDANTE EQ SERVICOS DIVERSOS"/>
    <x v="0"/>
    <d v="2019-06-01T00:00:00"/>
    <x v="0"/>
    <x v="0"/>
    <n v="0"/>
    <x v="0"/>
  </r>
  <r>
    <n v="112928"/>
    <s v="JOEL PEREIRA DO NASCIMENTO"/>
    <s v="VARREDOR"/>
    <x v="3"/>
    <d v="2019-06-01T00:00:00"/>
    <x v="0"/>
    <x v="0"/>
    <n v="0"/>
    <x v="0"/>
  </r>
  <r>
    <n v="114922"/>
    <s v="JOELIO DE OLIVEIRA NASCIMENTO"/>
    <s v="COLETOR"/>
    <x v="2"/>
    <d v="2020-03-26T00:00:00"/>
    <x v="0"/>
    <x v="0"/>
    <n v="0"/>
    <x v="0"/>
  </r>
  <r>
    <n v="112212"/>
    <s v="JOELMA MARIA DE SOUSA"/>
    <s v="AJUDANTE EQ SERVICOS DIVERSOS"/>
    <x v="5"/>
    <d v="2019-06-01T00:00:00"/>
    <x v="0"/>
    <x v="0"/>
    <n v="0"/>
    <x v="0"/>
  </r>
  <r>
    <n v="118058"/>
    <s v="JOELSON CAROLINO DOS SANTOS"/>
    <s v="AJUDANTE EQ SERVICOS DIVERSOS"/>
    <x v="1"/>
    <d v="2022-01-06T00:00:00"/>
    <x v="0"/>
    <x v="0"/>
    <n v="0"/>
    <x v="3"/>
  </r>
  <r>
    <n v="113082"/>
    <s v="JOHNATA MONTEIRO DOS SANTOS SOUZA"/>
    <s v="VARREDOR"/>
    <x v="1"/>
    <d v="2019-06-01T00:00:00"/>
    <x v="1"/>
    <x v="1"/>
    <n v="0"/>
    <x v="1"/>
  </r>
  <r>
    <n v="112465"/>
    <s v="JOHNATAN FELIPE MARQUES MOTA"/>
    <s v="VARREDOR"/>
    <x v="3"/>
    <d v="2019-06-01T00:00:00"/>
    <x v="0"/>
    <x v="0"/>
    <n v="0"/>
    <x v="0"/>
  </r>
  <r>
    <n v="113729"/>
    <s v="JOICE MARIA DO NASCIMENTO"/>
    <s v="FAXINEIRO(A)"/>
    <x v="2"/>
    <d v="2019-06-03T00:00:00"/>
    <x v="0"/>
    <x v="0"/>
    <n v="0"/>
    <x v="0"/>
  </r>
  <r>
    <n v="113645"/>
    <s v="JONAS FERREIRA DA SILVA"/>
    <s v="MOTORISTA CAMINHAO"/>
    <x v="2"/>
    <d v="2019-06-01T00:00:00"/>
    <x v="0"/>
    <x v="0"/>
    <n v="0"/>
    <x v="0"/>
  </r>
  <r>
    <n v="122826"/>
    <s v="JONAS PEREIRA RIBEIRO"/>
    <s v="AJUDANTE EQ SERVICOS DIVERSOS"/>
    <x v="4"/>
    <d v="2023-09-11T00:00:00"/>
    <x v="5"/>
    <x v="0"/>
    <n v="1016.96"/>
    <x v="4"/>
  </r>
  <r>
    <n v="113649"/>
    <s v="JONATAS BARBOSA DE OLIVEIRA"/>
    <s v="OPERADOR DE MAQUINA SENIOR"/>
    <x v="2"/>
    <d v="2019-06-01T00:00:00"/>
    <x v="0"/>
    <x v="0"/>
    <n v="0"/>
    <x v="3"/>
  </r>
  <r>
    <n v="119920"/>
    <s v="JONATAS MOREIRA LOPES DO AMARAL"/>
    <s v="MOTORISTA CAMINHAO"/>
    <x v="2"/>
    <d v="2022-07-18T00:00:00"/>
    <x v="0"/>
    <x v="0"/>
    <n v="0"/>
    <x v="0"/>
  </r>
  <r>
    <n v="113125"/>
    <s v="JORCIRLEI ROCHA DOS SANTOS"/>
    <s v="COLETOR"/>
    <x v="2"/>
    <d v="2019-06-01T00:00:00"/>
    <x v="0"/>
    <x v="0"/>
    <n v="0"/>
    <x v="0"/>
  </r>
  <r>
    <n v="113339"/>
    <s v="JORGE ANTONIO PEREIRA DOS REIS"/>
    <s v="MECANICO II"/>
    <x v="2"/>
    <d v="2019-06-01T00:00:00"/>
    <x v="0"/>
    <x v="0"/>
    <n v="0"/>
    <x v="0"/>
  </r>
  <r>
    <n v="112515"/>
    <s v="JORGE LUIZ LEITE OLIVEIRA"/>
    <s v="FISCAL DE TURMA PLENO"/>
    <x v="3"/>
    <d v="2019-06-01T00:00:00"/>
    <x v="0"/>
    <x v="0"/>
    <n v="0"/>
    <x v="0"/>
  </r>
  <r>
    <n v="122561"/>
    <s v="JORGE LUIZ LIMA DA COSTA"/>
    <s v="AJUDANTE EQ SERVICOS DIVERSOS"/>
    <x v="4"/>
    <d v="2023-07-24T00:00:00"/>
    <x v="0"/>
    <x v="0"/>
    <n v="0"/>
    <x v="0"/>
  </r>
  <r>
    <n v="113435"/>
    <s v="JORGE RUBENS MORENO SOARES"/>
    <s v="VARREDOR"/>
    <x v="1"/>
    <d v="2019-06-01T00:00:00"/>
    <x v="0"/>
    <x v="0"/>
    <n v="0"/>
    <x v="0"/>
  </r>
  <r>
    <n v="115408"/>
    <s v="JORNANDES JOSE BATISTA"/>
    <s v="AJUDANTE EQ SERVICOS DIVERSOS"/>
    <x v="3"/>
    <d v="2020-08-05T00:00:00"/>
    <x v="0"/>
    <x v="0"/>
    <n v="0"/>
    <x v="0"/>
  </r>
  <r>
    <n v="114744"/>
    <s v="JOSE ADALBERTO CORREIA"/>
    <s v="AJUDANTE EQ SERVICOS DIVERSOS"/>
    <x v="1"/>
    <d v="2020-02-13T00:00:00"/>
    <x v="0"/>
    <x v="0"/>
    <n v="0"/>
    <x v="0"/>
  </r>
  <r>
    <n v="112315"/>
    <s v="JOSE ADAO RODRIGUES"/>
    <s v="VARREDOR"/>
    <x v="0"/>
    <d v="2019-06-01T00:00:00"/>
    <x v="0"/>
    <x v="0"/>
    <n v="0"/>
    <x v="0"/>
  </r>
  <r>
    <n v="114493"/>
    <s v="JOSE ALBERTO DE CASTRO BESERRA"/>
    <s v="VARREDOR"/>
    <x v="1"/>
    <d v="2019-12-12T00:00:00"/>
    <x v="6"/>
    <x v="5"/>
    <n v="76.560000000000059"/>
    <x v="0"/>
  </r>
  <r>
    <n v="122080"/>
    <s v="JOSE ALBINO DE JESUS"/>
    <s v="AJUDANTE EQ SERVICOS DIVERSOS"/>
    <x v="3"/>
    <d v="2023-05-15T00:00:00"/>
    <x v="0"/>
    <x v="0"/>
    <n v="0"/>
    <x v="0"/>
  </r>
  <r>
    <n v="113381"/>
    <s v="JOSE ALUISIO DA SILVA"/>
    <s v="VARREDOR"/>
    <x v="1"/>
    <d v="2019-06-01T00:00:00"/>
    <x v="0"/>
    <x v="0"/>
    <n v="0"/>
    <x v="0"/>
  </r>
  <r>
    <n v="112252"/>
    <s v="JOSE ALVES DA SILVA"/>
    <s v="VARREDOR"/>
    <x v="5"/>
    <d v="2019-06-01T00:00:00"/>
    <x v="0"/>
    <x v="0"/>
    <n v="0"/>
    <x v="0"/>
  </r>
  <r>
    <n v="113036"/>
    <s v="JOSE ALVES DINIZ"/>
    <s v="VARREDOR"/>
    <x v="0"/>
    <d v="2019-06-01T00:00:00"/>
    <x v="0"/>
    <x v="0"/>
    <n v="0"/>
    <x v="0"/>
  </r>
  <r>
    <n v="113358"/>
    <s v="JOSE ANTONIO COSTA"/>
    <s v="VARREDOR"/>
    <x v="1"/>
    <d v="2019-06-01T00:00:00"/>
    <x v="0"/>
    <x v="0"/>
    <n v="0"/>
    <x v="0"/>
  </r>
  <r>
    <n v="113437"/>
    <s v="JOSE ANTONIO DA SILVA"/>
    <s v="VARREDOR"/>
    <x v="1"/>
    <d v="2019-06-01T00:00:00"/>
    <x v="0"/>
    <x v="0"/>
    <n v="0"/>
    <x v="0"/>
  </r>
  <r>
    <n v="113614"/>
    <s v="JOSE ANTONIO DA SILVA"/>
    <s v="MOTORISTA CAMINHAO"/>
    <x v="2"/>
    <d v="2019-06-01T00:00:00"/>
    <x v="0"/>
    <x v="0"/>
    <n v="0"/>
    <x v="0"/>
  </r>
  <r>
    <n v="113651"/>
    <s v="JOSE ANTONIO DA SILVA"/>
    <s v="MOTORISTA CAMINHAO"/>
    <x v="2"/>
    <d v="2019-06-01T00:00:00"/>
    <x v="0"/>
    <x v="0"/>
    <n v="0"/>
    <x v="0"/>
  </r>
  <r>
    <n v="113617"/>
    <s v="JOSE ANTONIO DA SILVA FILHO"/>
    <s v="MOTORISTA CAMINHAO"/>
    <x v="2"/>
    <d v="2019-06-01T00:00:00"/>
    <x v="0"/>
    <x v="0"/>
    <n v="0"/>
    <x v="0"/>
  </r>
  <r>
    <n v="113134"/>
    <s v="JOSE ANTONIO DOS SANTOS"/>
    <s v="COLETOR"/>
    <x v="2"/>
    <d v="2019-06-01T00:00:00"/>
    <x v="0"/>
    <x v="0"/>
    <n v="0"/>
    <x v="0"/>
  </r>
  <r>
    <n v="112508"/>
    <s v="JOSE ANTONIO TAVARES DA SILVA"/>
    <s v="BUEIRISTA"/>
    <x v="3"/>
    <d v="2019-06-01T00:00:00"/>
    <x v="0"/>
    <x v="0"/>
    <n v="0"/>
    <x v="3"/>
  </r>
  <r>
    <n v="113335"/>
    <s v="JOSE APARECIDO ALVES DA SILVA"/>
    <s v="FISCAL DE TURMA PLENO"/>
    <x v="2"/>
    <d v="2019-06-01T00:00:00"/>
    <x v="0"/>
    <x v="0"/>
    <n v="0"/>
    <x v="0"/>
  </r>
  <r>
    <n v="113618"/>
    <s v="JOSE APARECIDO BARBOSA DE SOUZA"/>
    <s v="OPERADOR DE PA CARREGADEIRA"/>
    <x v="2"/>
    <d v="2019-06-01T00:00:00"/>
    <x v="0"/>
    <x v="0"/>
    <n v="0"/>
    <x v="0"/>
  </r>
  <r>
    <n v="112935"/>
    <s v="JOSE APARECIDO CHICUTA"/>
    <s v="VARREDOR"/>
    <x v="3"/>
    <d v="2019-06-01T00:00:00"/>
    <x v="0"/>
    <x v="0"/>
    <n v="0"/>
    <x v="0"/>
  </r>
  <r>
    <n v="112979"/>
    <s v="JOSE APARECIDO DE GOUVEIA"/>
    <s v="AJUDANTE EQ SERVICOS DIVERSOS"/>
    <x v="0"/>
    <d v="2019-06-01T00:00:00"/>
    <x v="0"/>
    <x v="0"/>
    <n v="0"/>
    <x v="0"/>
  </r>
  <r>
    <n v="112255"/>
    <s v="JOSE ARNALDO DOS SANTOS"/>
    <s v="VARREDOR"/>
    <x v="5"/>
    <d v="2019-06-01T00:00:00"/>
    <x v="0"/>
    <x v="0"/>
    <n v="0"/>
    <x v="0"/>
  </r>
  <r>
    <n v="119111"/>
    <s v="JOSE AUGUSTO DOS SANTOS"/>
    <s v="FISCAL DE TURMA PLENO"/>
    <x v="2"/>
    <d v="2022-03-10T00:00:00"/>
    <x v="0"/>
    <x v="0"/>
    <n v="0"/>
    <x v="0"/>
  </r>
  <r>
    <n v="112259"/>
    <s v="JOSE AUGUSTO SANTOS DO CARMO"/>
    <s v="VARREDOR"/>
    <x v="3"/>
    <d v="2019-06-01T00:00:00"/>
    <x v="0"/>
    <x v="0"/>
    <n v="0"/>
    <x v="0"/>
  </r>
  <r>
    <n v="112989"/>
    <s v="JOSE AVELINO DE SOUSA FILHO"/>
    <s v="BUEIRISTA"/>
    <x v="0"/>
    <d v="2019-06-01T00:00:00"/>
    <x v="0"/>
    <x v="0"/>
    <n v="0"/>
    <x v="0"/>
  </r>
  <r>
    <n v="112937"/>
    <s v="JOSE BARBOSA DE FARIAS"/>
    <s v="VARREDOR"/>
    <x v="3"/>
    <d v="2019-06-01T00:00:00"/>
    <x v="0"/>
    <x v="0"/>
    <n v="0"/>
    <x v="0"/>
  </r>
  <r>
    <n v="119112"/>
    <s v="JOSE BARBOSA FILHO"/>
    <s v="AJUDANTE EQ SERVICOS DIVERSOS"/>
    <x v="3"/>
    <d v="2022-03-10T00:00:00"/>
    <x v="0"/>
    <x v="0"/>
    <n v="0"/>
    <x v="0"/>
  </r>
  <r>
    <n v="113384"/>
    <s v="JOSE BATISTA DOS SANTOS"/>
    <s v="VARREDOR"/>
    <x v="1"/>
    <d v="2019-06-04T00:00:00"/>
    <x v="0"/>
    <x v="0"/>
    <n v="0"/>
    <x v="0"/>
  </r>
  <r>
    <n v="112983"/>
    <s v="JOSE CALIXTO DA SILVA FILHO"/>
    <s v="AJUDANTE EQ SERVICOS DIVERSOS"/>
    <x v="0"/>
    <d v="2019-06-01T00:00:00"/>
    <x v="0"/>
    <x v="0"/>
    <n v="0"/>
    <x v="0"/>
  </r>
  <r>
    <n v="112320"/>
    <s v="JOSE CAMILO SILVEIRA"/>
    <s v="VARREDOR"/>
    <x v="5"/>
    <d v="2019-06-01T00:00:00"/>
    <x v="0"/>
    <x v="0"/>
    <n v="0"/>
    <x v="0"/>
  </r>
  <r>
    <n v="112499"/>
    <s v="JOSE CANDIDO"/>
    <s v="BUEIRISTA"/>
    <x v="4"/>
    <d v="2019-06-01T00:00:00"/>
    <x v="0"/>
    <x v="0"/>
    <n v="0"/>
    <x v="0"/>
  </r>
  <r>
    <n v="122834"/>
    <s v="JOSE CARLOS ALVES DOS SANTOS"/>
    <s v="AJUDANTE EQ SERVICOS DIVERSOS"/>
    <x v="1"/>
    <d v="2023-09-11T00:00:00"/>
    <x v="5"/>
    <x v="0"/>
    <n v="1016.96"/>
    <x v="4"/>
  </r>
  <r>
    <n v="113039"/>
    <s v="JOSE CARLOS DA SILVA"/>
    <s v="VARREDOR"/>
    <x v="0"/>
    <d v="2019-06-04T00:00:00"/>
    <x v="0"/>
    <x v="0"/>
    <n v="0"/>
    <x v="0"/>
  </r>
  <r>
    <n v="113628"/>
    <s v="JOSE CARLOS HENRIQUE DA SILVA"/>
    <s v="MOTORISTA CAMINHAO"/>
    <x v="2"/>
    <d v="2019-06-04T00:00:00"/>
    <x v="0"/>
    <x v="0"/>
    <n v="0"/>
    <x v="0"/>
  </r>
  <r>
    <n v="114923"/>
    <s v="JOSE CARLOS PEREIRA DOS SANTOS"/>
    <s v="AJUDANTE EQ SERVICOS DIVERSOS"/>
    <x v="2"/>
    <d v="2020-03-26T00:00:00"/>
    <x v="0"/>
    <x v="0"/>
    <n v="0"/>
    <x v="0"/>
  </r>
  <r>
    <n v="112352"/>
    <s v="JOSE CARLOS ROQUE DA SILVA"/>
    <s v="AJUDANTE EQ SERVICOS DIVERSOS"/>
    <x v="3"/>
    <d v="2019-06-01T00:00:00"/>
    <x v="0"/>
    <x v="0"/>
    <n v="0"/>
    <x v="0"/>
  </r>
  <r>
    <n v="112505"/>
    <s v="JOSE CARLOS SILVA DOS SANTOS"/>
    <s v="BUEIRISTA"/>
    <x v="4"/>
    <d v="2019-06-05T00:00:00"/>
    <x v="0"/>
    <x v="0"/>
    <n v="0"/>
    <x v="0"/>
  </r>
  <r>
    <n v="112328"/>
    <s v="JOSE CARLOS ZACARIAS"/>
    <s v="VARREDOR"/>
    <x v="5"/>
    <d v="2019-06-01T00:00:00"/>
    <x v="0"/>
    <x v="0"/>
    <n v="0"/>
    <x v="0"/>
  </r>
  <r>
    <n v="113412"/>
    <s v="JOSE CLAUDIO BARBOSA"/>
    <s v="VARREDOR"/>
    <x v="1"/>
    <d v="2019-06-01T00:00:00"/>
    <x v="0"/>
    <x v="0"/>
    <n v="0"/>
    <x v="0"/>
  </r>
  <r>
    <n v="113161"/>
    <s v="JOSE DAMIAO DOS SANTOS"/>
    <s v="MOTORISTA CAMINHAO"/>
    <x v="2"/>
    <d v="2019-06-01T00:00:00"/>
    <x v="0"/>
    <x v="0"/>
    <n v="0"/>
    <x v="3"/>
  </r>
  <r>
    <n v="112940"/>
    <s v="JOSE DARIO DE MEDEIROS"/>
    <s v="VARREDOR"/>
    <x v="3"/>
    <d v="2019-06-01T00:00:00"/>
    <x v="0"/>
    <x v="0"/>
    <n v="0"/>
    <x v="0"/>
  </r>
  <r>
    <n v="112221"/>
    <s v="JOSE DAS GRACAS DOS SANTOS"/>
    <s v="AJUDANTE EQ SERVICOS DIVERSOS"/>
    <x v="1"/>
    <d v="2019-06-01T00:00:00"/>
    <x v="0"/>
    <x v="0"/>
    <n v="0"/>
    <x v="0"/>
  </r>
  <r>
    <n v="117244"/>
    <s v="JOSE DE ASSIS DA SILVA"/>
    <s v="AJUDANTE EQ SERVICOS DIVERSOS"/>
    <x v="3"/>
    <d v="2021-10-18T00:00:00"/>
    <x v="0"/>
    <x v="0"/>
    <n v="0"/>
    <x v="0"/>
  </r>
  <r>
    <n v="112517"/>
    <s v="JOSE DE CASTRO OLIVEIRA"/>
    <s v="VARREDOR"/>
    <x v="3"/>
    <d v="2019-06-01T00:00:00"/>
    <x v="0"/>
    <x v="0"/>
    <n v="0"/>
    <x v="0"/>
  </r>
  <r>
    <n v="112941"/>
    <s v="JOSE DE FATIMA CAMPOS"/>
    <s v="VARREDOR"/>
    <x v="3"/>
    <d v="2019-06-01T00:00:00"/>
    <x v="0"/>
    <x v="0"/>
    <n v="0"/>
    <x v="0"/>
  </r>
  <r>
    <n v="112943"/>
    <s v="JOSE DE JESUS CAETANO"/>
    <s v="VARREDOR"/>
    <x v="3"/>
    <d v="2019-06-01T00:00:00"/>
    <x v="0"/>
    <x v="0"/>
    <n v="0"/>
    <x v="0"/>
  </r>
  <r>
    <n v="113114"/>
    <s v="JOSE DE JESUS SANTOS"/>
    <s v="VARREDOR"/>
    <x v="1"/>
    <d v="2019-06-01T00:00:00"/>
    <x v="0"/>
    <x v="0"/>
    <n v="0"/>
    <x v="0"/>
  </r>
  <r>
    <n v="114924"/>
    <s v="JOSE DE JESUS SANTOS"/>
    <s v="AJUDANTE EQ SERVICOS DIVERSOS"/>
    <x v="2"/>
    <d v="2020-03-26T00:00:00"/>
    <x v="0"/>
    <x v="0"/>
    <n v="0"/>
    <x v="0"/>
  </r>
  <r>
    <n v="122409"/>
    <s v="JOSE DE OLIVEIRA COELHO"/>
    <s v="MOTORISTA CAMINHAO"/>
    <x v="2"/>
    <d v="2023-07-10T00:00:00"/>
    <x v="0"/>
    <x v="0"/>
    <n v="0"/>
    <x v="0"/>
  </r>
  <r>
    <n v="113414"/>
    <s v="JOSE DE SANTANA DIAS"/>
    <s v="VARREDOR"/>
    <x v="1"/>
    <d v="2019-06-01T00:00:00"/>
    <x v="0"/>
    <x v="2"/>
    <n v="-1016.96"/>
    <x v="2"/>
  </r>
  <r>
    <n v="121316"/>
    <s v="JOSE DILMA JUSTINO DE OLIVEIRA"/>
    <s v="AJUDANTE EQ SERVICOS DIVERSOS"/>
    <x v="3"/>
    <d v="2023-01-19T00:00:00"/>
    <x v="0"/>
    <x v="0"/>
    <n v="0"/>
    <x v="0"/>
  </r>
  <r>
    <n v="113344"/>
    <s v="JOSE DILSON SILVA"/>
    <s v="OPERADOR DE MAQUINA SENIOR"/>
    <x v="2"/>
    <d v="2019-06-01T00:00:00"/>
    <x v="0"/>
    <x v="0"/>
    <n v="0"/>
    <x v="0"/>
  </r>
  <r>
    <n v="112264"/>
    <s v="JOSE DOMINGOS ALVES DE OLIVEIRA"/>
    <s v="VARREDOR"/>
    <x v="5"/>
    <d v="2019-06-01T00:00:00"/>
    <x v="0"/>
    <x v="0"/>
    <n v="0"/>
    <x v="0"/>
  </r>
  <r>
    <n v="112944"/>
    <s v="JOSE DOS REIS OLIVEIRA SANTOS"/>
    <s v="VARREDOR"/>
    <x v="3"/>
    <d v="2019-06-01T00:00:00"/>
    <x v="0"/>
    <x v="0"/>
    <n v="0"/>
    <x v="0"/>
  </r>
  <r>
    <n v="113637"/>
    <s v="JOSE EDELSON REIS"/>
    <s v="MOTORISTA CAMINHAO"/>
    <x v="2"/>
    <d v="2019-06-01T00:00:00"/>
    <x v="0"/>
    <x v="0"/>
    <n v="0"/>
    <x v="0"/>
  </r>
  <r>
    <n v="113448"/>
    <s v="JOSE ERMESSON LOPES DA SILVA"/>
    <s v="VARREDOR"/>
    <x v="1"/>
    <d v="2019-06-01T00:00:00"/>
    <x v="0"/>
    <x v="0"/>
    <n v="0"/>
    <x v="0"/>
  </r>
  <r>
    <n v="113320"/>
    <s v="JOSE FERNANDO DA SILVA"/>
    <s v="COLETOR"/>
    <x v="2"/>
    <d v="2019-06-01T00:00:00"/>
    <x v="0"/>
    <x v="0"/>
    <n v="0"/>
    <x v="0"/>
  </r>
  <r>
    <n v="112946"/>
    <s v="JOSE FERREIRA DA SILVA"/>
    <s v="VARREDOR"/>
    <x v="3"/>
    <d v="2019-06-01T00:00:00"/>
    <x v="0"/>
    <x v="0"/>
    <n v="0"/>
    <x v="0"/>
  </r>
  <r>
    <n v="113362"/>
    <s v="JOSE FONSECA DE SOUZA"/>
    <s v="VARREDOR"/>
    <x v="1"/>
    <d v="2019-06-01T00:00:00"/>
    <x v="0"/>
    <x v="0"/>
    <n v="0"/>
    <x v="0"/>
  </r>
  <r>
    <n v="113385"/>
    <s v="JOSE FRANCISCO VARELA"/>
    <s v="VARREDOR"/>
    <x v="1"/>
    <d v="2019-06-01T00:00:00"/>
    <x v="0"/>
    <x v="0"/>
    <n v="0"/>
    <x v="0"/>
  </r>
  <r>
    <n v="112353"/>
    <s v="JOSE GASPARINO DE BRITO"/>
    <s v="VARREDOR"/>
    <x v="4"/>
    <d v="2019-06-01T00:00:00"/>
    <x v="0"/>
    <x v="0"/>
    <n v="0"/>
    <x v="0"/>
  </r>
  <r>
    <n v="113387"/>
    <s v="JOSE GEAN FERNANDES DA SILVA ARAUJO"/>
    <s v="VARREDOR"/>
    <x v="1"/>
    <d v="2019-06-01T00:00:00"/>
    <x v="0"/>
    <x v="0"/>
    <n v="0"/>
    <x v="0"/>
  </r>
  <r>
    <n v="113158"/>
    <s v="JOSE GERALDO DA SILVA"/>
    <s v="COLETOR"/>
    <x v="2"/>
    <d v="2019-06-01T00:00:00"/>
    <x v="0"/>
    <x v="0"/>
    <n v="0"/>
    <x v="0"/>
  </r>
  <r>
    <n v="112408"/>
    <s v="JOSE GERALDO DE OLIVEIRA"/>
    <s v="AJUDANTE EQ SERVICOS DIVERSOS"/>
    <x v="3"/>
    <d v="2019-06-01T00:00:00"/>
    <x v="0"/>
    <x v="0"/>
    <n v="0"/>
    <x v="0"/>
  </r>
  <r>
    <n v="113417"/>
    <s v="JOSE GERALDO SILVA"/>
    <s v="VARREDOR"/>
    <x v="1"/>
    <d v="2019-06-01T00:00:00"/>
    <x v="0"/>
    <x v="0"/>
    <n v="0"/>
    <x v="0"/>
  </r>
  <r>
    <n v="122405"/>
    <s v="JOSE GERALDO XAVIER DE ARAUJO"/>
    <s v="MOTORISTA CAMINHAO"/>
    <x v="2"/>
    <d v="2023-07-10T00:00:00"/>
    <x v="0"/>
    <x v="0"/>
    <n v="0"/>
    <x v="0"/>
  </r>
  <r>
    <n v="113366"/>
    <s v="JOSE GILBERTO DA SILVA"/>
    <s v="VARREDOR"/>
    <x v="1"/>
    <d v="2019-06-01T00:00:00"/>
    <x v="0"/>
    <x v="0"/>
    <n v="0"/>
    <x v="0"/>
  </r>
  <r>
    <n v="119641"/>
    <s v="JOSE GILBERTO PEREIRA"/>
    <s v="AJUDANTE EQ SERVICOS DIVERSOS"/>
    <x v="3"/>
    <d v="2022-06-13T00:00:00"/>
    <x v="0"/>
    <x v="0"/>
    <n v="0"/>
    <x v="0"/>
  </r>
  <r>
    <n v="113162"/>
    <s v="JOSE GOMES DA SILVA"/>
    <s v="COLETOR"/>
    <x v="2"/>
    <d v="2019-06-01T00:00:00"/>
    <x v="0"/>
    <x v="0"/>
    <n v="0"/>
    <x v="3"/>
  </r>
  <r>
    <n v="112949"/>
    <s v="JOSE GOMES DE ANDRADE"/>
    <s v="VARREDOR"/>
    <x v="3"/>
    <d v="2019-06-01T00:00:00"/>
    <x v="0"/>
    <x v="0"/>
    <n v="0"/>
    <x v="0"/>
  </r>
  <r>
    <n v="112495"/>
    <s v="JOSE HILDO DE MELO"/>
    <s v="AJUDANTE EQ SERVICOS DIVERSOS"/>
    <x v="4"/>
    <d v="2019-06-01T00:00:00"/>
    <x v="0"/>
    <x v="0"/>
    <n v="0"/>
    <x v="3"/>
  </r>
  <r>
    <n v="113118"/>
    <s v="JOSE ILARIO DOS SANTOS"/>
    <s v="BORRACHEIRO II"/>
    <x v="2"/>
    <d v="2019-06-01T00:00:00"/>
    <x v="0"/>
    <x v="0"/>
    <n v="0"/>
    <x v="0"/>
  </r>
  <r>
    <n v="112409"/>
    <s v="JOSE INALDO DOS SANTOS SANTANA"/>
    <s v="VARREDOR"/>
    <x v="3"/>
    <d v="2019-06-01T00:00:00"/>
    <x v="0"/>
    <x v="0"/>
    <n v="0"/>
    <x v="0"/>
  </r>
  <r>
    <n v="113159"/>
    <s v="JOSE IRANDIR SANTOS DE JESUS"/>
    <s v="COLETOR"/>
    <x v="2"/>
    <d v="2019-06-01T00:00:00"/>
    <x v="0"/>
    <x v="0"/>
    <n v="0"/>
    <x v="0"/>
  </r>
  <r>
    <n v="119114"/>
    <s v="JOSE ITAMAR DE LIMA"/>
    <s v="VARREDOR"/>
    <x v="1"/>
    <d v="2022-03-10T00:00:00"/>
    <x v="0"/>
    <x v="0"/>
    <n v="0"/>
    <x v="0"/>
  </r>
  <r>
    <n v="116388"/>
    <s v="JOSE IVANALDO DA SILVA"/>
    <s v="MOTORISTA CAMINHAO"/>
    <x v="2"/>
    <d v="2021-05-12T00:00:00"/>
    <x v="0"/>
    <x v="0"/>
    <n v="0"/>
    <x v="0"/>
  </r>
  <r>
    <n v="113655"/>
    <s v="JOSE JEDSON NICACIO DOS SANTOS"/>
    <s v="MOTORISTA CAMINHAO"/>
    <x v="2"/>
    <d v="2019-06-01T00:00:00"/>
    <x v="0"/>
    <x v="0"/>
    <n v="0"/>
    <x v="0"/>
  </r>
  <r>
    <n v="114490"/>
    <s v="JOSE JOELTON DOS SANTOS"/>
    <s v="AJUDANTE EQ SERVICOS DIVERSOS"/>
    <x v="1"/>
    <d v="2019-12-12T00:00:00"/>
    <x v="0"/>
    <x v="0"/>
    <n v="0"/>
    <x v="0"/>
  </r>
  <r>
    <n v="113395"/>
    <s v="JOSE JORGE DOS SANTOS"/>
    <s v="VARREDOR"/>
    <x v="1"/>
    <d v="2019-06-01T00:00:00"/>
    <x v="0"/>
    <x v="0"/>
    <n v="0"/>
    <x v="0"/>
  </r>
  <r>
    <n v="119124"/>
    <s v="JOSE JOSIAS DA SILVA"/>
    <s v="MOTORISTA CAMINHAO"/>
    <x v="2"/>
    <d v="2022-03-10T00:00:00"/>
    <x v="0"/>
    <x v="0"/>
    <n v="0"/>
    <x v="0"/>
  </r>
  <r>
    <n v="112962"/>
    <s v="JOSE LEITE DA SILVA"/>
    <s v="AJUDANTE EQ SERVICOS DIVERSOS"/>
    <x v="0"/>
    <d v="2019-06-01T00:00:00"/>
    <x v="0"/>
    <x v="0"/>
    <n v="0"/>
    <x v="0"/>
  </r>
  <r>
    <n v="113458"/>
    <s v="JOSE LINALDO PIMENTEL SANTANA"/>
    <s v="VARREDOR"/>
    <x v="1"/>
    <d v="2019-06-01T00:00:00"/>
    <x v="0"/>
    <x v="0"/>
    <n v="0"/>
    <x v="0"/>
  </r>
  <r>
    <n v="113461"/>
    <s v="JOSE LINS DA SILVA FILHO"/>
    <s v="VARREDOR"/>
    <x v="1"/>
    <d v="2019-06-01T00:00:00"/>
    <x v="0"/>
    <x v="0"/>
    <n v="0"/>
    <x v="0"/>
  </r>
  <r>
    <n v="114991"/>
    <s v="JOSE LOURENCO DE SOUSA"/>
    <s v="AJUDANTE EQ SERVICOS DIVERSOS"/>
    <x v="2"/>
    <d v="2020-03-28T00:00:00"/>
    <x v="0"/>
    <x v="0"/>
    <n v="0"/>
    <x v="0"/>
  </r>
  <r>
    <n v="120180"/>
    <s v="JOSE LUCAS ALVES DE OLIVEIRA"/>
    <s v="ELETRICISTA"/>
    <x v="2"/>
    <d v="2022-08-18T00:00:00"/>
    <x v="0"/>
    <x v="0"/>
    <n v="0"/>
    <x v="3"/>
  </r>
  <r>
    <n v="113325"/>
    <s v="JOSE LUCINALDO DA SILVA"/>
    <s v="COLETOR"/>
    <x v="2"/>
    <d v="2019-06-01T00:00:00"/>
    <x v="4"/>
    <x v="0"/>
    <n v="76.57000000000005"/>
    <x v="0"/>
  </r>
  <r>
    <n v="113403"/>
    <s v="JOSE LUIS ALVES DA SILVA"/>
    <s v="VARREDOR"/>
    <x v="1"/>
    <d v="2019-06-01T00:00:00"/>
    <x v="1"/>
    <x v="16"/>
    <n v="-222.70999999999998"/>
    <x v="1"/>
  </r>
  <r>
    <n v="113160"/>
    <s v="JOSE LUIZ GOMES DA SILVA"/>
    <s v="COLETOR"/>
    <x v="2"/>
    <d v="2019-06-01T00:00:00"/>
    <x v="0"/>
    <x v="0"/>
    <n v="0"/>
    <x v="3"/>
  </r>
  <r>
    <n v="112442"/>
    <s v="JOSE MANOEL DA CRUZ"/>
    <s v="AJUDANTE EQ SERVICOS DIVERSOS"/>
    <x v="3"/>
    <d v="2019-06-01T00:00:00"/>
    <x v="0"/>
    <x v="0"/>
    <n v="0"/>
    <x v="0"/>
  </r>
  <r>
    <n v="112951"/>
    <s v="JOSE MANOEL DE ANDRADE"/>
    <s v="VARREDOR"/>
    <x v="3"/>
    <d v="2019-06-01T00:00:00"/>
    <x v="0"/>
    <x v="0"/>
    <n v="0"/>
    <x v="0"/>
  </r>
  <r>
    <n v="112269"/>
    <s v="JOSE MANOEL PEREIRA"/>
    <s v="VARREDOR"/>
    <x v="5"/>
    <d v="2019-06-01T00:00:00"/>
    <x v="0"/>
    <x v="0"/>
    <n v="0"/>
    <x v="0"/>
  </r>
  <r>
    <n v="112337"/>
    <s v="JOSE MARCOS DA SILVA QUINTINO"/>
    <s v="VARREDOR"/>
    <x v="5"/>
    <d v="2019-06-01T00:00:00"/>
    <x v="0"/>
    <x v="0"/>
    <n v="0"/>
    <x v="0"/>
  </r>
  <r>
    <n v="112986"/>
    <s v="JOSE MARIA DE GOUVEIA"/>
    <s v="AJUDANTE EQ SERVICOS DIVERSOS"/>
    <x v="0"/>
    <d v="2019-06-01T00:00:00"/>
    <x v="0"/>
    <x v="0"/>
    <n v="0"/>
    <x v="0"/>
  </r>
  <r>
    <n v="113327"/>
    <s v="JOSE MARIA DE MOURA"/>
    <s v="COLETOR"/>
    <x v="2"/>
    <d v="2019-06-01T00:00:00"/>
    <x v="0"/>
    <x v="0"/>
    <n v="0"/>
    <x v="0"/>
  </r>
  <r>
    <n v="112283"/>
    <s v="JOSE MARIA DE SOUSA"/>
    <s v="VARREDOR"/>
    <x v="5"/>
    <d v="2019-06-01T00:00:00"/>
    <x v="0"/>
    <x v="0"/>
    <n v="0"/>
    <x v="0"/>
  </r>
  <r>
    <n v="112223"/>
    <s v="JOSE MARIA FERREIRA DE SOUSA"/>
    <s v="VARREDOR"/>
    <x v="1"/>
    <d v="2019-06-01T00:00:00"/>
    <x v="0"/>
    <x v="0"/>
    <n v="0"/>
    <x v="0"/>
  </r>
  <r>
    <n v="113467"/>
    <s v="JOSE MARIA PEREIRA DOS SANTOS"/>
    <s v="VARREDOR"/>
    <x v="1"/>
    <d v="2019-06-01T00:00:00"/>
    <x v="0"/>
    <x v="0"/>
    <n v="0"/>
    <x v="0"/>
  </r>
  <r>
    <n v="112964"/>
    <s v="JOSE MAURO DOS SANTOS SILVA"/>
    <s v="AJUDANTE EQ SERVICOS DIVERSOS"/>
    <x v="0"/>
    <d v="2019-06-01T00:00:00"/>
    <x v="0"/>
    <x v="0"/>
    <n v="0"/>
    <x v="0"/>
  </r>
  <r>
    <n v="112952"/>
    <s v="JOSE MESSIAS SANTOS ANUNCIACAO"/>
    <s v="VARREDOR"/>
    <x v="3"/>
    <d v="2019-06-01T00:00:00"/>
    <x v="0"/>
    <x v="0"/>
    <n v="0"/>
    <x v="0"/>
  </r>
  <r>
    <n v="120176"/>
    <s v="JOSE MILTON DOS SANTOS"/>
    <s v="AJUDANTE EQ SERVICOS DIVERSOS"/>
    <x v="4"/>
    <d v="2022-08-18T00:00:00"/>
    <x v="0"/>
    <x v="0"/>
    <n v="0"/>
    <x v="0"/>
  </r>
  <r>
    <n v="112280"/>
    <s v="JOSE NERIS DA SILVA"/>
    <s v="VARREDOR"/>
    <x v="5"/>
    <d v="2019-06-01T00:00:00"/>
    <x v="0"/>
    <x v="0"/>
    <n v="0"/>
    <x v="0"/>
  </r>
  <r>
    <n v="113633"/>
    <s v="JOSE NILTON BASTOS DE OLIVEIRA"/>
    <s v="MOTORISTA CAMINHAO"/>
    <x v="2"/>
    <d v="2019-06-01T00:00:00"/>
    <x v="0"/>
    <x v="0"/>
    <n v="0"/>
    <x v="0"/>
  </r>
  <r>
    <n v="113163"/>
    <s v="JOSE PROVINO OSORIO"/>
    <s v="COLETOR"/>
    <x v="2"/>
    <d v="2019-06-01T00:00:00"/>
    <x v="0"/>
    <x v="0"/>
    <n v="0"/>
    <x v="3"/>
  </r>
  <r>
    <n v="114926"/>
    <s v="JOSE RAIMUNDO DA SILVA"/>
    <s v="AJUDANTE EQ SERVICOS DIVERSOS"/>
    <x v="2"/>
    <d v="2020-03-26T00:00:00"/>
    <x v="0"/>
    <x v="0"/>
    <n v="0"/>
    <x v="0"/>
  </r>
  <r>
    <n v="112330"/>
    <s v="JOSE RAIMUNDO DA SILVA MATOS"/>
    <s v="VARREDOR"/>
    <x v="5"/>
    <d v="2019-06-01T00:00:00"/>
    <x v="0"/>
    <x v="0"/>
    <n v="0"/>
    <x v="0"/>
  </r>
  <r>
    <n v="113635"/>
    <s v="JOSE RAIMUNDO DAS CHAGAS"/>
    <s v="MOTORISTA CAMINHAO"/>
    <x v="2"/>
    <d v="2019-06-01T00:00:00"/>
    <x v="0"/>
    <x v="0"/>
    <n v="0"/>
    <x v="0"/>
  </r>
  <r>
    <n v="112526"/>
    <s v="JOSE RAIMUNDO SILVA"/>
    <s v="VARREDOR"/>
    <x v="3"/>
    <d v="2019-06-01T00:00:00"/>
    <x v="0"/>
    <x v="0"/>
    <n v="0"/>
    <x v="0"/>
  </r>
  <r>
    <n v="114712"/>
    <s v="JOSE REGINALDO DA SILVA"/>
    <s v="VARREDOR"/>
    <x v="5"/>
    <d v="2020-02-13T00:00:00"/>
    <x v="0"/>
    <x v="0"/>
    <n v="0"/>
    <x v="0"/>
  </r>
  <r>
    <n v="114110"/>
    <s v="JOSE RIBEIRO DE MOURA"/>
    <s v="AJUDANTE EQ SERVICOS DIVERSOS"/>
    <x v="3"/>
    <d v="2019-09-20T00:00:00"/>
    <x v="0"/>
    <x v="0"/>
    <n v="0"/>
    <x v="0"/>
  </r>
  <r>
    <n v="112188"/>
    <s v="JOSE RICARDO DA SILVA"/>
    <s v="BUEIRISTA"/>
    <x v="0"/>
    <d v="2019-06-01T00:00:00"/>
    <x v="0"/>
    <x v="0"/>
    <n v="0"/>
    <x v="0"/>
  </r>
  <r>
    <n v="112189"/>
    <s v="JOSE ROBERTO AVANZI"/>
    <s v="VARREDOR"/>
    <x v="4"/>
    <d v="2019-06-01T00:00:00"/>
    <x v="0"/>
    <x v="0"/>
    <n v="0"/>
    <x v="0"/>
  </r>
  <r>
    <n v="116976"/>
    <s v="JOSE ROBERTO DE LIMA FERREIRA"/>
    <s v="AJUDANTE EQ SERVICOS DIVERSOS"/>
    <x v="1"/>
    <d v="2021-08-11T00:00:00"/>
    <x v="0"/>
    <x v="0"/>
    <n v="0"/>
    <x v="0"/>
  </r>
  <r>
    <n v="113921"/>
    <s v="JOSE ROBERTO MARQUES DE LIMA"/>
    <s v="FISCAL DE TURMA PLENO"/>
    <x v="4"/>
    <d v="2019-08-05T00:00:00"/>
    <x v="0"/>
    <x v="0"/>
    <n v="0"/>
    <x v="3"/>
  </r>
  <r>
    <n v="112205"/>
    <s v="JOSE ROBERTO SOARES DA SILVA"/>
    <s v="VARREDOR"/>
    <x v="1"/>
    <d v="2019-06-01T00:00:00"/>
    <x v="0"/>
    <x v="0"/>
    <n v="0"/>
    <x v="0"/>
  </r>
  <r>
    <n v="112209"/>
    <s v="JOSE ROBERTO SOARES DE ANDRADE"/>
    <s v="VARREDOR"/>
    <x v="3"/>
    <d v="2019-06-01T00:00:00"/>
    <x v="0"/>
    <x v="0"/>
    <n v="0"/>
    <x v="0"/>
  </r>
  <r>
    <n v="116004"/>
    <s v="JOSE ROBSON DA SILVA"/>
    <s v="AJUDANTE EQ SERVICOS DIVERSOS"/>
    <x v="1"/>
    <d v="2021-01-11T00:00:00"/>
    <x v="0"/>
    <x v="10"/>
    <n v="-114.85000000000002"/>
    <x v="0"/>
  </r>
  <r>
    <n v="112213"/>
    <s v="JOSE ROMILDO ARAUJO DOS SANTOS"/>
    <s v="VARREDOR"/>
    <x v="0"/>
    <d v="2019-06-01T00:00:00"/>
    <x v="0"/>
    <x v="0"/>
    <n v="0"/>
    <x v="0"/>
  </r>
  <r>
    <n v="112222"/>
    <s v="JOSE ROMIRAN DA SILVA"/>
    <s v="VARREDOR"/>
    <x v="3"/>
    <d v="2019-06-01T00:00:00"/>
    <x v="0"/>
    <x v="0"/>
    <n v="0"/>
    <x v="0"/>
  </r>
  <r>
    <n v="112227"/>
    <s v="JOSE RONILTON DOS SANTOS"/>
    <s v="AJUDANTE EQ SERVICOS DIVERSOS"/>
    <x v="1"/>
    <d v="2019-06-01T00:00:00"/>
    <x v="0"/>
    <x v="0"/>
    <n v="0"/>
    <x v="0"/>
  </r>
  <r>
    <n v="114953"/>
    <s v="JOSE ROSA DE LIMA"/>
    <s v="MOTORISTA CAMINHAO"/>
    <x v="2"/>
    <d v="2020-03-26T00:00:00"/>
    <x v="0"/>
    <x v="0"/>
    <n v="0"/>
    <x v="0"/>
  </r>
  <r>
    <n v="112239"/>
    <s v="JOSE SATURNINO DE OLIVEIRA"/>
    <s v="VARREDOR"/>
    <x v="5"/>
    <d v="2019-06-01T00:00:00"/>
    <x v="0"/>
    <x v="0"/>
    <n v="0"/>
    <x v="0"/>
  </r>
  <r>
    <n v="112253"/>
    <s v="JOSE SERGIO OLIVEIRA DA SILVA"/>
    <s v="MOTORISTA CAMINHAO"/>
    <x v="2"/>
    <d v="2019-06-01T00:00:00"/>
    <x v="0"/>
    <x v="0"/>
    <n v="0"/>
    <x v="0"/>
  </r>
  <r>
    <n v="114940"/>
    <s v="JOSE SILVA DE CARVALHO"/>
    <s v="AJUDANTE EQ SERVICOS DIVERSOS"/>
    <x v="2"/>
    <d v="2020-03-26T00:00:00"/>
    <x v="0"/>
    <x v="0"/>
    <n v="0"/>
    <x v="0"/>
  </r>
  <r>
    <n v="112256"/>
    <s v="JOSE SOARES"/>
    <s v="AJUDANTE EQ SERVICOS DIVERSOS"/>
    <x v="2"/>
    <d v="2019-06-01T00:00:00"/>
    <x v="0"/>
    <x v="0"/>
    <n v="0"/>
    <x v="0"/>
  </r>
  <r>
    <n v="112268"/>
    <s v="JOSE VANDERLEI MARTINS"/>
    <s v="VARREDOR"/>
    <x v="5"/>
    <d v="2019-06-01T00:00:00"/>
    <x v="0"/>
    <x v="0"/>
    <n v="0"/>
    <x v="0"/>
  </r>
  <r>
    <n v="112273"/>
    <s v="JOSE VANDICO ARAUJO DOS SANTOS"/>
    <s v="AJUDANTE EQ SERVICOS DIVERSOS"/>
    <x v="4"/>
    <d v="2019-06-01T00:00:00"/>
    <x v="0"/>
    <x v="0"/>
    <n v="0"/>
    <x v="0"/>
  </r>
  <r>
    <n v="112281"/>
    <s v="JOSE WELLITON MATEUS GOMES"/>
    <s v="COLETOR"/>
    <x v="2"/>
    <d v="2019-06-01T00:00:00"/>
    <x v="0"/>
    <x v="0"/>
    <n v="0"/>
    <x v="0"/>
  </r>
  <r>
    <n v="119921"/>
    <s v="JOSELINE ALVES DOS SANTOS"/>
    <s v="AJUDANTE EQ SERVICOS DIVERSOS"/>
    <x v="1"/>
    <d v="2022-07-18T00:00:00"/>
    <x v="0"/>
    <x v="2"/>
    <n v="-1016.96"/>
    <x v="2"/>
  </r>
  <r>
    <n v="112292"/>
    <s v="JOSEMAR CELESTINO DOS SANTOS"/>
    <s v="MOTORISTA CAMINHAO"/>
    <x v="2"/>
    <d v="2019-06-01T00:00:00"/>
    <x v="0"/>
    <x v="0"/>
    <n v="0"/>
    <x v="0"/>
  </r>
  <r>
    <n v="121957"/>
    <s v="JOSEMAR DE PAULA MACEDO"/>
    <s v="AJUDANTE EQ SERVICOS DIVERSOS"/>
    <x v="1"/>
    <d v="2023-04-24T00:00:00"/>
    <x v="0"/>
    <x v="0"/>
    <n v="0"/>
    <x v="0"/>
  </r>
  <r>
    <n v="112296"/>
    <s v="JOSENILSON FELICIO DOS SANTOS"/>
    <s v="AJUDANTE EQ SERVICOS DIVERSOS"/>
    <x v="1"/>
    <d v="2019-06-01T00:00:00"/>
    <x v="0"/>
    <x v="0"/>
    <n v="0"/>
    <x v="0"/>
  </r>
  <r>
    <n v="112309"/>
    <s v="JOSEVAL FERREIRA MIRANDA"/>
    <s v="AJUDANTE EQ SERVICOS DIVERSOS"/>
    <x v="0"/>
    <d v="2019-06-01T00:00:00"/>
    <x v="0"/>
    <x v="0"/>
    <n v="0"/>
    <x v="0"/>
  </r>
  <r>
    <n v="112364"/>
    <s v="JOSIVALDO SILVA DE MELO"/>
    <s v="AJUDANTE EQ SERVICOS DIVERSOS"/>
    <x v="1"/>
    <d v="2019-06-01T00:00:00"/>
    <x v="2"/>
    <x v="0"/>
    <n v="38.289999999999964"/>
    <x v="0"/>
  </r>
  <r>
    <n v="112370"/>
    <s v="JOVELINA MARIA DA SILVA"/>
    <s v="AJUDANTE EQ SERVICOS DIVERSOS"/>
    <x v="3"/>
    <d v="2019-06-01T00:00:00"/>
    <x v="1"/>
    <x v="0"/>
    <n v="657.5"/>
    <x v="0"/>
  </r>
  <r>
    <n v="114128"/>
    <s v="JOVELINO MANOEL DA SILVA"/>
    <s v="MOTORISTA CAMINHAO"/>
    <x v="2"/>
    <d v="2019-10-01T00:00:00"/>
    <x v="0"/>
    <x v="0"/>
    <n v="0"/>
    <x v="0"/>
  </r>
  <r>
    <n v="112379"/>
    <s v="JUAN CARLOS DIAZ BASCUR"/>
    <s v="MOTORISTA CAMINHAO"/>
    <x v="2"/>
    <d v="2019-06-01T00:00:00"/>
    <x v="0"/>
    <x v="0"/>
    <n v="0"/>
    <x v="3"/>
  </r>
  <r>
    <n v="112384"/>
    <s v="JUARES ANTONIO DA SILVA"/>
    <s v="MOTORISTA CAMINHAO"/>
    <x v="2"/>
    <d v="2019-06-04T00:00:00"/>
    <x v="0"/>
    <x v="0"/>
    <n v="0"/>
    <x v="0"/>
  </r>
  <r>
    <n v="115796"/>
    <s v="JULIA KATHLEEN OLIVEIRA DOS SANTOS"/>
    <s v="ASSISTENTE DE PLANEJAMENTO OPERACIONAL"/>
    <x v="2"/>
    <d v="2020-11-10T00:00:00"/>
    <x v="0"/>
    <x v="0"/>
    <n v="0"/>
    <x v="3"/>
  </r>
  <r>
    <n v="112394"/>
    <s v="JULIANA ALVES DE OLIVEIRA"/>
    <s v="VARREDOR"/>
    <x v="1"/>
    <d v="2019-06-01T00:00:00"/>
    <x v="0"/>
    <x v="0"/>
    <n v="0"/>
    <x v="0"/>
  </r>
  <r>
    <n v="113762"/>
    <s v="JULIANA CORREA DE BARROS"/>
    <s v="AUXILIAR ADMINISTRATIVO"/>
    <x v="1"/>
    <d v="2019-06-05T00:00:00"/>
    <x v="0"/>
    <x v="0"/>
    <n v="0"/>
    <x v="0"/>
  </r>
  <r>
    <n v="116234"/>
    <s v="JULIANA DA SILVA ANDREOLI"/>
    <s v="VARREDOR"/>
    <x v="3"/>
    <d v="2021-03-18T00:00:00"/>
    <x v="0"/>
    <x v="0"/>
    <n v="0"/>
    <x v="0"/>
  </r>
  <r>
    <n v="112401"/>
    <s v="JULIANO LAURINDO CAMILO VICENTE"/>
    <s v="MOTORISTA CAMINHAO"/>
    <x v="2"/>
    <d v="2019-06-11T00:00:00"/>
    <x v="0"/>
    <x v="0"/>
    <n v="0"/>
    <x v="0"/>
  </r>
  <r>
    <n v="117236"/>
    <s v="JULIE DA SILVA PEREIRA"/>
    <s v="VARREDOR"/>
    <x v="1"/>
    <d v="2021-10-18T00:00:00"/>
    <x v="0"/>
    <x v="0"/>
    <n v="0"/>
    <x v="0"/>
  </r>
  <r>
    <n v="119647"/>
    <s v="JULIO VICTOR OHARA SANCHEZ"/>
    <s v="AUXILIAR DE PLANEJAMENTO OPERACIONAL"/>
    <x v="2"/>
    <d v="2022-06-13T00:00:00"/>
    <x v="0"/>
    <x v="0"/>
    <n v="0"/>
    <x v="3"/>
  </r>
  <r>
    <n v="112415"/>
    <s v="JUNIOR CESAR APARECIDO FERREIRA"/>
    <s v="COLETOR"/>
    <x v="2"/>
    <d v="2019-06-01T00:00:00"/>
    <x v="0"/>
    <x v="0"/>
    <n v="0"/>
    <x v="0"/>
  </r>
  <r>
    <n v="112418"/>
    <s v="JURACI BARBOSA SANTOS"/>
    <s v="VARREDOR"/>
    <x v="1"/>
    <d v="2019-06-01T00:00:00"/>
    <x v="0"/>
    <x v="0"/>
    <n v="0"/>
    <x v="0"/>
  </r>
  <r>
    <n v="112421"/>
    <s v="JURACI CUSTODIO DE LIMA"/>
    <s v="AJUDANTE EQ SERVICOS DIVERSOS"/>
    <x v="3"/>
    <d v="2019-06-01T00:00:00"/>
    <x v="0"/>
    <x v="0"/>
    <n v="0"/>
    <x v="0"/>
  </r>
  <r>
    <n v="112431"/>
    <s v="JUREMIR ALVES BARROSO"/>
    <s v="AJUDANTE EQ SERVICOS DIVERSOS"/>
    <x v="5"/>
    <d v="2019-06-01T00:00:00"/>
    <x v="0"/>
    <x v="0"/>
    <n v="0"/>
    <x v="0"/>
  </r>
  <r>
    <n v="112437"/>
    <s v="JUSCELINO FERREIRA FILHO"/>
    <s v="MOTORISTA CAMINHAO"/>
    <x v="2"/>
    <d v="2019-06-01T00:00:00"/>
    <x v="0"/>
    <x v="0"/>
    <n v="0"/>
    <x v="0"/>
  </r>
  <r>
    <n v="112470"/>
    <s v="JUSCIMAR FERREIRA DA LOMBA"/>
    <s v="AJUDANTE EQ SERVICOS DIVERSOS"/>
    <x v="1"/>
    <d v="2019-06-01T00:00:00"/>
    <x v="0"/>
    <x v="0"/>
    <n v="0"/>
    <x v="0"/>
  </r>
  <r>
    <n v="122837"/>
    <s v="JUVENAL MOREIRA DOS REIS JUNIOR"/>
    <s v="AJUDANTE EQ SERVICOS DIVERSOS"/>
    <x v="2"/>
    <d v="2023-09-11T00:00:00"/>
    <x v="5"/>
    <x v="0"/>
    <n v="1016.96"/>
    <x v="4"/>
  </r>
  <r>
    <n v="122560"/>
    <s v="KAIQUE DOS SANTOS ALMEIDA"/>
    <s v="AJUDANTE EQ SERVICOS DIVERSOS"/>
    <x v="4"/>
    <d v="2023-07-24T00:00:00"/>
    <x v="2"/>
    <x v="0"/>
    <n v="38.289999999999964"/>
    <x v="0"/>
  </r>
  <r>
    <n v="113782"/>
    <s v="KARINA CRISTINA BORGES DOS SANTOS"/>
    <s v="ENGENHEIRO COORDENADOR QSMS"/>
    <x v="2"/>
    <d v="2019-06-10T00:00:00"/>
    <x v="0"/>
    <x v="0"/>
    <n v="0"/>
    <x v="0"/>
  </r>
  <r>
    <n v="116978"/>
    <s v="KARINA MARIA LIMA"/>
    <s v="AJUDANTE EQ SERVICOS DIVERSOS"/>
    <x v="5"/>
    <d v="2021-08-11T00:00:00"/>
    <x v="4"/>
    <x v="0"/>
    <n v="76.57000000000005"/>
    <x v="0"/>
  </r>
  <r>
    <n v="121939"/>
    <s v="KARINA PEREIRA DA SILVA"/>
    <s v="MENOR/JOVEM APRENDIZ"/>
    <x v="6"/>
    <d v="2023-04-24T00:00:00"/>
    <x v="3"/>
    <x v="4"/>
    <n v="0"/>
    <x v="0"/>
  </r>
  <r>
    <n v="115371"/>
    <s v="KATIA CONCEICAO ROCHA"/>
    <s v="AJUDANTE EQ SERVICOS DIVERSOS"/>
    <x v="1"/>
    <d v="2020-08-03T00:00:00"/>
    <x v="0"/>
    <x v="0"/>
    <n v="0"/>
    <x v="0"/>
  </r>
  <r>
    <n v="112478"/>
    <s v="KELBER JESUS DOS SANTOS"/>
    <s v="COLETOR"/>
    <x v="2"/>
    <d v="2019-06-01T00:00:00"/>
    <x v="0"/>
    <x v="0"/>
    <n v="0"/>
    <x v="0"/>
  </r>
  <r>
    <n v="114927"/>
    <s v="KELVIN CARLOS DE SOUSA AMORIM"/>
    <s v="AJUDANTE EQ SERVICOS DIVERSOS"/>
    <x v="2"/>
    <d v="2020-03-26T00:00:00"/>
    <x v="0"/>
    <x v="0"/>
    <n v="0"/>
    <x v="0"/>
  </r>
  <r>
    <n v="112503"/>
    <s v="KELVIN LOPES DE ALMEIDA"/>
    <s v="AJUDANTE EQ SERVICOS DIVERSOS"/>
    <x v="3"/>
    <d v="2019-06-01T00:00:00"/>
    <x v="0"/>
    <x v="0"/>
    <n v="0"/>
    <x v="0"/>
  </r>
  <r>
    <n v="116385"/>
    <s v="KEVIN DANNIEL CARDOSO DA SILVA"/>
    <s v="AJUDANTE EQ SERVICOS DIVERSOS"/>
    <x v="4"/>
    <d v="2021-05-12T00:00:00"/>
    <x v="0"/>
    <x v="0"/>
    <n v="0"/>
    <x v="0"/>
  </r>
  <r>
    <n v="112542"/>
    <s v="KLEBER JOSE OLIVEIRA DA SILVA"/>
    <s v="AJUDANTE EQ SERVICOS DIVERSOS"/>
    <x v="1"/>
    <d v="2019-06-01T00:00:00"/>
    <x v="2"/>
    <x v="0"/>
    <n v="38.289999999999964"/>
    <x v="0"/>
  </r>
  <r>
    <n v="112545"/>
    <s v="KLEBERSON JOSE DA SILVA"/>
    <s v="VARREDOR"/>
    <x v="1"/>
    <d v="2019-06-01T00:00:00"/>
    <x v="0"/>
    <x v="0"/>
    <n v="0"/>
    <x v="0"/>
  </r>
  <r>
    <n v="112546"/>
    <s v="KLEBERT MARCOS DA SILVA FERREIRA"/>
    <s v="ENCARREGADO DE MANUTENCAO OFICINA"/>
    <x v="2"/>
    <d v="2019-06-01T00:00:00"/>
    <x v="0"/>
    <x v="0"/>
    <n v="0"/>
    <x v="0"/>
  </r>
  <r>
    <n v="118649"/>
    <s v="LACIEL CARLOS DE SENA"/>
    <s v="AJUDANTE EQ SERVICOS DIVERSOS"/>
    <x v="2"/>
    <d v="2022-01-21T00:00:00"/>
    <x v="0"/>
    <x v="0"/>
    <n v="0"/>
    <x v="0"/>
  </r>
  <r>
    <n v="122571"/>
    <s v="LAERCIO MARIANO DE ABREU"/>
    <s v="MOTORISTA CAMINHAO"/>
    <x v="2"/>
    <d v="2023-07-24T00:00:00"/>
    <x v="0"/>
    <x v="0"/>
    <n v="0"/>
    <x v="0"/>
  </r>
  <r>
    <n v="121476"/>
    <s v="LEANDRO APARECIDO VIEIRA DE SOUZA"/>
    <s v="AJUDANTE EQ SERVICOS DIVERSOS"/>
    <x v="2"/>
    <d v="2023-02-10T00:00:00"/>
    <x v="0"/>
    <x v="0"/>
    <n v="0"/>
    <x v="0"/>
  </r>
  <r>
    <n v="112558"/>
    <s v="LEANDRO BARROSO DA SILVA"/>
    <s v="FISCAL DE TURMA PLENO"/>
    <x v="1"/>
    <d v="2019-06-01T00:00:00"/>
    <x v="0"/>
    <x v="0"/>
    <n v="0"/>
    <x v="0"/>
  </r>
  <r>
    <n v="112577"/>
    <s v="LEANDRO DA SILVA DONIZETE"/>
    <s v="VARREDOR"/>
    <x v="1"/>
    <d v="2019-06-01T00:00:00"/>
    <x v="0"/>
    <x v="0"/>
    <n v="0"/>
    <x v="0"/>
  </r>
  <r>
    <n v="112583"/>
    <s v="LEANDRO DE OLIVEIRA"/>
    <s v="MOTORISTA CAMINHAO"/>
    <x v="2"/>
    <d v="2019-06-01T00:00:00"/>
    <x v="0"/>
    <x v="0"/>
    <n v="0"/>
    <x v="0"/>
  </r>
  <r>
    <n v="112589"/>
    <s v="LEANDRO DE SOUSA CLAUDINO"/>
    <s v="TECNICO EM SEGURANCA DO TRABALHO JUNIOR"/>
    <x v="2"/>
    <d v="2019-06-01T00:00:00"/>
    <x v="0"/>
    <x v="0"/>
    <n v="0"/>
    <x v="0"/>
  </r>
  <r>
    <n v="112596"/>
    <s v="LEANDRO GARCIA CAMARGO"/>
    <s v="VARREDOR"/>
    <x v="1"/>
    <d v="2019-06-01T00:00:00"/>
    <x v="0"/>
    <x v="0"/>
    <n v="0"/>
    <x v="0"/>
  </r>
  <r>
    <n v="115404"/>
    <s v="LEANDRO GOMES DA SILVA"/>
    <s v="VARREDOR"/>
    <x v="1"/>
    <d v="2020-08-05T00:00:00"/>
    <x v="0"/>
    <x v="0"/>
    <n v="0"/>
    <x v="0"/>
  </r>
  <r>
    <n v="112604"/>
    <s v="LEANDRO JOSE BATISTA"/>
    <s v="MOTORISTA CAMINHAO"/>
    <x v="2"/>
    <d v="2019-06-01T00:00:00"/>
    <x v="0"/>
    <x v="0"/>
    <n v="0"/>
    <x v="0"/>
  </r>
  <r>
    <n v="112611"/>
    <s v="LEANDRO JOSE CORREIA DA SILVA"/>
    <s v="AJUDANTE EQ SERVICOS DIVERSOS"/>
    <x v="2"/>
    <d v="2019-06-01T00:00:00"/>
    <x v="0"/>
    <x v="0"/>
    <n v="0"/>
    <x v="0"/>
  </r>
  <r>
    <n v="112617"/>
    <s v="LEANDRO MENDES SILQUEIRA"/>
    <s v="VARREDOR"/>
    <x v="0"/>
    <d v="2019-06-01T00:00:00"/>
    <x v="0"/>
    <x v="0"/>
    <n v="0"/>
    <x v="0"/>
  </r>
  <r>
    <n v="112625"/>
    <s v="LEANDRO SANTANA SANTOS"/>
    <s v="MOTORISTA CAMINHAO"/>
    <x v="2"/>
    <d v="2019-06-01T00:00:00"/>
    <x v="0"/>
    <x v="0"/>
    <n v="0"/>
    <x v="0"/>
  </r>
  <r>
    <n v="112630"/>
    <s v="LEANDRO SARAGOCA PEREIRA"/>
    <s v="AJUDANTE EQ SERVICOS DIVERSOS"/>
    <x v="1"/>
    <d v="2019-06-01T00:00:00"/>
    <x v="0"/>
    <x v="0"/>
    <n v="0"/>
    <x v="0"/>
  </r>
  <r>
    <n v="114736"/>
    <s v="LEANDRO SILVA DE SOUZA"/>
    <s v="AJUDANTE EQ SERVICOS DIVERSOS"/>
    <x v="4"/>
    <d v="2020-02-13T00:00:00"/>
    <x v="2"/>
    <x v="0"/>
    <n v="38.289999999999964"/>
    <x v="0"/>
  </r>
  <r>
    <n v="116024"/>
    <s v="LEANDRO SOARES DA CRUZ"/>
    <s v="AJUDANTE EQ SERVICOS DIVERSOS"/>
    <x v="5"/>
    <d v="2021-01-11T00:00:00"/>
    <x v="0"/>
    <x v="0"/>
    <n v="0"/>
    <x v="0"/>
  </r>
  <r>
    <n v="112640"/>
    <s v="LEANDRO YASSUNORI DE OLIVEIRA"/>
    <s v="AJUDANTE DE MECANICO"/>
    <x v="2"/>
    <d v="2019-06-01T00:00:00"/>
    <x v="0"/>
    <x v="0"/>
    <n v="0"/>
    <x v="0"/>
  </r>
  <r>
    <n v="112649"/>
    <s v="LEMUEL DE OLIVEIRA BRANDAO"/>
    <s v="VARREDOR"/>
    <x v="3"/>
    <d v="2019-06-01T00:00:00"/>
    <x v="0"/>
    <x v="0"/>
    <n v="0"/>
    <x v="0"/>
  </r>
  <r>
    <n v="122088"/>
    <s v="LEONARDO APARECIDO DA SILVA"/>
    <s v="AJUDANTE EQ SERVICOS DIVERSOS"/>
    <x v="2"/>
    <d v="2023-05-15T00:00:00"/>
    <x v="0"/>
    <x v="0"/>
    <n v="0"/>
    <x v="0"/>
  </r>
  <r>
    <n v="112658"/>
    <s v="LEONARDO BARBOSA LOPES"/>
    <s v="MOTORISTA CAMINHAO"/>
    <x v="2"/>
    <d v="2019-06-01T00:00:00"/>
    <x v="0"/>
    <x v="2"/>
    <n v="-1016.96"/>
    <x v="2"/>
  </r>
  <r>
    <n v="119752"/>
    <s v="LEONARDO CESAR SOUZA DE OLIVEIRA"/>
    <s v="MENOR/JOVEM APRENDIZ"/>
    <x v="6"/>
    <d v="2022-06-22T00:00:00"/>
    <x v="3"/>
    <x v="4"/>
    <n v="0"/>
    <x v="0"/>
  </r>
  <r>
    <n v="113768"/>
    <s v="LEONARDO FRANCISCO DOS SANTOS"/>
    <s v="FISCAL DE TURMA PLENO"/>
    <x v="1"/>
    <d v="2019-06-06T00:00:00"/>
    <x v="0"/>
    <x v="0"/>
    <n v="0"/>
    <x v="0"/>
  </r>
  <r>
    <n v="114749"/>
    <s v="LEONARDO JOSE DA SILVA"/>
    <s v="AJUDANTE EQ SERVICOS DIVERSOS"/>
    <x v="5"/>
    <d v="2020-02-13T00:00:00"/>
    <x v="0"/>
    <x v="0"/>
    <n v="0"/>
    <x v="0"/>
  </r>
  <r>
    <n v="112667"/>
    <s v="LEONARDO NASCIMENTO ALVES"/>
    <s v="LAVADOR"/>
    <x v="2"/>
    <d v="2019-06-01T00:00:00"/>
    <x v="0"/>
    <x v="0"/>
    <n v="0"/>
    <x v="0"/>
  </r>
  <r>
    <n v="112677"/>
    <s v="LEONARDO PEREIRA DA SILVA"/>
    <s v="MOTORISTA CAMINHAO"/>
    <x v="2"/>
    <d v="2019-06-01T00:00:00"/>
    <x v="0"/>
    <x v="0"/>
    <n v="0"/>
    <x v="0"/>
  </r>
  <r>
    <n v="112682"/>
    <s v="LEONDINEI VAZ"/>
    <s v="AJUDANTE EQ SERVICOS DIVERSOS"/>
    <x v="3"/>
    <d v="2019-06-01T00:00:00"/>
    <x v="0"/>
    <x v="0"/>
    <n v="0"/>
    <x v="0"/>
  </r>
  <r>
    <n v="112684"/>
    <s v="LEONIDAS CORTES DOS SANTOS"/>
    <s v="VARREDOR"/>
    <x v="5"/>
    <d v="2019-06-01T00:00:00"/>
    <x v="0"/>
    <x v="0"/>
    <n v="0"/>
    <x v="0"/>
  </r>
  <r>
    <n v="112687"/>
    <s v="LESSIO RENOR DE FREITAS"/>
    <s v="VARREDOR"/>
    <x v="1"/>
    <d v="2019-06-01T00:00:00"/>
    <x v="0"/>
    <x v="0"/>
    <n v="0"/>
    <x v="0"/>
  </r>
  <r>
    <n v="112690"/>
    <s v="LETICIA FERREIRA DOS SANTOS"/>
    <s v="AJUDANTE EQ SERVICOS DIVERSOS"/>
    <x v="5"/>
    <d v="2019-06-01T00:00:00"/>
    <x v="0"/>
    <x v="5"/>
    <n v="-38.289999999999964"/>
    <x v="3"/>
  </r>
  <r>
    <n v="115814"/>
    <s v="LIGIA GOMES DA CRUZ"/>
    <s v="AGENTE AMBIENTAL"/>
    <x v="2"/>
    <d v="2020-11-19T00:00:00"/>
    <x v="15"/>
    <x v="17"/>
    <n v="0"/>
    <x v="1"/>
  </r>
  <r>
    <n v="114030"/>
    <s v="LILIANE ROSA FURTADO DA SILVA"/>
    <s v="AJUDANTE EQ SERVICOS DIVERSOS"/>
    <x v="3"/>
    <d v="2019-09-02T00:00:00"/>
    <x v="0"/>
    <x v="0"/>
    <n v="0"/>
    <x v="0"/>
  </r>
  <r>
    <n v="119643"/>
    <s v="LINDOMAR MOISES DA SILVA"/>
    <s v="AJUDANTE EQ SERVICOS DIVERSOS"/>
    <x v="1"/>
    <d v="2022-06-13T00:00:00"/>
    <x v="0"/>
    <x v="0"/>
    <n v="0"/>
    <x v="0"/>
  </r>
  <r>
    <n v="121949"/>
    <s v="LOHANA ARAUJO FIDELES"/>
    <s v="MENOR/JOVEM APRENDIZ"/>
    <x v="6"/>
    <d v="2023-04-24T00:00:00"/>
    <x v="3"/>
    <x v="4"/>
    <n v="0"/>
    <x v="0"/>
  </r>
  <r>
    <n v="116386"/>
    <s v="LORIVAL LOPES"/>
    <s v="MOTORISTA CAMINHAO"/>
    <x v="2"/>
    <d v="2021-05-12T00:00:00"/>
    <x v="0"/>
    <x v="0"/>
    <n v="0"/>
    <x v="0"/>
  </r>
  <r>
    <n v="112693"/>
    <s v="LOURIVAL CALADO DA SILVA"/>
    <s v="VARREDOR"/>
    <x v="0"/>
    <d v="2019-06-01T00:00:00"/>
    <x v="0"/>
    <x v="0"/>
    <n v="0"/>
    <x v="0"/>
  </r>
  <r>
    <n v="112694"/>
    <s v="LOURIVAL IDELFONSO"/>
    <s v="BUEIRISTA"/>
    <x v="0"/>
    <d v="2019-06-01T00:00:00"/>
    <x v="0"/>
    <x v="0"/>
    <n v="0"/>
    <x v="0"/>
  </r>
  <r>
    <n v="112699"/>
    <s v="LOURIVAL VALENTIM"/>
    <s v="VARREDOR"/>
    <x v="1"/>
    <d v="2019-06-01T00:00:00"/>
    <x v="0"/>
    <x v="0"/>
    <n v="0"/>
    <x v="0"/>
  </r>
  <r>
    <n v="119922"/>
    <s v="LUAN DE OLIVEIRA"/>
    <s v="AJUDANTE EQ SERVICOS DIVERSOS"/>
    <x v="2"/>
    <d v="2022-07-18T00:00:00"/>
    <x v="2"/>
    <x v="0"/>
    <n v="38.289999999999964"/>
    <x v="0"/>
  </r>
  <r>
    <n v="118060"/>
    <s v="LUCAS AMORIM DA SILVA DONIZETE"/>
    <s v="AJUDANTE EQ SERVICOS DIVERSOS"/>
    <x v="1"/>
    <d v="2022-01-06T00:00:00"/>
    <x v="2"/>
    <x v="0"/>
    <n v="38.289999999999964"/>
    <x v="0"/>
  </r>
  <r>
    <n v="112732"/>
    <s v="LUCAS DA SILVA LEITE"/>
    <s v="AJUDANTE EQ SERVICOS DIVERSOS"/>
    <x v="1"/>
    <d v="2019-06-01T00:00:00"/>
    <x v="0"/>
    <x v="0"/>
    <n v="0"/>
    <x v="0"/>
  </r>
  <r>
    <n v="112748"/>
    <s v="LUCAS GONCALVES DOS SANTOS"/>
    <s v="AJUDANTE EQ SERVICOS DIVERSOS"/>
    <x v="5"/>
    <d v="2019-06-01T00:00:00"/>
    <x v="0"/>
    <x v="0"/>
    <n v="0"/>
    <x v="0"/>
  </r>
  <r>
    <n v="112771"/>
    <s v="LUCAS SOUSA GAMA"/>
    <s v="MOTORISTA CAMINHAO"/>
    <x v="2"/>
    <d v="2019-06-01T00:00:00"/>
    <x v="0"/>
    <x v="0"/>
    <n v="0"/>
    <x v="0"/>
  </r>
  <r>
    <n v="112775"/>
    <s v="LUCIANA DE SOUZA EVANGELISTA DOS SANTOS"/>
    <s v="AJUDANTE EQ SERVICOS DIVERSOS"/>
    <x v="1"/>
    <d v="2019-06-01T00:00:00"/>
    <x v="0"/>
    <x v="0"/>
    <n v="0"/>
    <x v="0"/>
  </r>
  <r>
    <n v="119242"/>
    <s v="LUCIANA RODRIGUES DE ANDRADE"/>
    <s v="AUXILIAR DE DEPARTAMENTO PESSOAL"/>
    <x v="6"/>
    <d v="2022-04-07T00:00:00"/>
    <x v="0"/>
    <x v="0"/>
    <n v="0"/>
    <x v="3"/>
  </r>
  <r>
    <n v="112781"/>
    <s v="LUCIANO ALCIDES MOTA"/>
    <s v="BUEIRISTA"/>
    <x v="1"/>
    <d v="2019-06-01T00:00:00"/>
    <x v="0"/>
    <x v="0"/>
    <n v="0"/>
    <x v="0"/>
  </r>
  <r>
    <n v="122632"/>
    <s v="LUCIANO DE SOUSA AMORIM"/>
    <s v="MOTORISTA CAMINHAO"/>
    <x v="2"/>
    <d v="2023-08-07T00:00:00"/>
    <x v="16"/>
    <x v="0"/>
    <n v="-828.63000000000011"/>
    <x v="0"/>
  </r>
  <r>
    <n v="114527"/>
    <s v="LUCIANO FRANCISCO DOS SANTOS"/>
    <s v="VARREDOR"/>
    <x v="1"/>
    <d v="2019-12-14T00:00:00"/>
    <x v="0"/>
    <x v="0"/>
    <n v="0"/>
    <x v="0"/>
  </r>
  <r>
    <n v="112803"/>
    <s v="LUCIANO GOUVEIA BARBOZA"/>
    <s v="VARREDOR"/>
    <x v="1"/>
    <d v="2019-06-01T00:00:00"/>
    <x v="0"/>
    <x v="0"/>
    <n v="0"/>
    <x v="0"/>
  </r>
  <r>
    <n v="112809"/>
    <s v="LUCIANO HENRIQUE REIS DAMACENA"/>
    <s v="AJUDANTE EQ SERVICOS DIVERSOS"/>
    <x v="3"/>
    <d v="2019-06-05T00:00:00"/>
    <x v="0"/>
    <x v="0"/>
    <n v="0"/>
    <x v="0"/>
  </r>
  <r>
    <n v="116980"/>
    <s v="LUCIANO ROBERTO DE OLIVEIRA"/>
    <s v="MOTORISTA CAMINHAO"/>
    <x v="2"/>
    <d v="2021-08-11T00:00:00"/>
    <x v="0"/>
    <x v="0"/>
    <n v="0"/>
    <x v="0"/>
  </r>
  <r>
    <n v="121317"/>
    <s v="LUCIANO RODRIGUES DE SOUZA"/>
    <s v="AJUDANTE EQ SERVICOS DIVERSOS"/>
    <x v="5"/>
    <d v="2023-01-19T00:00:00"/>
    <x v="0"/>
    <x v="5"/>
    <n v="-38.289999999999964"/>
    <x v="0"/>
  </r>
  <r>
    <n v="112813"/>
    <s v="LUCIANO SILVA DE OLIVEIRA"/>
    <s v="AJUDANTE EQ SERVICOS DIVERSOS"/>
    <x v="5"/>
    <d v="2019-06-01T00:00:00"/>
    <x v="0"/>
    <x v="0"/>
    <n v="0"/>
    <x v="0"/>
  </r>
  <r>
    <n v="112837"/>
    <s v="LUCICLEIDE DA SILVA"/>
    <s v="MOTORISTA CAMINHAO"/>
    <x v="2"/>
    <d v="2019-06-01T00:00:00"/>
    <x v="0"/>
    <x v="0"/>
    <n v="0"/>
    <x v="3"/>
  </r>
  <r>
    <n v="121687"/>
    <s v="LUCILENE MONTEIRO RODRIGUES"/>
    <s v="AJUDANTE EQ SERVICOS DIVERSOS"/>
    <x v="5"/>
    <d v="2023-03-09T00:00:00"/>
    <x v="0"/>
    <x v="0"/>
    <n v="0"/>
    <x v="0"/>
  </r>
  <r>
    <n v="112892"/>
    <s v="LUIS CARLOS MATOS DE ALMEIDA"/>
    <s v="AUXILIAR DE TRAFEGO"/>
    <x v="2"/>
    <d v="2019-06-01T00:00:00"/>
    <x v="0"/>
    <x v="0"/>
    <n v="0"/>
    <x v="3"/>
  </r>
  <r>
    <n v="112897"/>
    <s v="LUIS CARLOS RIBEIRO DA SILVA"/>
    <s v="VARREDOR"/>
    <x v="3"/>
    <d v="2019-06-01T00:00:00"/>
    <x v="0"/>
    <x v="0"/>
    <n v="0"/>
    <x v="0"/>
  </r>
  <r>
    <n v="112902"/>
    <s v="LUIS DOS SANTOS BURITI"/>
    <s v="AJUDANTE EQ SERVICOS DIVERSOS"/>
    <x v="3"/>
    <d v="2019-06-01T00:00:00"/>
    <x v="0"/>
    <x v="0"/>
    <n v="0"/>
    <x v="0"/>
  </r>
  <r>
    <n v="121955"/>
    <s v="LUIS HENRIQUE JERONIMO VIEIRA"/>
    <s v="AJUDANTE EQ SERVICOS DIVERSOS"/>
    <x v="3"/>
    <d v="2023-04-24T00:00:00"/>
    <x v="0"/>
    <x v="0"/>
    <n v="0"/>
    <x v="0"/>
  </r>
  <r>
    <n v="112906"/>
    <s v="LUIS LOPES DE SOUSA"/>
    <s v="VARREDOR"/>
    <x v="1"/>
    <d v="2019-06-01T00:00:00"/>
    <x v="0"/>
    <x v="0"/>
    <n v="0"/>
    <x v="0"/>
  </r>
  <r>
    <n v="112920"/>
    <s v="LUIZ ADALBERTO DA SILVA"/>
    <s v="MOTORISTA CAMINHAO"/>
    <x v="2"/>
    <d v="2019-06-11T00:00:00"/>
    <x v="0"/>
    <x v="0"/>
    <n v="0"/>
    <x v="0"/>
  </r>
  <r>
    <n v="112975"/>
    <s v="LUIZ ANTONIO DO AMARANTE SOUSA"/>
    <s v="ENCARREGADO DE TRAFEGO II"/>
    <x v="2"/>
    <d v="2019-06-01T00:00:00"/>
    <x v="0"/>
    <x v="0"/>
    <n v="0"/>
    <x v="0"/>
  </r>
  <r>
    <n v="122235"/>
    <s v="LUIZ CARLOS DE OLIVEIRA"/>
    <s v="MOTORISTA CAMINHAO"/>
    <x v="2"/>
    <d v="2023-06-12T00:00:00"/>
    <x v="0"/>
    <x v="0"/>
    <n v="0"/>
    <x v="0"/>
  </r>
  <r>
    <n v="112996"/>
    <s v="LUIZ CLAUDIO CORREIA DA SILVA"/>
    <s v="VARREDOR"/>
    <x v="3"/>
    <d v="2019-06-01T00:00:00"/>
    <x v="0"/>
    <x v="0"/>
    <n v="0"/>
    <x v="0"/>
  </r>
  <r>
    <n v="113002"/>
    <s v="LUIZ DONIZETI DA SILVA"/>
    <s v="VARREDOR"/>
    <x v="1"/>
    <d v="2019-06-01T00:00:00"/>
    <x v="0"/>
    <x v="0"/>
    <n v="0"/>
    <x v="0"/>
  </r>
  <r>
    <n v="119924"/>
    <s v="LUIZ FELIPE DA SILVA"/>
    <s v="AJUDANTE EQ SERVICOS DIVERSOS"/>
    <x v="2"/>
    <d v="2022-07-18T00:00:00"/>
    <x v="2"/>
    <x v="0"/>
    <n v="38.289999999999964"/>
    <x v="0"/>
  </r>
  <r>
    <n v="113024"/>
    <s v="LUIZ FERNANDO DA SILVA"/>
    <s v="BUEIRISTA"/>
    <x v="1"/>
    <d v="2019-06-01T00:00:00"/>
    <x v="0"/>
    <x v="0"/>
    <n v="0"/>
    <x v="3"/>
  </r>
  <r>
    <n v="113033"/>
    <s v="LUIZ FRANCISCO DE MATOS"/>
    <s v="MOTORISTA CAMINHAO"/>
    <x v="2"/>
    <d v="2019-06-01T00:00:00"/>
    <x v="0"/>
    <x v="0"/>
    <n v="0"/>
    <x v="3"/>
  </r>
  <r>
    <n v="116006"/>
    <s v="LUIZ HENRIQUE SANTOS DE OLIVEIRA"/>
    <s v="AJUDANTE EQ SERVICOS DIVERSOS"/>
    <x v="1"/>
    <d v="2021-01-11T00:00:00"/>
    <x v="0"/>
    <x v="0"/>
    <n v="0"/>
    <x v="0"/>
  </r>
  <r>
    <n v="113042"/>
    <s v="LUIZ HENRIQUE SILVA BRAGA"/>
    <s v="AJUDANTE EQ SERVICOS DIVERSOS"/>
    <x v="1"/>
    <d v="2019-06-01T00:00:00"/>
    <x v="0"/>
    <x v="0"/>
    <n v="0"/>
    <x v="0"/>
  </r>
  <r>
    <n v="117247"/>
    <s v="LUIZ MORGADO"/>
    <s v="ENCARREGADO DE TURMA"/>
    <x v="5"/>
    <d v="2021-10-18T00:00:00"/>
    <x v="0"/>
    <x v="0"/>
    <n v="0"/>
    <x v="0"/>
  </r>
  <r>
    <n v="116321"/>
    <s v="LUIZ PAULO WANDERLEY DE CARVALHO"/>
    <s v="AJUDANTE EQ SERVICOS DIVERSOS"/>
    <x v="1"/>
    <d v="2021-04-22T00:00:00"/>
    <x v="0"/>
    <x v="0"/>
    <n v="0"/>
    <x v="0"/>
  </r>
  <r>
    <n v="113055"/>
    <s v="LUIZ RODRIGUES DE SOUZA"/>
    <s v="VARREDOR"/>
    <x v="0"/>
    <d v="2019-06-01T00:00:00"/>
    <x v="0"/>
    <x v="0"/>
    <n v="0"/>
    <x v="0"/>
  </r>
  <r>
    <n v="113073"/>
    <s v="MAGNOBALDO PEREIRA SANTOS"/>
    <s v="VARREDOR"/>
    <x v="1"/>
    <d v="2019-06-01T00:00:00"/>
    <x v="0"/>
    <x v="0"/>
    <n v="0"/>
    <x v="0"/>
  </r>
  <r>
    <n v="121855"/>
    <s v="MAIKE SANTOS NASCIMENTO"/>
    <s v="AJUDANTE EQ SERVICOS DIVERSOS"/>
    <x v="5"/>
    <d v="2023-04-06T00:00:00"/>
    <x v="0"/>
    <x v="0"/>
    <n v="0"/>
    <x v="0"/>
  </r>
  <r>
    <n v="113095"/>
    <s v="MANACES ALVES CORREIA"/>
    <s v="FISCAL DE TURMA PLENO"/>
    <x v="5"/>
    <d v="2019-06-01T00:00:00"/>
    <x v="0"/>
    <x v="0"/>
    <n v="0"/>
    <x v="0"/>
  </r>
  <r>
    <n v="113101"/>
    <s v="MANOEL ARAUJO DE BARROS"/>
    <s v="AJUDANTE EQ SERVICOS DIVERSOS"/>
    <x v="3"/>
    <d v="2019-06-01T00:00:00"/>
    <x v="0"/>
    <x v="0"/>
    <n v="0"/>
    <x v="0"/>
  </r>
  <r>
    <n v="113106"/>
    <s v="MANOEL BELARMINO DA SILVA"/>
    <s v="VARREDOR"/>
    <x v="1"/>
    <d v="2019-06-01T00:00:00"/>
    <x v="0"/>
    <x v="0"/>
    <n v="0"/>
    <x v="0"/>
  </r>
  <r>
    <n v="113110"/>
    <s v="MANOEL CARLOS DA SILVA FIGUEIREDO"/>
    <s v="VARREDOR"/>
    <x v="3"/>
    <d v="2019-06-01T00:00:00"/>
    <x v="0"/>
    <x v="0"/>
    <n v="0"/>
    <x v="0"/>
  </r>
  <r>
    <n v="113116"/>
    <s v="MANOEL CARLOS DE SOUZA COSTA"/>
    <s v="VARREDOR"/>
    <x v="5"/>
    <d v="2019-06-01T00:00:00"/>
    <x v="0"/>
    <x v="0"/>
    <n v="0"/>
    <x v="0"/>
  </r>
  <r>
    <n v="113122"/>
    <s v="MANOEL DE ASSIS DA SILVA"/>
    <s v="VARREDOR"/>
    <x v="1"/>
    <d v="2019-06-01T00:00:00"/>
    <x v="0"/>
    <x v="0"/>
    <n v="0"/>
    <x v="0"/>
  </r>
  <r>
    <n v="113127"/>
    <s v="MANOEL DOS SANTOS DE LIRA TEIXEIRA"/>
    <s v="VARREDOR"/>
    <x v="5"/>
    <d v="2019-06-01T00:00:00"/>
    <x v="0"/>
    <x v="0"/>
    <n v="0"/>
    <x v="3"/>
  </r>
  <r>
    <n v="113137"/>
    <s v="MANOEL FRANCISCO DA SILVA HEMEL"/>
    <s v="COLETOR"/>
    <x v="2"/>
    <d v="2019-06-01T00:00:00"/>
    <x v="0"/>
    <x v="0"/>
    <n v="0"/>
    <x v="0"/>
  </r>
  <r>
    <n v="113140"/>
    <s v="MANOEL HENRIQUE CONCEICAO"/>
    <s v="VARREDOR"/>
    <x v="1"/>
    <d v="2019-06-01T00:00:00"/>
    <x v="0"/>
    <x v="0"/>
    <n v="0"/>
    <x v="0"/>
  </r>
  <r>
    <n v="113142"/>
    <s v="MANOEL JOSE DO NASCIMENTO JUNIOR"/>
    <s v="COLETOR"/>
    <x v="2"/>
    <d v="2019-06-01T00:00:00"/>
    <x v="0"/>
    <x v="0"/>
    <n v="0"/>
    <x v="0"/>
  </r>
  <r>
    <n v="113146"/>
    <s v="MANOEL MESSIAS DA CONCEICAO"/>
    <s v="VARREDOR"/>
    <x v="5"/>
    <d v="2019-06-01T00:00:00"/>
    <x v="0"/>
    <x v="0"/>
    <n v="0"/>
    <x v="0"/>
  </r>
  <r>
    <n v="113149"/>
    <s v="MANOEL MESSIAS DE BRITO"/>
    <s v="VARREDOR"/>
    <x v="0"/>
    <d v="2019-06-01T00:00:00"/>
    <x v="0"/>
    <x v="0"/>
    <n v="0"/>
    <x v="0"/>
  </r>
  <r>
    <n v="113155"/>
    <s v="MANOEL OLIVEIRA NETO"/>
    <s v="MOTORISTA CAMINHAO"/>
    <x v="2"/>
    <d v="2019-06-01T00:00:00"/>
    <x v="0"/>
    <x v="0"/>
    <n v="0"/>
    <x v="0"/>
  </r>
  <r>
    <n v="113167"/>
    <s v="MANOEL PEREIRA DA SILVA"/>
    <s v="VARREDOR"/>
    <x v="1"/>
    <d v="2019-06-01T00:00:00"/>
    <x v="0"/>
    <x v="0"/>
    <n v="0"/>
    <x v="0"/>
  </r>
  <r>
    <n v="113169"/>
    <s v="MANOEL PEREIRA DOS SANTOS"/>
    <s v="VARREDOR"/>
    <x v="0"/>
    <d v="2019-06-01T00:00:00"/>
    <x v="0"/>
    <x v="0"/>
    <n v="0"/>
    <x v="0"/>
  </r>
  <r>
    <n v="113172"/>
    <s v="MANOEL SILVA MENDES"/>
    <s v="VARREDOR"/>
    <x v="1"/>
    <d v="2019-06-01T00:00:00"/>
    <x v="0"/>
    <x v="0"/>
    <n v="0"/>
    <x v="0"/>
  </r>
  <r>
    <n v="113177"/>
    <s v="MANUELITO PEREIRA DA SILVA"/>
    <s v="VARREDOR"/>
    <x v="5"/>
    <d v="2019-06-01T00:00:00"/>
    <x v="0"/>
    <x v="0"/>
    <n v="0"/>
    <x v="0"/>
  </r>
  <r>
    <n v="113185"/>
    <s v="MARCELO APARECIDO FONSECA"/>
    <s v="MOTORISTA CAMINHAO"/>
    <x v="2"/>
    <d v="2019-06-01T00:00:00"/>
    <x v="0"/>
    <x v="0"/>
    <n v="0"/>
    <x v="0"/>
  </r>
  <r>
    <n v="113189"/>
    <s v="MARCELO CALIXTO DE GOUVEIA"/>
    <s v="COLETOR"/>
    <x v="2"/>
    <d v="2019-06-01T00:00:00"/>
    <x v="0"/>
    <x v="0"/>
    <n v="0"/>
    <x v="0"/>
  </r>
  <r>
    <n v="113720"/>
    <s v="MARCELO CANDIDO DOS SANTOS"/>
    <s v="ASSISTENTE DE DEPARTAMENTO PESSOAL"/>
    <x v="6"/>
    <d v="2019-06-03T00:00:00"/>
    <x v="0"/>
    <x v="0"/>
    <n v="0"/>
    <x v="0"/>
  </r>
  <r>
    <n v="113198"/>
    <s v="MARCELO COSTA RODRIGUES"/>
    <s v="FISCAL DE TURMA PLENO"/>
    <x v="0"/>
    <d v="2019-06-01T00:00:00"/>
    <x v="0"/>
    <x v="0"/>
    <n v="0"/>
    <x v="0"/>
  </r>
  <r>
    <n v="113203"/>
    <s v="MARCELO DA CONCEICAO OLIVEIRA"/>
    <s v="AJUDANTE EQ SERVICOS DIVERSOS"/>
    <x v="1"/>
    <d v="2019-06-01T00:00:00"/>
    <x v="0"/>
    <x v="0"/>
    <n v="0"/>
    <x v="0"/>
  </r>
  <r>
    <n v="114726"/>
    <s v="MARCELO DE OLIVEIRA FELIPE"/>
    <s v="AJUDANTE EQ SERVICOS DIVERSOS"/>
    <x v="1"/>
    <d v="2020-02-13T00:00:00"/>
    <x v="0"/>
    <x v="0"/>
    <n v="0"/>
    <x v="0"/>
  </r>
  <r>
    <n v="113205"/>
    <s v="MARCELO DE PAULA VIEIRA DA SILVA"/>
    <s v="VARREDOR"/>
    <x v="1"/>
    <d v="2019-06-01T00:00:00"/>
    <x v="0"/>
    <x v="0"/>
    <n v="0"/>
    <x v="0"/>
  </r>
  <r>
    <n v="115399"/>
    <s v="MARCELO DE SOUZA JACO DOS SANTOS"/>
    <s v="AJUDANTE EQ SERVICOS DIVERSOS"/>
    <x v="1"/>
    <d v="2020-08-05T00:00:00"/>
    <x v="0"/>
    <x v="0"/>
    <n v="0"/>
    <x v="0"/>
  </r>
  <r>
    <n v="113208"/>
    <s v="MARCELO DOS SANTOS SANTANA"/>
    <s v="VARREDOR"/>
    <x v="0"/>
    <d v="2019-06-01T00:00:00"/>
    <x v="0"/>
    <x v="0"/>
    <n v="0"/>
    <x v="0"/>
  </r>
  <r>
    <n v="117362"/>
    <s v="MARCELO FEITOZA SANTOS"/>
    <s v="MOTORISTA CAMINHAO"/>
    <x v="2"/>
    <d v="2021-11-08T00:00:00"/>
    <x v="0"/>
    <x v="0"/>
    <n v="0"/>
    <x v="0"/>
  </r>
  <r>
    <n v="113217"/>
    <s v="MARCELO JOSE DE ANDRADE"/>
    <s v="AJUDANTE EQ SERVICOS DIVERSOS"/>
    <x v="5"/>
    <d v="2019-06-01T00:00:00"/>
    <x v="2"/>
    <x v="0"/>
    <n v="38.289999999999964"/>
    <x v="0"/>
  </r>
  <r>
    <n v="113227"/>
    <s v="MARCELO MARLOS EVANGELISTA"/>
    <s v="MOTORISTA CAMINHAO"/>
    <x v="2"/>
    <d v="2019-06-01T00:00:00"/>
    <x v="0"/>
    <x v="0"/>
    <n v="0"/>
    <x v="0"/>
  </r>
  <r>
    <n v="122831"/>
    <s v="MARCELO PEREIRA DOS SANTOS"/>
    <s v="AJUDANTE EQ SERVICOS DIVERSOS"/>
    <x v="1"/>
    <d v="2023-09-11T00:00:00"/>
    <x v="5"/>
    <x v="0"/>
    <n v="1016.96"/>
    <x v="4"/>
  </r>
  <r>
    <n v="115220"/>
    <s v="MARCELO ROBERTO DE OLIVEIRA"/>
    <s v="AJUDANTE EQ SERVICOS DIVERSOS"/>
    <x v="3"/>
    <d v="2020-07-06T00:00:00"/>
    <x v="0"/>
    <x v="0"/>
    <n v="0"/>
    <x v="0"/>
  </r>
  <r>
    <n v="118641"/>
    <s v="MARCELO SILVA"/>
    <s v="AJUDANTE EQ SERVICOS DIVERSOS"/>
    <x v="1"/>
    <d v="2022-01-21T00:00:00"/>
    <x v="0"/>
    <x v="0"/>
    <n v="0"/>
    <x v="0"/>
  </r>
  <r>
    <n v="114034"/>
    <s v="MARCELO SILVA DE OLIVEIRA"/>
    <s v="FISCAL DE TURMA PLENO"/>
    <x v="5"/>
    <d v="2019-09-02T00:00:00"/>
    <x v="0"/>
    <x v="0"/>
    <n v="0"/>
    <x v="0"/>
  </r>
  <r>
    <n v="118050"/>
    <s v="MARCELO VINICIUS SILVA SANTOS"/>
    <s v="AJUDANTE EQ SERVICOS DIVERSOS"/>
    <x v="1"/>
    <d v="2022-01-06T00:00:00"/>
    <x v="0"/>
    <x v="0"/>
    <n v="0"/>
    <x v="0"/>
  </r>
  <r>
    <n v="122082"/>
    <s v="MARCIA DORNELES"/>
    <s v="AJUDANTE EQ SERVICOS DIVERSOS"/>
    <x v="0"/>
    <d v="2023-05-15T00:00:00"/>
    <x v="0"/>
    <x v="0"/>
    <n v="0"/>
    <x v="0"/>
  </r>
  <r>
    <n v="113237"/>
    <s v="MARCIMINO CAMPOS DA SILVA"/>
    <s v="VARREDOR"/>
    <x v="5"/>
    <d v="2019-06-01T00:00:00"/>
    <x v="0"/>
    <x v="0"/>
    <n v="0"/>
    <x v="0"/>
  </r>
  <r>
    <n v="113242"/>
    <s v="MARCIO DE JESUS TAMEIRAO"/>
    <s v="AJUDANTE EQ SERVICOS DIVERSOS"/>
    <x v="0"/>
    <d v="2019-06-01T00:00:00"/>
    <x v="0"/>
    <x v="0"/>
    <n v="0"/>
    <x v="0"/>
  </r>
  <r>
    <n v="113244"/>
    <s v="MARCIO JOSE COELHO"/>
    <s v="VARREDOR"/>
    <x v="1"/>
    <d v="2019-06-01T00:00:00"/>
    <x v="0"/>
    <x v="0"/>
    <n v="0"/>
    <x v="0"/>
  </r>
  <r>
    <n v="116228"/>
    <s v="MARCIO JOSE DE LIMA BARBOSA"/>
    <s v="AJUDANTE EQ SERVICOS DIVERSOS"/>
    <x v="0"/>
    <d v="2021-03-18T00:00:00"/>
    <x v="0"/>
    <x v="0"/>
    <n v="0"/>
    <x v="0"/>
  </r>
  <r>
    <n v="113250"/>
    <s v="MARCIO MIGUEL DE GODOY"/>
    <s v="AJUDANTE EQ SERVICOS DIVERSOS"/>
    <x v="5"/>
    <d v="2019-06-01T00:00:00"/>
    <x v="0"/>
    <x v="0"/>
    <n v="0"/>
    <x v="0"/>
  </r>
  <r>
    <n v="119930"/>
    <s v="MARCIO ROBERTO CORREA"/>
    <s v="AJUDANTE EQ SERVICOS DIVERSOS"/>
    <x v="1"/>
    <d v="2022-07-18T00:00:00"/>
    <x v="0"/>
    <x v="0"/>
    <n v="0"/>
    <x v="0"/>
  </r>
  <r>
    <n v="113263"/>
    <s v="MARCIO ROGERIO DA SILVA MARTINS"/>
    <s v="VARREDOR"/>
    <x v="5"/>
    <d v="2019-06-01T00:00:00"/>
    <x v="0"/>
    <x v="0"/>
    <n v="0"/>
    <x v="0"/>
  </r>
  <r>
    <n v="113650"/>
    <s v="MARCO ANTONIO DA SILVA"/>
    <s v="COLETOR"/>
    <x v="2"/>
    <d v="2019-06-01T00:00:00"/>
    <x v="0"/>
    <x v="0"/>
    <n v="0"/>
    <x v="3"/>
  </r>
  <r>
    <n v="113273"/>
    <s v="MARCO ANTONIO MARTINS"/>
    <s v="COLETOR"/>
    <x v="2"/>
    <d v="2019-06-01T00:00:00"/>
    <x v="0"/>
    <x v="0"/>
    <n v="0"/>
    <x v="0"/>
  </r>
  <r>
    <n v="113276"/>
    <s v="MARCO AURELIO FREITAS PACHECO"/>
    <s v="AJUDANTE EQ SERVICOS DIVERSOS"/>
    <x v="5"/>
    <d v="2019-06-01T00:00:00"/>
    <x v="0"/>
    <x v="0"/>
    <n v="0"/>
    <x v="0"/>
  </r>
  <r>
    <n v="113279"/>
    <s v="MARCOS ALEXANDRE FERREIRA CARVALHO"/>
    <s v="MECANICO II"/>
    <x v="2"/>
    <d v="2019-06-01T00:00:00"/>
    <x v="0"/>
    <x v="0"/>
    <n v="0"/>
    <x v="3"/>
  </r>
  <r>
    <n v="113282"/>
    <s v="MARCOS ALVES DA SILVA"/>
    <s v="MOTORISTA CAMINHAO"/>
    <x v="2"/>
    <d v="2019-06-01T00:00:00"/>
    <x v="0"/>
    <x v="0"/>
    <n v="0"/>
    <x v="3"/>
  </r>
  <r>
    <n v="114641"/>
    <s v="MARCOS ANTONIO BERNARDINO DE SENA"/>
    <s v="MOTORISTA CAMINHAO"/>
    <x v="2"/>
    <d v="2020-01-20T00:00:00"/>
    <x v="0"/>
    <x v="0"/>
    <n v="0"/>
    <x v="0"/>
  </r>
  <r>
    <n v="113286"/>
    <s v="MARCOS AURELIO DA COSTA MONTEIRO"/>
    <s v="COLETOR"/>
    <x v="2"/>
    <d v="2019-06-01T00:00:00"/>
    <x v="0"/>
    <x v="0"/>
    <n v="0"/>
    <x v="0"/>
  </r>
  <r>
    <n v="121315"/>
    <s v="MARCOS AURELIO LUIZ"/>
    <s v="VARREDOR"/>
    <x v="4"/>
    <d v="2023-01-19T00:00:00"/>
    <x v="0"/>
    <x v="0"/>
    <n v="0"/>
    <x v="0"/>
  </r>
  <r>
    <n v="114757"/>
    <s v="MARCOS BRITO DA SILVA"/>
    <s v="MOTORISTA CAMINHAO"/>
    <x v="2"/>
    <d v="2020-02-13T00:00:00"/>
    <x v="0"/>
    <x v="0"/>
    <n v="0"/>
    <x v="0"/>
  </r>
  <r>
    <n v="114267"/>
    <s v="MARCOS CAIQUE DE SOUZA SANTOS"/>
    <s v="AJUDANTE EQ SERVICOS DIVERSOS"/>
    <x v="1"/>
    <d v="2019-12-05T00:00:00"/>
    <x v="0"/>
    <x v="0"/>
    <n v="0"/>
    <x v="0"/>
  </r>
  <r>
    <n v="113292"/>
    <s v="MARCOS DAMIAO MARCONDES"/>
    <s v="VARREDOR"/>
    <x v="3"/>
    <d v="2019-06-01T00:00:00"/>
    <x v="0"/>
    <x v="0"/>
    <n v="0"/>
    <x v="0"/>
  </r>
  <r>
    <n v="113294"/>
    <s v="MARCOS DE PAULA PRADO"/>
    <s v="VARREDOR"/>
    <x v="0"/>
    <d v="2019-06-01T00:00:00"/>
    <x v="0"/>
    <x v="0"/>
    <n v="0"/>
    <x v="0"/>
  </r>
  <r>
    <n v="113313"/>
    <s v="MARCOS FRANCISCO DA SILVA"/>
    <s v="AJUDANTE EQ SERVICOS DIVERSOS"/>
    <x v="1"/>
    <d v="2019-06-01T00:00:00"/>
    <x v="2"/>
    <x v="0"/>
    <n v="38.289999999999964"/>
    <x v="0"/>
  </r>
  <r>
    <n v="122827"/>
    <s v="MARCOS JEFFERSON ALAOR JESUS DE SOUZA"/>
    <s v="AJUDANTE EQ SERVICOS DIVERSOS"/>
    <x v="3"/>
    <d v="2023-09-11T00:00:00"/>
    <x v="5"/>
    <x v="0"/>
    <n v="1016.96"/>
    <x v="4"/>
  </r>
  <r>
    <n v="119126"/>
    <s v="MARCOS JOSE DA SILVA"/>
    <s v="MOTORISTA CAMINHAO"/>
    <x v="2"/>
    <d v="2022-03-10T00:00:00"/>
    <x v="0"/>
    <x v="0"/>
    <n v="0"/>
    <x v="0"/>
  </r>
  <r>
    <n v="118993"/>
    <s v="MARCOS MARCIO ROCHA SANTOS"/>
    <s v="SOLDADOR"/>
    <x v="2"/>
    <d v="2022-02-21T00:00:00"/>
    <x v="0"/>
    <x v="0"/>
    <n v="0"/>
    <x v="0"/>
  </r>
  <r>
    <n v="114254"/>
    <s v="MARCOS PAIVA DA SILVA"/>
    <s v="VARREDOR"/>
    <x v="1"/>
    <d v="2019-12-05T00:00:00"/>
    <x v="0"/>
    <x v="0"/>
    <n v="0"/>
    <x v="0"/>
  </r>
  <r>
    <n v="113324"/>
    <s v="MARCOS PEREIRA MARINHO"/>
    <s v="VARREDOR"/>
    <x v="1"/>
    <d v="2019-06-01T00:00:00"/>
    <x v="0"/>
    <x v="0"/>
    <n v="0"/>
    <x v="0"/>
  </r>
  <r>
    <n v="122418"/>
    <s v="MARCOS ROBERTO DA SILVA"/>
    <s v="MOTORISTA CAMINHAO"/>
    <x v="2"/>
    <d v="2023-07-10T00:00:00"/>
    <x v="0"/>
    <x v="0"/>
    <n v="0"/>
    <x v="0"/>
  </r>
  <r>
    <n v="113329"/>
    <s v="MARCOS ROBERTO DE CARVALHO"/>
    <s v="VARREDOR"/>
    <x v="4"/>
    <d v="2019-06-01T00:00:00"/>
    <x v="0"/>
    <x v="0"/>
    <n v="0"/>
    <x v="0"/>
  </r>
  <r>
    <n v="114934"/>
    <s v="MARCOS SANTANA DE JESUS"/>
    <s v="AUXILIAR DE CHECK LIST"/>
    <x v="2"/>
    <d v="2020-03-26T00:00:00"/>
    <x v="0"/>
    <x v="0"/>
    <n v="0"/>
    <x v="3"/>
  </r>
  <r>
    <n v="113337"/>
    <s v="MARCOS SANTOS DA SILVA"/>
    <s v="AJUDANTE EQ SERVICOS DIVERSOS"/>
    <x v="5"/>
    <d v="2019-06-01T00:00:00"/>
    <x v="0"/>
    <x v="0"/>
    <n v="0"/>
    <x v="0"/>
  </r>
  <r>
    <n v="113342"/>
    <s v="MARCOS TADEU NERI"/>
    <s v="AJUDANTE EQ SERVICOS DIVERSOS"/>
    <x v="5"/>
    <d v="2019-06-01T00:00:00"/>
    <x v="0"/>
    <x v="0"/>
    <n v="0"/>
    <x v="0"/>
  </r>
  <r>
    <n v="118995"/>
    <s v="MARCUS HENRIQUE PLACIDO LISBOA"/>
    <s v="MOTORISTA CAMINHAO"/>
    <x v="2"/>
    <d v="2022-02-21T00:00:00"/>
    <x v="0"/>
    <x v="0"/>
    <n v="0"/>
    <x v="0"/>
  </r>
  <r>
    <n v="113721"/>
    <s v="MARCUS VINICIUS PIRES"/>
    <s v="AUXILIAR ADMINISTRATIVO"/>
    <x v="3"/>
    <d v="2019-06-03T00:00:00"/>
    <x v="0"/>
    <x v="0"/>
    <n v="0"/>
    <x v="0"/>
  </r>
  <r>
    <n v="113783"/>
    <s v="MARIA APARECIDA NOBRE CAVALCANTE"/>
    <s v="AUXILIAR DE PLANEJAMENTO OPERACIONAL"/>
    <x v="2"/>
    <d v="2019-06-08T00:00:00"/>
    <x v="0"/>
    <x v="0"/>
    <n v="0"/>
    <x v="0"/>
  </r>
  <r>
    <n v="112193"/>
    <s v="MARIA APARECIDA RIBEIRO DIAS"/>
    <s v="AJUDANTE EQ SERVICOS DIVERSOS"/>
    <x v="5"/>
    <d v="2019-06-01T00:00:00"/>
    <x v="0"/>
    <x v="0"/>
    <n v="0"/>
    <x v="0"/>
  </r>
  <r>
    <n v="122254"/>
    <s v="MARIA APARECIDA VIEIRA ALEXANDRE"/>
    <s v="AUXILIAR DE CONTROLE OPERACIONAL"/>
    <x v="2"/>
    <d v="2023-06-12T00:00:00"/>
    <x v="0"/>
    <x v="0"/>
    <n v="0"/>
    <x v="0"/>
  </r>
  <r>
    <n v="117414"/>
    <s v="MARIA CELIA DE JESUS PEREIRA"/>
    <s v="VARREDOR"/>
    <x v="5"/>
    <d v="2021-11-22T00:00:00"/>
    <x v="0"/>
    <x v="0"/>
    <n v="0"/>
    <x v="0"/>
  </r>
  <r>
    <n v="112201"/>
    <s v="MARIA DA CONCEICAO DE SOUZA FELIX"/>
    <s v="AJUDANTE EQ SERVICOS DIVERSOS"/>
    <x v="5"/>
    <d v="2019-06-01T00:00:00"/>
    <x v="0"/>
    <x v="0"/>
    <n v="0"/>
    <x v="0"/>
  </r>
  <r>
    <n v="113778"/>
    <s v="MARIA DE FATIMA CORREIA DA SILVA"/>
    <s v="FISCAL DE TRAFEGO PLENO"/>
    <x v="1"/>
    <d v="2019-06-07T00:00:00"/>
    <x v="0"/>
    <x v="0"/>
    <n v="0"/>
    <x v="0"/>
  </r>
  <r>
    <n v="112230"/>
    <s v="MARIA DE FATIMA FARIAS DA SILVA"/>
    <s v="VARREDOR"/>
    <x v="1"/>
    <d v="2019-06-01T00:00:00"/>
    <x v="0"/>
    <x v="0"/>
    <n v="0"/>
    <x v="0"/>
  </r>
  <r>
    <n v="114106"/>
    <s v="MARIA ISABEL DA SILVA NUNES"/>
    <s v="AJUDANTE EQ SERVICOS DIVERSOS"/>
    <x v="5"/>
    <d v="2019-09-20T00:00:00"/>
    <x v="0"/>
    <x v="0"/>
    <n v="0"/>
    <x v="0"/>
  </r>
  <r>
    <n v="119672"/>
    <s v="MARIA JOSE DA SILVA NASCIMENTO"/>
    <s v="VARREDOR"/>
    <x v="1"/>
    <d v="2022-06-13T00:00:00"/>
    <x v="0"/>
    <x v="0"/>
    <n v="0"/>
    <x v="0"/>
  </r>
  <r>
    <n v="112240"/>
    <s v="MARIA JOSE MARTINS BRAGA"/>
    <s v="VARREDOR"/>
    <x v="1"/>
    <d v="2019-06-01T00:00:00"/>
    <x v="0"/>
    <x v="0"/>
    <n v="0"/>
    <x v="0"/>
  </r>
  <r>
    <n v="112262"/>
    <s v="MARIA MADALENA LIMA CARDOSO"/>
    <s v="AJUDANTE EQ SERVICOS DIVERSOS"/>
    <x v="1"/>
    <d v="2019-06-01T00:00:00"/>
    <x v="0"/>
    <x v="0"/>
    <n v="0"/>
    <x v="0"/>
  </r>
  <r>
    <n v="119742"/>
    <s v="MARIANA OLIVEIRA"/>
    <s v="AGENTE AMBIENTAL"/>
    <x v="2"/>
    <d v="2022-06-21T00:00:00"/>
    <x v="0"/>
    <x v="0"/>
    <n v="0"/>
    <x v="0"/>
  </r>
  <r>
    <n v="112277"/>
    <s v="MARINALDO FERREIRA DOS SANTOS"/>
    <s v="AJUDANTE EQ SERVICOS DIVERSOS"/>
    <x v="3"/>
    <d v="2019-06-01T00:00:00"/>
    <x v="0"/>
    <x v="0"/>
    <n v="0"/>
    <x v="0"/>
  </r>
  <r>
    <n v="112306"/>
    <s v="MARIO FERREIRA PACHECO"/>
    <s v="VARREDOR"/>
    <x v="5"/>
    <d v="2019-06-01T00:00:00"/>
    <x v="0"/>
    <x v="0"/>
    <n v="0"/>
    <x v="0"/>
  </r>
  <r>
    <n v="113675"/>
    <s v="MARIVALDO DOS SANTOS DA PAIXAO"/>
    <s v="AJUDANTE EQ SERVICOS DIVERSOS"/>
    <x v="0"/>
    <d v="2019-06-01T00:00:00"/>
    <x v="0"/>
    <x v="0"/>
    <n v="0"/>
    <x v="0"/>
  </r>
  <r>
    <n v="112373"/>
    <s v="MARLI MARIA FAGUNDES DE JESUS"/>
    <s v="AJUDANTE EQ SERVICOS DIVERSOS"/>
    <x v="1"/>
    <d v="2019-06-01T00:00:00"/>
    <x v="0"/>
    <x v="0"/>
    <n v="0"/>
    <x v="3"/>
  </r>
  <r>
    <n v="112380"/>
    <s v="MARTINHO DAMASCENA BRANDAO"/>
    <s v="VARREDOR"/>
    <x v="1"/>
    <d v="2019-06-01T00:00:00"/>
    <x v="0"/>
    <x v="0"/>
    <n v="0"/>
    <x v="0"/>
  </r>
  <r>
    <n v="112392"/>
    <s v="MARTINS TOMAZ DE MIRANDA"/>
    <s v="VARREDOR"/>
    <x v="1"/>
    <d v="2019-06-01T00:00:00"/>
    <x v="0"/>
    <x v="0"/>
    <n v="0"/>
    <x v="0"/>
  </r>
  <r>
    <n v="116719"/>
    <s v="MATHEUS BATISTA CELSO"/>
    <s v="VARREDOR"/>
    <x v="3"/>
    <d v="2021-06-21T00:00:00"/>
    <x v="6"/>
    <x v="0"/>
    <n v="114.85000000000002"/>
    <x v="0"/>
  </r>
  <r>
    <n v="112397"/>
    <s v="MATHEUS CASTRO SENA ROSA"/>
    <s v="VARREDOR"/>
    <x v="5"/>
    <d v="2019-06-01T00:00:00"/>
    <x v="0"/>
    <x v="0"/>
    <n v="0"/>
    <x v="0"/>
  </r>
  <r>
    <n v="112402"/>
    <s v="MATHEUS DANTAS"/>
    <s v="AJUDANTE EQ SERVICOS DIVERSOS"/>
    <x v="1"/>
    <d v="2019-06-01T00:00:00"/>
    <x v="0"/>
    <x v="0"/>
    <n v="0"/>
    <x v="0"/>
  </r>
  <r>
    <n v="112405"/>
    <s v="MATHEUS FERREIRA MACIEL"/>
    <s v="VARREDOR"/>
    <x v="3"/>
    <d v="2019-06-01T00:00:00"/>
    <x v="0"/>
    <x v="0"/>
    <n v="0"/>
    <x v="0"/>
  </r>
  <r>
    <n v="114928"/>
    <s v="MATHEUS SILVA DA CUNHA"/>
    <s v="AJUDANTE EQ SERVICOS DIVERSOS"/>
    <x v="2"/>
    <d v="2020-03-26T00:00:00"/>
    <x v="0"/>
    <x v="0"/>
    <n v="0"/>
    <x v="0"/>
  </r>
  <r>
    <n v="112445"/>
    <s v="MAURA GOMES DOS SANTOS CRUZ"/>
    <s v="VARREDOR"/>
    <x v="5"/>
    <d v="2019-06-01T00:00:00"/>
    <x v="0"/>
    <x v="0"/>
    <n v="0"/>
    <x v="0"/>
  </r>
  <r>
    <n v="121690"/>
    <s v="MAURICIO ALVES SOUZA"/>
    <s v="AUXILIAR ADMINISTRATIVO"/>
    <x v="6"/>
    <d v="2023-03-09T00:00:00"/>
    <x v="0"/>
    <x v="0"/>
    <n v="0"/>
    <x v="0"/>
  </r>
  <r>
    <n v="114272"/>
    <s v="MAURICIO CAMPOS DOS SANTOS"/>
    <s v="VARREDOR"/>
    <x v="5"/>
    <d v="2019-12-05T00:00:00"/>
    <x v="0"/>
    <x v="0"/>
    <n v="0"/>
    <x v="0"/>
  </r>
  <r>
    <n v="116713"/>
    <s v="MAURICIO DA LUZ SARDINHA"/>
    <s v="VARREDOR"/>
    <x v="0"/>
    <d v="2021-06-21T00:00:00"/>
    <x v="0"/>
    <x v="0"/>
    <n v="0"/>
    <x v="0"/>
  </r>
  <r>
    <n v="112453"/>
    <s v="MAURICIO MANOEL FEBRONIO"/>
    <s v="VARREDOR"/>
    <x v="0"/>
    <d v="2019-06-01T00:00:00"/>
    <x v="0"/>
    <x v="0"/>
    <n v="0"/>
    <x v="0"/>
  </r>
  <r>
    <n v="112469"/>
    <s v="MAURICIO SANTANA"/>
    <s v="VARREDOR"/>
    <x v="5"/>
    <d v="2019-06-01T00:00:00"/>
    <x v="0"/>
    <x v="0"/>
    <n v="0"/>
    <x v="0"/>
  </r>
  <r>
    <n v="112476"/>
    <s v="MAURO CESAR DA SILVA"/>
    <s v="ASSISTENTE ADMINISTRATIVO"/>
    <x v="6"/>
    <d v="2019-06-01T00:00:00"/>
    <x v="0"/>
    <x v="0"/>
    <n v="0"/>
    <x v="0"/>
  </r>
  <r>
    <n v="115012"/>
    <s v="MAURO JOSE DE JESUS SILVA"/>
    <s v="AJUDANTE EQ SERVICOS DIVERSOS"/>
    <x v="2"/>
    <d v="2020-04-09T00:00:00"/>
    <x v="17"/>
    <x v="10"/>
    <n v="76.560000000000059"/>
    <x v="0"/>
  </r>
  <r>
    <n v="114733"/>
    <s v="MAURO MIGUEL SATO DE LIMA"/>
    <s v="AJUDANTE EQ SERVICOS DIVERSOS"/>
    <x v="4"/>
    <d v="2020-02-13T00:00:00"/>
    <x v="2"/>
    <x v="5"/>
    <n v="0"/>
    <x v="0"/>
  </r>
  <r>
    <n v="116031"/>
    <s v="MAURO SERGIO DOS SANTOS MENDES"/>
    <s v="AJUDANTE EQ SERVICOS DIVERSOS"/>
    <x v="1"/>
    <d v="2021-01-11T00:00:00"/>
    <x v="0"/>
    <x v="0"/>
    <n v="0"/>
    <x v="0"/>
  </r>
  <r>
    <n v="116977"/>
    <s v="MAYCON KEVEN BRITO SILVA"/>
    <s v="AJUDANTE EQ SERVICOS DIVERSOS"/>
    <x v="2"/>
    <d v="2021-08-11T00:00:00"/>
    <x v="0"/>
    <x v="0"/>
    <n v="0"/>
    <x v="3"/>
  </r>
  <r>
    <n v="112492"/>
    <s v="MICHAEL DOMINGOS MACHADO SANTO"/>
    <s v="VARREDOR"/>
    <x v="3"/>
    <d v="2019-06-01T00:00:00"/>
    <x v="0"/>
    <x v="0"/>
    <n v="0"/>
    <x v="0"/>
  </r>
  <r>
    <n v="112497"/>
    <s v="MICHAEL DOUGLAS DOS SANTOS ALVES"/>
    <s v="AJUDANTE EQ SERVICOS DIVERSOS"/>
    <x v="5"/>
    <d v="2019-06-01T00:00:00"/>
    <x v="0"/>
    <x v="0"/>
    <n v="0"/>
    <x v="0"/>
  </r>
  <r>
    <n v="112578"/>
    <s v="MICHAEL JACKSON DE OLIVEIRA ALMEIDA"/>
    <s v="AJUDANTE EQ SERVICOS DIVERSOS"/>
    <x v="0"/>
    <d v="2019-06-01T00:00:00"/>
    <x v="0"/>
    <x v="0"/>
    <n v="0"/>
    <x v="0"/>
  </r>
  <r>
    <n v="119925"/>
    <s v="MICHAEL LUIS PEIXOTO DOS SANTOS"/>
    <s v="AJUDANTE EQ SERVICOS DIVERSOS"/>
    <x v="2"/>
    <d v="2022-07-18T00:00:00"/>
    <x v="0"/>
    <x v="0"/>
    <n v="0"/>
    <x v="0"/>
  </r>
  <r>
    <n v="112608"/>
    <s v="MICHEL ALBERTO LIMA DE SOUZA"/>
    <s v="MOTORISTA CAMINHAO"/>
    <x v="2"/>
    <d v="2019-06-01T00:00:00"/>
    <x v="0"/>
    <x v="0"/>
    <n v="0"/>
    <x v="0"/>
  </r>
  <r>
    <n v="121686"/>
    <s v="MICHEL ALVES PESSOA"/>
    <s v="AJUDANTE EQ SERVICOS DIVERSOS"/>
    <x v="5"/>
    <d v="2023-03-09T00:00:00"/>
    <x v="10"/>
    <x v="2"/>
    <n v="-863.83"/>
    <x v="2"/>
  </r>
  <r>
    <n v="122250"/>
    <s v="MICHEL ROGERIO SANTOS"/>
    <s v="AJUDANTE EQ SERVICOS DIVERSOS"/>
    <x v="2"/>
    <d v="2023-06-12T00:00:00"/>
    <x v="18"/>
    <x v="2"/>
    <n v="-634.14"/>
    <x v="2"/>
  </r>
  <r>
    <n v="116981"/>
    <s v="MICHELE APARECIDA GOMES"/>
    <s v="AJUDANTE EQ SERVICOS DIVERSOS"/>
    <x v="1"/>
    <d v="2021-08-11T00:00:00"/>
    <x v="0"/>
    <x v="0"/>
    <n v="0"/>
    <x v="0"/>
  </r>
  <r>
    <n v="112615"/>
    <s v="MIGUEL JOSE DOS SANTOS"/>
    <s v="VARREDOR"/>
    <x v="3"/>
    <d v="2019-06-01T00:00:00"/>
    <x v="0"/>
    <x v="0"/>
    <n v="0"/>
    <x v="0"/>
  </r>
  <r>
    <n v="112621"/>
    <s v="MIGUEL PEREIRA BARBOZA"/>
    <s v="AJUDANTE EQ SERVICOS DIVERSOS"/>
    <x v="2"/>
    <d v="2019-06-01T00:00:00"/>
    <x v="0"/>
    <x v="0"/>
    <n v="0"/>
    <x v="0"/>
  </r>
  <r>
    <n v="112635"/>
    <s v="MILTON DA SILVA REIS"/>
    <s v="VARREDOR"/>
    <x v="3"/>
    <d v="2019-06-01T00:00:00"/>
    <x v="0"/>
    <x v="0"/>
    <n v="0"/>
    <x v="0"/>
  </r>
  <r>
    <n v="112659"/>
    <s v="MILTON HONORIO DA SILVA"/>
    <s v="VARREDOR"/>
    <x v="5"/>
    <d v="2019-06-01T00:00:00"/>
    <x v="0"/>
    <x v="0"/>
    <n v="0"/>
    <x v="0"/>
  </r>
  <r>
    <n v="114750"/>
    <s v="MILTON MILET DE JESUS CASSEMIRO"/>
    <s v="AJUDANTE EQ SERVICOS DIVERSOS"/>
    <x v="1"/>
    <d v="2020-02-13T00:00:00"/>
    <x v="2"/>
    <x v="0"/>
    <n v="38.289999999999964"/>
    <x v="3"/>
  </r>
  <r>
    <n v="112669"/>
    <s v="MISSIMEIRE FERREIRA LIMA DOS SANTOS"/>
    <s v="VARREDOR"/>
    <x v="1"/>
    <d v="2019-06-01T00:00:00"/>
    <x v="0"/>
    <x v="0"/>
    <n v="0"/>
    <x v="0"/>
  </r>
  <r>
    <n v="112675"/>
    <s v="MOACY GONCALVES DE OLIVEIRA"/>
    <s v="VARREDOR"/>
    <x v="5"/>
    <d v="2019-06-01T00:00:00"/>
    <x v="0"/>
    <x v="0"/>
    <n v="0"/>
    <x v="0"/>
  </r>
  <r>
    <n v="112681"/>
    <s v="MOISES GOMES RODRIGUES"/>
    <s v="VARREDOR"/>
    <x v="5"/>
    <d v="2019-06-01T00:00:00"/>
    <x v="0"/>
    <x v="0"/>
    <n v="0"/>
    <x v="0"/>
  </r>
  <r>
    <n v="114231"/>
    <s v="MOISES MENDES DE QUEIROZ"/>
    <s v="FISCAL DE TURMA PLENO"/>
    <x v="0"/>
    <d v="2019-11-19T00:00:00"/>
    <x v="0"/>
    <x v="0"/>
    <n v="0"/>
    <x v="0"/>
  </r>
  <r>
    <n v="112692"/>
    <s v="MOISES SANTOS NOGUEIRA"/>
    <s v="VARREDOR"/>
    <x v="4"/>
    <d v="2019-06-01T00:00:00"/>
    <x v="0"/>
    <x v="0"/>
    <n v="0"/>
    <x v="0"/>
  </r>
  <r>
    <n v="113741"/>
    <s v="MONICA PAULA DA SILVA"/>
    <s v="COORDENADOR(A) DE COMUNICACAO"/>
    <x v="6"/>
    <d v="2019-06-03T00:00:00"/>
    <x v="0"/>
    <x v="0"/>
    <n v="0"/>
    <x v="0"/>
  </r>
  <r>
    <n v="113582"/>
    <s v="NACISIO JANUARIO DOS SANTOS"/>
    <s v="VARREDOR"/>
    <x v="1"/>
    <d v="2019-06-01T00:00:00"/>
    <x v="0"/>
    <x v="0"/>
    <n v="0"/>
    <x v="0"/>
  </r>
  <r>
    <n v="116718"/>
    <s v="NADIO BORBA DOS SANTOS"/>
    <s v="VARREDOR"/>
    <x v="0"/>
    <d v="2021-06-21T00:00:00"/>
    <x v="0"/>
    <x v="0"/>
    <n v="0"/>
    <x v="0"/>
  </r>
  <r>
    <n v="112703"/>
    <s v="NAILTON VIEIRA DOS SANTOS"/>
    <s v="VARREDOR"/>
    <x v="5"/>
    <d v="2019-06-01T00:00:00"/>
    <x v="0"/>
    <x v="0"/>
    <n v="0"/>
    <x v="0"/>
  </r>
  <r>
    <n v="114105"/>
    <s v="NATANAEL ALBINO DE OLIVEIRA"/>
    <s v="AJUDANTE EQ SERVICOS DIVERSOS"/>
    <x v="2"/>
    <d v="2019-09-20T00:00:00"/>
    <x v="0"/>
    <x v="0"/>
    <n v="0"/>
    <x v="0"/>
  </r>
  <r>
    <n v="114930"/>
    <s v="NATHALIA APARECIDA OLIVEIRA MENDES"/>
    <s v="AJUDANTE EQ SERVICOS DIVERSOS"/>
    <x v="5"/>
    <d v="2020-03-26T00:00:00"/>
    <x v="0"/>
    <x v="0"/>
    <n v="0"/>
    <x v="0"/>
  </r>
  <r>
    <n v="112718"/>
    <s v="NELSON BARBOSA"/>
    <s v="VARREDOR"/>
    <x v="3"/>
    <d v="2019-06-01T00:00:00"/>
    <x v="0"/>
    <x v="0"/>
    <n v="0"/>
    <x v="0"/>
  </r>
  <r>
    <n v="112731"/>
    <s v="NELSON DE OLIVEIRA"/>
    <s v="VARREDOR"/>
    <x v="3"/>
    <d v="2019-06-01T00:00:00"/>
    <x v="0"/>
    <x v="0"/>
    <n v="0"/>
    <x v="0"/>
  </r>
  <r>
    <n v="115447"/>
    <s v="NELSON NASCIMENTO DE OLIVEIRA JUNIOR"/>
    <s v="FISCAL DE TURMA PLENO"/>
    <x v="0"/>
    <d v="2020-08-19T00:00:00"/>
    <x v="0"/>
    <x v="0"/>
    <n v="0"/>
    <x v="0"/>
  </r>
  <r>
    <n v="112744"/>
    <s v="NELSON ROBERTO RIBEIRO DA SILVA"/>
    <s v="BUEIRISTA"/>
    <x v="5"/>
    <d v="2019-06-01T00:00:00"/>
    <x v="0"/>
    <x v="0"/>
    <n v="0"/>
    <x v="0"/>
  </r>
  <r>
    <n v="119928"/>
    <s v="NELZELITO EDEN DE SOUZA"/>
    <s v="AJUDANTE EQ SERVICOS DIVERSOS"/>
    <x v="2"/>
    <d v="2022-07-18T00:00:00"/>
    <x v="0"/>
    <x v="0"/>
    <n v="0"/>
    <x v="0"/>
  </r>
  <r>
    <n v="121319"/>
    <s v="NICOLAS RIBEIRO CIDRAL"/>
    <s v="AJUDANTE EQ SERVICOS DIVERSOS"/>
    <x v="1"/>
    <d v="2023-01-19T00:00:00"/>
    <x v="0"/>
    <x v="0"/>
    <n v="0"/>
    <x v="0"/>
  </r>
  <r>
    <n v="121025"/>
    <s v="NILSON CUSTODIO DE ALCANTARA"/>
    <s v="VARREDOR"/>
    <x v="3"/>
    <d v="2022-12-05T00:00:00"/>
    <x v="0"/>
    <x v="0"/>
    <n v="0"/>
    <x v="0"/>
  </r>
  <r>
    <n v="112761"/>
    <s v="NILSON DE FARIA"/>
    <s v="VARREDOR"/>
    <x v="5"/>
    <d v="2019-06-01T00:00:00"/>
    <x v="0"/>
    <x v="0"/>
    <n v="0"/>
    <x v="0"/>
  </r>
  <r>
    <n v="112765"/>
    <s v="NILSON MUNIZ SILVA"/>
    <s v="VARREDOR"/>
    <x v="1"/>
    <d v="2019-06-01T00:00:00"/>
    <x v="0"/>
    <x v="0"/>
    <n v="0"/>
    <x v="0"/>
  </r>
  <r>
    <n v="112772"/>
    <s v="NILSON ROBERTO GALVAO"/>
    <s v="VARREDOR"/>
    <x v="1"/>
    <d v="2019-06-01T00:00:00"/>
    <x v="0"/>
    <x v="0"/>
    <n v="0"/>
    <x v="0"/>
  </r>
  <r>
    <n v="112780"/>
    <s v="NILSON RODRIGUES DE JESUS"/>
    <s v="VARREDOR"/>
    <x v="3"/>
    <d v="2019-06-01T00:00:00"/>
    <x v="0"/>
    <x v="0"/>
    <n v="0"/>
    <x v="0"/>
  </r>
  <r>
    <n v="112785"/>
    <s v="NILTON DA COSTA LEAL"/>
    <s v="VARREDOR"/>
    <x v="5"/>
    <d v="2019-06-01T00:00:00"/>
    <x v="0"/>
    <x v="0"/>
    <n v="0"/>
    <x v="0"/>
  </r>
  <r>
    <n v="112802"/>
    <s v="NILTON PASSOS DOS SANTOS"/>
    <s v="MOTORISTA CAMINHAO"/>
    <x v="2"/>
    <d v="2019-06-01T00:00:00"/>
    <x v="0"/>
    <x v="0"/>
    <n v="0"/>
    <x v="0"/>
  </r>
  <r>
    <n v="112810"/>
    <s v="NILTON PEREIRA GARCIA"/>
    <s v="VARREDOR"/>
    <x v="1"/>
    <d v="2019-06-01T00:00:00"/>
    <x v="0"/>
    <x v="0"/>
    <n v="0"/>
    <x v="0"/>
  </r>
  <r>
    <n v="112816"/>
    <s v="NILTON SANTOS DA SILVA"/>
    <s v="COLETOR"/>
    <x v="2"/>
    <d v="2019-06-01T00:00:00"/>
    <x v="0"/>
    <x v="0"/>
    <n v="0"/>
    <x v="0"/>
  </r>
  <r>
    <n v="114711"/>
    <s v="NILVAN CHARLES NUNES LOPES"/>
    <s v="AJUDANTE EQ SERVICOS DIVERSOS"/>
    <x v="5"/>
    <d v="2020-02-13T00:00:00"/>
    <x v="0"/>
    <x v="0"/>
    <n v="0"/>
    <x v="0"/>
  </r>
  <r>
    <n v="114761"/>
    <s v="NIVALDO MARQUES DOS SANTOS"/>
    <s v="MOTORISTA CAMINHAO"/>
    <x v="2"/>
    <d v="2020-02-13T00:00:00"/>
    <x v="0"/>
    <x v="0"/>
    <n v="0"/>
    <x v="0"/>
  </r>
  <r>
    <n v="112833"/>
    <s v="NIVALDO SEPERO DOS SANTOS"/>
    <s v="VARREDOR"/>
    <x v="3"/>
    <d v="2019-06-01T00:00:00"/>
    <x v="0"/>
    <x v="0"/>
    <n v="0"/>
    <x v="0"/>
  </r>
  <r>
    <n v="112845"/>
    <s v="NOBERTO NOGUEIRA DE AGUIAR"/>
    <s v="MOTORISTA CAMINHAO"/>
    <x v="2"/>
    <d v="2019-06-01T00:00:00"/>
    <x v="0"/>
    <x v="0"/>
    <n v="0"/>
    <x v="0"/>
  </r>
  <r>
    <n v="119107"/>
    <s v="OCELIO LIMA BARBOSA"/>
    <s v="AJUDANTE EQ SERVICOS DIVERSOS"/>
    <x v="0"/>
    <d v="2022-03-10T00:00:00"/>
    <x v="0"/>
    <x v="0"/>
    <n v="0"/>
    <x v="0"/>
  </r>
  <r>
    <n v="112871"/>
    <s v="ODAIR ALVES DOS SANTOS"/>
    <s v="VARREDOR"/>
    <x v="3"/>
    <d v="2019-06-01T00:00:00"/>
    <x v="0"/>
    <x v="0"/>
    <n v="0"/>
    <x v="0"/>
  </r>
  <r>
    <n v="114774"/>
    <s v="ODAIR DA SILVA HESSEL"/>
    <s v="AJUDANTE EQ SERVICOS DIVERSOS"/>
    <x v="4"/>
    <d v="2020-02-13T00:00:00"/>
    <x v="0"/>
    <x v="0"/>
    <n v="0"/>
    <x v="0"/>
  </r>
  <r>
    <n v="112877"/>
    <s v="ODAIR DOS SANTOS FREITAS"/>
    <s v="AJUDANTE EQ SERVICOS DIVERSOS"/>
    <x v="0"/>
    <d v="2019-06-01T00:00:00"/>
    <x v="0"/>
    <x v="0"/>
    <n v="0"/>
    <x v="0"/>
  </r>
  <r>
    <n v="112887"/>
    <s v="ODAIR JOSE FERREIRA DOS SANTOS"/>
    <s v="VARREDOR"/>
    <x v="3"/>
    <d v="2019-06-01T00:00:00"/>
    <x v="0"/>
    <x v="0"/>
    <n v="0"/>
    <x v="0"/>
  </r>
  <r>
    <n v="112894"/>
    <s v="ODEVANDO MANOEL XAVIER"/>
    <s v="VARREDOR"/>
    <x v="0"/>
    <d v="2019-06-01T00:00:00"/>
    <x v="0"/>
    <x v="0"/>
    <n v="0"/>
    <x v="0"/>
  </r>
  <r>
    <n v="112908"/>
    <s v="OLIMPIO PEREIRA DE MELO FILHO"/>
    <s v="AJUDANTE EQ SERVICOS DIVERSOS"/>
    <x v="5"/>
    <d v="2019-06-01T00:00:00"/>
    <x v="0"/>
    <x v="0"/>
    <n v="0"/>
    <x v="0"/>
  </r>
  <r>
    <n v="113004"/>
    <s v="OLINDINO PEREIRA SILVA"/>
    <s v="AJUDANTE EQ SERVICOS DIVERSOS"/>
    <x v="1"/>
    <d v="2019-06-01T00:00:00"/>
    <x v="0"/>
    <x v="0"/>
    <n v="0"/>
    <x v="0"/>
  </r>
  <r>
    <n v="115229"/>
    <s v="ORLANDO DE SOUZA BATISTA"/>
    <s v="SERRALHEIRO"/>
    <x v="2"/>
    <d v="2020-07-06T00:00:00"/>
    <x v="0"/>
    <x v="0"/>
    <n v="0"/>
    <x v="0"/>
  </r>
  <r>
    <n v="113025"/>
    <s v="ORLANDO JESUS DOS SANTOS"/>
    <s v="VARREDOR"/>
    <x v="0"/>
    <d v="2019-06-01T00:00:00"/>
    <x v="0"/>
    <x v="0"/>
    <n v="0"/>
    <x v="0"/>
  </r>
  <r>
    <n v="113032"/>
    <s v="ORLANDO SEBASTIAO DA SILVA"/>
    <s v="VARREDOR"/>
    <x v="1"/>
    <d v="2019-06-01T00:00:00"/>
    <x v="0"/>
    <x v="0"/>
    <n v="0"/>
    <x v="0"/>
  </r>
  <r>
    <n v="113044"/>
    <s v="OSAIR ALVES FAGUNDES"/>
    <s v="MOTORISTA CAMINHAO"/>
    <x v="2"/>
    <d v="2019-06-01T00:00:00"/>
    <x v="0"/>
    <x v="0"/>
    <n v="0"/>
    <x v="0"/>
  </r>
  <r>
    <n v="113083"/>
    <s v="OSMAR NOGUEIRA DA SILVA"/>
    <s v="FISCAL DE TURMA PLENO"/>
    <x v="1"/>
    <d v="2019-06-01T00:00:00"/>
    <x v="0"/>
    <x v="0"/>
    <n v="0"/>
    <x v="0"/>
  </r>
  <r>
    <n v="113141"/>
    <s v="OZEIAS PEREIRA DE SOUSA"/>
    <s v="VARREDOR"/>
    <x v="5"/>
    <d v="2019-06-01T00:00:00"/>
    <x v="0"/>
    <x v="0"/>
    <n v="0"/>
    <x v="0"/>
  </r>
  <r>
    <n v="113669"/>
    <s v="OZEIAS ROSA BARBOSA"/>
    <s v="VARREDOR"/>
    <x v="1"/>
    <d v="2019-06-01T00:00:00"/>
    <x v="0"/>
    <x v="5"/>
    <n v="-38.289999999999964"/>
    <x v="0"/>
  </r>
  <r>
    <n v="113671"/>
    <s v="OZEILDO CONCEICAO NASCIMENTO"/>
    <s v="AJUDANTE EQ SERVICOS DIVERSOS"/>
    <x v="3"/>
    <d v="2019-06-01T00:00:00"/>
    <x v="0"/>
    <x v="0"/>
    <n v="0"/>
    <x v="0"/>
  </r>
  <r>
    <n v="113183"/>
    <s v="OZIEL PAULO DE LIMA"/>
    <s v="COLETOR"/>
    <x v="2"/>
    <d v="2019-06-01T00:00:00"/>
    <x v="0"/>
    <x v="0"/>
    <n v="0"/>
    <x v="0"/>
  </r>
  <r>
    <n v="113188"/>
    <s v="OZILINA AUGUSTINHA DE SOUZA"/>
    <s v="AJUDANTE EQ SERVICOS DIVERSOS"/>
    <x v="3"/>
    <d v="2019-06-01T00:00:00"/>
    <x v="0"/>
    <x v="0"/>
    <n v="0"/>
    <x v="0"/>
  </r>
  <r>
    <n v="113743"/>
    <s v="PAMELA SUELEN FIORENTINI"/>
    <s v="COORDENADOR(A) ADM / FINANCEIRO"/>
    <x v="6"/>
    <d v="2019-06-03T00:00:00"/>
    <x v="0"/>
    <x v="0"/>
    <n v="0"/>
    <x v="0"/>
  </r>
  <r>
    <n v="113192"/>
    <s v="PAOLA SABRINA RIO BRANCO"/>
    <s v="VARREDOR"/>
    <x v="0"/>
    <d v="2019-06-01T00:00:00"/>
    <x v="0"/>
    <x v="0"/>
    <n v="0"/>
    <x v="0"/>
  </r>
  <r>
    <n v="122555"/>
    <s v="PATRICIA ALMEIDA DE LIMA"/>
    <s v="AJUDANTE EQ SERVICOS DIVERSOS"/>
    <x v="3"/>
    <d v="2023-07-24T00:00:00"/>
    <x v="0"/>
    <x v="0"/>
    <n v="0"/>
    <x v="0"/>
  </r>
  <r>
    <n v="118054"/>
    <s v="PATRICIO AUGUSTO ARAUJO DA SILVA"/>
    <s v="AJUDANTE EQ SERVICOS DIVERSOS"/>
    <x v="5"/>
    <d v="2022-01-06T00:00:00"/>
    <x v="0"/>
    <x v="0"/>
    <n v="0"/>
    <x v="0"/>
  </r>
  <r>
    <n v="113722"/>
    <s v="PATRICK DOS SANTOS DANTAS"/>
    <s v="AJUDANTE EQ SERVICOS DIVERSOS"/>
    <x v="5"/>
    <d v="2019-06-03T00:00:00"/>
    <x v="0"/>
    <x v="0"/>
    <n v="0"/>
    <x v="0"/>
  </r>
  <r>
    <n v="113201"/>
    <s v="PAULO AQUINO TAVARES DE ARRUDA"/>
    <s v="VARREDOR"/>
    <x v="3"/>
    <d v="2019-06-01T00:00:00"/>
    <x v="0"/>
    <x v="0"/>
    <n v="0"/>
    <x v="0"/>
  </r>
  <r>
    <n v="113803"/>
    <s v="PAULO BATISTA FERNANDES"/>
    <s v="MOTORISTA CAMINHAO"/>
    <x v="2"/>
    <d v="2019-06-14T00:00:00"/>
    <x v="0"/>
    <x v="0"/>
    <n v="0"/>
    <x v="0"/>
  </r>
  <r>
    <n v="113218"/>
    <s v="PAULO CAMPOS MEIRELES"/>
    <s v="MOTORISTA CAMINHAO"/>
    <x v="2"/>
    <d v="2019-06-01T00:00:00"/>
    <x v="0"/>
    <x v="0"/>
    <n v="0"/>
    <x v="0"/>
  </r>
  <r>
    <n v="113224"/>
    <s v="PAULO CARDOSO DOS SANTOS"/>
    <s v="AJUDANTE EQ SERVICOS DIVERSOS"/>
    <x v="1"/>
    <d v="2019-06-01T00:00:00"/>
    <x v="0"/>
    <x v="0"/>
    <n v="0"/>
    <x v="0"/>
  </r>
  <r>
    <n v="114094"/>
    <s v="PAULO CARLOS PRADO LOURENCO"/>
    <s v="AJUDANTE EQ SERVICOS DIVERSOS"/>
    <x v="3"/>
    <d v="2019-09-20T00:00:00"/>
    <x v="0"/>
    <x v="0"/>
    <n v="0"/>
    <x v="0"/>
  </r>
  <r>
    <n v="113235"/>
    <s v="PAULO CARVALHO SOUZA"/>
    <s v="AJUDANTE EQ SERVICOS DIVERSOS"/>
    <x v="1"/>
    <d v="2019-06-01T00:00:00"/>
    <x v="0"/>
    <x v="0"/>
    <n v="0"/>
    <x v="0"/>
  </r>
  <r>
    <n v="119125"/>
    <s v="PAULO CESAR PEREIRA DA SILVA"/>
    <s v="MOTORISTA CAMINHAO"/>
    <x v="2"/>
    <d v="2022-03-10T00:00:00"/>
    <x v="0"/>
    <x v="0"/>
    <n v="0"/>
    <x v="0"/>
  </r>
  <r>
    <n v="116730"/>
    <s v="PAULO CESAR RODRIGUES"/>
    <s v="MOTORISTA CAMINHAO"/>
    <x v="2"/>
    <d v="2021-06-21T00:00:00"/>
    <x v="0"/>
    <x v="0"/>
    <n v="0"/>
    <x v="0"/>
  </r>
  <r>
    <n v="114088"/>
    <s v="PAULO CESAR SILVA SANTOS"/>
    <s v="AJUDANTE EQ SERVICOS DIVERSOS"/>
    <x v="1"/>
    <d v="2019-09-20T00:00:00"/>
    <x v="0"/>
    <x v="0"/>
    <n v="0"/>
    <x v="0"/>
  </r>
  <r>
    <n v="122247"/>
    <s v="PAULO DE OLIVEIRA SOUZA"/>
    <s v="AJUDANTE EQ SERVICOS DIVERSOS"/>
    <x v="1"/>
    <d v="2023-06-12T00:00:00"/>
    <x v="4"/>
    <x v="0"/>
    <n v="76.57000000000005"/>
    <x v="0"/>
  </r>
  <r>
    <n v="114980"/>
    <s v="PAULO FRANCISCO DO PRADO SILVA"/>
    <s v="AJUDANTE EQ SERVICOS DIVERSOS"/>
    <x v="1"/>
    <d v="2020-03-27T00:00:00"/>
    <x v="0"/>
    <x v="15"/>
    <n v="-76.57000000000005"/>
    <x v="0"/>
  </r>
  <r>
    <n v="113255"/>
    <s v="PAULO HENRIQUE DE MELO"/>
    <s v="COLETOR"/>
    <x v="2"/>
    <d v="2019-06-01T00:00:00"/>
    <x v="0"/>
    <x v="0"/>
    <n v="0"/>
    <x v="0"/>
  </r>
  <r>
    <n v="116983"/>
    <s v="PAULO HENRIQUE DOS ANJOS"/>
    <s v="AJUDANTE EQ SERVICOS DIVERSOS"/>
    <x v="1"/>
    <d v="2021-08-11T00:00:00"/>
    <x v="0"/>
    <x v="0"/>
    <n v="0"/>
    <x v="0"/>
  </r>
  <r>
    <n v="113262"/>
    <s v="PAULO HENRIQUE MAPA"/>
    <s v="VARREDOR"/>
    <x v="5"/>
    <d v="2019-06-01T00:00:00"/>
    <x v="0"/>
    <x v="0"/>
    <n v="0"/>
    <x v="0"/>
  </r>
  <r>
    <n v="116720"/>
    <s v="PAULO HENRIQUE SILVA LEAL"/>
    <s v="VARREDOR"/>
    <x v="5"/>
    <d v="2021-06-21T00:00:00"/>
    <x v="0"/>
    <x v="0"/>
    <n v="0"/>
    <x v="0"/>
  </r>
  <r>
    <n v="113288"/>
    <s v="PAULO JOSE RIBEIRO"/>
    <s v="VARREDOR"/>
    <x v="1"/>
    <d v="2019-06-01T00:00:00"/>
    <x v="0"/>
    <x v="0"/>
    <n v="0"/>
    <x v="0"/>
  </r>
  <r>
    <n v="120623"/>
    <s v="PAULO OTAVIO ALEXANDRE VIANA"/>
    <s v="AUXILIAR DE ALMOXARIFADO PLENO"/>
    <x v="2"/>
    <d v="2022-10-03T00:00:00"/>
    <x v="0"/>
    <x v="0"/>
    <n v="0"/>
    <x v="0"/>
  </r>
  <r>
    <n v="114742"/>
    <s v="PAULO RICARDO SOARES SILVA DOS SANTOS"/>
    <s v="AJUDANTE EQ SERVICOS DIVERSOS"/>
    <x v="1"/>
    <d v="2020-02-13T00:00:00"/>
    <x v="19"/>
    <x v="5"/>
    <n v="-77.25"/>
    <x v="0"/>
  </r>
  <r>
    <n v="113350"/>
    <s v="PAULO ROBERO MUNIZ MOREIRA"/>
    <s v="AJUDANTE EQ SERVICOS DIVERSOS"/>
    <x v="1"/>
    <d v="2019-06-01T00:00:00"/>
    <x v="0"/>
    <x v="0"/>
    <n v="0"/>
    <x v="0"/>
  </r>
  <r>
    <n v="113356"/>
    <s v="PAULO ROBERTO DA SILVA"/>
    <s v="AJUDANTE EQ SERVICOS DIVERSOS"/>
    <x v="3"/>
    <d v="2019-06-01T00:00:00"/>
    <x v="0"/>
    <x v="0"/>
    <n v="0"/>
    <x v="3"/>
  </r>
  <r>
    <n v="113365"/>
    <s v="PAULO ROBERTO DA SILVA"/>
    <s v="MOTORISTA CAMINHAO"/>
    <x v="2"/>
    <d v="2019-06-01T00:00:00"/>
    <x v="0"/>
    <x v="0"/>
    <n v="0"/>
    <x v="0"/>
  </r>
  <r>
    <n v="122424"/>
    <s v="PAULO ROGERIO MATIAS DOMINGUES"/>
    <s v="AJUDANTE EQ SERVICOS DIVERSOS"/>
    <x v="2"/>
    <d v="2023-07-10T00:00:00"/>
    <x v="6"/>
    <x v="6"/>
    <n v="-38.279999999999973"/>
    <x v="0"/>
  </r>
  <r>
    <n v="113389"/>
    <s v="PAULO SERGIO DA SILVA"/>
    <s v="COLETOR"/>
    <x v="2"/>
    <d v="2019-06-01T00:00:00"/>
    <x v="0"/>
    <x v="0"/>
    <n v="0"/>
    <x v="0"/>
  </r>
  <r>
    <n v="119646"/>
    <s v="PAULO SERGIO DA SILVA MACHADO"/>
    <s v="AJUDANTE EQ SERVICOS DIVERSOS"/>
    <x v="3"/>
    <d v="2022-06-13T00:00:00"/>
    <x v="0"/>
    <x v="0"/>
    <n v="0"/>
    <x v="0"/>
  </r>
  <r>
    <n v="121028"/>
    <s v="PAULO THIAGO SOBRAL RIBEIRO DE SOUZA"/>
    <s v="VARREDOR"/>
    <x v="4"/>
    <d v="2022-12-05T00:00:00"/>
    <x v="0"/>
    <x v="0"/>
    <n v="0"/>
    <x v="0"/>
  </r>
  <r>
    <n v="113399"/>
    <s v="PAULO VIEIRA DOS SANTOS"/>
    <s v="AJUDANTE EQ SERVICOS DIVERSOS"/>
    <x v="3"/>
    <d v="2019-06-01T00:00:00"/>
    <x v="0"/>
    <x v="0"/>
    <n v="0"/>
    <x v="0"/>
  </r>
  <r>
    <n v="113407"/>
    <s v="PEDRO AMARO DA SILVA"/>
    <s v="MOTORISTA CAMINHAO"/>
    <x v="2"/>
    <d v="2019-06-01T00:00:00"/>
    <x v="0"/>
    <x v="0"/>
    <n v="0"/>
    <x v="0"/>
  </r>
  <r>
    <n v="113429"/>
    <s v="PEDRO BATISTA SANTIAGO"/>
    <s v="VARREDOR"/>
    <x v="1"/>
    <d v="2019-06-01T00:00:00"/>
    <x v="0"/>
    <x v="0"/>
    <n v="0"/>
    <x v="0"/>
  </r>
  <r>
    <n v="113436"/>
    <s v="PEDRO FLAVIO FERREIRA DA SILVA"/>
    <s v="VARREDOR"/>
    <x v="5"/>
    <d v="2019-06-01T00:00:00"/>
    <x v="0"/>
    <x v="0"/>
    <n v="0"/>
    <x v="0"/>
  </r>
  <r>
    <n v="122086"/>
    <s v="PEDRO FLOR DE LIMA"/>
    <s v="AJUDANTE EQ SERVICOS DIVERSOS"/>
    <x v="2"/>
    <d v="2023-05-15T00:00:00"/>
    <x v="0"/>
    <x v="0"/>
    <n v="0"/>
    <x v="0"/>
  </r>
  <r>
    <n v="113443"/>
    <s v="PEDRO GOMES CARDOZO"/>
    <s v="VARREDOR"/>
    <x v="0"/>
    <d v="2019-06-01T00:00:00"/>
    <x v="0"/>
    <x v="0"/>
    <n v="0"/>
    <x v="0"/>
  </r>
  <r>
    <n v="113449"/>
    <s v="PEDRO HELI DE CASTRO"/>
    <s v="AJUDANTE EQ SERVICOS DIVERSOS"/>
    <x v="1"/>
    <d v="2019-06-01T00:00:00"/>
    <x v="0"/>
    <x v="15"/>
    <n v="-76.57000000000005"/>
    <x v="0"/>
  </r>
  <r>
    <n v="113463"/>
    <s v="PEDRO LUIZ DA SILVA"/>
    <s v="VARREDOR"/>
    <x v="4"/>
    <d v="2019-06-01T00:00:00"/>
    <x v="0"/>
    <x v="2"/>
    <n v="-1016.96"/>
    <x v="2"/>
  </r>
  <r>
    <n v="113470"/>
    <s v="PEDRO PAULO DE ASSIS"/>
    <s v="VARREDOR"/>
    <x v="1"/>
    <d v="2019-06-01T00:00:00"/>
    <x v="0"/>
    <x v="0"/>
    <n v="0"/>
    <x v="0"/>
  </r>
  <r>
    <n v="113708"/>
    <s v="PETRONILIO MACARIO DOS SANTOS"/>
    <s v="AJUDANTE EQ SERVICOS DIVERSOS"/>
    <x v="4"/>
    <d v="2019-06-01T00:00:00"/>
    <x v="0"/>
    <x v="0"/>
    <n v="0"/>
    <x v="0"/>
  </r>
  <r>
    <n v="113742"/>
    <s v="PRISCILA ALVES DE LIMA SILVA"/>
    <s v="ANALISTA ADM/FINANCEIRO"/>
    <x v="6"/>
    <d v="2019-06-03T00:00:00"/>
    <x v="0"/>
    <x v="0"/>
    <n v="0"/>
    <x v="0"/>
  </r>
  <r>
    <n v="120178"/>
    <s v="RAFAEL BARBOSA DOS SANTOS"/>
    <s v="AJUDANTE EQ SERVICOS DIVERSOS"/>
    <x v="2"/>
    <d v="2022-08-18T00:00:00"/>
    <x v="0"/>
    <x v="1"/>
    <n v="-657.5"/>
    <x v="1"/>
  </r>
  <r>
    <n v="122348"/>
    <s v="RAFAEL CAMPOS BEZERRA"/>
    <s v="VARREDOR"/>
    <x v="3"/>
    <d v="2023-06-21T00:00:00"/>
    <x v="0"/>
    <x v="0"/>
    <n v="0"/>
    <x v="0"/>
  </r>
  <r>
    <n v="113764"/>
    <s v="RAFAEL COSTA BORGES PEREIRA"/>
    <s v="ASSISTENTE DE PLANEJAMENTO OPERACIONAL"/>
    <x v="2"/>
    <d v="2019-06-05T00:00:00"/>
    <x v="0"/>
    <x v="0"/>
    <n v="0"/>
    <x v="0"/>
  </r>
  <r>
    <n v="113477"/>
    <s v="RAFAEL DE MELO"/>
    <s v="AJUDANTE EQ SERVICOS DIVERSOS"/>
    <x v="5"/>
    <d v="2019-06-01T00:00:00"/>
    <x v="0"/>
    <x v="0"/>
    <n v="0"/>
    <x v="0"/>
  </r>
  <r>
    <n v="113496"/>
    <s v="RAFAEL LIMA CARDOSO"/>
    <s v="VARREDOR"/>
    <x v="5"/>
    <d v="2019-06-01T00:00:00"/>
    <x v="0"/>
    <x v="0"/>
    <n v="0"/>
    <x v="0"/>
  </r>
  <r>
    <n v="114554"/>
    <s v="RAFAEL LIMA SOUZA"/>
    <s v="AJUDANTE EQ SERVICOS DIVERSOS"/>
    <x v="3"/>
    <d v="2019-12-18T00:00:00"/>
    <x v="2"/>
    <x v="0"/>
    <n v="38.289999999999964"/>
    <x v="0"/>
  </r>
  <r>
    <n v="113500"/>
    <s v="RAFAEL OLIVEIRA MATOS"/>
    <s v="AJUDANTE EQ SERVICOS DIVERSOS"/>
    <x v="0"/>
    <d v="2019-06-01T00:00:00"/>
    <x v="0"/>
    <x v="0"/>
    <n v="0"/>
    <x v="0"/>
  </r>
  <r>
    <n v="113504"/>
    <s v="RAFAEL RODRIGUES DA SILVA"/>
    <s v="VARREDOR"/>
    <x v="0"/>
    <d v="2019-06-01T00:00:00"/>
    <x v="0"/>
    <x v="0"/>
    <n v="0"/>
    <x v="0"/>
  </r>
  <r>
    <n v="116985"/>
    <s v="RAFAEL RODRIGUES DE FREITAS"/>
    <s v="AJUDANTE EQ SERVICOS DIVERSOS"/>
    <x v="1"/>
    <d v="2021-08-11T00:00:00"/>
    <x v="0"/>
    <x v="0"/>
    <n v="0"/>
    <x v="0"/>
  </r>
  <r>
    <n v="113520"/>
    <s v="RAFAEL THEODORO LEITE OLIVEIRA"/>
    <s v="FISCAL DE TURMA PLENO"/>
    <x v="4"/>
    <d v="2019-06-01T00:00:00"/>
    <x v="0"/>
    <x v="0"/>
    <n v="0"/>
    <x v="0"/>
  </r>
  <r>
    <n v="113526"/>
    <s v="RAILDO PEREIRA DE OLIVEIRA"/>
    <s v="AJUDANTE EQ SERVICOS DIVERSOS"/>
    <x v="0"/>
    <d v="2019-06-01T00:00:00"/>
    <x v="0"/>
    <x v="0"/>
    <n v="0"/>
    <x v="0"/>
  </r>
  <r>
    <n v="121325"/>
    <s v="RAILTON GOMES DOS SANTOS"/>
    <s v="VARREDOR"/>
    <x v="0"/>
    <d v="2023-01-19T00:00:00"/>
    <x v="2"/>
    <x v="0"/>
    <n v="38.289999999999964"/>
    <x v="0"/>
  </r>
  <r>
    <n v="113531"/>
    <s v="RAIMUNDA MARIA DE FREITAS SOUZA"/>
    <s v="VARREDOR"/>
    <x v="5"/>
    <d v="2019-06-01T00:00:00"/>
    <x v="0"/>
    <x v="0"/>
    <n v="0"/>
    <x v="0"/>
  </r>
  <r>
    <n v="113536"/>
    <s v="RAIMUNDA TELES DE ALMEIDA"/>
    <s v="VARREDOR"/>
    <x v="5"/>
    <d v="2019-06-01T00:00:00"/>
    <x v="0"/>
    <x v="0"/>
    <n v="0"/>
    <x v="0"/>
  </r>
  <r>
    <n v="113547"/>
    <s v="RAIMUNDO JOSE DA SILVA"/>
    <s v="FISCAL DE TURMA PLENO"/>
    <x v="3"/>
    <d v="2019-06-01T00:00:00"/>
    <x v="0"/>
    <x v="0"/>
    <n v="0"/>
    <x v="0"/>
  </r>
  <r>
    <n v="113552"/>
    <s v="RAIMUNDO JOSE DE SANTANA"/>
    <s v="COLETOR"/>
    <x v="2"/>
    <d v="2019-06-01T00:00:00"/>
    <x v="0"/>
    <x v="0"/>
    <n v="0"/>
    <x v="0"/>
  </r>
  <r>
    <n v="113555"/>
    <s v="RAIMUNDO NONATO FILHO"/>
    <s v="VARREDOR"/>
    <x v="0"/>
    <d v="2019-06-01T00:00:00"/>
    <x v="0"/>
    <x v="0"/>
    <n v="0"/>
    <x v="0"/>
  </r>
  <r>
    <n v="113557"/>
    <s v="RAIMUNDO RODRIGUES DOS SANTOS"/>
    <s v="VARREDOR"/>
    <x v="4"/>
    <d v="2019-06-01T00:00:00"/>
    <x v="0"/>
    <x v="0"/>
    <n v="0"/>
    <x v="0"/>
  </r>
  <r>
    <n v="113559"/>
    <s v="RAMON RICHARD DA SILVA"/>
    <s v="VARREDOR"/>
    <x v="1"/>
    <d v="2019-06-01T00:00:00"/>
    <x v="0"/>
    <x v="0"/>
    <n v="0"/>
    <x v="0"/>
  </r>
  <r>
    <n v="113565"/>
    <s v="RANIERE GOMES DA SILVA"/>
    <s v="MOTORISTA CAMINHAO"/>
    <x v="2"/>
    <d v="2019-06-01T00:00:00"/>
    <x v="0"/>
    <x v="0"/>
    <n v="0"/>
    <x v="0"/>
  </r>
  <r>
    <n v="121816"/>
    <s v="RAQUEL LARISSA DA SILVA DIAS"/>
    <s v="MENOR/JOVEM APRENDIZ"/>
    <x v="6"/>
    <d v="2023-04-03T00:00:00"/>
    <x v="3"/>
    <x v="4"/>
    <n v="0"/>
    <x v="0"/>
  </r>
  <r>
    <n v="113573"/>
    <s v="RAUL APARECIDO LADISLAU"/>
    <s v="VARREDOR"/>
    <x v="3"/>
    <d v="2019-06-01T00:00:00"/>
    <x v="0"/>
    <x v="0"/>
    <n v="0"/>
    <x v="0"/>
  </r>
  <r>
    <n v="113577"/>
    <s v="REGINALDO ASSUMPCAO GARCIA"/>
    <s v="COLETOR"/>
    <x v="2"/>
    <d v="2019-06-01T00:00:00"/>
    <x v="0"/>
    <x v="0"/>
    <n v="0"/>
    <x v="0"/>
  </r>
  <r>
    <n v="113687"/>
    <s v="REGINALDO CANDIDO DOS SANTOS"/>
    <s v="VARREDOR"/>
    <x v="1"/>
    <d v="2019-06-01T00:00:00"/>
    <x v="0"/>
    <x v="0"/>
    <n v="0"/>
    <x v="0"/>
  </r>
  <r>
    <n v="113587"/>
    <s v="REGINALDO DA SILVA"/>
    <s v="VARREDOR"/>
    <x v="4"/>
    <d v="2019-06-01T00:00:00"/>
    <x v="0"/>
    <x v="0"/>
    <n v="0"/>
    <x v="0"/>
  </r>
  <r>
    <n v="114259"/>
    <s v="REGINALDO DE OLIVEIRA COUTO"/>
    <s v="AJUDANTE EQ SERVICOS DIVERSOS"/>
    <x v="4"/>
    <d v="2019-12-05T00:00:00"/>
    <x v="0"/>
    <x v="0"/>
    <n v="0"/>
    <x v="0"/>
  </r>
  <r>
    <n v="113608"/>
    <s v="REGINALDO FLORENCIO DA SILVA"/>
    <s v="VARREDOR"/>
    <x v="0"/>
    <d v="2019-06-01T00:00:00"/>
    <x v="0"/>
    <x v="0"/>
    <n v="0"/>
    <x v="0"/>
  </r>
  <r>
    <n v="113667"/>
    <s v="REGINALDO GOMES DE LIMA"/>
    <s v="VARREDOR"/>
    <x v="0"/>
    <d v="2019-06-01T00:00:00"/>
    <x v="0"/>
    <x v="0"/>
    <n v="0"/>
    <x v="0"/>
  </r>
  <r>
    <n v="113668"/>
    <s v="REGINALDO QUERINO DE SOUZA"/>
    <s v="MOTORISTA CAMINHAO"/>
    <x v="2"/>
    <d v="2019-06-01T00:00:00"/>
    <x v="0"/>
    <x v="0"/>
    <n v="0"/>
    <x v="0"/>
  </r>
  <r>
    <n v="114099"/>
    <s v="REGIS RODRIGUES DE OLIVEIRA"/>
    <s v="AJUDANTE EQ SERVICOS DIVERSOS"/>
    <x v="2"/>
    <d v="2019-09-20T00:00:00"/>
    <x v="0"/>
    <x v="0"/>
    <n v="0"/>
    <x v="0"/>
  </r>
  <r>
    <n v="113663"/>
    <s v="REGIVAN FERNANDES DOS SANTOS"/>
    <s v="MOTORISTA CAMINHAO"/>
    <x v="2"/>
    <d v="2019-06-01T00:00:00"/>
    <x v="0"/>
    <x v="0"/>
    <n v="0"/>
    <x v="0"/>
  </r>
  <r>
    <n v="114539"/>
    <s v="REINALDO ARAUJO DOS SANTOS"/>
    <s v="VARREDOR"/>
    <x v="1"/>
    <d v="2019-12-18T00:00:00"/>
    <x v="0"/>
    <x v="0"/>
    <n v="0"/>
    <x v="0"/>
  </r>
  <r>
    <n v="119675"/>
    <s v="REINALDO DA SILVA MOTA"/>
    <s v="AJUDANTE EQ SERVICOS DIVERSOS"/>
    <x v="2"/>
    <d v="2022-06-13T00:00:00"/>
    <x v="0"/>
    <x v="0"/>
    <n v="0"/>
    <x v="0"/>
  </r>
  <r>
    <n v="113658"/>
    <s v="REINALDO MARINHO DO NASCIMENTO"/>
    <s v="FISCAL DE TURMA PLENO"/>
    <x v="5"/>
    <d v="2019-06-01T00:00:00"/>
    <x v="0"/>
    <x v="0"/>
    <n v="0"/>
    <x v="0"/>
  </r>
  <r>
    <n v="113654"/>
    <s v="REMI GONCALVES DOS SANTOS"/>
    <s v="COLETOR"/>
    <x v="2"/>
    <d v="2019-06-01T00:00:00"/>
    <x v="0"/>
    <x v="0"/>
    <n v="0"/>
    <x v="0"/>
  </r>
  <r>
    <n v="113929"/>
    <s v="RENALDO VIEIRA SANTOS"/>
    <s v="VARREDOR"/>
    <x v="1"/>
    <d v="2019-08-05T00:00:00"/>
    <x v="0"/>
    <x v="0"/>
    <n v="0"/>
    <x v="0"/>
  </r>
  <r>
    <n v="118055"/>
    <s v="RENALTY LEITE DE JESUS"/>
    <s v="AJUDANTE EQ SERVICOS DIVERSOS"/>
    <x v="3"/>
    <d v="2022-01-06T00:00:00"/>
    <x v="2"/>
    <x v="0"/>
    <n v="38.289999999999964"/>
    <x v="0"/>
  </r>
  <r>
    <n v="114933"/>
    <s v="RENAN BARBOSA SILVA"/>
    <s v="COLETOR"/>
    <x v="2"/>
    <d v="2020-03-26T00:00:00"/>
    <x v="0"/>
    <x v="0"/>
    <n v="0"/>
    <x v="0"/>
  </r>
  <r>
    <n v="116232"/>
    <s v="RENAN RODRIGUES DE FREITAS"/>
    <s v="AJUDANTE EQ SERVICOS DIVERSOS"/>
    <x v="1"/>
    <d v="2021-03-18T00:00:00"/>
    <x v="0"/>
    <x v="0"/>
    <n v="0"/>
    <x v="0"/>
  </r>
  <r>
    <n v="113884"/>
    <s v="RENAN SOUZA OLIVEIRA ANDRADE"/>
    <s v="SUPERINTENDENTE OPERACIONAL"/>
    <x v="7"/>
    <d v="2019-07-17T00:00:00"/>
    <x v="20"/>
    <x v="18"/>
    <n v="60"/>
    <x v="0"/>
  </r>
  <r>
    <n v="113648"/>
    <s v="RENATO CALIXTO DE GOUVEIA"/>
    <s v="VARREDOR"/>
    <x v="1"/>
    <d v="2019-06-01T00:00:00"/>
    <x v="0"/>
    <x v="0"/>
    <n v="0"/>
    <x v="0"/>
  </r>
  <r>
    <n v="113643"/>
    <s v="RENATO DA CONCEICAO LUIZ"/>
    <s v="AJUDANTE EQ SERVICOS DIVERSOS"/>
    <x v="1"/>
    <d v="2019-06-01T00:00:00"/>
    <x v="0"/>
    <x v="0"/>
    <n v="0"/>
    <x v="0"/>
  </r>
  <r>
    <n v="113638"/>
    <s v="RENATO DA SILVA PIRES"/>
    <s v="FISCAL DE TURMA PLENO"/>
    <x v="3"/>
    <d v="2019-06-01T00:00:00"/>
    <x v="0"/>
    <x v="0"/>
    <n v="0"/>
    <x v="0"/>
  </r>
  <r>
    <n v="113634"/>
    <s v="RENATO FELICIANO"/>
    <s v="COLETOR"/>
    <x v="2"/>
    <d v="2019-06-01T00:00:00"/>
    <x v="0"/>
    <x v="0"/>
    <n v="0"/>
    <x v="0"/>
  </r>
  <r>
    <n v="113630"/>
    <s v="RENATO LUIZ DOS SANTOS"/>
    <s v="VARREDOR"/>
    <x v="4"/>
    <d v="2019-06-01T00:00:00"/>
    <x v="0"/>
    <x v="0"/>
    <n v="0"/>
    <x v="3"/>
  </r>
  <r>
    <n v="113627"/>
    <s v="RENATO LUIZ PEREIRA"/>
    <s v="AJUDANTE EQ SERVICOS DIVERSOS"/>
    <x v="5"/>
    <d v="2019-06-01T00:00:00"/>
    <x v="0"/>
    <x v="0"/>
    <n v="0"/>
    <x v="0"/>
  </r>
  <r>
    <n v="114734"/>
    <s v="RENATO MARQUES DE SOUSA"/>
    <s v="AJUDANTE EQ SERVICOS DIVERSOS"/>
    <x v="1"/>
    <d v="2020-02-13T00:00:00"/>
    <x v="0"/>
    <x v="0"/>
    <n v="0"/>
    <x v="0"/>
  </r>
  <r>
    <n v="113734"/>
    <s v="RENATO PAULINO DOS ANJOS"/>
    <s v="ENCARREGADO DE CONTROLE DE MANUTENCAO"/>
    <x v="2"/>
    <d v="2019-06-03T00:00:00"/>
    <x v="0"/>
    <x v="0"/>
    <n v="0"/>
    <x v="0"/>
  </r>
  <r>
    <n v="122403"/>
    <s v="RENELSON VALLIERE"/>
    <s v="AJUDANTE EQ SERVICOS DIVERSOS"/>
    <x v="2"/>
    <d v="2023-07-10T00:00:00"/>
    <x v="0"/>
    <x v="0"/>
    <n v="0"/>
    <x v="0"/>
  </r>
  <r>
    <n v="116329"/>
    <s v="RHUAN MATHEUS PEREIRA BARRETO"/>
    <s v="AJUDANTE EQ SERVICOS DIVERSOS"/>
    <x v="1"/>
    <d v="2021-04-22T00:00:00"/>
    <x v="2"/>
    <x v="5"/>
    <n v="0"/>
    <x v="0"/>
  </r>
  <r>
    <n v="118642"/>
    <s v="RICARDO ALEXANDRE DE OLIVEIRA"/>
    <s v="SERVENTE"/>
    <x v="2"/>
    <d v="2022-01-21T00:00:00"/>
    <x v="0"/>
    <x v="0"/>
    <n v="0"/>
    <x v="0"/>
  </r>
  <r>
    <n v="114031"/>
    <s v="RICARDO APARECIDO DA CONCEICAO"/>
    <s v="FISCAL DE TURMA PLENO"/>
    <x v="1"/>
    <d v="2019-09-02T00:00:00"/>
    <x v="0"/>
    <x v="5"/>
    <n v="-38.289999999999964"/>
    <x v="0"/>
  </r>
  <r>
    <n v="113689"/>
    <s v="RICARDO APARECIDO FERNANDO DE OLIVEIRA"/>
    <s v="COLETOR"/>
    <x v="2"/>
    <d v="2019-06-01T00:00:00"/>
    <x v="0"/>
    <x v="0"/>
    <n v="0"/>
    <x v="0"/>
  </r>
  <r>
    <n v="117240"/>
    <s v="RICARDO APARECIDO LEANDRO"/>
    <s v="AJUDANTE EQ SERVICOS DIVERSOS"/>
    <x v="1"/>
    <d v="2021-10-18T00:00:00"/>
    <x v="0"/>
    <x v="0"/>
    <n v="0"/>
    <x v="0"/>
  </r>
  <r>
    <n v="120192"/>
    <s v="RICARDO DE ALMEIDA LAURENTINO"/>
    <s v="AJUDANTE EQ SERVICOS DIVERSOS"/>
    <x v="3"/>
    <d v="2022-08-18T00:00:00"/>
    <x v="0"/>
    <x v="0"/>
    <n v="0"/>
    <x v="0"/>
  </r>
  <r>
    <n v="116320"/>
    <s v="RICARDO GOMES"/>
    <s v="AJUDANTE EQ SERVICOS DIVERSOS"/>
    <x v="5"/>
    <d v="2021-04-22T00:00:00"/>
    <x v="0"/>
    <x v="0"/>
    <n v="0"/>
    <x v="0"/>
  </r>
  <r>
    <n v="119681"/>
    <s v="RICARDO PEDRO DA SILVA"/>
    <s v="AJUDANTE EQ SERVICOS DIVERSOS"/>
    <x v="5"/>
    <d v="2022-06-13T00:00:00"/>
    <x v="0"/>
    <x v="0"/>
    <n v="0"/>
    <x v="0"/>
  </r>
  <r>
    <n v="114258"/>
    <s v="RICARDO PINTO DA CONCEICAO"/>
    <s v="AJUDANTE EQ SERVICOS DIVERSOS"/>
    <x v="1"/>
    <d v="2019-12-05T00:00:00"/>
    <x v="0"/>
    <x v="0"/>
    <n v="0"/>
    <x v="0"/>
  </r>
  <r>
    <n v="113611"/>
    <s v="RICARDO RODRIGUES DAS NEVES"/>
    <s v="FISCAL DE TURMA PLENO"/>
    <x v="1"/>
    <d v="2019-06-01T00:00:00"/>
    <x v="0"/>
    <x v="0"/>
    <n v="0"/>
    <x v="0"/>
  </r>
  <r>
    <n v="112862"/>
    <s v="RICARDO SANTOS LIMA"/>
    <s v="VARREDOR"/>
    <x v="0"/>
    <d v="2019-06-01T00:00:00"/>
    <x v="0"/>
    <x v="0"/>
    <n v="0"/>
    <x v="0"/>
  </r>
  <r>
    <n v="112853"/>
    <s v="RIVALDO ANTONIO TEIXEIRA"/>
    <s v="VARREDOR"/>
    <x v="1"/>
    <d v="2019-06-01T00:00:00"/>
    <x v="0"/>
    <x v="0"/>
    <n v="0"/>
    <x v="0"/>
  </r>
  <r>
    <n v="122825"/>
    <s v="RIVALDO OLIVEIRA SILVA"/>
    <s v="AJUDANTE EQ SERVICOS DIVERSOS"/>
    <x v="3"/>
    <d v="2023-09-11T00:00:00"/>
    <x v="5"/>
    <x v="0"/>
    <n v="1016.96"/>
    <x v="4"/>
  </r>
  <r>
    <n v="114093"/>
    <s v="ROBERSON DOS SANTOS ALVES"/>
    <s v="AJUDANTE EQ SERVICOS DIVERSOS"/>
    <x v="3"/>
    <d v="2019-09-20T00:00:00"/>
    <x v="0"/>
    <x v="19"/>
    <n v="-765.6400000000001"/>
    <x v="0"/>
  </r>
  <r>
    <n v="112823"/>
    <s v="ROBERTA CRISTINA DOS SANTOS AMORIM"/>
    <s v="VARREDOR"/>
    <x v="4"/>
    <d v="2019-06-01T00:00:00"/>
    <x v="0"/>
    <x v="0"/>
    <n v="0"/>
    <x v="0"/>
  </r>
  <r>
    <n v="112811"/>
    <s v="ROBERTO BERNARDO RODRIGUES"/>
    <s v="MOTORISTA CAMINHAO"/>
    <x v="2"/>
    <d v="2019-06-01T00:00:00"/>
    <x v="0"/>
    <x v="0"/>
    <n v="0"/>
    <x v="3"/>
  </r>
  <r>
    <n v="113733"/>
    <s v="ROBERTO CARLOS DA SILVA"/>
    <s v="SUPERVISOR DE TRAFEGO"/>
    <x v="2"/>
    <d v="2019-06-03T00:00:00"/>
    <x v="0"/>
    <x v="0"/>
    <n v="0"/>
    <x v="0"/>
  </r>
  <r>
    <n v="114732"/>
    <s v="ROBERTO DA CRUZ RIBEIRO DA SILVA"/>
    <s v="VARREDOR"/>
    <x v="1"/>
    <d v="2020-02-13T00:00:00"/>
    <x v="0"/>
    <x v="0"/>
    <n v="0"/>
    <x v="0"/>
  </r>
  <r>
    <n v="112788"/>
    <s v="ROBERTO LUIZ DOS SANTOS SILVA"/>
    <s v="BORRACHEIRO II"/>
    <x v="2"/>
    <d v="2019-06-01T00:00:00"/>
    <x v="0"/>
    <x v="0"/>
    <n v="0"/>
    <x v="0"/>
  </r>
  <r>
    <n v="112778"/>
    <s v="ROBERTO MACHADO ARAUJO"/>
    <s v="VARREDOR"/>
    <x v="3"/>
    <d v="2019-06-01T00:00:00"/>
    <x v="0"/>
    <x v="0"/>
    <n v="0"/>
    <x v="0"/>
  </r>
  <r>
    <n v="112769"/>
    <s v="ROBERTO PEDRETE MAIA"/>
    <s v="MOTORISTA CAMINHAO"/>
    <x v="2"/>
    <d v="2019-06-01T00:00:00"/>
    <x v="0"/>
    <x v="0"/>
    <n v="0"/>
    <x v="0"/>
  </r>
  <r>
    <n v="116132"/>
    <s v="ROBERTO SOARES CARDOSO"/>
    <s v="MOTORISTA CAMINHAO"/>
    <x v="2"/>
    <d v="2021-02-22T00:00:00"/>
    <x v="0"/>
    <x v="0"/>
    <n v="0"/>
    <x v="0"/>
  </r>
  <r>
    <n v="112754"/>
    <s v="ROBERTO XAVIER FIALHO"/>
    <s v="VARREDOR"/>
    <x v="3"/>
    <d v="2019-06-01T00:00:00"/>
    <x v="0"/>
    <x v="0"/>
    <n v="0"/>
    <x v="0"/>
  </r>
  <r>
    <n v="113723"/>
    <s v="ROBSON AMORIM DOS SANTOS"/>
    <s v="SERVENTE"/>
    <x v="2"/>
    <d v="2019-06-03T00:00:00"/>
    <x v="0"/>
    <x v="0"/>
    <n v="0"/>
    <x v="0"/>
  </r>
  <r>
    <n v="117241"/>
    <s v="ROBSON NUNES MACARIO"/>
    <s v="AJUDANTE EQ SERVICOS DIVERSOS"/>
    <x v="0"/>
    <d v="2021-10-18T00:00:00"/>
    <x v="0"/>
    <x v="0"/>
    <n v="0"/>
    <x v="0"/>
  </r>
  <r>
    <n v="112747"/>
    <s v="ROBSON ROCHA GONCALVES"/>
    <s v="COLETOR"/>
    <x v="2"/>
    <d v="2019-06-01T00:00:00"/>
    <x v="0"/>
    <x v="0"/>
    <n v="0"/>
    <x v="0"/>
  </r>
  <r>
    <n v="112741"/>
    <s v="ROBSON RODRIGUES DO CARMO"/>
    <s v="VARREDOR"/>
    <x v="3"/>
    <d v="2019-06-01T00:00:00"/>
    <x v="0"/>
    <x v="0"/>
    <n v="0"/>
    <x v="0"/>
  </r>
  <r>
    <n v="120355"/>
    <s v="ROBSON TADEU DA COSTA"/>
    <s v="AJUDANTE EQ SERVICOS DIVERSOS"/>
    <x v="1"/>
    <d v="2022-09-16T00:00:00"/>
    <x v="0"/>
    <x v="0"/>
    <n v="0"/>
    <x v="0"/>
  </r>
  <r>
    <n v="119933"/>
    <s v="RODRIGO ALENCAR LINO DOS ANJOS"/>
    <s v="AJUDANTE EQ SERVICOS DIVERSOS"/>
    <x v="4"/>
    <d v="2022-07-18T00:00:00"/>
    <x v="0"/>
    <x v="2"/>
    <n v="-1016.96"/>
    <x v="2"/>
  </r>
  <r>
    <n v="112458"/>
    <s v="RODRIGO DOS SANTOS OLIVEIRA"/>
    <s v="AJUDANTE EQ SERVICOS DIVERSOS"/>
    <x v="1"/>
    <d v="2019-06-01T00:00:00"/>
    <x v="0"/>
    <x v="0"/>
    <n v="0"/>
    <x v="0"/>
  </r>
  <r>
    <n v="115379"/>
    <s v="RODRIGO LISO DOS SANTOS"/>
    <s v="AJUDANTE EQ SERVICOS DIVERSOS"/>
    <x v="4"/>
    <d v="2020-08-03T00:00:00"/>
    <x v="0"/>
    <x v="0"/>
    <n v="0"/>
    <x v="0"/>
  </r>
  <r>
    <n v="112448"/>
    <s v="RODRIGO LOPES DA SILVA"/>
    <s v="VARREDOR"/>
    <x v="0"/>
    <d v="2019-06-01T00:00:00"/>
    <x v="0"/>
    <x v="0"/>
    <n v="0"/>
    <x v="0"/>
  </r>
  <r>
    <n v="119117"/>
    <s v="RODRIGO MUNIZ FERNANDES"/>
    <s v="AJUDANTE EQ SERVICOS DIVERSOS"/>
    <x v="0"/>
    <d v="2022-03-10T00:00:00"/>
    <x v="0"/>
    <x v="0"/>
    <n v="0"/>
    <x v="0"/>
  </r>
  <r>
    <n v="112440"/>
    <s v="RODRIGO OLIVEIRA DA CRUZ"/>
    <s v="ENCARREGADO DE TURMA"/>
    <x v="4"/>
    <d v="2019-06-01T00:00:00"/>
    <x v="0"/>
    <x v="0"/>
    <n v="0"/>
    <x v="0"/>
  </r>
  <r>
    <n v="116110"/>
    <s v="RODRIGO PEREIRA BARROS"/>
    <s v="MOTORISTA CAMINHAO"/>
    <x v="2"/>
    <d v="2021-02-09T00:00:00"/>
    <x v="0"/>
    <x v="0"/>
    <n v="0"/>
    <x v="0"/>
  </r>
  <r>
    <n v="114454"/>
    <s v="RODRIGO SOARES"/>
    <s v="AJUDANTE EQ SERVICOS DIVERSOS"/>
    <x v="1"/>
    <d v="2019-12-12T00:00:00"/>
    <x v="0"/>
    <x v="0"/>
    <n v="0"/>
    <x v="3"/>
  </r>
  <r>
    <n v="114937"/>
    <s v="ROGERIO ALEXANDRE DE SOUZA"/>
    <s v="AJUDANTE EQ SERVICOS DIVERSOS"/>
    <x v="2"/>
    <d v="2020-03-26T00:00:00"/>
    <x v="6"/>
    <x v="14"/>
    <n v="-76.560000000000059"/>
    <x v="0"/>
  </r>
  <r>
    <n v="112414"/>
    <s v="ROGERIO DE AQUINO SILVA"/>
    <s v="MOTORISTA CAMINHAO"/>
    <x v="2"/>
    <d v="2019-06-01T00:00:00"/>
    <x v="0"/>
    <x v="0"/>
    <n v="0"/>
    <x v="0"/>
  </r>
  <r>
    <n v="112403"/>
    <s v="ROGERIO DO ESPIRITO SANTOS"/>
    <s v="VARREDOR"/>
    <x v="1"/>
    <d v="2019-06-01T00:00:00"/>
    <x v="0"/>
    <x v="0"/>
    <n v="0"/>
    <x v="0"/>
  </r>
  <r>
    <n v="112398"/>
    <s v="ROGERIO DOS SANTOS ARAUJO"/>
    <s v="VARREDOR"/>
    <x v="5"/>
    <d v="2019-06-01T00:00:00"/>
    <x v="0"/>
    <x v="0"/>
    <n v="0"/>
    <x v="0"/>
  </r>
  <r>
    <n v="120188"/>
    <s v="ROGERIO LUIS RODRIGUES"/>
    <s v="AJUDANTE EQ SERVICOS DIVERSOS"/>
    <x v="0"/>
    <d v="2022-08-18T00:00:00"/>
    <x v="0"/>
    <x v="0"/>
    <n v="0"/>
    <x v="0"/>
  </r>
  <r>
    <n v="112301"/>
    <s v="ROGERIO LUIZ RODRIGUES DA SILVA"/>
    <s v="AJUDANTE EQ SERVICOS DIVERSOS"/>
    <x v="0"/>
    <d v="2019-06-01T00:00:00"/>
    <x v="0"/>
    <x v="0"/>
    <n v="0"/>
    <x v="0"/>
  </r>
  <r>
    <n v="112172"/>
    <s v="ROGERIO OLIVEIRA LARA"/>
    <s v="FISCAL DE TRAFEGO PLENO"/>
    <x v="5"/>
    <d v="2019-06-01T00:00:00"/>
    <x v="0"/>
    <x v="0"/>
    <n v="0"/>
    <x v="0"/>
  </r>
  <r>
    <n v="112196"/>
    <s v="ROGERIO PIRES"/>
    <s v="AJUDANTE EQ SERVICOS DIVERSOS"/>
    <x v="0"/>
    <d v="2019-06-01T00:00:00"/>
    <x v="0"/>
    <x v="0"/>
    <n v="0"/>
    <x v="0"/>
  </r>
  <r>
    <n v="112199"/>
    <s v="ROGERIO RODRIGUES SANTANA"/>
    <s v="AJUDANTE EQ SERVICOS DIVERSOS"/>
    <x v="0"/>
    <d v="2019-06-01T00:00:00"/>
    <x v="0"/>
    <x v="0"/>
    <n v="0"/>
    <x v="0"/>
  </r>
  <r>
    <n v="114256"/>
    <s v="ROGERIO SILVA PEREIRA"/>
    <s v="AUXILIAR DE TRAFEGO"/>
    <x v="2"/>
    <d v="2019-12-05T00:00:00"/>
    <x v="0"/>
    <x v="0"/>
    <n v="0"/>
    <x v="0"/>
  </r>
  <r>
    <n v="112202"/>
    <s v="ROMILDO BESERRA DE ALENCAR"/>
    <s v="AJUDANTE EQ SERVICOS DIVERSOS"/>
    <x v="0"/>
    <d v="2019-06-01T00:00:00"/>
    <x v="0"/>
    <x v="0"/>
    <n v="0"/>
    <x v="0"/>
  </r>
  <r>
    <n v="114958"/>
    <s v="ROMILDO DOS SANTOS SILVA"/>
    <s v="MOTORISTA CAMINHAO"/>
    <x v="2"/>
    <d v="2020-03-26T00:00:00"/>
    <x v="0"/>
    <x v="0"/>
    <n v="0"/>
    <x v="0"/>
  </r>
  <r>
    <n v="112639"/>
    <s v="ROMILDO FREITAS DOS SANTOS"/>
    <s v="VARREDOR"/>
    <x v="1"/>
    <d v="2019-06-01T00:00:00"/>
    <x v="0"/>
    <x v="0"/>
    <n v="0"/>
    <x v="0"/>
  </r>
  <r>
    <n v="112257"/>
    <s v="ROMILDO GOMES DE MELO"/>
    <s v="VARREDOR"/>
    <x v="0"/>
    <d v="2019-06-01T00:00:00"/>
    <x v="0"/>
    <x v="0"/>
    <n v="0"/>
    <x v="0"/>
  </r>
  <r>
    <n v="112261"/>
    <s v="ROMILDO SANTOS"/>
    <s v="VARREDOR"/>
    <x v="5"/>
    <d v="2019-06-01T00:00:00"/>
    <x v="0"/>
    <x v="0"/>
    <n v="0"/>
    <x v="0"/>
  </r>
  <r>
    <n v="112263"/>
    <s v="RONALDO DE SOUZA JESUS"/>
    <s v="VARREDOR"/>
    <x v="5"/>
    <d v="2019-06-01T00:00:00"/>
    <x v="0"/>
    <x v="0"/>
    <n v="0"/>
    <x v="0"/>
  </r>
  <r>
    <n v="112381"/>
    <s v="RONALDO GONCALVES DA PENHA"/>
    <s v="COLETOR"/>
    <x v="2"/>
    <d v="2019-06-01T00:00:00"/>
    <x v="0"/>
    <x v="0"/>
    <n v="0"/>
    <x v="0"/>
  </r>
  <r>
    <n v="112383"/>
    <s v="RONALDO JOSE DOS SANTOS"/>
    <s v="VARREDOR"/>
    <x v="3"/>
    <d v="2019-06-01T00:00:00"/>
    <x v="0"/>
    <x v="0"/>
    <n v="0"/>
    <x v="0"/>
  </r>
  <r>
    <n v="117408"/>
    <s v="RONALDO PEREIRA LOPES"/>
    <s v="VARREDOR"/>
    <x v="3"/>
    <d v="2021-11-22T00:00:00"/>
    <x v="0"/>
    <x v="0"/>
    <n v="0"/>
    <x v="0"/>
  </r>
  <r>
    <n v="119929"/>
    <s v="RONALDO RAIMUNDO DA SILVA"/>
    <s v="AJUDANTE EQ SERVICOS DIVERSOS"/>
    <x v="1"/>
    <d v="2022-07-18T00:00:00"/>
    <x v="2"/>
    <x v="3"/>
    <n v="76.579999999999927"/>
    <x v="3"/>
  </r>
  <r>
    <n v="114125"/>
    <s v="RONALDO ROCHA DA SILVA"/>
    <s v="VARREDOR"/>
    <x v="1"/>
    <d v="2019-10-01T00:00:00"/>
    <x v="0"/>
    <x v="0"/>
    <n v="0"/>
    <x v="0"/>
  </r>
  <r>
    <n v="112666"/>
    <s v="RONALDO SILVA SANTOS"/>
    <s v="MOTORISTA CAMINHAO"/>
    <x v="2"/>
    <d v="2019-06-01T00:00:00"/>
    <x v="0"/>
    <x v="0"/>
    <n v="0"/>
    <x v="3"/>
  </r>
  <r>
    <n v="112990"/>
    <s v="RONIE DE OLIVEIRA MARTINS"/>
    <s v="MOTORISTA CAMINHAO"/>
    <x v="2"/>
    <d v="2019-06-01T00:00:00"/>
    <x v="0"/>
    <x v="0"/>
    <n v="0"/>
    <x v="0"/>
  </r>
  <r>
    <n v="114955"/>
    <s v="RONIE FERREIRA DOS SANTOS"/>
    <s v="MOTORISTA CAMINHAO"/>
    <x v="2"/>
    <d v="2020-03-26T00:00:00"/>
    <x v="0"/>
    <x v="0"/>
    <n v="0"/>
    <x v="0"/>
  </r>
  <r>
    <n v="114746"/>
    <s v="RONILDO MENDES SOUZA"/>
    <s v="VARREDOR"/>
    <x v="3"/>
    <d v="2020-02-13T00:00:00"/>
    <x v="0"/>
    <x v="0"/>
    <n v="0"/>
    <x v="0"/>
  </r>
  <r>
    <n v="112674"/>
    <s v="ROSANGELA OLIVEIRA LIMA"/>
    <s v="VARREDOR"/>
    <x v="1"/>
    <d v="2019-06-01T00:00:00"/>
    <x v="0"/>
    <x v="0"/>
    <n v="0"/>
    <x v="0"/>
  </r>
  <r>
    <n v="121327"/>
    <s v="ROSELI FERREIRA DA SILVA"/>
    <s v="AJUDANTE EQ SERVICOS DIVERSOS"/>
    <x v="0"/>
    <d v="2023-01-19T00:00:00"/>
    <x v="0"/>
    <x v="0"/>
    <n v="0"/>
    <x v="0"/>
  </r>
  <r>
    <n v="112274"/>
    <s v="ROSELIO BRAZ FERREIRA"/>
    <s v="COLETOR"/>
    <x v="2"/>
    <d v="2019-06-01T00:00:00"/>
    <x v="0"/>
    <x v="0"/>
    <n v="0"/>
    <x v="0"/>
  </r>
  <r>
    <n v="116009"/>
    <s v="ROSENIL FIM JUNIOR"/>
    <s v="VARREDOR"/>
    <x v="3"/>
    <d v="2021-01-11T00:00:00"/>
    <x v="0"/>
    <x v="0"/>
    <n v="0"/>
    <x v="0"/>
  </r>
  <r>
    <n v="112278"/>
    <s v="ROSIVALDO FERREIRA DA SILVA"/>
    <s v="VARREDOR"/>
    <x v="5"/>
    <d v="2019-06-01T00:00:00"/>
    <x v="0"/>
    <x v="0"/>
    <n v="0"/>
    <x v="0"/>
  </r>
  <r>
    <n v="112992"/>
    <s v="ROVANDA BARBOSA"/>
    <s v="MOTORISTA CAMINHAO"/>
    <x v="2"/>
    <d v="2019-06-01T00:00:00"/>
    <x v="0"/>
    <x v="0"/>
    <n v="0"/>
    <x v="0"/>
  </r>
  <r>
    <n v="112686"/>
    <s v="RUBENS ALVES DA ROCHA"/>
    <s v="COLETOR"/>
    <x v="2"/>
    <d v="2019-06-01T00:00:00"/>
    <x v="0"/>
    <x v="0"/>
    <n v="0"/>
    <x v="0"/>
  </r>
  <r>
    <n v="114938"/>
    <s v="RUBENS DA ROCHA"/>
    <s v="AJUDANTE EQ SERVICOS DIVERSOS"/>
    <x v="3"/>
    <d v="2020-03-26T00:00:00"/>
    <x v="0"/>
    <x v="0"/>
    <n v="0"/>
    <x v="0"/>
  </r>
  <r>
    <n v="112428"/>
    <s v="RUBENS DE ALMEIDA"/>
    <s v="VARREDOR"/>
    <x v="3"/>
    <d v="2019-06-01T00:00:00"/>
    <x v="0"/>
    <x v="0"/>
    <n v="0"/>
    <x v="0"/>
  </r>
  <r>
    <n v="112432"/>
    <s v="RUBENS SANTOS DE OLIVEIRA JUNIOR"/>
    <s v="AJUDANTE EQ SERVICOS DIVERSOS"/>
    <x v="3"/>
    <d v="2019-06-01T00:00:00"/>
    <x v="0"/>
    <x v="5"/>
    <n v="-38.289999999999964"/>
    <x v="0"/>
  </r>
  <r>
    <n v="112282"/>
    <s v="RUDIMAR DIONISIO MARINHO"/>
    <s v="VARREDOR"/>
    <x v="5"/>
    <d v="2019-06-01T00:00:00"/>
    <x v="0"/>
    <x v="0"/>
    <n v="0"/>
    <x v="0"/>
  </r>
  <r>
    <n v="116237"/>
    <s v="RUDINEI SILVA FERREIRA DA CRUZ"/>
    <s v="VARREDOR"/>
    <x v="3"/>
    <d v="2021-03-18T00:00:00"/>
    <x v="0"/>
    <x v="0"/>
    <n v="0"/>
    <x v="0"/>
  </r>
  <r>
    <n v="121946"/>
    <s v="RYAN FERREIRA CABRAL"/>
    <s v="MENOR/JOVEM APRENDIZ"/>
    <x v="6"/>
    <d v="2023-04-24T00:00:00"/>
    <x v="3"/>
    <x v="4"/>
    <n v="0"/>
    <x v="0"/>
  </r>
  <r>
    <n v="119241"/>
    <s v="SABRINA APARECIDA LIMA DA SILVA"/>
    <s v="AUXILIAR DE DEPARTAMENTO PESSOAL"/>
    <x v="6"/>
    <d v="2022-04-07T00:00:00"/>
    <x v="0"/>
    <x v="0"/>
    <n v="0"/>
    <x v="0"/>
  </r>
  <r>
    <n v="122030"/>
    <s v="SABRINA FIGUEIREDO DE SOUSA"/>
    <s v="AUXILIAR DE CONTROLE OPERACIONAL"/>
    <x v="2"/>
    <d v="2023-05-08T00:00:00"/>
    <x v="0"/>
    <x v="0"/>
    <n v="0"/>
    <x v="0"/>
  </r>
  <r>
    <n v="121815"/>
    <s v="SABRINA VITORIA SILVA DA COSTA"/>
    <s v="MENOR/JOVEM APRENDIZ"/>
    <x v="6"/>
    <d v="2023-04-03T00:00:00"/>
    <x v="3"/>
    <x v="4"/>
    <n v="0"/>
    <x v="0"/>
  </r>
  <r>
    <n v="112217"/>
    <s v="SAMARA CORSI VIEIRA"/>
    <s v="VARREDOR"/>
    <x v="0"/>
    <d v="2019-06-01T00:00:00"/>
    <x v="0"/>
    <x v="0"/>
    <n v="0"/>
    <x v="0"/>
  </r>
  <r>
    <n v="112434"/>
    <s v="SAMUEL ALVES DOS ANJOS"/>
    <s v="VARREDOR"/>
    <x v="3"/>
    <d v="2019-06-01T00:00:00"/>
    <x v="0"/>
    <x v="0"/>
    <n v="0"/>
    <x v="0"/>
  </r>
  <r>
    <n v="112698"/>
    <s v="SAMUEL BATISTA DE SOUZA"/>
    <s v="VARREDOR"/>
    <x v="1"/>
    <d v="2019-06-01T00:00:00"/>
    <x v="0"/>
    <x v="0"/>
    <n v="0"/>
    <x v="0"/>
  </r>
  <r>
    <n v="112444"/>
    <s v="SAMUEL DE ALCANTARA"/>
    <s v="AJUDANTE EQ SERVICOS DIVERSOS"/>
    <x v="3"/>
    <d v="2019-06-01T00:00:00"/>
    <x v="0"/>
    <x v="0"/>
    <n v="0"/>
    <x v="0"/>
  </r>
  <r>
    <n v="112220"/>
    <s v="SAMUEL DOS SANTOS SOUZA ARAUJO"/>
    <s v="VARREDOR"/>
    <x v="0"/>
    <d v="2019-06-01T00:00:00"/>
    <x v="0"/>
    <x v="0"/>
    <n v="0"/>
    <x v="0"/>
  </r>
  <r>
    <n v="112704"/>
    <s v="SAMUEL NOGUEIRA SANTANA"/>
    <s v="COLETOR"/>
    <x v="2"/>
    <d v="2019-06-01T00:00:00"/>
    <x v="0"/>
    <x v="0"/>
    <n v="0"/>
    <x v="0"/>
  </r>
  <r>
    <n v="113732"/>
    <s v="SANDRO HARUO AGUENA"/>
    <s v="ENCARREGADO DE TURMA"/>
    <x v="1"/>
    <d v="2019-06-01T00:00:00"/>
    <x v="0"/>
    <x v="0"/>
    <n v="0"/>
    <x v="0"/>
  </r>
  <r>
    <n v="112457"/>
    <s v="SEBASTIAO DOS REIS OLIVEIRA"/>
    <s v="VARREDOR"/>
    <x v="3"/>
    <d v="2019-06-01T00:00:00"/>
    <x v="0"/>
    <x v="0"/>
    <n v="0"/>
    <x v="0"/>
  </r>
  <r>
    <n v="112706"/>
    <s v="SEBASTIAO GOMES DA SILVA"/>
    <s v="VARREDOR"/>
    <x v="1"/>
    <d v="2019-06-01T00:00:00"/>
    <x v="0"/>
    <x v="0"/>
    <n v="0"/>
    <x v="0"/>
  </r>
  <r>
    <n v="113003"/>
    <s v="SERGIO CUNHA MATIAS"/>
    <s v="MOTORISTA CAMINHAO"/>
    <x v="2"/>
    <d v="2019-06-01T00:00:00"/>
    <x v="0"/>
    <x v="0"/>
    <n v="0"/>
    <x v="0"/>
  </r>
  <r>
    <n v="112707"/>
    <s v="SERGIO DA SILVA"/>
    <s v="COLETOR"/>
    <x v="2"/>
    <d v="2019-06-01T00:00:00"/>
    <x v="0"/>
    <x v="0"/>
    <n v="0"/>
    <x v="0"/>
  </r>
  <r>
    <n v="112290"/>
    <s v="SERGIO JOSE DA SILVA"/>
    <s v="VARREDOR"/>
    <x v="5"/>
    <d v="2019-06-01T00:00:00"/>
    <x v="0"/>
    <x v="0"/>
    <n v="0"/>
    <x v="0"/>
  </r>
  <r>
    <n v="112461"/>
    <s v="SERGIO LOPES FERREIRA"/>
    <s v="BUEIRISTA"/>
    <x v="5"/>
    <d v="2019-06-01T00:00:00"/>
    <x v="0"/>
    <x v="0"/>
    <n v="0"/>
    <x v="0"/>
  </r>
  <r>
    <n v="112714"/>
    <s v="SEVERINO ALEXANDRE DA SILVA"/>
    <s v="VARREDOR"/>
    <x v="1"/>
    <d v="2019-06-01T00:00:00"/>
    <x v="0"/>
    <x v="0"/>
    <n v="0"/>
    <x v="0"/>
  </r>
  <r>
    <n v="112224"/>
    <s v="SEVERINO CANDIDO DA SILVA"/>
    <s v="VARREDOR"/>
    <x v="0"/>
    <d v="2019-06-01T00:00:00"/>
    <x v="0"/>
    <x v="0"/>
    <n v="0"/>
    <x v="0"/>
  </r>
  <r>
    <n v="112294"/>
    <s v="SEVERINO DO RAMO FERREIRA DE LIMA"/>
    <s v="VARREDOR"/>
    <x v="5"/>
    <d v="2019-06-01T00:00:00"/>
    <x v="0"/>
    <x v="0"/>
    <n v="0"/>
    <x v="0"/>
  </r>
  <r>
    <n v="112717"/>
    <s v="SEVERINO ISIDIO DA SILVA"/>
    <s v="COLETOR"/>
    <x v="2"/>
    <d v="2019-06-01T00:00:00"/>
    <x v="0"/>
    <x v="0"/>
    <n v="0"/>
    <x v="0"/>
  </r>
  <r>
    <n v="112472"/>
    <s v="SEVERINO MANOEL DE FREITAS"/>
    <s v="AJUDANTE EQ SERVICOS DIVERSOS"/>
    <x v="3"/>
    <d v="2019-06-01T00:00:00"/>
    <x v="0"/>
    <x v="0"/>
    <n v="0"/>
    <x v="0"/>
  </r>
  <r>
    <n v="112228"/>
    <s v="SEVERINO PEDRO DA SILVA"/>
    <s v="VARREDOR"/>
    <x v="0"/>
    <d v="2019-06-01T00:00:00"/>
    <x v="0"/>
    <x v="0"/>
    <n v="0"/>
    <x v="0"/>
  </r>
  <r>
    <n v="112229"/>
    <s v="SEVERINO PEREIRA DE MELO"/>
    <s v="VARREDOR"/>
    <x v="0"/>
    <d v="2019-06-01T00:00:00"/>
    <x v="0"/>
    <x v="0"/>
    <n v="0"/>
    <x v="0"/>
  </r>
  <r>
    <n v="112475"/>
    <s v="SIDNEI LOPES DA SILVA"/>
    <s v="VARREDOR"/>
    <x v="3"/>
    <d v="2019-06-01T00:00:00"/>
    <x v="0"/>
    <x v="0"/>
    <n v="0"/>
    <x v="0"/>
  </r>
  <r>
    <n v="118994"/>
    <s v="SIDNEY ALVES DE JESUS"/>
    <s v="MOTORISTA CAMINHAO"/>
    <x v="2"/>
    <d v="2022-02-21T00:00:00"/>
    <x v="0"/>
    <x v="0"/>
    <n v="0"/>
    <x v="0"/>
  </r>
  <r>
    <n v="116112"/>
    <s v="SIDNEY APARECIDO FERREIRA"/>
    <s v="MOTORISTA CAMINHAO"/>
    <x v="2"/>
    <d v="2021-02-09T00:00:00"/>
    <x v="0"/>
    <x v="0"/>
    <n v="0"/>
    <x v="0"/>
  </r>
  <r>
    <n v="112722"/>
    <s v="SIDNEY CUNHA DE MIRANDA"/>
    <s v="AJUDANTE EQ SERVICOS DIVERSOS"/>
    <x v="2"/>
    <d v="2019-06-01T00:00:00"/>
    <x v="0"/>
    <x v="0"/>
    <n v="0"/>
    <x v="0"/>
  </r>
  <r>
    <n v="112298"/>
    <s v="SILVANI COELHO DE OLIVEIRA"/>
    <s v="VARREDOR"/>
    <x v="5"/>
    <d v="2019-06-01T00:00:00"/>
    <x v="0"/>
    <x v="0"/>
    <n v="0"/>
    <x v="0"/>
  </r>
  <r>
    <n v="113008"/>
    <s v="SILVIO APARECIDO DOS SANTOS"/>
    <s v="MOTORISTA CAMINHAO"/>
    <x v="2"/>
    <d v="2019-06-01T00:00:00"/>
    <x v="0"/>
    <x v="0"/>
    <n v="0"/>
    <x v="0"/>
  </r>
  <r>
    <n v="112725"/>
    <s v="SILVIO BATISTA DE LIRA"/>
    <s v="BUEIRISTA"/>
    <x v="1"/>
    <d v="2019-06-01T00:00:00"/>
    <x v="0"/>
    <x v="0"/>
    <n v="0"/>
    <x v="0"/>
  </r>
  <r>
    <n v="122823"/>
    <s v="SILVIO JOSE RODRIGUES DA SILVA"/>
    <s v="AJUDANTE EQ SERVICOS DIVERSOS"/>
    <x v="3"/>
    <d v="2023-09-11T00:00:00"/>
    <x v="5"/>
    <x v="0"/>
    <n v="1016.96"/>
    <x v="4"/>
  </r>
  <r>
    <n v="112481"/>
    <s v="SILVIO LUIZ DOS SANTOS"/>
    <s v="BUEIRISTA"/>
    <x v="4"/>
    <d v="2019-06-01T00:00:00"/>
    <x v="0"/>
    <x v="0"/>
    <n v="0"/>
    <x v="0"/>
  </r>
  <r>
    <n v="113013"/>
    <s v="SILVIO SILVA DE SOUZA"/>
    <s v="MOTORISTA CAMINHAO"/>
    <x v="2"/>
    <d v="2019-06-04T00:00:00"/>
    <x v="0"/>
    <x v="0"/>
    <n v="0"/>
    <x v="0"/>
  </r>
  <r>
    <n v="115400"/>
    <s v="SILVIO SOARES VIEIRA"/>
    <s v="AJUDANTE EQ SERVICOS DIVERSOS"/>
    <x v="1"/>
    <d v="2020-08-05T00:00:00"/>
    <x v="0"/>
    <x v="0"/>
    <n v="0"/>
    <x v="0"/>
  </r>
  <r>
    <n v="116021"/>
    <s v="SIMONE MORAIS DOS SANTOS"/>
    <s v="AJUDANTE EQ SERVICOS DIVERSOS"/>
    <x v="5"/>
    <d v="2021-01-11T00:00:00"/>
    <x v="2"/>
    <x v="0"/>
    <n v="38.289999999999964"/>
    <x v="0"/>
  </r>
  <r>
    <n v="112727"/>
    <s v="SIVALDO DIAS MACHADO"/>
    <s v="VARREDOR"/>
    <x v="1"/>
    <d v="2019-06-01T00:00:00"/>
    <x v="0"/>
    <x v="0"/>
    <n v="0"/>
    <x v="0"/>
  </r>
  <r>
    <n v="122087"/>
    <s v="SOLANGE APARECIDA DE ALENCAR CARVALHO"/>
    <s v="AJUDANTE EQ SERVICOS DIVERSOS"/>
    <x v="4"/>
    <d v="2023-05-15T00:00:00"/>
    <x v="0"/>
    <x v="2"/>
    <n v="-1016.96"/>
    <x v="2"/>
  </r>
  <r>
    <n v="121458"/>
    <s v="SOLANGE SILVA LEITAO"/>
    <s v="AJUDANTE EQ SERVICOS DIVERSOS"/>
    <x v="0"/>
    <d v="2023-02-10T00:00:00"/>
    <x v="0"/>
    <x v="0"/>
    <n v="0"/>
    <x v="0"/>
  </r>
  <r>
    <n v="121318"/>
    <s v="STEVSON SANTOS GOMES"/>
    <s v="VARREDOR"/>
    <x v="5"/>
    <d v="2023-01-19T00:00:00"/>
    <x v="0"/>
    <x v="0"/>
    <n v="0"/>
    <x v="0"/>
  </r>
  <r>
    <n v="112678"/>
    <s v="SUELI APARECIDA DOS SANTOS"/>
    <s v="AJUDANTE EQ SERVICOS DIVERSOS"/>
    <x v="1"/>
    <d v="2019-06-01T00:00:00"/>
    <x v="0"/>
    <x v="0"/>
    <n v="0"/>
    <x v="0"/>
  </r>
  <r>
    <n v="119753"/>
    <s v="TATTIANE ANDRADE RUFINO DOS SANTOS"/>
    <s v="MENOR/JOVEM APRENDIZ"/>
    <x v="6"/>
    <d v="2022-06-22T00:00:00"/>
    <x v="3"/>
    <x v="4"/>
    <n v="0"/>
    <x v="0"/>
  </r>
  <r>
    <n v="122083"/>
    <s v="TAYNARA MIGUEL SILVA"/>
    <s v="AJUDANTE EQ SERVICOS DIVERSOS"/>
    <x v="0"/>
    <d v="2023-05-15T00:00:00"/>
    <x v="0"/>
    <x v="0"/>
    <n v="0"/>
    <x v="0"/>
  </r>
  <r>
    <n v="121850"/>
    <s v="THAISSA RAQUEL MARCELINO DE OLIVEIRA"/>
    <s v="AJUDANTE EQ SERVICOS DIVERSOS"/>
    <x v="3"/>
    <d v="2023-04-06T00:00:00"/>
    <x v="0"/>
    <x v="0"/>
    <n v="0"/>
    <x v="0"/>
  </r>
  <r>
    <n v="117406"/>
    <s v="THIAGO CELESTINO DE SOUZA"/>
    <s v="VARREDOR"/>
    <x v="5"/>
    <d v="2021-11-22T00:00:00"/>
    <x v="0"/>
    <x v="0"/>
    <n v="0"/>
    <x v="0"/>
  </r>
  <r>
    <n v="113016"/>
    <s v="THIAGO DA COSTA MENDES"/>
    <s v="MOTORISTA CAMINHAO"/>
    <x v="2"/>
    <d v="2019-06-01T00:00:00"/>
    <x v="0"/>
    <x v="0"/>
    <n v="0"/>
    <x v="0"/>
  </r>
  <r>
    <n v="113030"/>
    <s v="THIAGO EDUARDO DA SILVA"/>
    <s v="MOTORISTA CAMINHAO"/>
    <x v="2"/>
    <d v="2019-06-01T00:00:00"/>
    <x v="0"/>
    <x v="0"/>
    <n v="0"/>
    <x v="0"/>
  </r>
  <r>
    <n v="116988"/>
    <s v="THIAGO FERREIRA DA SILVA"/>
    <s v="AJUDANTE EQ SERVICOS DIVERSOS"/>
    <x v="3"/>
    <d v="2021-08-11T00:00:00"/>
    <x v="6"/>
    <x v="0"/>
    <n v="114.85000000000002"/>
    <x v="0"/>
  </r>
  <r>
    <n v="121951"/>
    <s v="THIAGO ORILHANA DE JESUS"/>
    <s v="MENOR/JOVEM APRENDIZ"/>
    <x v="6"/>
    <d v="2023-04-24T00:00:00"/>
    <x v="3"/>
    <x v="4"/>
    <n v="0"/>
    <x v="0"/>
  </r>
  <r>
    <n v="116109"/>
    <s v="THIAGO PEREIRA DA COSTA"/>
    <s v="MOTORISTA CAMINHAO"/>
    <x v="2"/>
    <d v="2021-02-09T00:00:00"/>
    <x v="0"/>
    <x v="0"/>
    <n v="0"/>
    <x v="0"/>
  </r>
  <r>
    <n v="114262"/>
    <s v="THIAGO RANGEL DA SILVA"/>
    <s v="AJUDANTE EQ SERVICOS DIVERSOS"/>
    <x v="1"/>
    <d v="2019-12-05T00:00:00"/>
    <x v="2"/>
    <x v="0"/>
    <n v="38.289999999999964"/>
    <x v="0"/>
  </r>
  <r>
    <n v="122078"/>
    <s v="THIAGO SENA DA SILVA"/>
    <s v="AJUDANTE EQ SERVICOS DIVERSOS"/>
    <x v="3"/>
    <d v="2023-05-15T00:00:00"/>
    <x v="1"/>
    <x v="1"/>
    <n v="0"/>
    <x v="1"/>
  </r>
  <r>
    <n v="112730"/>
    <s v="THOMAS LUIS BAPTISTA PEREIRA"/>
    <s v="AJUDANTE EQ SERVICOS DIVERSOS"/>
    <x v="1"/>
    <d v="2019-06-01T00:00:00"/>
    <x v="0"/>
    <x v="2"/>
    <n v="-1016.96"/>
    <x v="2"/>
  </r>
  <r>
    <n v="116384"/>
    <s v="TIAGO ALVES CORREIA"/>
    <s v="AJUDANTE EQ SERVICOS DIVERSOS"/>
    <x v="0"/>
    <d v="2021-05-12T00:00:00"/>
    <x v="0"/>
    <x v="0"/>
    <n v="0"/>
    <x v="0"/>
  </r>
  <r>
    <n v="112483"/>
    <s v="TIAGO DO NASCIMENTO FARIAS"/>
    <s v="BUEIRISTA"/>
    <x v="3"/>
    <d v="2019-06-01T00:00:00"/>
    <x v="0"/>
    <x v="0"/>
    <n v="0"/>
    <x v="0"/>
  </r>
  <r>
    <n v="112485"/>
    <s v="TIAGO DOS SANTOS COSTA"/>
    <s v="VARREDOR"/>
    <x v="3"/>
    <d v="2019-06-01T00:00:00"/>
    <x v="2"/>
    <x v="5"/>
    <n v="0"/>
    <x v="0"/>
  </r>
  <r>
    <n v="122406"/>
    <s v="TIAGO FERNANDES DO NASCIMENTO"/>
    <s v="AJUDANTE EQ SERVICOS DIVERSOS"/>
    <x v="2"/>
    <d v="2023-07-10T00:00:00"/>
    <x v="0"/>
    <x v="2"/>
    <n v="-1016.96"/>
    <x v="2"/>
  </r>
  <r>
    <n v="112733"/>
    <s v="TIAGO MACHADO CARDOZO"/>
    <s v="MOTORISTA CAMINHAO"/>
    <x v="2"/>
    <d v="2019-06-01T00:00:00"/>
    <x v="0"/>
    <x v="0"/>
    <n v="0"/>
    <x v="0"/>
  </r>
  <r>
    <n v="121847"/>
    <s v="TIAGO NOVAES"/>
    <s v="AJUDANTE EQ SERVICOS DIVERSOS"/>
    <x v="4"/>
    <d v="2023-04-06T00:00:00"/>
    <x v="0"/>
    <x v="0"/>
    <n v="0"/>
    <x v="0"/>
  </r>
  <r>
    <n v="121460"/>
    <s v="TIAGO SANTOS DA CONCEICAO"/>
    <s v="AJUDANTE EQ SERVICOS DIVERSOS"/>
    <x v="0"/>
    <d v="2023-02-10T00:00:00"/>
    <x v="2"/>
    <x v="5"/>
    <n v="0"/>
    <x v="0"/>
  </r>
  <r>
    <n v="112489"/>
    <s v="TIBURTINO BESERRA DA SILVA NETO"/>
    <s v="VARREDOR"/>
    <x v="4"/>
    <d v="2019-06-01T00:00:00"/>
    <x v="0"/>
    <x v="0"/>
    <n v="0"/>
    <x v="0"/>
  </r>
  <r>
    <n v="112235"/>
    <s v="TOME DE JESUS SANTOS"/>
    <s v="AJUDANTE EQ SERVICOS DIVERSOS"/>
    <x v="0"/>
    <d v="2019-06-01T00:00:00"/>
    <x v="0"/>
    <x v="0"/>
    <n v="0"/>
    <x v="0"/>
  </r>
  <r>
    <n v="112322"/>
    <s v="UELISON SILVA DOS SANTOS"/>
    <s v="BUEIRISTA"/>
    <x v="1"/>
    <d v="2019-06-01T00:00:00"/>
    <x v="0"/>
    <x v="0"/>
    <n v="0"/>
    <x v="0"/>
  </r>
  <r>
    <n v="112237"/>
    <s v="UELTON SANTOS DE ARAUJO"/>
    <s v="AJUDANTE EQ SERVICOS DIVERSOS"/>
    <x v="0"/>
    <d v="2019-06-01T00:00:00"/>
    <x v="0"/>
    <x v="0"/>
    <n v="0"/>
    <x v="0"/>
  </r>
  <r>
    <n v="112759"/>
    <s v="UILTON SILVA DOS ANJOS SANTOS"/>
    <s v="MOTORISTA CAMINHAO"/>
    <x v="2"/>
    <d v="2019-06-01T00:00:00"/>
    <x v="0"/>
    <x v="0"/>
    <n v="0"/>
    <x v="0"/>
  </r>
  <r>
    <n v="112329"/>
    <s v="VAGNER SOARES"/>
    <s v="AJUDANTE EQ SERVICOS DIVERSOS"/>
    <x v="5"/>
    <d v="2019-06-01T00:00:00"/>
    <x v="0"/>
    <x v="0"/>
    <n v="0"/>
    <x v="0"/>
  </r>
  <r>
    <n v="114127"/>
    <s v="VAGNER VIANA"/>
    <s v="MOTORISTA CAMINHAO"/>
    <x v="2"/>
    <d v="2019-10-01T00:00:00"/>
    <x v="0"/>
    <x v="0"/>
    <n v="0"/>
    <x v="0"/>
  </r>
  <r>
    <n v="122836"/>
    <s v="VALBERTO BRITO DE SOUZA"/>
    <s v="AJUDANTE EQ SERVICOS DIVERSOS"/>
    <x v="1"/>
    <d v="2023-09-11T00:00:00"/>
    <x v="5"/>
    <x v="0"/>
    <n v="1016.96"/>
    <x v="4"/>
  </r>
  <r>
    <n v="114939"/>
    <s v="VALCI OLIVEIRA DOS SANTOS"/>
    <s v="AJUDANTE EQ SERVICOS DIVERSOS"/>
    <x v="2"/>
    <d v="2020-03-26T00:00:00"/>
    <x v="0"/>
    <x v="0"/>
    <n v="0"/>
    <x v="0"/>
  </r>
  <r>
    <n v="113034"/>
    <s v="VALDECI APARECIDO REIS DE ANDRADE"/>
    <s v="MOTORISTA CAMINHAO"/>
    <x v="2"/>
    <d v="2019-06-01T00:00:00"/>
    <x v="0"/>
    <x v="0"/>
    <n v="0"/>
    <x v="0"/>
  </r>
  <r>
    <n v="112498"/>
    <s v="VALDECIR APARECIDO GONCALVES"/>
    <s v="VARREDOR"/>
    <x v="3"/>
    <d v="2019-06-01T00:00:00"/>
    <x v="0"/>
    <x v="0"/>
    <n v="0"/>
    <x v="0"/>
  </r>
  <r>
    <n v="112776"/>
    <s v="VALDECY ALVES"/>
    <s v="VARREDOR"/>
    <x v="1"/>
    <d v="2019-06-01T00:00:00"/>
    <x v="0"/>
    <x v="0"/>
    <n v="0"/>
    <x v="0"/>
  </r>
  <r>
    <n v="112504"/>
    <s v="VALDEIR OLIVEIRA SANTOS"/>
    <s v="VARREDOR"/>
    <x v="3"/>
    <d v="2019-06-01T00:00:00"/>
    <x v="0"/>
    <x v="0"/>
    <n v="0"/>
    <x v="0"/>
  </r>
  <r>
    <n v="112507"/>
    <s v="VALDEIR PEREIRA DOS SANTOS"/>
    <s v="VARREDOR"/>
    <x v="3"/>
    <d v="2019-06-01T00:00:00"/>
    <x v="0"/>
    <x v="0"/>
    <n v="0"/>
    <x v="0"/>
  </r>
  <r>
    <n v="114751"/>
    <s v="VALDEIR SILVA LEITAO"/>
    <s v="VARREDOR"/>
    <x v="1"/>
    <d v="2020-02-13T00:00:00"/>
    <x v="0"/>
    <x v="0"/>
    <n v="0"/>
    <x v="0"/>
  </r>
  <r>
    <n v="112331"/>
    <s v="VALDEMAR DOS SANTOS"/>
    <s v="VARREDOR"/>
    <x v="5"/>
    <d v="2019-06-01T00:00:00"/>
    <x v="0"/>
    <x v="0"/>
    <n v="0"/>
    <x v="0"/>
  </r>
  <r>
    <n v="112512"/>
    <s v="VALDEMIR CARNEIRO DE MOURA"/>
    <s v="AJUDANTE EQ SERVICOS DIVERSOS"/>
    <x v="3"/>
    <d v="2019-06-01T00:00:00"/>
    <x v="0"/>
    <x v="0"/>
    <n v="0"/>
    <x v="0"/>
  </r>
  <r>
    <n v="112779"/>
    <s v="VALDEMIR GOMES LEMES"/>
    <s v="AJUDANTE EQ SERVICOS DIVERSOS"/>
    <x v="2"/>
    <d v="2019-06-01T00:00:00"/>
    <x v="0"/>
    <x v="0"/>
    <n v="0"/>
    <x v="0"/>
  </r>
  <r>
    <n v="112782"/>
    <s v="VALDEMIR LEITE FERREIRA"/>
    <s v="AJUDANTE EQ SERVICOS DIVERSOS"/>
    <x v="1"/>
    <d v="2019-06-01T00:00:00"/>
    <x v="0"/>
    <x v="0"/>
    <n v="0"/>
    <x v="0"/>
  </r>
  <r>
    <n v="112786"/>
    <s v="VALDICK SOUZA DE JESUS"/>
    <s v="AJUDANTE EQ SERVICOS DIVERSOS"/>
    <x v="1"/>
    <d v="2019-06-01T00:00:00"/>
    <x v="0"/>
    <x v="0"/>
    <n v="0"/>
    <x v="0"/>
  </r>
  <r>
    <n v="122828"/>
    <s v="VALDINEI DE JESUS DOS SANTOS"/>
    <s v="AJUDANTE EQ SERVICOS DIVERSOS"/>
    <x v="3"/>
    <d v="2023-09-11T00:00:00"/>
    <x v="5"/>
    <x v="0"/>
    <n v="1016.96"/>
    <x v="4"/>
  </r>
  <r>
    <n v="116133"/>
    <s v="VALDINEI GONCALVES DOS SANTOS"/>
    <s v="AUXILIAR DE ALMOXARIFADO PLENO"/>
    <x v="2"/>
    <d v="2021-02-22T00:00:00"/>
    <x v="0"/>
    <x v="0"/>
    <n v="0"/>
    <x v="0"/>
  </r>
  <r>
    <n v="112332"/>
    <s v="VALDINEI MARTINS CRUZ"/>
    <s v="VARREDOR"/>
    <x v="5"/>
    <d v="2019-06-01T00:00:00"/>
    <x v="0"/>
    <x v="0"/>
    <n v="0"/>
    <x v="0"/>
  </r>
  <r>
    <n v="112566"/>
    <s v="VALDIR BARBOSA FERREIRA"/>
    <s v="VARREDOR"/>
    <x v="3"/>
    <d v="2019-06-01T00:00:00"/>
    <x v="0"/>
    <x v="0"/>
    <n v="0"/>
    <x v="0"/>
  </r>
  <r>
    <n v="112569"/>
    <s v="VALDIR BEZERRA DOS SANTOS"/>
    <s v="VARREDOR"/>
    <x v="3"/>
    <d v="2019-06-01T00:00:00"/>
    <x v="0"/>
    <x v="0"/>
    <n v="0"/>
    <x v="3"/>
  </r>
  <r>
    <n v="114124"/>
    <s v="VALDIR ROCHSTROCH BATISTA"/>
    <s v="MOTORISTA CAMINHAO"/>
    <x v="2"/>
    <d v="2019-10-01T00:00:00"/>
    <x v="0"/>
    <x v="0"/>
    <n v="0"/>
    <x v="0"/>
  </r>
  <r>
    <n v="112814"/>
    <s v="VALDIR RODRIGUES DOS ANJOS"/>
    <s v="VARREDOR"/>
    <x v="1"/>
    <d v="2019-06-01T00:00:00"/>
    <x v="0"/>
    <x v="0"/>
    <n v="0"/>
    <x v="0"/>
  </r>
  <r>
    <n v="112573"/>
    <s v="VALDIVIO RODRIGUES CRUZ"/>
    <s v="AJUDANTE EQ SERVICOS DIVERSOS"/>
    <x v="4"/>
    <d v="2019-06-01T00:00:00"/>
    <x v="0"/>
    <x v="0"/>
    <n v="0"/>
    <x v="0"/>
  </r>
  <r>
    <n v="112242"/>
    <s v="VALMIR DOS SANTOS MACHADO"/>
    <s v="AJUDANTE EQ SERVICOS DIVERSOS"/>
    <x v="5"/>
    <d v="2019-06-01T00:00:00"/>
    <x v="0"/>
    <x v="0"/>
    <n v="0"/>
    <x v="0"/>
  </r>
  <r>
    <n v="112795"/>
    <s v="VALMIR GOMES DE FREITAS"/>
    <s v="ENCARREGADO DE TRAFEGO II"/>
    <x v="2"/>
    <d v="2019-06-01T00:00:00"/>
    <x v="0"/>
    <x v="0"/>
    <n v="0"/>
    <x v="0"/>
  </r>
  <r>
    <n v="112333"/>
    <s v="VALTER JOSE DA SILVA"/>
    <s v="VARREDOR"/>
    <x v="3"/>
    <d v="2019-06-01T00:00:00"/>
    <x v="0"/>
    <x v="0"/>
    <n v="0"/>
    <x v="0"/>
  </r>
  <r>
    <n v="116111"/>
    <s v="VALTER PEREIRA"/>
    <s v="MOTORISTA CAMINHAO"/>
    <x v="2"/>
    <d v="2021-02-09T00:00:00"/>
    <x v="0"/>
    <x v="0"/>
    <n v="0"/>
    <x v="0"/>
  </r>
  <r>
    <n v="113725"/>
    <s v="VANDECIR GOMES DA SILVA"/>
    <s v="SUPERVISOR OPERACIONAL"/>
    <x v="2"/>
    <d v="2019-06-03T00:00:00"/>
    <x v="0"/>
    <x v="0"/>
    <n v="0"/>
    <x v="0"/>
  </r>
  <r>
    <n v="112579"/>
    <s v="VANDERLEI ALEXANDRE DA SILVA"/>
    <s v="VARREDOR"/>
    <x v="0"/>
    <d v="2019-06-01T00:00:00"/>
    <x v="0"/>
    <x v="0"/>
    <n v="0"/>
    <x v="0"/>
  </r>
  <r>
    <n v="112820"/>
    <s v="VANDERLEY SALDANHA PEIXOTO"/>
    <s v="COLETOR"/>
    <x v="2"/>
    <d v="2019-06-01T00:00:00"/>
    <x v="0"/>
    <x v="0"/>
    <n v="0"/>
    <x v="3"/>
  </r>
  <r>
    <n v="113041"/>
    <s v="VANDERLEY SOUSA GAMA FILHO"/>
    <s v="MOTORISTA CAMINHAO"/>
    <x v="2"/>
    <d v="2019-06-01T00:00:00"/>
    <x v="0"/>
    <x v="0"/>
    <n v="0"/>
    <x v="0"/>
  </r>
  <r>
    <n v="112801"/>
    <s v="VANDERSON BEZERRA ALVES DOS SANTOS"/>
    <s v="OPERADOR DE MAQUINA SENIOR"/>
    <x v="2"/>
    <d v="2019-06-01T00:00:00"/>
    <x v="0"/>
    <x v="0"/>
    <n v="0"/>
    <x v="0"/>
  </r>
  <r>
    <n v="114941"/>
    <s v="VANDERSON WILIAN CASTRO BATISTA"/>
    <s v="AJUDANTE EQ SERVICOS DIVERSOS"/>
    <x v="2"/>
    <d v="2020-03-26T00:00:00"/>
    <x v="0"/>
    <x v="0"/>
    <n v="0"/>
    <x v="0"/>
  </r>
  <r>
    <n v="119342"/>
    <s v="VANESSA OLIVEIRA MACEDO VIDAL"/>
    <s v="TECNICA DE ENFERMAGEM DO TRABALHO"/>
    <x v="2"/>
    <d v="2022-04-27T00:00:00"/>
    <x v="0"/>
    <x v="0"/>
    <n v="0"/>
    <x v="0"/>
  </r>
  <r>
    <n v="114004"/>
    <s v="VANILTON DOS SANTOS"/>
    <s v="SOLDADOR"/>
    <x v="2"/>
    <d v="2019-08-19T00:00:00"/>
    <x v="0"/>
    <x v="0"/>
    <n v="0"/>
    <x v="0"/>
  </r>
  <r>
    <n v="112873"/>
    <s v="VICENTE SILVA DE ALMEIDA"/>
    <s v="VARREDOR"/>
    <x v="1"/>
    <d v="2019-06-01T00:00:00"/>
    <x v="0"/>
    <x v="0"/>
    <n v="0"/>
    <x v="0"/>
  </r>
  <r>
    <n v="116322"/>
    <s v="VICTOR GUILHERME DE PAULA"/>
    <s v="AJUDANTE EQ SERVICOS DIVERSOS"/>
    <x v="3"/>
    <d v="2021-04-22T00:00:00"/>
    <x v="0"/>
    <x v="0"/>
    <n v="0"/>
    <x v="0"/>
  </r>
  <r>
    <n v="119118"/>
    <s v="VICTOR HUGO ALVES DE OLIVEIRA"/>
    <s v="AJUDANTE EQ SERVICOS DIVERSOS"/>
    <x v="4"/>
    <d v="2022-03-10T00:00:00"/>
    <x v="0"/>
    <x v="0"/>
    <n v="0"/>
    <x v="0"/>
  </r>
  <r>
    <n v="116653"/>
    <s v="VICTOR ROLOFF MARQUES"/>
    <s v="GERENTE DE FROTA"/>
    <x v="7"/>
    <d v="2021-06-23T00:00:00"/>
    <x v="0"/>
    <x v="0"/>
    <n v="0"/>
    <x v="0"/>
  </r>
  <r>
    <n v="121952"/>
    <s v="VINICIUS DE JESUS MARQUES"/>
    <s v="MENOR/JOVEM APRENDIZ"/>
    <x v="6"/>
    <d v="2023-04-24T00:00:00"/>
    <x v="3"/>
    <x v="4"/>
    <n v="0"/>
    <x v="0"/>
  </r>
  <r>
    <n v="114039"/>
    <s v="VITOR BARRETO DOS SANTOS"/>
    <s v="AJUDANTE EQ SERVICOS DIVERSOS"/>
    <x v="3"/>
    <d v="2019-09-04T00:00:00"/>
    <x v="0"/>
    <x v="5"/>
    <n v="-38.289999999999964"/>
    <x v="0"/>
  </r>
  <r>
    <n v="114404"/>
    <s v="VITOR DA CRUZ SANTOS"/>
    <s v="AJUDANTE EQ SERVICOS DIVERSOS"/>
    <x v="1"/>
    <d v="2019-12-12T00:00:00"/>
    <x v="0"/>
    <x v="0"/>
    <n v="0"/>
    <x v="0"/>
  </r>
  <r>
    <n v="112876"/>
    <s v="VITOR JESUS DOS SANTOS"/>
    <s v="AUXILIAR ADMINISTRATIVO"/>
    <x v="6"/>
    <d v="2019-06-01T00:00:00"/>
    <x v="0"/>
    <x v="0"/>
    <n v="0"/>
    <x v="0"/>
  </r>
  <r>
    <n v="121853"/>
    <s v="VITOR SILVA DE SOUZA"/>
    <s v="AJUDANTE EQ SERVICOS DIVERSOS"/>
    <x v="0"/>
    <d v="2023-04-06T00:00:00"/>
    <x v="21"/>
    <x v="20"/>
    <n v="-153.13"/>
    <x v="0"/>
  </r>
  <r>
    <n v="122240"/>
    <s v="VIVIAN BRITO MOTA COTIAS"/>
    <s v="MOTORISTA CAMINHAO"/>
    <x v="2"/>
    <d v="2023-06-12T00:00:00"/>
    <x v="0"/>
    <x v="0"/>
    <n v="0"/>
    <x v="0"/>
  </r>
  <r>
    <n v="122346"/>
    <s v="WAGNER AUGUSTO DAGLIO PEIKOW"/>
    <s v="VARREDOR"/>
    <x v="3"/>
    <d v="2023-06-21T00:00:00"/>
    <x v="0"/>
    <x v="0"/>
    <n v="0"/>
    <x v="0"/>
  </r>
  <r>
    <n v="114509"/>
    <s v="WAGNER BARBOSA DA SILVA"/>
    <s v="AJUDANTE EQ SERVICOS DIVERSOS"/>
    <x v="1"/>
    <d v="2019-12-12T00:00:00"/>
    <x v="0"/>
    <x v="0"/>
    <n v="0"/>
    <x v="0"/>
  </r>
  <r>
    <n v="113049"/>
    <s v="WAGNER DA SILVA DE JESUS VALE"/>
    <s v="MOTORISTA CAMINHAO"/>
    <x v="2"/>
    <d v="2019-06-01T00:00:00"/>
    <x v="0"/>
    <x v="0"/>
    <n v="0"/>
    <x v="0"/>
  </r>
  <r>
    <n v="113059"/>
    <s v="WAGNER DIOGO SANTOS"/>
    <s v="MOTORISTA CAMINHAO"/>
    <x v="2"/>
    <d v="2019-06-01T00:00:00"/>
    <x v="0"/>
    <x v="0"/>
    <n v="0"/>
    <x v="0"/>
  </r>
  <r>
    <n v="118635"/>
    <s v="WAGNER FERREIRA DE OLIVEIRA"/>
    <s v="AJUDANTE EQ SERVICOS DIVERSOS"/>
    <x v="1"/>
    <d v="2022-01-21T00:00:00"/>
    <x v="0"/>
    <x v="0"/>
    <n v="0"/>
    <x v="0"/>
  </r>
  <r>
    <n v="113063"/>
    <s v="WAGNER RIBEIRO DOS SANTOS"/>
    <s v="MOTORISTA CAMINHAO"/>
    <x v="2"/>
    <d v="2019-06-01T00:00:00"/>
    <x v="0"/>
    <x v="0"/>
    <n v="0"/>
    <x v="0"/>
  </r>
  <r>
    <n v="114981"/>
    <s v="WAGNER SANTANA XAVIER"/>
    <s v="MOTORISTA CAMINHAO"/>
    <x v="2"/>
    <d v="2020-03-27T00:00:00"/>
    <x v="0"/>
    <x v="0"/>
    <n v="0"/>
    <x v="0"/>
  </r>
  <r>
    <n v="114943"/>
    <s v="WAGNER VARGENS DE ALMEIDA"/>
    <s v="AJUDANTE EQ SERVICOS DIVERSOS"/>
    <x v="2"/>
    <d v="2020-03-26T00:00:00"/>
    <x v="0"/>
    <x v="0"/>
    <n v="0"/>
    <x v="0"/>
  </r>
  <r>
    <n v="122234"/>
    <s v="WALDIR ANTONIO MARTINS"/>
    <s v="MOTORISTA CAMINHAO"/>
    <x v="2"/>
    <d v="2023-06-12T00:00:00"/>
    <x v="0"/>
    <x v="0"/>
    <n v="0"/>
    <x v="0"/>
  </r>
  <r>
    <n v="112597"/>
    <s v="WALDIR PEREIRA SANTOS"/>
    <s v="VARREDOR"/>
    <x v="3"/>
    <d v="2019-06-01T00:00:00"/>
    <x v="0"/>
    <x v="0"/>
    <n v="0"/>
    <x v="0"/>
  </r>
  <r>
    <n v="112882"/>
    <s v="WALICE ARAUJO SOUZA"/>
    <s v="AJUDANTE EQ SERVICOS DIVERSOS"/>
    <x v="1"/>
    <d v="2019-06-01T00:00:00"/>
    <x v="0"/>
    <x v="0"/>
    <n v="0"/>
    <x v="0"/>
  </r>
  <r>
    <n v="121684"/>
    <s v="WALKER MINANCIAM DA SILVA"/>
    <s v="AUXILIAR DE CONTROLE OPERACIONAL"/>
    <x v="2"/>
    <d v="2023-03-09T00:00:00"/>
    <x v="0"/>
    <x v="0"/>
    <n v="0"/>
    <x v="0"/>
  </r>
  <r>
    <n v="112345"/>
    <s v="WALLACE TAVARES DA SILVA"/>
    <s v="BUEIRISTA"/>
    <x v="5"/>
    <d v="2019-06-01T00:00:00"/>
    <x v="0"/>
    <x v="0"/>
    <n v="0"/>
    <x v="0"/>
  </r>
  <r>
    <n v="112599"/>
    <s v="WALMIR ALVES DE SOUZA"/>
    <s v="AJUDANTE EQ SERVICOS DIVERSOS"/>
    <x v="0"/>
    <d v="2019-06-01T00:00:00"/>
    <x v="0"/>
    <x v="0"/>
    <n v="0"/>
    <x v="0"/>
  </r>
  <r>
    <n v="121324"/>
    <s v="WALTER CARINHANHA SOARES"/>
    <s v="VARREDOR"/>
    <x v="3"/>
    <d v="2023-01-19T00:00:00"/>
    <x v="0"/>
    <x v="0"/>
    <n v="0"/>
    <x v="0"/>
  </r>
  <r>
    <n v="122333"/>
    <s v="WASHINGTON SILVA LOPES"/>
    <s v="VARREDOR"/>
    <x v="3"/>
    <d v="2023-06-21T00:00:00"/>
    <x v="0"/>
    <x v="0"/>
    <n v="0"/>
    <x v="0"/>
  </r>
  <r>
    <n v="119936"/>
    <s v="WELLINGTON FERREIRA DA COSTA"/>
    <s v="AJUDANTE EQ SERVICOS DIVERSOS"/>
    <x v="1"/>
    <d v="2022-07-18T00:00:00"/>
    <x v="0"/>
    <x v="0"/>
    <n v="0"/>
    <x v="0"/>
  </r>
  <r>
    <n v="112888"/>
    <s v="WELLINGTON LUIZ DE ALMEIDA"/>
    <s v="COLETOR"/>
    <x v="2"/>
    <d v="2019-06-01T00:00:00"/>
    <x v="0"/>
    <x v="0"/>
    <n v="0"/>
    <x v="0"/>
  </r>
  <r>
    <n v="118053"/>
    <s v="WELLINGTON PONTES FONSECA"/>
    <s v="AJUDANTE EQ SERVICOS DIVERSOS"/>
    <x v="5"/>
    <d v="2022-01-06T00:00:00"/>
    <x v="0"/>
    <x v="0"/>
    <n v="0"/>
    <x v="0"/>
  </r>
  <r>
    <n v="112607"/>
    <s v="WELLINGTON TIAGO DE JESUS SANTOS"/>
    <s v="AJUDANTE EQ SERVICOS DIVERSOS"/>
    <x v="3"/>
    <d v="2019-06-01T00:00:00"/>
    <x v="0"/>
    <x v="0"/>
    <n v="0"/>
    <x v="0"/>
  </r>
  <r>
    <n v="112612"/>
    <s v="WELTON DOUGLAS RIBEIRO"/>
    <s v="AJUDANTE EQ SERVICOS DIVERSOS"/>
    <x v="5"/>
    <d v="2019-06-01T00:00:00"/>
    <x v="0"/>
    <x v="0"/>
    <n v="0"/>
    <x v="0"/>
  </r>
  <r>
    <n v="121480"/>
    <s v="WENDELL OLIVEIRA DA SILVA"/>
    <s v="AJUDANTE EQ SERVICOS DIVERSOS"/>
    <x v="0"/>
    <d v="2023-02-10T00:00:00"/>
    <x v="0"/>
    <x v="0"/>
    <n v="0"/>
    <x v="0"/>
  </r>
  <r>
    <n v="112614"/>
    <s v="WENSYLL SANTOS DE ARAUJO"/>
    <s v="AJUDANTE EQ SERVICOS DIVERSOS"/>
    <x v="3"/>
    <d v="2019-06-01T00:00:00"/>
    <x v="2"/>
    <x v="0"/>
    <n v="38.289999999999964"/>
    <x v="0"/>
  </r>
  <r>
    <n v="112354"/>
    <s v="WESLEY BALBINO DA SILVA"/>
    <s v="AJUDANTE EQ SERVICOS DIVERSOS"/>
    <x v="5"/>
    <d v="2019-06-01T00:00:00"/>
    <x v="0"/>
    <x v="0"/>
    <n v="0"/>
    <x v="0"/>
  </r>
  <r>
    <n v="119678"/>
    <s v="WESLEY LUCAS AGUIAR DOS ANJOS"/>
    <s v="AJUDANTE EQ SERVICOS DIVERSOS"/>
    <x v="0"/>
    <d v="2022-06-13T00:00:00"/>
    <x v="0"/>
    <x v="0"/>
    <n v="0"/>
    <x v="0"/>
  </r>
  <r>
    <n v="122029"/>
    <s v="WESLEY PEREIRA DE SOUZA"/>
    <s v="AGENTE AMBIENTAL"/>
    <x v="2"/>
    <d v="2023-05-08T00:00:00"/>
    <x v="0"/>
    <x v="0"/>
    <n v="0"/>
    <x v="0"/>
  </r>
  <r>
    <n v="114360"/>
    <s v="WESLEY SILVA COSTA"/>
    <s v="AJUDANTE EQ SERVICOS DIVERSOS"/>
    <x v="1"/>
    <d v="2019-12-12T00:00:00"/>
    <x v="0"/>
    <x v="0"/>
    <n v="0"/>
    <x v="3"/>
  </r>
  <r>
    <n v="122554"/>
    <s v="WESLEY SOARES DA SILVA OLIVEIRA"/>
    <s v="AJUDANTE EQ SERVICOS DIVERSOS"/>
    <x v="1"/>
    <d v="2023-07-24T00:00:00"/>
    <x v="0"/>
    <x v="0"/>
    <n v="0"/>
    <x v="0"/>
  </r>
  <r>
    <n v="122553"/>
    <s v="WESLEY VIRGINIO DA SILVA"/>
    <s v="AJUDANTE EQ SERVICOS DIVERSOS"/>
    <x v="1"/>
    <d v="2023-07-24T00:00:00"/>
    <x v="0"/>
    <x v="0"/>
    <n v="0"/>
    <x v="0"/>
  </r>
  <r>
    <n v="113074"/>
    <s v="WEVERSON DA SILVA FELIPE"/>
    <s v="MOTORISTA CAMINHAO"/>
    <x v="2"/>
    <d v="2019-06-01T00:00:00"/>
    <x v="0"/>
    <x v="0"/>
    <n v="0"/>
    <x v="0"/>
  </r>
  <r>
    <n v="112363"/>
    <s v="WILIAM MOREIRA NASCIMENTO"/>
    <s v="AJUDANTE EQ SERVICOS DIVERSOS"/>
    <x v="5"/>
    <d v="2019-06-01T00:00:00"/>
    <x v="0"/>
    <x v="0"/>
    <n v="0"/>
    <x v="0"/>
  </r>
  <r>
    <n v="114092"/>
    <s v="WILLI CORREIA DOS SANTOS"/>
    <s v="AJUDANTE EQ SERVICOS DIVERSOS"/>
    <x v="0"/>
    <d v="2019-09-20T00:00:00"/>
    <x v="0"/>
    <x v="0"/>
    <n v="0"/>
    <x v="0"/>
  </r>
  <r>
    <n v="112250"/>
    <s v="WILLIAM ALVES DO NASCIMENTO"/>
    <s v="AJUDANTE EQ SERVICOS DIVERSOS"/>
    <x v="0"/>
    <d v="2019-06-01T00:00:00"/>
    <x v="0"/>
    <x v="0"/>
    <n v="0"/>
    <x v="0"/>
  </r>
  <r>
    <n v="112893"/>
    <s v="WILLIAM ARAUJO DA SILVA"/>
    <s v="FISCAL DE TURMA PLENO"/>
    <x v="1"/>
    <d v="2019-06-01T00:00:00"/>
    <x v="0"/>
    <x v="0"/>
    <n v="0"/>
    <x v="0"/>
  </r>
  <r>
    <n v="112896"/>
    <s v="WILLIAM DIAS DA SILVA"/>
    <s v="COLETOR"/>
    <x v="2"/>
    <d v="2019-06-01T00:00:00"/>
    <x v="0"/>
    <x v="0"/>
    <n v="0"/>
    <x v="0"/>
  </r>
  <r>
    <n v="112368"/>
    <s v="WILLIAM LIMA DE JESUS"/>
    <s v="AJUDANTE EQ SERVICOS DIVERSOS"/>
    <x v="5"/>
    <d v="2019-06-01T00:00:00"/>
    <x v="0"/>
    <x v="0"/>
    <n v="0"/>
    <x v="0"/>
  </r>
  <r>
    <n v="112626"/>
    <s v="WILLIAM LIMA SILVA"/>
    <s v="AJUDANTE EQ SERVICOS DIVERSOS"/>
    <x v="3"/>
    <d v="2019-06-01T00:00:00"/>
    <x v="0"/>
    <x v="0"/>
    <n v="0"/>
    <x v="0"/>
  </r>
  <r>
    <n v="113846"/>
    <s v="WILLIAM LUIZ DA SILVA"/>
    <s v="COMPRADOR"/>
    <x v="6"/>
    <d v="2019-07-02T00:00:00"/>
    <x v="0"/>
    <x v="0"/>
    <n v="0"/>
    <x v="0"/>
  </r>
  <r>
    <n v="112898"/>
    <s v="WILLIAM PROFIRO DE SOUZA"/>
    <s v="COLETOR"/>
    <x v="2"/>
    <d v="2019-06-01T00:00:00"/>
    <x v="0"/>
    <x v="0"/>
    <n v="0"/>
    <x v="0"/>
  </r>
  <r>
    <n v="112618"/>
    <s v="WILLIAN ANDRADE LEAL"/>
    <s v="FISCAL DE TURMA PLENO"/>
    <x v="3"/>
    <d v="2019-06-01T00:00:00"/>
    <x v="0"/>
    <x v="0"/>
    <n v="0"/>
    <x v="0"/>
  </r>
  <r>
    <n v="112628"/>
    <s v="WILLIAN CARDOSO DA SILVA"/>
    <s v="AJUDANTE EQ SERVICOS DIVERSOS"/>
    <x v="3"/>
    <d v="2019-06-01T00:00:00"/>
    <x v="0"/>
    <x v="0"/>
    <n v="0"/>
    <x v="0"/>
  </r>
  <r>
    <n v="113932"/>
    <s v="WILLIAN DOS SANTOS LOPES"/>
    <s v="TECNICO EM SEGURANCA DO TRABALHO JUNIOR"/>
    <x v="2"/>
    <d v="2019-08-06T00:00:00"/>
    <x v="0"/>
    <x v="0"/>
    <n v="0"/>
    <x v="0"/>
  </r>
  <r>
    <n v="119110"/>
    <s v="WILLIANS MAXIMINO DOS SANTOS"/>
    <s v="AJUDANTE EQ SERVICOS DIVERSOS"/>
    <x v="3"/>
    <d v="2022-03-10T00:00:00"/>
    <x v="0"/>
    <x v="0"/>
    <n v="0"/>
    <x v="0"/>
  </r>
  <r>
    <n v="114265"/>
    <s v="WILLINS RODRIGO TEODORO"/>
    <s v="AJUDANTE EQ SERVICOS DIVERSOS"/>
    <x v="1"/>
    <d v="2019-12-05T00:00:00"/>
    <x v="0"/>
    <x v="0"/>
    <n v="0"/>
    <x v="0"/>
  </r>
  <r>
    <n v="112905"/>
    <s v="WILLY CASTRO VIEIRA"/>
    <s v="AJUDANTE EQ SERVICOS DIVERSOS"/>
    <x v="1"/>
    <d v="2019-06-01T00:00:00"/>
    <x v="0"/>
    <x v="0"/>
    <n v="0"/>
    <x v="0"/>
  </r>
  <r>
    <n v="112907"/>
    <s v="WILSON AUGUSTO"/>
    <s v="COLETOR"/>
    <x v="2"/>
    <d v="2019-06-01T00:00:00"/>
    <x v="0"/>
    <x v="0"/>
    <n v="0"/>
    <x v="0"/>
  </r>
  <r>
    <n v="114748"/>
    <s v="WILSON CAMARGO DE AMANCIO"/>
    <s v="AJUDANTE EQ SERVICOS DIVERSOS"/>
    <x v="1"/>
    <d v="2020-02-13T00:00:00"/>
    <x v="0"/>
    <x v="0"/>
    <n v="0"/>
    <x v="3"/>
  </r>
  <r>
    <n v="114949"/>
    <s v="WILSON CARDOSO BARBOSA"/>
    <s v="MOTORISTA CAMINHAO"/>
    <x v="2"/>
    <d v="2020-03-26T00:00:00"/>
    <x v="0"/>
    <x v="0"/>
    <n v="0"/>
    <x v="0"/>
  </r>
  <r>
    <n v="113883"/>
    <s v="WILSON ROBERTO DE OLIVEIRA"/>
    <s v="GERENTE ADMINISTRATIVO"/>
    <x v="7"/>
    <d v="2019-04-23T00:00:00"/>
    <x v="20"/>
    <x v="18"/>
    <n v="60"/>
    <x v="0"/>
  </r>
  <r>
    <n v="112376"/>
    <s v="WILTON SOUSA SILVA"/>
    <s v="LAVADOR"/>
    <x v="2"/>
    <d v="2019-06-01T00:00:00"/>
    <x v="0"/>
    <x v="5"/>
    <n v="-38.289999999999964"/>
    <x v="0"/>
  </r>
  <r>
    <n v="112911"/>
    <s v="ZELINO DOS SANTOS MACHADO"/>
    <s v="COLETOR"/>
    <x v="2"/>
    <d v="2019-06-01T00:00:00"/>
    <x v="0"/>
    <x v="0"/>
    <n v="0"/>
    <x v="0"/>
  </r>
  <r>
    <n v="112683"/>
    <s v="ZELITA GALDINO DA SILVA"/>
    <s v="AJUDANTE EQ SERVICOS DIVERSOS"/>
    <x v="1"/>
    <d v="2019-06-01T00:00:00"/>
    <x v="0"/>
    <x v="0"/>
    <n v="0"/>
    <x v="3"/>
  </r>
  <r>
    <n v="112805"/>
    <s v="ZENIL SANTANA DE AGUIAR"/>
    <s v="TECNICO EM SEGURANCA DO TRABALHO SENIOR"/>
    <x v="2"/>
    <d v="2019-06-01T00:00:00"/>
    <x v="0"/>
    <x v="0"/>
    <n v="0"/>
    <x v="0"/>
  </r>
  <r>
    <n v="112685"/>
    <s v="ZILDA CANDIDO DA SILVA"/>
    <s v="AJUDANTE EQ SERVICOS DIVERSOS"/>
    <x v="5"/>
    <d v="2019-06-01T00:00:00"/>
    <x v="0"/>
    <x v="0"/>
    <n v="0"/>
    <x v="0"/>
  </r>
  <r>
    <n v="112918"/>
    <s v="ZOZELITO MARQUES BEZERRA"/>
    <s v="COLETOR"/>
    <x v="2"/>
    <d v="2019-06-01T00:00:00"/>
    <x v="0"/>
    <x v="0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95248-6086-459D-8A31-C6960F1695AE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>
  <location ref="G1:H6" firstHeaderRow="1" firstDataRow="1" firstDataCol="1"/>
  <pivotFields count="5">
    <pivotField showAll="0"/>
    <pivotField showAll="0"/>
    <pivotField showAll="0"/>
    <pivotField dataField="1" showAll="0"/>
    <pivotField axis="axisRow" showAll="0">
      <items count="5">
        <item x="3"/>
        <item x="2"/>
        <item x="0"/>
        <item x="1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Quantidade da Verba" fld="3" baseField="0" baseItem="0"/>
  </dataFields>
  <formats count="35">
    <format dxfId="44">
      <pivotArea type="all" dataOnly="0" outline="0" fieldPosition="0"/>
    </format>
    <format dxfId="43">
      <pivotArea outline="0" collapsedLevelsAreSubtotals="1" fieldPosition="0"/>
    </format>
    <format dxfId="42">
      <pivotArea dataOnly="0" labelOnly="1" grandRow="1" outline="0" fieldPosition="0"/>
    </format>
    <format dxfId="41">
      <pivotArea dataOnly="0" labelOnly="1" outline="0" axis="axisValues" fieldPosition="0"/>
    </format>
    <format dxfId="40">
      <pivotArea type="all" dataOnly="0" outline="0" fieldPosition="0"/>
    </format>
    <format dxfId="39">
      <pivotArea outline="0" collapsedLevelsAreSubtotals="1" fieldPosition="0"/>
    </format>
    <format dxfId="38">
      <pivotArea dataOnly="0" labelOnly="1" grandRow="1" outline="0" fieldPosition="0"/>
    </format>
    <format dxfId="37">
      <pivotArea dataOnly="0" labelOnly="1" outline="0" axis="axisValues" fieldPosition="0"/>
    </format>
    <format dxfId="36">
      <pivotArea type="all" dataOnly="0" outline="0" fieldPosition="0"/>
    </format>
    <format dxfId="35">
      <pivotArea outline="0" collapsedLevelsAreSubtotals="1" fieldPosition="0"/>
    </format>
    <format dxfId="34">
      <pivotArea dataOnly="0" labelOnly="1" grandRow="1" outline="0" fieldPosition="0"/>
    </format>
    <format dxfId="33">
      <pivotArea dataOnly="0" labelOnly="1" outline="0" axis="axisValues" fieldPosition="0"/>
    </format>
    <format dxfId="32">
      <pivotArea type="all" dataOnly="0" outline="0" fieldPosition="0"/>
    </format>
    <format dxfId="31">
      <pivotArea outline="0" collapsedLevelsAreSubtotals="1" fieldPosition="0"/>
    </format>
    <format dxfId="30">
      <pivotArea dataOnly="0" labelOnly="1" grandRow="1" outline="0" fieldPosition="0"/>
    </format>
    <format dxfId="29">
      <pivotArea dataOnly="0" labelOnly="1" outline="0" axis="axisValues" fieldPosition="0"/>
    </format>
    <format dxfId="28">
      <pivotArea grandRow="1" outline="0" collapsedLevelsAreSubtotals="1" fieldPosition="0"/>
    </format>
    <format dxfId="27">
      <pivotArea dataOnly="0" labelOnly="1" grandRow="1" outline="0" fieldPosition="0"/>
    </format>
    <format dxfId="26">
      <pivotArea dataOnly="0" labelOnly="1" outline="0" axis="axisValues" fieldPosition="0"/>
    </format>
    <format dxfId="25">
      <pivotArea type="all" dataOnly="0" outline="0" fieldPosition="0"/>
    </format>
    <format dxfId="24">
      <pivotArea dataOnly="0" labelOnly="1" grandRow="1" outline="0" fieldPosition="0"/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dataOnly="0" labelOnly="1" grandRow="1" outline="0" fieldPosition="0"/>
    </format>
    <format dxfId="20">
      <pivotArea dataOnly="0" labelOnly="1" outline="0" axis="axisValues" fieldPosition="0"/>
    </format>
    <format dxfId="19">
      <pivotArea outline="0" collapsedLevelsAreSubtotals="1" fieldPosition="0"/>
    </format>
    <format dxfId="18">
      <pivotArea dataOnly="0" labelOnly="1" outline="0" axis="axisValues" fieldPosition="0"/>
    </format>
    <format dxfId="17">
      <pivotArea type="all" dataOnly="0" outline="0" fieldPosition="0"/>
    </format>
    <format dxfId="16">
      <pivotArea outline="0" collapsedLevelsAreSubtotals="1" fieldPosition="0"/>
    </format>
    <format dxfId="15">
      <pivotArea dataOnly="0" labelOnly="1" grandRow="1" outline="0" fieldPosition="0"/>
    </format>
    <format dxfId="14">
      <pivotArea dataOnly="0" labelOnly="1" outline="0" axis="axisValues" fieldPosition="0"/>
    </format>
    <format dxfId="13">
      <pivotArea type="all" dataOnly="0" outline="0" fieldPosition="0"/>
    </format>
    <format dxfId="12">
      <pivotArea outline="0" collapsedLevelsAreSubtotals="1" fieldPosition="0"/>
    </format>
    <format dxfId="11">
      <pivotArea dataOnly="0" labelOnly="1" grandRow="1" outline="0" fieldPosition="0"/>
    </format>
    <format dxfId="10">
      <pivotArea dataOnly="0" labelOnly="1" outline="0" axis="axisValues" fieldPosition="0"/>
    </format>
  </formats>
  <pivotTableStyleInfo name="PivotStyleDark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502C47-5D69-4BEA-BFF5-C4CEAD824DF6}" name="Tabela dinâmica3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5:C20" firstHeaderRow="0" firstDataRow="1" firstDataCol="1" rowPageCount="1" colPageCount="1"/>
  <pivotFields count="9">
    <pivotField numFmtId="166" showAll="0"/>
    <pivotField dataField="1" showAll="0"/>
    <pivotField showAll="0"/>
    <pivotField showAll="0" sortType="ascending"/>
    <pivotField numFmtId="14" showAll="0"/>
    <pivotField numFmtId="165" multipleItemSelectionAllowed="1" showAll="0"/>
    <pivotField axis="axisPage" dataField="1" numFmtId="165" multipleItemSelectionAllowed="1" showAll="0">
      <items count="22">
        <item h="1" x="2"/>
        <item x="8"/>
        <item x="1"/>
        <item x="11"/>
        <item x="4"/>
        <item x="14"/>
        <item x="6"/>
        <item x="10"/>
        <item x="15"/>
        <item x="5"/>
        <item x="0"/>
        <item x="3"/>
        <item x="13"/>
        <item x="7"/>
        <item x="9"/>
        <item x="12"/>
        <item x="16"/>
        <item x="17"/>
        <item x="18"/>
        <item x="19"/>
        <item x="20"/>
        <item t="default"/>
      </items>
    </pivotField>
    <pivotField numFmtId="165" showAll="0"/>
    <pivotField axis="axisRow" showAll="0" sortType="ascending">
      <items count="6">
        <item x="4"/>
        <item x="1"/>
        <item x="2"/>
        <item x="0"/>
        <item x="3"/>
        <item t="default"/>
      </items>
    </pivotField>
  </pivotFields>
  <rowFields count="1">
    <field x="8"/>
  </rowFields>
  <rowItems count="5">
    <i>
      <x/>
    </i>
    <i>
      <x v="1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pageFields count="1">
    <pageField fld="6" hier="-1"/>
  </pageFields>
  <dataFields count="2">
    <dataField name="Soma de OUTUBRO" fld="6" baseField="0" baseItem="0"/>
    <dataField name="Contagem de NOME" fld="1" subtotal="count" baseField="0" baseItem="0"/>
  </dataFields>
  <formats count="3">
    <format dxfId="2">
      <pivotArea outline="0" collapsedLevelsAreSubtotals="1" fieldPosition="0"/>
    </format>
    <format dxfId="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849148-F66C-483C-94F7-E650ABCB6768}" name="Tabela dinâmica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C9" firstHeaderRow="0" firstDataRow="1" firstDataCol="1" rowPageCount="1" colPageCount="1"/>
  <pivotFields count="9">
    <pivotField numFmtId="166" showAll="0"/>
    <pivotField dataField="1" showAll="0"/>
    <pivotField showAll="0"/>
    <pivotField showAll="0" sortType="ascending"/>
    <pivotField numFmtId="14" showAll="0"/>
    <pivotField axis="axisPage" dataField="1" numFmtId="165" multipleItemSelectionAllowed="1" showAll="0">
      <items count="23">
        <item h="1" x="5"/>
        <item x="9"/>
        <item x="7"/>
        <item x="14"/>
        <item x="1"/>
        <item x="18"/>
        <item x="3"/>
        <item x="21"/>
        <item x="13"/>
        <item x="17"/>
        <item x="10"/>
        <item x="12"/>
        <item x="6"/>
        <item x="4"/>
        <item x="8"/>
        <item x="2"/>
        <item x="15"/>
        <item x="0"/>
        <item x="19"/>
        <item x="20"/>
        <item x="11"/>
        <item x="16"/>
        <item t="default"/>
      </items>
    </pivotField>
    <pivotField numFmtId="165" showAll="0"/>
    <pivotField numFmtId="165" showAll="0"/>
    <pivotField axis="axisRow" showAll="0" sortType="ascending">
      <items count="6">
        <item x="4"/>
        <item x="1"/>
        <item x="2"/>
        <item x="0"/>
        <item x="3"/>
        <item t="default"/>
      </items>
    </pivotField>
  </pivotFields>
  <rowFields count="1">
    <field x="8"/>
  </rowFields>
  <rowItems count="5"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pageFields count="1">
    <pageField fld="5" hier="-1"/>
  </pageFields>
  <dataFields count="2">
    <dataField name="Soma de SETEMBRO" fld="5" baseField="0" baseItem="0"/>
    <dataField name="Contagem de NOME" fld="1" subtotal="count" baseField="0" baseItem="0"/>
  </dataFields>
  <formats count="3">
    <format dxfId="5">
      <pivotArea outline="0" collapsedLevelsAreSubtotals="1" fieldPosition="0"/>
    </format>
    <format dxfId="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0AE1CF-9237-4D44-89C6-F24B48E2D709}" name="Tabela dinâmica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27:C36" firstHeaderRow="0" firstDataRow="1" firstDataCol="1" rowPageCount="1" colPageCount="1"/>
  <pivotFields count="9">
    <pivotField numFmtId="166" showAll="0"/>
    <pivotField dataField="1" showAll="0"/>
    <pivotField showAll="0"/>
    <pivotField axis="axisRow" showAll="0" sortType="ascending">
      <items count="9">
        <item x="6"/>
        <item x="5"/>
        <item x="3"/>
        <item x="0"/>
        <item x="2"/>
        <item x="4"/>
        <item x="7"/>
        <item x="1"/>
        <item t="default"/>
      </items>
    </pivotField>
    <pivotField numFmtId="14" showAll="0"/>
    <pivotField numFmtId="165" multipleItemSelectionAllowed="1" showAll="0"/>
    <pivotField axis="axisPage" dataField="1" numFmtId="165" multipleItemSelectionAllowed="1" showAll="0">
      <items count="22">
        <item h="1" x="2"/>
        <item x="8"/>
        <item x="16"/>
        <item x="19"/>
        <item x="1"/>
        <item x="11"/>
        <item x="20"/>
        <item x="4"/>
        <item x="14"/>
        <item x="6"/>
        <item x="10"/>
        <item x="15"/>
        <item x="5"/>
        <item x="17"/>
        <item x="0"/>
        <item x="3"/>
        <item x="13"/>
        <item x="7"/>
        <item x="18"/>
        <item x="9"/>
        <item x="12"/>
        <item t="default"/>
      </items>
    </pivotField>
    <pivotField numFmtId="165" showAll="0"/>
    <pivotField showAll="0" sortType="ascending"/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pageFields count="1">
    <pageField fld="6" hier="-1"/>
  </pageFields>
  <dataFields count="2">
    <dataField name="Soma de OUTUBRO" fld="6" baseField="0" baseItem="0"/>
    <dataField name="Contagem de NOME" fld="1" subtotal="count" baseField="0" baseItem="0"/>
  </dataFields>
  <formats count="3">
    <format dxfId="8">
      <pivotArea outline="0" collapsedLevelsAreSubtotals="1" fieldPosition="0"/>
    </format>
    <format dxfId="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4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53E00-903C-47EF-8DC1-FC83ECB8350F}">
  <sheetPr codeName="Planilha1"/>
  <dimension ref="A1:M1476"/>
  <sheetViews>
    <sheetView tabSelected="1" zoomScaleNormal="100" workbookViewId="0">
      <pane ySplit="1" topLeftCell="A1438" activePane="bottomLeft" state="frozen"/>
      <selection activeCell="F21" sqref="F21"/>
      <selection pane="bottomLeft" activeCell="H1473" sqref="H1473"/>
    </sheetView>
  </sheetViews>
  <sheetFormatPr defaultColWidth="10.1796875" defaultRowHeight="10.5" x14ac:dyDescent="0.25"/>
  <cols>
    <col min="1" max="1" width="9.81640625" style="1" customWidth="1"/>
    <col min="2" max="2" width="34.1796875" style="1" customWidth="1"/>
    <col min="3" max="3" width="27.54296875" style="1" bestFit="1" customWidth="1"/>
    <col min="4" max="4" width="26" style="1" customWidth="1"/>
    <col min="5" max="5" width="12.26953125" style="28" customWidth="1"/>
    <col min="6" max="6" width="17.1796875" style="141" customWidth="1"/>
    <col min="7" max="7" width="18.1796875" style="28" bestFit="1" customWidth="1"/>
    <col min="8" max="9" width="17.1796875" style="3" bestFit="1" customWidth="1"/>
    <col min="10" max="10" width="19.54296875" style="5" bestFit="1" customWidth="1"/>
    <col min="11" max="11" width="15.26953125" style="135" customWidth="1"/>
    <col min="12" max="12" width="10.1796875" style="2"/>
    <col min="13" max="13" width="10.81640625" style="2" bestFit="1" customWidth="1"/>
    <col min="14" max="16384" width="10.1796875" style="2"/>
  </cols>
  <sheetData>
    <row r="1" spans="1:11" s="37" customFormat="1" ht="15" thickBot="1" x14ac:dyDescent="0.3">
      <c r="A1" s="186" t="s">
        <v>1225</v>
      </c>
      <c r="B1" s="187" t="s">
        <v>1227</v>
      </c>
      <c r="C1" s="187" t="s">
        <v>1430</v>
      </c>
      <c r="D1" s="187" t="s">
        <v>1226</v>
      </c>
      <c r="E1" s="187" t="s">
        <v>1231</v>
      </c>
      <c r="F1" s="187" t="s">
        <v>1577</v>
      </c>
      <c r="G1" s="187" t="s">
        <v>1593</v>
      </c>
      <c r="H1" s="180" t="s">
        <v>1275</v>
      </c>
      <c r="I1" s="181" t="s">
        <v>1276</v>
      </c>
      <c r="J1" s="182" t="s">
        <v>1277</v>
      </c>
      <c r="K1" s="183" t="s">
        <v>1278</v>
      </c>
    </row>
    <row r="2" spans="1:11" s="37" customFormat="1" ht="13" x14ac:dyDescent="0.25">
      <c r="A2" s="235">
        <v>112194</v>
      </c>
      <c r="B2" s="162" t="s">
        <v>26</v>
      </c>
      <c r="C2" s="162" t="s">
        <v>2</v>
      </c>
      <c r="D2" s="162" t="s">
        <v>19</v>
      </c>
      <c r="E2" s="231">
        <v>43617</v>
      </c>
      <c r="F2" s="162" t="s">
        <v>1229</v>
      </c>
      <c r="G2" s="231">
        <v>45149</v>
      </c>
      <c r="H2" s="197">
        <f>SUMIF(VA!B:B,A2,VA!I:I)</f>
        <v>359.46</v>
      </c>
      <c r="I2" s="177">
        <f>SUMIF(VR!B:B,A2,VR!I:I)</f>
        <v>657.5</v>
      </c>
      <c r="J2" s="178">
        <f t="shared" ref="J2:J65" si="0">H2+I2</f>
        <v>1016.96</v>
      </c>
      <c r="K2" s="179">
        <f>SUMIF(FALTAS!A:A,A2,FALTAS!D:D)</f>
        <v>0</v>
      </c>
    </row>
    <row r="3" spans="1:11" s="37" customFormat="1" ht="13" x14ac:dyDescent="0.25">
      <c r="A3" s="235">
        <v>112198</v>
      </c>
      <c r="B3" s="162" t="s">
        <v>28</v>
      </c>
      <c r="C3" s="162" t="s">
        <v>2</v>
      </c>
      <c r="D3" s="162" t="s">
        <v>0</v>
      </c>
      <c r="E3" s="231">
        <v>43617</v>
      </c>
      <c r="F3" s="162" t="s">
        <v>1229</v>
      </c>
      <c r="G3" s="231">
        <v>45149</v>
      </c>
      <c r="H3" s="197">
        <f>SUMIF(VA!B:B,A3,VA!I:I)</f>
        <v>359.46</v>
      </c>
      <c r="I3" s="177">
        <f>SUMIF(VR!B:B,A3,VR!I:I)</f>
        <v>657.5</v>
      </c>
      <c r="J3" s="178">
        <f t="shared" si="0"/>
        <v>1016.96</v>
      </c>
      <c r="K3" s="179">
        <f>SUMIF(FALTAS!A:A,A3,FALTAS!D:D)</f>
        <v>0</v>
      </c>
    </row>
    <row r="4" spans="1:11" s="37" customFormat="1" ht="13" x14ac:dyDescent="0.25">
      <c r="A4" s="235">
        <v>121403</v>
      </c>
      <c r="B4" s="162" t="s">
        <v>1544</v>
      </c>
      <c r="C4" s="162" t="s">
        <v>5</v>
      </c>
      <c r="D4" s="162" t="s">
        <v>1578</v>
      </c>
      <c r="E4" s="231">
        <v>44967</v>
      </c>
      <c r="F4" s="162" t="s">
        <v>1229</v>
      </c>
      <c r="G4" s="231">
        <v>44967</v>
      </c>
      <c r="H4" s="197">
        <f>SUMIF(VA!B:B,A4,VA!I:I)</f>
        <v>359.46</v>
      </c>
      <c r="I4" s="177">
        <f>SUMIF(VR!B:B,A4,VR!I:I)</f>
        <v>657.5</v>
      </c>
      <c r="J4" s="178">
        <f t="shared" si="0"/>
        <v>1016.96</v>
      </c>
      <c r="K4" s="179">
        <f>SUMIF(FALTAS!A:A,A4,FALTAS!D:D)</f>
        <v>0</v>
      </c>
    </row>
    <row r="5" spans="1:11" s="37" customFormat="1" ht="13" x14ac:dyDescent="0.25">
      <c r="A5" s="235">
        <v>112225</v>
      </c>
      <c r="B5" s="162" t="s">
        <v>47</v>
      </c>
      <c r="C5" s="162" t="s">
        <v>5</v>
      </c>
      <c r="D5" s="162" t="s">
        <v>1578</v>
      </c>
      <c r="E5" s="231">
        <v>43617</v>
      </c>
      <c r="F5" s="162" t="s">
        <v>1279</v>
      </c>
      <c r="G5" s="231">
        <v>45164</v>
      </c>
      <c r="H5" s="197">
        <f>SUMIF(VA!B:B,A5,VA!I:I)</f>
        <v>0</v>
      </c>
      <c r="I5" s="177">
        <f>SUMIF(VR!B:B,A5,VR!I:I)</f>
        <v>0</v>
      </c>
      <c r="J5" s="178">
        <f t="shared" si="0"/>
        <v>0</v>
      </c>
      <c r="K5" s="179">
        <f>SUMIF(FALTAS!A:A,A5,FALTAS!D:D)</f>
        <v>0</v>
      </c>
    </row>
    <row r="6" spans="1:11" s="37" customFormat="1" ht="13" x14ac:dyDescent="0.25">
      <c r="A6" s="235">
        <v>121531</v>
      </c>
      <c r="B6" s="162" t="s">
        <v>1545</v>
      </c>
      <c r="C6" s="162" t="s">
        <v>15</v>
      </c>
      <c r="D6" s="162" t="s">
        <v>1578</v>
      </c>
      <c r="E6" s="231">
        <v>44972</v>
      </c>
      <c r="F6" s="162" t="s">
        <v>1229</v>
      </c>
      <c r="G6" s="231">
        <v>44972</v>
      </c>
      <c r="H6" s="197">
        <f>SUMIF(VA!B:B,A6,VA!I:I)</f>
        <v>359.46</v>
      </c>
      <c r="I6" s="177">
        <f>SUMIF(VR!B:B,A6,VR!I:I)</f>
        <v>657.5</v>
      </c>
      <c r="J6" s="178">
        <f t="shared" si="0"/>
        <v>1016.96</v>
      </c>
      <c r="K6" s="179">
        <f>SUMIF(FALTAS!A:A,A6,FALTAS!D:D)</f>
        <v>0</v>
      </c>
    </row>
    <row r="7" spans="1:11" s="37" customFormat="1" ht="13" x14ac:dyDescent="0.25">
      <c r="A7" s="235">
        <v>121851</v>
      </c>
      <c r="B7" s="162" t="s">
        <v>1599</v>
      </c>
      <c r="C7" s="162" t="s">
        <v>5</v>
      </c>
      <c r="D7" s="162" t="s">
        <v>0</v>
      </c>
      <c r="E7" s="231">
        <v>45022</v>
      </c>
      <c r="F7" s="162" t="s">
        <v>1229</v>
      </c>
      <c r="G7" s="231">
        <v>45022</v>
      </c>
      <c r="H7" s="197">
        <f>SUMIF(VA!B:B,A7,VA!I:I)</f>
        <v>0</v>
      </c>
      <c r="I7" s="177">
        <f>SUMIF(VR!B:B,A7,VR!I:I)</f>
        <v>0</v>
      </c>
      <c r="J7" s="178">
        <f t="shared" si="0"/>
        <v>0</v>
      </c>
      <c r="K7" s="179">
        <f>SUMIF(FALTAS!A:A,A7,FALTAS!D:D)</f>
        <v>0</v>
      </c>
    </row>
    <row r="8" spans="1:11" s="37" customFormat="1" ht="13" x14ac:dyDescent="0.25">
      <c r="A8" s="235">
        <v>114763</v>
      </c>
      <c r="B8" s="162" t="s">
        <v>1095</v>
      </c>
      <c r="C8" s="162" t="s">
        <v>15</v>
      </c>
      <c r="D8" s="162" t="s">
        <v>1578</v>
      </c>
      <c r="E8" s="231">
        <v>43874</v>
      </c>
      <c r="F8" s="162" t="s">
        <v>1229</v>
      </c>
      <c r="G8" s="231">
        <v>45056</v>
      </c>
      <c r="H8" s="197">
        <f>SUMIF(VA!B:B,A8,VA!I:I)</f>
        <v>359.46</v>
      </c>
      <c r="I8" s="177">
        <f>SUMIF(VR!B:B,A8,VR!I:I)</f>
        <v>657.5</v>
      </c>
      <c r="J8" s="178">
        <f t="shared" si="0"/>
        <v>1016.96</v>
      </c>
      <c r="K8" s="179">
        <f>SUMIF(FALTAS!A:A,A8,FALTAS!D:D)</f>
        <v>0</v>
      </c>
    </row>
    <row r="9" spans="1:11" s="37" customFormat="1" ht="13" x14ac:dyDescent="0.25">
      <c r="A9" s="235">
        <v>122404</v>
      </c>
      <c r="B9" s="162" t="s">
        <v>1674</v>
      </c>
      <c r="C9" s="162" t="s">
        <v>5</v>
      </c>
      <c r="D9" s="162" t="s">
        <v>1578</v>
      </c>
      <c r="E9" s="231">
        <v>45117</v>
      </c>
      <c r="F9" s="162" t="s">
        <v>1229</v>
      </c>
      <c r="G9" s="231">
        <v>45117</v>
      </c>
      <c r="H9" s="197">
        <f>SUMIF(VA!B:B,A9,VA!I:I)</f>
        <v>359.46</v>
      </c>
      <c r="I9" s="177">
        <f>SUMIF(VR!B:B,A9,VR!I:I)</f>
        <v>657.5</v>
      </c>
      <c r="J9" s="178">
        <f t="shared" si="0"/>
        <v>1016.96</v>
      </c>
      <c r="K9" s="179">
        <f>SUMIF(FALTAS!A:A,A9,FALTAS!D:D)</f>
        <v>0</v>
      </c>
    </row>
    <row r="10" spans="1:11" s="37" customFormat="1" ht="13" x14ac:dyDescent="0.25">
      <c r="A10" s="235">
        <v>112254</v>
      </c>
      <c r="B10" s="162" t="s">
        <v>65</v>
      </c>
      <c r="C10" s="162" t="s">
        <v>22</v>
      </c>
      <c r="D10" s="162" t="s">
        <v>1578</v>
      </c>
      <c r="E10" s="231">
        <v>43617</v>
      </c>
      <c r="F10" s="162" t="s">
        <v>1229</v>
      </c>
      <c r="G10" s="231">
        <v>45119</v>
      </c>
      <c r="H10" s="197">
        <f>SUMIF(VA!B:B,A10,VA!I:I)</f>
        <v>359.46</v>
      </c>
      <c r="I10" s="177">
        <f>SUMIF(VR!B:B,A10,VR!I:I)</f>
        <v>657.5</v>
      </c>
      <c r="J10" s="178">
        <f t="shared" si="0"/>
        <v>1016.96</v>
      </c>
      <c r="K10" s="179">
        <f>SUMIF(FALTAS!A:A,A10,FALTAS!D:D)</f>
        <v>0</v>
      </c>
    </row>
    <row r="11" spans="1:11" s="37" customFormat="1" ht="13" x14ac:dyDescent="0.25">
      <c r="A11" s="235">
        <v>112258</v>
      </c>
      <c r="B11" s="162" t="s">
        <v>69</v>
      </c>
      <c r="C11" s="162" t="s">
        <v>2</v>
      </c>
      <c r="D11" s="162" t="s">
        <v>8</v>
      </c>
      <c r="E11" s="231">
        <v>43623</v>
      </c>
      <c r="F11" s="162" t="s">
        <v>1229</v>
      </c>
      <c r="G11" s="231">
        <v>45023</v>
      </c>
      <c r="H11" s="197">
        <f>SUMIF(VA!B:B,A11,VA!I:I)</f>
        <v>359.46</v>
      </c>
      <c r="I11" s="177">
        <f>SUMIF(VR!B:B,A11,VR!I:I)</f>
        <v>657.5</v>
      </c>
      <c r="J11" s="178">
        <f t="shared" si="0"/>
        <v>1016.96</v>
      </c>
      <c r="K11" s="179">
        <f>SUMIF(FALTAS!A:A,A11,FALTAS!D:D)</f>
        <v>0</v>
      </c>
    </row>
    <row r="12" spans="1:11" s="37" customFormat="1" ht="13" x14ac:dyDescent="0.25">
      <c r="A12" s="235">
        <v>112265</v>
      </c>
      <c r="B12" s="162" t="s">
        <v>75</v>
      </c>
      <c r="C12" s="162" t="s">
        <v>5</v>
      </c>
      <c r="D12" s="162" t="s">
        <v>19</v>
      </c>
      <c r="E12" s="231">
        <v>43617</v>
      </c>
      <c r="F12" s="162" t="s">
        <v>1229</v>
      </c>
      <c r="G12" s="231">
        <v>45149</v>
      </c>
      <c r="H12" s="197">
        <f>SUMIF(VA!B:B,A12,VA!I:I)</f>
        <v>359.46</v>
      </c>
      <c r="I12" s="177">
        <f>SUMIF(VR!B:B,A12,VR!I:I)</f>
        <v>657.5</v>
      </c>
      <c r="J12" s="178">
        <f t="shared" si="0"/>
        <v>1016.96</v>
      </c>
      <c r="K12" s="179">
        <f>SUMIF(FALTAS!A:A,A12,FALTAS!D:D)</f>
        <v>0</v>
      </c>
    </row>
    <row r="13" spans="1:11" s="37" customFormat="1" ht="13" x14ac:dyDescent="0.25">
      <c r="A13" s="235">
        <v>112271</v>
      </c>
      <c r="B13" s="162" t="s">
        <v>78</v>
      </c>
      <c r="C13" s="162" t="s">
        <v>5</v>
      </c>
      <c r="D13" s="162" t="s">
        <v>32</v>
      </c>
      <c r="E13" s="231">
        <v>43617</v>
      </c>
      <c r="F13" s="162" t="s">
        <v>1229</v>
      </c>
      <c r="G13" s="231">
        <v>45023</v>
      </c>
      <c r="H13" s="197">
        <f>SUMIF(VA!B:B,A13,VA!I:I)</f>
        <v>359.46</v>
      </c>
      <c r="I13" s="177">
        <f>SUMIF(VR!B:B,A13,VR!I:I)</f>
        <v>657.5</v>
      </c>
      <c r="J13" s="178">
        <f t="shared" si="0"/>
        <v>1016.96</v>
      </c>
      <c r="K13" s="179">
        <f>SUMIF(FALTAS!A:A,A13,FALTAS!D:D)</f>
        <v>0</v>
      </c>
    </row>
    <row r="14" spans="1:11" s="37" customFormat="1" ht="13" x14ac:dyDescent="0.25">
      <c r="A14" s="235">
        <v>115223</v>
      </c>
      <c r="B14" s="162" t="s">
        <v>1144</v>
      </c>
      <c r="C14" s="162" t="s">
        <v>5</v>
      </c>
      <c r="D14" s="162" t="s">
        <v>10</v>
      </c>
      <c r="E14" s="231">
        <v>44018</v>
      </c>
      <c r="F14" s="162" t="s">
        <v>1229</v>
      </c>
      <c r="G14" s="231">
        <v>45086</v>
      </c>
      <c r="H14" s="197">
        <f>SUMIF(VA!B:B,A14,VA!I:I)</f>
        <v>359.46</v>
      </c>
      <c r="I14" s="177">
        <f>SUMIF(VR!B:B,A14,VR!I:I)</f>
        <v>657.5</v>
      </c>
      <c r="J14" s="178">
        <f t="shared" si="0"/>
        <v>1016.96</v>
      </c>
      <c r="K14" s="179">
        <f>SUMIF(FALTAS!A:A,A14,FALTAS!D:D)</f>
        <v>0</v>
      </c>
    </row>
    <row r="15" spans="1:11" s="37" customFormat="1" ht="13" x14ac:dyDescent="0.25">
      <c r="A15" s="235">
        <v>114910</v>
      </c>
      <c r="B15" s="162" t="s">
        <v>1104</v>
      </c>
      <c r="C15" s="162" t="s">
        <v>5</v>
      </c>
      <c r="D15" s="162" t="s">
        <v>1578</v>
      </c>
      <c r="E15" s="231">
        <v>43916</v>
      </c>
      <c r="F15" s="162" t="s">
        <v>1229</v>
      </c>
      <c r="G15" s="231">
        <v>45086</v>
      </c>
      <c r="H15" s="197">
        <f>SUMIF(VA!B:B,A15,VA!I:I)</f>
        <v>359.46</v>
      </c>
      <c r="I15" s="177">
        <f>SUMIF(VR!B:B,A15,VR!I:I)</f>
        <v>657.5</v>
      </c>
      <c r="J15" s="178">
        <f t="shared" si="0"/>
        <v>1016.96</v>
      </c>
      <c r="K15" s="179">
        <f>SUMIF(FALTAS!A:A,A15,FALTAS!D:D)</f>
        <v>0</v>
      </c>
    </row>
    <row r="16" spans="1:11" s="37" customFormat="1" ht="13" x14ac:dyDescent="0.25">
      <c r="A16" s="235">
        <v>112279</v>
      </c>
      <c r="B16" s="162" t="s">
        <v>84</v>
      </c>
      <c r="C16" s="162" t="s">
        <v>2</v>
      </c>
      <c r="D16" s="162" t="s">
        <v>0</v>
      </c>
      <c r="E16" s="231">
        <v>43617</v>
      </c>
      <c r="F16" s="162" t="s">
        <v>1230</v>
      </c>
      <c r="G16" s="231">
        <v>45180</v>
      </c>
      <c r="H16" s="197">
        <f>SUMIF(VA!B:B,A16,VA!I:I)</f>
        <v>359.46</v>
      </c>
      <c r="I16" s="177">
        <f>SUMIF(VR!B:B,A16,VR!I:I)</f>
        <v>657.5</v>
      </c>
      <c r="J16" s="178">
        <f t="shared" si="0"/>
        <v>1016.96</v>
      </c>
      <c r="K16" s="179">
        <f>SUMIF(FALTAS!A:A,A16,FALTAS!D:D)</f>
        <v>0</v>
      </c>
    </row>
    <row r="17" spans="1:11" s="37" customFormat="1" ht="13" x14ac:dyDescent="0.25">
      <c r="A17" s="235">
        <v>112299</v>
      </c>
      <c r="B17" s="162" t="s">
        <v>97</v>
      </c>
      <c r="C17" s="162" t="s">
        <v>2</v>
      </c>
      <c r="D17" s="162" t="s">
        <v>8</v>
      </c>
      <c r="E17" s="231">
        <v>43617</v>
      </c>
      <c r="F17" s="162" t="s">
        <v>1229</v>
      </c>
      <c r="G17" s="231">
        <v>45149</v>
      </c>
      <c r="H17" s="197">
        <f>SUMIF(VA!B:B,A17,VA!I:I)</f>
        <v>359.46</v>
      </c>
      <c r="I17" s="177">
        <f>SUMIF(VR!B:B,A17,VR!I:I)</f>
        <v>657.5</v>
      </c>
      <c r="J17" s="178">
        <f t="shared" si="0"/>
        <v>1016.96</v>
      </c>
      <c r="K17" s="179">
        <f>SUMIF(FALTAS!A:A,A17,FALTAS!D:D)</f>
        <v>0</v>
      </c>
    </row>
    <row r="18" spans="1:11" s="37" customFormat="1" ht="13" x14ac:dyDescent="0.25">
      <c r="A18" s="235">
        <v>121802</v>
      </c>
      <c r="B18" s="162" t="s">
        <v>1579</v>
      </c>
      <c r="C18" s="162" t="s">
        <v>1581</v>
      </c>
      <c r="D18" s="162" t="s">
        <v>1580</v>
      </c>
      <c r="E18" s="231">
        <v>45008</v>
      </c>
      <c r="F18" s="162" t="s">
        <v>1229</v>
      </c>
      <c r="G18" s="231">
        <v>45008</v>
      </c>
      <c r="H18" s="197">
        <f>SUMIF(VA!B:B,A18,VA!I:I)</f>
        <v>359.46</v>
      </c>
      <c r="I18" s="177">
        <f>SUMIF(VR!B:B,A18,VR!I:I)</f>
        <v>657.5</v>
      </c>
      <c r="J18" s="178">
        <f t="shared" si="0"/>
        <v>1016.96</v>
      </c>
      <c r="K18" s="179">
        <f>SUMIF(FALTAS!A:A,A18,FALTAS!D:D)</f>
        <v>0</v>
      </c>
    </row>
    <row r="19" spans="1:11" s="37" customFormat="1" ht="13" x14ac:dyDescent="0.25">
      <c r="A19" s="235">
        <v>120186</v>
      </c>
      <c r="B19" s="162" t="s">
        <v>1489</v>
      </c>
      <c r="C19" s="162" t="s">
        <v>15</v>
      </c>
      <c r="D19" s="162" t="s">
        <v>1578</v>
      </c>
      <c r="E19" s="231">
        <v>44791</v>
      </c>
      <c r="F19" s="162" t="s">
        <v>1229</v>
      </c>
      <c r="G19" s="231">
        <v>44791</v>
      </c>
      <c r="H19" s="197">
        <f>SUMIF(VA!B:B,A19,VA!I:I)</f>
        <v>359.46</v>
      </c>
      <c r="I19" s="177">
        <f>SUMIF(VR!B:B,A19,VR!I:I)</f>
        <v>657.5</v>
      </c>
      <c r="J19" s="178">
        <f t="shared" si="0"/>
        <v>1016.96</v>
      </c>
      <c r="K19" s="179">
        <f>SUMIF(FALTAS!A:A,A19,FALTAS!D:D)</f>
        <v>0</v>
      </c>
    </row>
    <row r="20" spans="1:11" s="37" customFormat="1" ht="13" x14ac:dyDescent="0.25">
      <c r="A20" s="235">
        <v>112319</v>
      </c>
      <c r="B20" s="162" t="s">
        <v>1280</v>
      </c>
      <c r="C20" s="162" t="s">
        <v>5</v>
      </c>
      <c r="D20" s="162" t="s">
        <v>19</v>
      </c>
      <c r="E20" s="231">
        <v>43617</v>
      </c>
      <c r="F20" s="162" t="s">
        <v>1229</v>
      </c>
      <c r="G20" s="231">
        <v>45149</v>
      </c>
      <c r="H20" s="197">
        <f>SUMIF(VA!B:B,A20,VA!I:I)</f>
        <v>359.46</v>
      </c>
      <c r="I20" s="177">
        <f>SUMIF(VR!B:B,A20,VR!I:I)</f>
        <v>657.5</v>
      </c>
      <c r="J20" s="178">
        <f t="shared" si="0"/>
        <v>1016.96</v>
      </c>
      <c r="K20" s="179">
        <f>SUMIF(FALTAS!A:A,A20,FALTAS!D:D)</f>
        <v>0</v>
      </c>
    </row>
    <row r="21" spans="1:11" s="37" customFormat="1" ht="13" x14ac:dyDescent="0.25">
      <c r="A21" s="235">
        <v>116729</v>
      </c>
      <c r="B21" s="162" t="s">
        <v>1220</v>
      </c>
      <c r="C21" s="162" t="s">
        <v>15</v>
      </c>
      <c r="D21" s="162" t="s">
        <v>1578</v>
      </c>
      <c r="E21" s="231">
        <v>44368</v>
      </c>
      <c r="F21" s="162" t="s">
        <v>1229</v>
      </c>
      <c r="G21" s="231">
        <v>45149</v>
      </c>
      <c r="H21" s="197">
        <f>SUMIF(VA!B:B,A21,VA!I:I)</f>
        <v>359.46</v>
      </c>
      <c r="I21" s="177">
        <f>SUMIF(VR!B:B,A21,VR!I:I)</f>
        <v>657.5</v>
      </c>
      <c r="J21" s="178">
        <f t="shared" si="0"/>
        <v>1016.96</v>
      </c>
      <c r="K21" s="179">
        <f>SUMIF(FALTAS!A:A,A21,FALTAS!D:D)</f>
        <v>0</v>
      </c>
    </row>
    <row r="22" spans="1:11" s="37" customFormat="1" ht="13" x14ac:dyDescent="0.25">
      <c r="A22" s="235">
        <v>112171</v>
      </c>
      <c r="B22" s="162" t="s">
        <v>4</v>
      </c>
      <c r="C22" s="162" t="s">
        <v>5</v>
      </c>
      <c r="D22" s="162" t="s">
        <v>0</v>
      </c>
      <c r="E22" s="231">
        <v>43617</v>
      </c>
      <c r="F22" s="162" t="s">
        <v>1229</v>
      </c>
      <c r="G22" s="231">
        <v>44960</v>
      </c>
      <c r="H22" s="197">
        <f>SUMIF(VA!B:B,A22,VA!I:I)</f>
        <v>359.46</v>
      </c>
      <c r="I22" s="177">
        <f>SUMIF(VR!B:B,A22,VR!I:I)</f>
        <v>657.5</v>
      </c>
      <c r="J22" s="178">
        <f t="shared" si="0"/>
        <v>1016.96</v>
      </c>
      <c r="K22" s="179">
        <f>SUMIF(FALTAS!A:A,A22,FALTAS!D:D)</f>
        <v>0</v>
      </c>
    </row>
    <row r="23" spans="1:11" s="37" customFormat="1" ht="13" x14ac:dyDescent="0.25">
      <c r="A23" s="235">
        <v>112355</v>
      </c>
      <c r="B23" s="162" t="s">
        <v>1283</v>
      </c>
      <c r="C23" s="162" t="s">
        <v>2</v>
      </c>
      <c r="D23" s="162" t="s">
        <v>10</v>
      </c>
      <c r="E23" s="231">
        <v>43617</v>
      </c>
      <c r="F23" s="162" t="s">
        <v>1229</v>
      </c>
      <c r="G23" s="231">
        <v>45177</v>
      </c>
      <c r="H23" s="197">
        <f>SUMIF(VA!B:B,A23,VA!I:I)</f>
        <v>359.46</v>
      </c>
      <c r="I23" s="177">
        <f>SUMIF(VR!B:B,A23,VR!I:I)</f>
        <v>657.5</v>
      </c>
      <c r="J23" s="178">
        <f t="shared" si="0"/>
        <v>1016.96</v>
      </c>
      <c r="K23" s="179">
        <f>SUMIF(FALTAS!A:A,A23,FALTAS!D:D)</f>
        <v>0</v>
      </c>
    </row>
    <row r="24" spans="1:11" s="37" customFormat="1" ht="13" x14ac:dyDescent="0.25">
      <c r="A24" s="235">
        <v>112358</v>
      </c>
      <c r="B24" s="162" t="s">
        <v>129</v>
      </c>
      <c r="C24" s="162" t="s">
        <v>5</v>
      </c>
      <c r="D24" s="162" t="s">
        <v>19</v>
      </c>
      <c r="E24" s="231">
        <v>43617</v>
      </c>
      <c r="F24" s="162" t="s">
        <v>1229</v>
      </c>
      <c r="G24" s="231">
        <v>45177</v>
      </c>
      <c r="H24" s="197">
        <f>SUMIF(VA!B:B,A24,VA!I:I)</f>
        <v>359.46</v>
      </c>
      <c r="I24" s="177">
        <f>SUMIF(VR!B:B,A24,VR!I:I)</f>
        <v>657.5</v>
      </c>
      <c r="J24" s="178">
        <f t="shared" si="0"/>
        <v>1016.96</v>
      </c>
      <c r="K24" s="179">
        <f>SUMIF(FALTAS!A:A,A24,FALTAS!D:D)</f>
        <v>0</v>
      </c>
    </row>
    <row r="25" spans="1:11" s="37" customFormat="1" ht="13" x14ac:dyDescent="0.25">
      <c r="A25" s="235">
        <v>114679</v>
      </c>
      <c r="B25" s="162" t="s">
        <v>1062</v>
      </c>
      <c r="C25" s="162" t="s">
        <v>2</v>
      </c>
      <c r="D25" s="162" t="s">
        <v>10</v>
      </c>
      <c r="E25" s="231">
        <v>43874</v>
      </c>
      <c r="F25" s="162" t="s">
        <v>1229</v>
      </c>
      <c r="G25" s="231">
        <v>45086</v>
      </c>
      <c r="H25" s="197">
        <f>SUMIF(VA!B:B,A25,VA!I:I)</f>
        <v>359.46</v>
      </c>
      <c r="I25" s="177">
        <f>SUMIF(VR!B:B,A25,VR!I:I)</f>
        <v>657.5</v>
      </c>
      <c r="J25" s="178">
        <f t="shared" si="0"/>
        <v>1016.96</v>
      </c>
      <c r="K25" s="179">
        <f>SUMIF(FALTAS!A:A,A25,FALTAS!D:D)</f>
        <v>0</v>
      </c>
    </row>
    <row r="26" spans="1:11" s="37" customFormat="1" ht="13" x14ac:dyDescent="0.25">
      <c r="A26" s="235">
        <v>114239</v>
      </c>
      <c r="B26" s="162" t="s">
        <v>1016</v>
      </c>
      <c r="C26" s="162" t="s">
        <v>146</v>
      </c>
      <c r="D26" s="162" t="s">
        <v>32</v>
      </c>
      <c r="E26" s="231">
        <v>43790</v>
      </c>
      <c r="F26" s="162" t="s">
        <v>1229</v>
      </c>
      <c r="G26" s="231">
        <v>45023</v>
      </c>
      <c r="H26" s="197">
        <f>SUMIF(VA!B:B,A26,VA!I:I)</f>
        <v>359.46</v>
      </c>
      <c r="I26" s="177">
        <f>SUMIF(VR!B:B,A26,VR!I:I)</f>
        <v>657.5</v>
      </c>
      <c r="J26" s="178">
        <f t="shared" si="0"/>
        <v>1016.96</v>
      </c>
      <c r="K26" s="179">
        <f>SUMIF(FALTAS!A:A,A26,FALTAS!D:D)</f>
        <v>0</v>
      </c>
    </row>
    <row r="27" spans="1:11" s="37" customFormat="1" ht="13" x14ac:dyDescent="0.25">
      <c r="A27" s="235">
        <v>121941</v>
      </c>
      <c r="B27" s="162" t="s">
        <v>1600</v>
      </c>
      <c r="C27" s="162" t="s">
        <v>1456</v>
      </c>
      <c r="D27" s="162" t="s">
        <v>1580</v>
      </c>
      <c r="E27" s="231">
        <v>45040</v>
      </c>
      <c r="F27" s="162" t="s">
        <v>1229</v>
      </c>
      <c r="G27" s="231">
        <v>45040</v>
      </c>
      <c r="H27" s="197">
        <f>SUMIF(VA!B:B,A27,VA!I:I)</f>
        <v>0</v>
      </c>
      <c r="I27" s="177">
        <f>SUMIF(VR!B:B,A27,VR!I:I)</f>
        <v>657.5</v>
      </c>
      <c r="J27" s="178">
        <f t="shared" si="0"/>
        <v>657.5</v>
      </c>
      <c r="K27" s="179">
        <f>SUMIF(FALTAS!A:A,A27,FALTAS!D:D)</f>
        <v>0</v>
      </c>
    </row>
    <row r="28" spans="1:11" s="37" customFormat="1" ht="13" x14ac:dyDescent="0.25">
      <c r="A28" s="235">
        <v>112173</v>
      </c>
      <c r="B28" s="162" t="s">
        <v>9</v>
      </c>
      <c r="C28" s="162" t="s">
        <v>5</v>
      </c>
      <c r="D28" s="162" t="s">
        <v>8</v>
      </c>
      <c r="E28" s="231">
        <v>43617</v>
      </c>
      <c r="F28" s="162" t="s">
        <v>1229</v>
      </c>
      <c r="G28" s="231">
        <v>44898</v>
      </c>
      <c r="H28" s="197">
        <f>SUMIF(VA!B:B,A28,VA!I:I)</f>
        <v>359.46</v>
      </c>
      <c r="I28" s="177">
        <f>SUMIF(VR!B:B,A28,VR!I:I)</f>
        <v>657.5</v>
      </c>
      <c r="J28" s="178">
        <f t="shared" si="0"/>
        <v>1016.96</v>
      </c>
      <c r="K28" s="179">
        <f>SUMIF(FALTAS!A:A,A28,FALTAS!D:D)</f>
        <v>0</v>
      </c>
    </row>
    <row r="29" spans="1:11" s="37" customFormat="1" ht="13" x14ac:dyDescent="0.25">
      <c r="A29" s="235">
        <v>112377</v>
      </c>
      <c r="B29" s="162" t="s">
        <v>140</v>
      </c>
      <c r="C29" s="162" t="s">
        <v>39</v>
      </c>
      <c r="D29" s="162" t="s">
        <v>10</v>
      </c>
      <c r="E29" s="231">
        <v>43617</v>
      </c>
      <c r="F29" s="162" t="s">
        <v>1229</v>
      </c>
      <c r="G29" s="231">
        <v>45023</v>
      </c>
      <c r="H29" s="197">
        <f>SUMIF(VA!B:B,A29,VA!I:I)</f>
        <v>347.47</v>
      </c>
      <c r="I29" s="177">
        <f>SUMIF(VR!B:B,A29,VR!I:I)</f>
        <v>631.20000000000005</v>
      </c>
      <c r="J29" s="178">
        <f t="shared" si="0"/>
        <v>978.67000000000007</v>
      </c>
      <c r="K29" s="179">
        <f>SUMIF(FALTAS!A:A,A29,FALTAS!D:D)</f>
        <v>1</v>
      </c>
    </row>
    <row r="30" spans="1:11" s="37" customFormat="1" ht="13" x14ac:dyDescent="0.25">
      <c r="A30" s="235">
        <v>116224</v>
      </c>
      <c r="B30" s="162" t="s">
        <v>1188</v>
      </c>
      <c r="C30" s="162" t="s">
        <v>5</v>
      </c>
      <c r="D30" s="162" t="s">
        <v>0</v>
      </c>
      <c r="E30" s="231">
        <v>44273</v>
      </c>
      <c r="F30" s="162" t="s">
        <v>1229</v>
      </c>
      <c r="G30" s="231">
        <v>44930</v>
      </c>
      <c r="H30" s="197">
        <f>SUMIF(VA!B:B,A30,VA!I:I)</f>
        <v>359.46</v>
      </c>
      <c r="I30" s="177">
        <f>SUMIF(VR!B:B,A30,VR!I:I)</f>
        <v>657.5</v>
      </c>
      <c r="J30" s="178">
        <f t="shared" si="0"/>
        <v>1016.96</v>
      </c>
      <c r="K30" s="179">
        <f>SUMIF(FALTAS!A:A,A30,FALTAS!D:D)</f>
        <v>0</v>
      </c>
    </row>
    <row r="31" spans="1:11" s="37" customFormat="1" ht="13" x14ac:dyDescent="0.25">
      <c r="A31" s="235">
        <v>116087</v>
      </c>
      <c r="B31" s="162" t="s">
        <v>1181</v>
      </c>
      <c r="C31" s="162" t="s">
        <v>15</v>
      </c>
      <c r="D31" s="162" t="s">
        <v>1578</v>
      </c>
      <c r="E31" s="231">
        <v>44235</v>
      </c>
      <c r="F31" s="162" t="s">
        <v>1229</v>
      </c>
      <c r="G31" s="231">
        <v>45023</v>
      </c>
      <c r="H31" s="197">
        <f>SUMIF(VA!B:B,A31,VA!I:I)</f>
        <v>359.46</v>
      </c>
      <c r="I31" s="177">
        <f>SUMIF(VR!B:B,A31,VR!I:I)</f>
        <v>657.5</v>
      </c>
      <c r="J31" s="178">
        <f t="shared" si="0"/>
        <v>1016.96</v>
      </c>
      <c r="K31" s="179">
        <f>SUMIF(FALTAS!A:A,A31,FALTAS!D:D)</f>
        <v>0</v>
      </c>
    </row>
    <row r="32" spans="1:11" s="37" customFormat="1" ht="13" x14ac:dyDescent="0.25">
      <c r="A32" s="235">
        <v>112389</v>
      </c>
      <c r="B32" s="162" t="s">
        <v>149</v>
      </c>
      <c r="C32" s="162" t="s">
        <v>2</v>
      </c>
      <c r="D32" s="162" t="s">
        <v>8</v>
      </c>
      <c r="E32" s="231">
        <v>43617</v>
      </c>
      <c r="F32" s="162" t="s">
        <v>1229</v>
      </c>
      <c r="G32" s="231">
        <v>45149</v>
      </c>
      <c r="H32" s="197">
        <f>SUMIF(VA!B:B,A32,VA!I:I)</f>
        <v>359.46</v>
      </c>
      <c r="I32" s="177">
        <f>SUMIF(VR!B:B,A32,VR!I:I)</f>
        <v>657.5</v>
      </c>
      <c r="J32" s="178">
        <f t="shared" si="0"/>
        <v>1016.96</v>
      </c>
      <c r="K32" s="179">
        <f>SUMIF(FALTAS!A:A,A32,FALTAS!D:D)</f>
        <v>0</v>
      </c>
    </row>
    <row r="33" spans="1:11" s="37" customFormat="1" ht="13" x14ac:dyDescent="0.25">
      <c r="A33" s="235">
        <v>112393</v>
      </c>
      <c r="B33" s="162" t="s">
        <v>151</v>
      </c>
      <c r="C33" s="162" t="s">
        <v>5</v>
      </c>
      <c r="D33" s="162" t="s">
        <v>19</v>
      </c>
      <c r="E33" s="231">
        <v>43617</v>
      </c>
      <c r="F33" s="162" t="s">
        <v>1229</v>
      </c>
      <c r="G33" s="231">
        <v>45177</v>
      </c>
      <c r="H33" s="197">
        <f>SUMIF(VA!B:B,A33,VA!I:I)</f>
        <v>359.46</v>
      </c>
      <c r="I33" s="177">
        <f>SUMIF(VR!B:B,A33,VR!I:I)</f>
        <v>657.5</v>
      </c>
      <c r="J33" s="178">
        <f t="shared" si="0"/>
        <v>1016.96</v>
      </c>
      <c r="K33" s="179">
        <f>SUMIF(FALTAS!A:A,A33,FALTAS!D:D)</f>
        <v>0</v>
      </c>
    </row>
    <row r="34" spans="1:11" s="37" customFormat="1" ht="13" x14ac:dyDescent="0.25">
      <c r="A34" s="235">
        <v>114607</v>
      </c>
      <c r="B34" s="162" t="s">
        <v>1059</v>
      </c>
      <c r="C34" s="162" t="s">
        <v>377</v>
      </c>
      <c r="D34" s="162" t="s">
        <v>1578</v>
      </c>
      <c r="E34" s="231">
        <v>43836</v>
      </c>
      <c r="F34" s="162" t="s">
        <v>1229</v>
      </c>
      <c r="G34" s="231">
        <v>45119</v>
      </c>
      <c r="H34" s="197">
        <f>SUMIF(VA!B:B,A34,VA!I:I)</f>
        <v>359.46</v>
      </c>
      <c r="I34" s="177">
        <f>SUMIF(VR!B:B,A34,VR!I:I)</f>
        <v>657.5</v>
      </c>
      <c r="J34" s="178">
        <f t="shared" si="0"/>
        <v>1016.96</v>
      </c>
      <c r="K34" s="179">
        <f>SUMIF(FALTAS!A:A,A34,FALTAS!D:D)</f>
        <v>0</v>
      </c>
    </row>
    <row r="35" spans="1:11" s="37" customFormat="1" ht="13" x14ac:dyDescent="0.25">
      <c r="A35" s="235">
        <v>122411</v>
      </c>
      <c r="B35" s="162" t="s">
        <v>1675</v>
      </c>
      <c r="C35" s="162" t="s">
        <v>5</v>
      </c>
      <c r="D35" s="162" t="s">
        <v>1578</v>
      </c>
      <c r="E35" s="231">
        <v>45117</v>
      </c>
      <c r="F35" s="162" t="s">
        <v>1229</v>
      </c>
      <c r="G35" s="231">
        <v>45117</v>
      </c>
      <c r="H35" s="197">
        <f>SUMIF(VA!B:B,A35,VA!I:I)</f>
        <v>359.46</v>
      </c>
      <c r="I35" s="177">
        <f>SUMIF(VR!B:B,A35,VR!I:I)</f>
        <v>657.5</v>
      </c>
      <c r="J35" s="178">
        <f t="shared" si="0"/>
        <v>1016.96</v>
      </c>
      <c r="K35" s="179">
        <f>SUMIF(FALTAS!A:A,A35,FALTAS!D:D)</f>
        <v>0</v>
      </c>
    </row>
    <row r="36" spans="1:11" s="37" customFormat="1" ht="13" x14ac:dyDescent="0.25">
      <c r="A36" s="235">
        <v>112399</v>
      </c>
      <c r="B36" s="162" t="s">
        <v>155</v>
      </c>
      <c r="C36" s="162" t="s">
        <v>2</v>
      </c>
      <c r="D36" s="162" t="s">
        <v>10</v>
      </c>
      <c r="E36" s="231">
        <v>43617</v>
      </c>
      <c r="F36" s="162" t="s">
        <v>1230</v>
      </c>
      <c r="G36" s="231">
        <v>45180</v>
      </c>
      <c r="H36" s="197">
        <f>SUMIF(VA!B:B,A36,VA!I:I)</f>
        <v>359.46</v>
      </c>
      <c r="I36" s="177">
        <f>SUMIF(VR!B:B,A36,VR!I:I)</f>
        <v>657.5</v>
      </c>
      <c r="J36" s="178">
        <f t="shared" si="0"/>
        <v>1016.96</v>
      </c>
      <c r="K36" s="179">
        <f>SUMIF(FALTAS!A:A,A36,FALTAS!D:D)</f>
        <v>0</v>
      </c>
    </row>
    <row r="37" spans="1:11" s="37" customFormat="1" ht="13" x14ac:dyDescent="0.25">
      <c r="A37" s="235">
        <v>112419</v>
      </c>
      <c r="B37" s="162" t="s">
        <v>169</v>
      </c>
      <c r="C37" s="162" t="s">
        <v>2</v>
      </c>
      <c r="D37" s="162" t="s">
        <v>19</v>
      </c>
      <c r="E37" s="231">
        <v>43617</v>
      </c>
      <c r="F37" s="162" t="s">
        <v>1229</v>
      </c>
      <c r="G37" s="231">
        <v>45050</v>
      </c>
      <c r="H37" s="197">
        <f>SUMIF(VA!B:B,A37,VA!I:I)</f>
        <v>359.46</v>
      </c>
      <c r="I37" s="177">
        <f>SUMIF(VR!B:B,A37,VR!I:I)</f>
        <v>657.5</v>
      </c>
      <c r="J37" s="178">
        <f t="shared" si="0"/>
        <v>1016.96</v>
      </c>
      <c r="K37" s="179">
        <f>SUMIF(FALTAS!A:A,A37,FALTAS!D:D)</f>
        <v>0</v>
      </c>
    </row>
    <row r="38" spans="1:11" s="37" customFormat="1" ht="13" x14ac:dyDescent="0.25">
      <c r="A38" s="235">
        <v>112422</v>
      </c>
      <c r="B38" s="162" t="s">
        <v>171</v>
      </c>
      <c r="C38" s="162" t="s">
        <v>2</v>
      </c>
      <c r="D38" s="162" t="s">
        <v>10</v>
      </c>
      <c r="E38" s="231">
        <v>43617</v>
      </c>
      <c r="F38" s="162" t="s">
        <v>1229</v>
      </c>
      <c r="G38" s="231">
        <v>45149</v>
      </c>
      <c r="H38" s="197">
        <f>SUMIF(VA!B:B,A38,VA!I:I)</f>
        <v>359.46</v>
      </c>
      <c r="I38" s="177">
        <f>SUMIF(VR!B:B,A38,VR!I:I)</f>
        <v>657.5</v>
      </c>
      <c r="J38" s="178">
        <f t="shared" si="0"/>
        <v>1016.96</v>
      </c>
      <c r="K38" s="179">
        <f>SUMIF(FALTAS!A:A,A38,FALTAS!D:D)</f>
        <v>0</v>
      </c>
    </row>
    <row r="39" spans="1:11" s="37" customFormat="1" ht="13" x14ac:dyDescent="0.25">
      <c r="A39" s="235">
        <v>112174</v>
      </c>
      <c r="B39" s="162" t="s">
        <v>11</v>
      </c>
      <c r="C39" s="162" t="s">
        <v>5</v>
      </c>
      <c r="D39" s="162" t="s">
        <v>10</v>
      </c>
      <c r="E39" s="231">
        <v>43617</v>
      </c>
      <c r="F39" s="162" t="s">
        <v>1229</v>
      </c>
      <c r="G39" s="231">
        <v>44867</v>
      </c>
      <c r="H39" s="197">
        <f>SUMIF(VA!B:B,A39,VA!I:I)</f>
        <v>359.46</v>
      </c>
      <c r="I39" s="177">
        <f>SUMIF(VR!B:B,A39,VR!I:I)</f>
        <v>657.5</v>
      </c>
      <c r="J39" s="178">
        <f t="shared" si="0"/>
        <v>1016.96</v>
      </c>
      <c r="K39" s="179">
        <f>SUMIF(FALTAS!A:A,A39,FALTAS!D:D)</f>
        <v>0</v>
      </c>
    </row>
    <row r="40" spans="1:11" s="37" customFormat="1" ht="13" x14ac:dyDescent="0.25">
      <c r="A40" s="235">
        <v>112430</v>
      </c>
      <c r="B40" s="162" t="s">
        <v>173</v>
      </c>
      <c r="C40" s="162" t="s">
        <v>5</v>
      </c>
      <c r="D40" s="162" t="s">
        <v>1578</v>
      </c>
      <c r="E40" s="231">
        <v>43617</v>
      </c>
      <c r="F40" s="162" t="s">
        <v>1229</v>
      </c>
      <c r="G40" s="231">
        <v>44930</v>
      </c>
      <c r="H40" s="197">
        <f>SUMIF(VA!B:B,A40,VA!I:I)</f>
        <v>359.46</v>
      </c>
      <c r="I40" s="177">
        <f>SUMIF(VR!B:B,A40,VR!I:I)</f>
        <v>657.5</v>
      </c>
      <c r="J40" s="178">
        <f t="shared" si="0"/>
        <v>1016.96</v>
      </c>
      <c r="K40" s="179">
        <f>SUMIF(FALTAS!A:A,A40,FALTAS!D:D)</f>
        <v>0</v>
      </c>
    </row>
    <row r="41" spans="1:11" s="37" customFormat="1" ht="13" x14ac:dyDescent="0.25">
      <c r="A41" s="235">
        <v>112433</v>
      </c>
      <c r="B41" s="162" t="s">
        <v>176</v>
      </c>
      <c r="C41" s="162" t="s">
        <v>22</v>
      </c>
      <c r="D41" s="162" t="s">
        <v>1578</v>
      </c>
      <c r="E41" s="231">
        <v>43617</v>
      </c>
      <c r="F41" s="162" t="s">
        <v>1229</v>
      </c>
      <c r="G41" s="231">
        <v>45149</v>
      </c>
      <c r="H41" s="197">
        <f>SUMIF(VA!B:B,A41,VA!I:I)</f>
        <v>359.46</v>
      </c>
      <c r="I41" s="177">
        <f>SUMIF(VR!B:B,A41,VR!I:I)</f>
        <v>657.5</v>
      </c>
      <c r="J41" s="178">
        <f t="shared" si="0"/>
        <v>1016.96</v>
      </c>
      <c r="K41" s="179">
        <f>SUMIF(FALTAS!A:A,A41,FALTAS!D:D)</f>
        <v>0</v>
      </c>
    </row>
    <row r="42" spans="1:11" s="37" customFormat="1" ht="13" x14ac:dyDescent="0.25">
      <c r="A42" s="235">
        <v>112436</v>
      </c>
      <c r="B42" s="162" t="s">
        <v>178</v>
      </c>
      <c r="C42" s="162" t="s">
        <v>39</v>
      </c>
      <c r="D42" s="162" t="s">
        <v>10</v>
      </c>
      <c r="E42" s="231">
        <v>43617</v>
      </c>
      <c r="F42" s="162" t="s">
        <v>1229</v>
      </c>
      <c r="G42" s="231">
        <v>45119</v>
      </c>
      <c r="H42" s="197">
        <f>SUMIF(VA!B:B,A42,VA!I:I)</f>
        <v>359.46</v>
      </c>
      <c r="I42" s="177">
        <f>SUMIF(VR!B:B,A42,VR!I:I)</f>
        <v>657.5</v>
      </c>
      <c r="J42" s="178">
        <f t="shared" si="0"/>
        <v>1016.96</v>
      </c>
      <c r="K42" s="179">
        <f>SUMIF(FALTAS!A:A,A42,FALTAS!D:D)</f>
        <v>0</v>
      </c>
    </row>
    <row r="43" spans="1:11" s="37" customFormat="1" ht="13" x14ac:dyDescent="0.25">
      <c r="A43" s="235">
        <v>112462</v>
      </c>
      <c r="B43" s="162" t="s">
        <v>190</v>
      </c>
      <c r="C43" s="162" t="s">
        <v>15</v>
      </c>
      <c r="D43" s="162" t="s">
        <v>1578</v>
      </c>
      <c r="E43" s="231">
        <v>43617</v>
      </c>
      <c r="F43" s="162" t="s">
        <v>1230</v>
      </c>
      <c r="G43" s="231">
        <v>45180</v>
      </c>
      <c r="H43" s="197">
        <f>SUMIF(VA!B:B,A43,VA!I:I)</f>
        <v>359.46</v>
      </c>
      <c r="I43" s="177">
        <f>SUMIF(VR!B:B,A43,VR!I:I)</f>
        <v>657.5</v>
      </c>
      <c r="J43" s="178">
        <f t="shared" si="0"/>
        <v>1016.96</v>
      </c>
      <c r="K43" s="179">
        <f>SUMIF(FALTAS!A:A,A43,FALTAS!D:D)</f>
        <v>0</v>
      </c>
    </row>
    <row r="44" spans="1:11" s="37" customFormat="1" ht="13" x14ac:dyDescent="0.25">
      <c r="A44" s="235">
        <v>116968</v>
      </c>
      <c r="B44" s="162" t="s">
        <v>1232</v>
      </c>
      <c r="C44" s="162" t="s">
        <v>5</v>
      </c>
      <c r="D44" s="162" t="s">
        <v>8</v>
      </c>
      <c r="E44" s="231">
        <v>44419</v>
      </c>
      <c r="F44" s="162" t="s">
        <v>1229</v>
      </c>
      <c r="G44" s="231">
        <v>45086</v>
      </c>
      <c r="H44" s="197">
        <f>SUMIF(VA!B:B,A44,VA!I:I)</f>
        <v>359.46</v>
      </c>
      <c r="I44" s="177">
        <f>SUMIF(VR!B:B,A44,VR!I:I)</f>
        <v>657.5</v>
      </c>
      <c r="J44" s="178">
        <f t="shared" si="0"/>
        <v>1016.96</v>
      </c>
      <c r="K44" s="179">
        <f>SUMIF(FALTAS!A:A,A44,FALTAS!D:D)</f>
        <v>0</v>
      </c>
    </row>
    <row r="45" spans="1:11" s="37" customFormat="1" ht="13" x14ac:dyDescent="0.25">
      <c r="A45" s="235">
        <v>112547</v>
      </c>
      <c r="B45" s="162" t="s">
        <v>257</v>
      </c>
      <c r="C45" s="162" t="s">
        <v>2</v>
      </c>
      <c r="D45" s="162" t="s">
        <v>10</v>
      </c>
      <c r="E45" s="231">
        <v>43617</v>
      </c>
      <c r="F45" s="162" t="s">
        <v>1229</v>
      </c>
      <c r="G45" s="231">
        <v>45149</v>
      </c>
      <c r="H45" s="197">
        <f>SUMIF(VA!B:B,A45,VA!I:I)</f>
        <v>359.46</v>
      </c>
      <c r="I45" s="177">
        <f>SUMIF(VR!B:B,A45,VR!I:I)</f>
        <v>657.5</v>
      </c>
      <c r="J45" s="178">
        <f t="shared" si="0"/>
        <v>1016.96</v>
      </c>
      <c r="K45" s="179">
        <f>SUMIF(FALTAS!A:A,A45,FALTAS!D:D)</f>
        <v>0</v>
      </c>
    </row>
    <row r="46" spans="1:11" s="37" customFormat="1" ht="13" x14ac:dyDescent="0.25">
      <c r="A46" s="235">
        <v>112632</v>
      </c>
      <c r="B46" s="162" t="s">
        <v>310</v>
      </c>
      <c r="C46" s="162" t="s">
        <v>2</v>
      </c>
      <c r="D46" s="162" t="s">
        <v>10</v>
      </c>
      <c r="E46" s="231">
        <v>43617</v>
      </c>
      <c r="F46" s="162" t="s">
        <v>1229</v>
      </c>
      <c r="G46" s="231">
        <v>45177</v>
      </c>
      <c r="H46" s="197">
        <f>SUMIF(VA!B:B,A46,VA!I:I)</f>
        <v>359.46</v>
      </c>
      <c r="I46" s="177">
        <f>SUMIF(VR!B:B,A46,VR!I:I)</f>
        <v>657.5</v>
      </c>
      <c r="J46" s="178">
        <f t="shared" si="0"/>
        <v>1016.96</v>
      </c>
      <c r="K46" s="179">
        <f>SUMIF(FALTAS!A:A,A46,FALTAS!D:D)</f>
        <v>0</v>
      </c>
    </row>
    <row r="47" spans="1:11" s="37" customFormat="1" ht="13" x14ac:dyDescent="0.25">
      <c r="A47" s="235">
        <v>112549</v>
      </c>
      <c r="B47" s="162" t="s">
        <v>259</v>
      </c>
      <c r="C47" s="162" t="s">
        <v>2</v>
      </c>
      <c r="D47" s="162" t="s">
        <v>10</v>
      </c>
      <c r="E47" s="231">
        <v>43617</v>
      </c>
      <c r="F47" s="162" t="s">
        <v>1229</v>
      </c>
      <c r="G47" s="231">
        <v>45177</v>
      </c>
      <c r="H47" s="197">
        <f>SUMIF(VA!B:B,A47,VA!I:I)</f>
        <v>359.46</v>
      </c>
      <c r="I47" s="177">
        <f>SUMIF(VR!B:B,A47,VR!I:I)</f>
        <v>657.5</v>
      </c>
      <c r="J47" s="178">
        <f t="shared" si="0"/>
        <v>1016.96</v>
      </c>
      <c r="K47" s="179">
        <f>SUMIF(FALTAS!A:A,A47,FALTAS!D:D)</f>
        <v>0</v>
      </c>
    </row>
    <row r="48" spans="1:11" s="37" customFormat="1" ht="13" x14ac:dyDescent="0.25">
      <c r="A48" s="235">
        <v>112641</v>
      </c>
      <c r="B48" s="162" t="s">
        <v>315</v>
      </c>
      <c r="C48" s="162" t="s">
        <v>2</v>
      </c>
      <c r="D48" s="162" t="s">
        <v>10</v>
      </c>
      <c r="E48" s="231">
        <v>43617</v>
      </c>
      <c r="F48" s="162" t="s">
        <v>1229</v>
      </c>
      <c r="G48" s="231">
        <v>45177</v>
      </c>
      <c r="H48" s="197">
        <f>SUMIF(VA!B:B,A48,VA!I:I)</f>
        <v>359.46</v>
      </c>
      <c r="I48" s="177">
        <f>SUMIF(VR!B:B,A48,VR!I:I)</f>
        <v>657.5</v>
      </c>
      <c r="J48" s="178">
        <f t="shared" si="0"/>
        <v>1016.96</v>
      </c>
      <c r="K48" s="179">
        <f>SUMIF(FALTAS!A:A,A48,FALTAS!D:D)</f>
        <v>0</v>
      </c>
    </row>
    <row r="49" spans="1:11" s="37" customFormat="1" ht="13" x14ac:dyDescent="0.25">
      <c r="A49" s="235">
        <v>114966</v>
      </c>
      <c r="B49" s="162" t="s">
        <v>1129</v>
      </c>
      <c r="C49" s="162" t="s">
        <v>22</v>
      </c>
      <c r="D49" s="162" t="s">
        <v>1578</v>
      </c>
      <c r="E49" s="231">
        <v>43917</v>
      </c>
      <c r="F49" s="162" t="s">
        <v>1229</v>
      </c>
      <c r="G49" s="231">
        <v>45086</v>
      </c>
      <c r="H49" s="197">
        <f>SUMIF(VA!B:B,A49,VA!I:I)</f>
        <v>359.46</v>
      </c>
      <c r="I49" s="177">
        <f>SUMIF(VR!B:B,A49,VR!I:I)</f>
        <v>657.5</v>
      </c>
      <c r="J49" s="178">
        <f t="shared" si="0"/>
        <v>1016.96</v>
      </c>
      <c r="K49" s="179">
        <f>SUMIF(FALTAS!A:A,A49,FALTAS!D:D)</f>
        <v>0</v>
      </c>
    </row>
    <row r="50" spans="1:11" s="37" customFormat="1" ht="13" x14ac:dyDescent="0.25">
      <c r="A50" s="235">
        <v>116076</v>
      </c>
      <c r="B50" s="162" t="s">
        <v>1179</v>
      </c>
      <c r="C50" s="162" t="s">
        <v>139</v>
      </c>
      <c r="D50" s="162" t="s">
        <v>1578</v>
      </c>
      <c r="E50" s="231">
        <v>44218</v>
      </c>
      <c r="F50" s="162" t="s">
        <v>1229</v>
      </c>
      <c r="G50" s="231">
        <v>45049</v>
      </c>
      <c r="H50" s="197">
        <f>SUMIF(VA!B:B,A50,VA!I:I)</f>
        <v>347.47</v>
      </c>
      <c r="I50" s="177">
        <f>SUMIF(VR!B:B,A50,VR!I:I)</f>
        <v>631.20000000000005</v>
      </c>
      <c r="J50" s="178">
        <f t="shared" si="0"/>
        <v>978.67000000000007</v>
      </c>
      <c r="K50" s="179">
        <f>SUMIF(FALTAS!A:A,A50,FALTAS!D:D)</f>
        <v>1</v>
      </c>
    </row>
    <row r="51" spans="1:11" s="37" customFormat="1" ht="13" x14ac:dyDescent="0.25">
      <c r="A51" s="235">
        <v>113710</v>
      </c>
      <c r="B51" s="162" t="s">
        <v>1546</v>
      </c>
      <c r="C51" s="162" t="s">
        <v>720</v>
      </c>
      <c r="D51" s="162" t="s">
        <v>1578</v>
      </c>
      <c r="E51" s="231">
        <v>43619</v>
      </c>
      <c r="F51" s="162" t="s">
        <v>1279</v>
      </c>
      <c r="G51" s="231">
        <v>43968</v>
      </c>
      <c r="H51" s="197">
        <f>SUMIF(VA!B:B,A51,VA!I:I)</f>
        <v>0</v>
      </c>
      <c r="I51" s="177">
        <f>SUMIF(VR!B:B,A51,VR!I:I)</f>
        <v>0</v>
      </c>
      <c r="J51" s="178">
        <f t="shared" si="0"/>
        <v>0</v>
      </c>
      <c r="K51" s="179">
        <f>SUMIF(FALTAS!A:A,A51,FALTAS!D:D)</f>
        <v>0</v>
      </c>
    </row>
    <row r="52" spans="1:11" s="37" customFormat="1" ht="13" x14ac:dyDescent="0.25">
      <c r="A52" s="235">
        <v>112646</v>
      </c>
      <c r="B52" s="162" t="s">
        <v>317</v>
      </c>
      <c r="C52" s="162" t="s">
        <v>5</v>
      </c>
      <c r="D52" s="162" t="s">
        <v>19</v>
      </c>
      <c r="E52" s="231">
        <v>43617</v>
      </c>
      <c r="F52" s="162" t="s">
        <v>1229</v>
      </c>
      <c r="G52" s="231">
        <v>45177</v>
      </c>
      <c r="H52" s="197">
        <f>SUMIF(VA!B:B,A52,VA!I:I)</f>
        <v>359.46</v>
      </c>
      <c r="I52" s="177">
        <f>SUMIF(VR!B:B,A52,VR!I:I)</f>
        <v>657.5</v>
      </c>
      <c r="J52" s="178">
        <f t="shared" si="0"/>
        <v>1016.96</v>
      </c>
      <c r="K52" s="179">
        <f>SUMIF(FALTAS!A:A,A52,FALTAS!D:D)</f>
        <v>0</v>
      </c>
    </row>
    <row r="53" spans="1:11" x14ac:dyDescent="0.25">
      <c r="A53" s="235">
        <v>121954</v>
      </c>
      <c r="B53" s="162" t="s">
        <v>1601</v>
      </c>
      <c r="C53" s="162" t="s">
        <v>5</v>
      </c>
      <c r="D53" s="162" t="s">
        <v>1578</v>
      </c>
      <c r="E53" s="231">
        <v>45040</v>
      </c>
      <c r="F53" s="162" t="s">
        <v>1229</v>
      </c>
      <c r="G53" s="231">
        <v>45040</v>
      </c>
      <c r="H53" s="197">
        <f>SUMIF(VA!B:B,A53,VA!I:I)</f>
        <v>311.52999999999997</v>
      </c>
      <c r="I53" s="177">
        <f>SUMIF(VR!B:B,A53,VR!I:I)</f>
        <v>552.30000000000007</v>
      </c>
      <c r="J53" s="178">
        <f t="shared" si="0"/>
        <v>863.83</v>
      </c>
      <c r="K53" s="179">
        <f>SUMIF(FALTAS!A:A,A53,FALTAS!D:D)</f>
        <v>4</v>
      </c>
    </row>
    <row r="54" spans="1:11" x14ac:dyDescent="0.25">
      <c r="A54" s="235">
        <v>117290</v>
      </c>
      <c r="B54" s="162" t="s">
        <v>1260</v>
      </c>
      <c r="C54" s="162" t="s">
        <v>929</v>
      </c>
      <c r="D54" s="162" t="s">
        <v>1578</v>
      </c>
      <c r="E54" s="231">
        <v>44494</v>
      </c>
      <c r="F54" s="162" t="s">
        <v>1229</v>
      </c>
      <c r="G54" s="231">
        <v>44985</v>
      </c>
      <c r="H54" s="198">
        <f>SUMIF(VA!B:B,A54,VA!I:I)</f>
        <v>359.46</v>
      </c>
      <c r="I54" s="32">
        <f>SUMIF(VR!B:B,A54,VR!I:I)</f>
        <v>657.5</v>
      </c>
      <c r="J54" s="4">
        <f t="shared" si="0"/>
        <v>1016.96</v>
      </c>
      <c r="K54" s="179">
        <f>SUMIF(FALTAS!A:A,A54,FALTAS!D:D)</f>
        <v>0</v>
      </c>
    </row>
    <row r="55" spans="1:11" x14ac:dyDescent="0.25">
      <c r="A55" s="235">
        <v>112652</v>
      </c>
      <c r="B55" s="162" t="s">
        <v>320</v>
      </c>
      <c r="C55" s="162" t="s">
        <v>5</v>
      </c>
      <c r="D55" s="162" t="s">
        <v>32</v>
      </c>
      <c r="E55" s="231">
        <v>43617</v>
      </c>
      <c r="F55" s="162" t="s">
        <v>1230</v>
      </c>
      <c r="G55" s="231">
        <v>45180</v>
      </c>
      <c r="H55" s="198">
        <f>SUMIF(VA!B:B,A55,VA!I:I)</f>
        <v>359.46</v>
      </c>
      <c r="I55" s="32">
        <f>SUMIF(VR!B:B,A55,VR!I:I)</f>
        <v>657.5</v>
      </c>
      <c r="J55" s="4">
        <f t="shared" si="0"/>
        <v>1016.96</v>
      </c>
      <c r="K55" s="179">
        <f>SUMIF(FALTAS!A:A,A55,FALTAS!D:D)</f>
        <v>0</v>
      </c>
    </row>
    <row r="56" spans="1:11" x14ac:dyDescent="0.25">
      <c r="A56" s="235">
        <v>112567</v>
      </c>
      <c r="B56" s="162" t="s">
        <v>269</v>
      </c>
      <c r="C56" s="162" t="s">
        <v>5</v>
      </c>
      <c r="D56" s="162" t="s">
        <v>8</v>
      </c>
      <c r="E56" s="231">
        <v>43617</v>
      </c>
      <c r="F56" s="162" t="s">
        <v>1230</v>
      </c>
      <c r="G56" s="231">
        <v>45180</v>
      </c>
      <c r="H56" s="198">
        <f>SUMIF(VA!B:B,A56,VA!I:I)</f>
        <v>359.46</v>
      </c>
      <c r="I56" s="32">
        <f>SUMIF(VR!B:B,A56,VR!I:I)</f>
        <v>657.5</v>
      </c>
      <c r="J56" s="4">
        <f t="shared" si="0"/>
        <v>1016.96</v>
      </c>
      <c r="K56" s="179">
        <f>SUMIF(FALTAS!A:A,A56,FALTAS!D:D)</f>
        <v>0</v>
      </c>
    </row>
    <row r="57" spans="1:11" x14ac:dyDescent="0.25">
      <c r="A57" s="235">
        <v>112656</v>
      </c>
      <c r="B57" s="162" t="s">
        <v>322</v>
      </c>
      <c r="C57" s="162" t="s">
        <v>22</v>
      </c>
      <c r="D57" s="162" t="s">
        <v>1578</v>
      </c>
      <c r="E57" s="231">
        <v>43617</v>
      </c>
      <c r="F57" s="162" t="s">
        <v>1229</v>
      </c>
      <c r="G57" s="231">
        <v>44898</v>
      </c>
      <c r="H57" s="198">
        <f>SUMIF(VA!B:B,A57,VA!I:I)</f>
        <v>359.46</v>
      </c>
      <c r="I57" s="32">
        <f>SUMIF(VR!B:B,A57,VR!I:I)</f>
        <v>657.5</v>
      </c>
      <c r="J57" s="4">
        <f t="shared" si="0"/>
        <v>1016.96</v>
      </c>
      <c r="K57" s="179">
        <f>SUMIF(FALTAS!A:A,A57,FALTAS!D:D)</f>
        <v>0</v>
      </c>
    </row>
    <row r="58" spans="1:11" x14ac:dyDescent="0.25">
      <c r="A58" s="235">
        <v>114976</v>
      </c>
      <c r="B58" s="162" t="s">
        <v>1132</v>
      </c>
      <c r="C58" s="162" t="s">
        <v>15</v>
      </c>
      <c r="D58" s="162" t="s">
        <v>1578</v>
      </c>
      <c r="E58" s="231">
        <v>43917</v>
      </c>
      <c r="F58" s="162" t="s">
        <v>1229</v>
      </c>
      <c r="G58" s="231">
        <v>45086</v>
      </c>
      <c r="H58" s="198">
        <f>SUMIF(VA!B:B,A58,VA!I:I)</f>
        <v>359.46</v>
      </c>
      <c r="I58" s="32">
        <f>SUMIF(VR!B:B,A58,VR!I:I)</f>
        <v>657.5</v>
      </c>
      <c r="J58" s="4">
        <f t="shared" si="0"/>
        <v>1016.96</v>
      </c>
      <c r="K58" s="179">
        <f>SUMIF(FALTAS!A:A,A58,FALTAS!D:D)</f>
        <v>0</v>
      </c>
    </row>
    <row r="59" spans="1:11" x14ac:dyDescent="0.25">
      <c r="A59" s="235">
        <v>112664</v>
      </c>
      <c r="B59" s="162" t="s">
        <v>326</v>
      </c>
      <c r="C59" s="162" t="s">
        <v>2</v>
      </c>
      <c r="D59" s="162" t="s">
        <v>0</v>
      </c>
      <c r="E59" s="231">
        <v>43617</v>
      </c>
      <c r="F59" s="162" t="s">
        <v>1229</v>
      </c>
      <c r="G59" s="231">
        <v>44993</v>
      </c>
      <c r="H59" s="198">
        <f>SUMIF(VA!B:B,A59,VA!I:I)</f>
        <v>347.47</v>
      </c>
      <c r="I59" s="32">
        <f>SUMIF(VR!B:B,A59,VR!I:I)</f>
        <v>631.20000000000005</v>
      </c>
      <c r="J59" s="4">
        <f t="shared" si="0"/>
        <v>978.67000000000007</v>
      </c>
      <c r="K59" s="179">
        <f>SUMIF(FALTAS!A:A,A59,FALTAS!D:D)</f>
        <v>1</v>
      </c>
    </row>
    <row r="60" spans="1:11" x14ac:dyDescent="0.25">
      <c r="A60" s="235">
        <v>112691</v>
      </c>
      <c r="B60" s="162" t="s">
        <v>343</v>
      </c>
      <c r="C60" s="162" t="s">
        <v>22</v>
      </c>
      <c r="D60" s="162" t="s">
        <v>1578</v>
      </c>
      <c r="E60" s="231">
        <v>43617</v>
      </c>
      <c r="F60" s="162" t="s">
        <v>1229</v>
      </c>
      <c r="G60" s="231">
        <v>44960</v>
      </c>
      <c r="H60" s="198">
        <f>SUMIF(VA!B:B,A60,VA!I:I)</f>
        <v>359.46</v>
      </c>
      <c r="I60" s="32">
        <f>SUMIF(VR!B:B,A60,VR!I:I)</f>
        <v>657.5</v>
      </c>
      <c r="J60" s="4">
        <f t="shared" si="0"/>
        <v>1016.96</v>
      </c>
      <c r="K60" s="179">
        <f>SUMIF(FALTAS!A:A,A60,FALTAS!D:D)</f>
        <v>0</v>
      </c>
    </row>
    <row r="61" spans="1:11" x14ac:dyDescent="0.25">
      <c r="A61" s="235">
        <v>112697</v>
      </c>
      <c r="B61" s="162" t="s">
        <v>347</v>
      </c>
      <c r="C61" s="162" t="s">
        <v>2</v>
      </c>
      <c r="D61" s="162" t="s">
        <v>8</v>
      </c>
      <c r="E61" s="231">
        <v>43617</v>
      </c>
      <c r="F61" s="162" t="s">
        <v>1229</v>
      </c>
      <c r="G61" s="231">
        <v>45056</v>
      </c>
      <c r="H61" s="198">
        <f>SUMIF(VA!B:B,A61,VA!I:I)</f>
        <v>359.46</v>
      </c>
      <c r="I61" s="32">
        <f>SUMIF(VR!B:B,A61,VR!I:I)</f>
        <v>657.5</v>
      </c>
      <c r="J61" s="4">
        <f t="shared" si="0"/>
        <v>1016.96</v>
      </c>
      <c r="K61" s="179">
        <f>SUMIF(FALTAS!A:A,A61,FALTAS!D:D)</f>
        <v>0</v>
      </c>
    </row>
    <row r="62" spans="1:11" x14ac:dyDescent="0.25">
      <c r="A62" s="235">
        <v>112700</v>
      </c>
      <c r="B62" s="162" t="s">
        <v>351</v>
      </c>
      <c r="C62" s="162" t="s">
        <v>2</v>
      </c>
      <c r="D62" s="162" t="s">
        <v>8</v>
      </c>
      <c r="E62" s="231">
        <v>43617</v>
      </c>
      <c r="F62" s="162" t="s">
        <v>1229</v>
      </c>
      <c r="G62" s="231">
        <v>45056</v>
      </c>
      <c r="H62" s="198">
        <f>SUMIF(VA!B:B,A62,VA!I:I)</f>
        <v>359.46</v>
      </c>
      <c r="I62" s="32">
        <f>SUMIF(VR!B:B,A62,VR!I:I)</f>
        <v>657.5</v>
      </c>
      <c r="J62" s="4">
        <f t="shared" si="0"/>
        <v>1016.96</v>
      </c>
      <c r="K62" s="179">
        <f>SUMIF(FALTAS!A:A,A62,FALTAS!D:D)</f>
        <v>0</v>
      </c>
    </row>
    <row r="63" spans="1:11" x14ac:dyDescent="0.25">
      <c r="A63" s="235">
        <v>112175</v>
      </c>
      <c r="B63" s="162" t="s">
        <v>12</v>
      </c>
      <c r="C63" s="162" t="s">
        <v>5</v>
      </c>
      <c r="D63" s="162" t="s">
        <v>10</v>
      </c>
      <c r="E63" s="231">
        <v>43617</v>
      </c>
      <c r="F63" s="162" t="s">
        <v>1229</v>
      </c>
      <c r="G63" s="231">
        <v>44776</v>
      </c>
      <c r="H63" s="198">
        <f>SUMIF(VA!B:B,A63,VA!I:I)</f>
        <v>359.46</v>
      </c>
      <c r="I63" s="32">
        <f>SUMIF(VR!B:B,A63,VR!I:I)</f>
        <v>657.5</v>
      </c>
      <c r="J63" s="4">
        <f t="shared" si="0"/>
        <v>1016.96</v>
      </c>
      <c r="K63" s="179">
        <f>SUMIF(FALTAS!A:A,A63,FALTAS!D:D)</f>
        <v>0</v>
      </c>
    </row>
    <row r="64" spans="1:11" x14ac:dyDescent="0.25">
      <c r="A64" s="235">
        <v>121314</v>
      </c>
      <c r="B64" s="162" t="s">
        <v>1522</v>
      </c>
      <c r="C64" s="162" t="s">
        <v>5</v>
      </c>
      <c r="D64" s="162" t="s">
        <v>10</v>
      </c>
      <c r="E64" s="231">
        <v>44945</v>
      </c>
      <c r="F64" s="162" t="s">
        <v>1229</v>
      </c>
      <c r="G64" s="231">
        <v>44945</v>
      </c>
      <c r="H64" s="198">
        <f>SUMIF(VA!B:B,A64,VA!I:I)</f>
        <v>359.46</v>
      </c>
      <c r="I64" s="32">
        <f>SUMIF(VR!B:B,A64,VR!I:I)</f>
        <v>657.5</v>
      </c>
      <c r="J64" s="4">
        <f t="shared" si="0"/>
        <v>1016.96</v>
      </c>
      <c r="K64" s="179">
        <f>SUMIF(FALTAS!A:A,A64,FALTAS!D:D)</f>
        <v>0</v>
      </c>
    </row>
    <row r="65" spans="1:11" x14ac:dyDescent="0.25">
      <c r="A65" s="235">
        <v>112719</v>
      </c>
      <c r="B65" s="162" t="s">
        <v>362</v>
      </c>
      <c r="C65" s="162" t="s">
        <v>15</v>
      </c>
      <c r="D65" s="162" t="s">
        <v>1578</v>
      </c>
      <c r="E65" s="231">
        <v>43617</v>
      </c>
      <c r="F65" s="162" t="s">
        <v>1229</v>
      </c>
      <c r="G65" s="231">
        <v>44960</v>
      </c>
      <c r="H65" s="198">
        <f>SUMIF(VA!B:B,A65,VA!I:I)</f>
        <v>359.46</v>
      </c>
      <c r="I65" s="32">
        <f>SUMIF(VR!B:B,A65,VR!I:I)</f>
        <v>657.5</v>
      </c>
      <c r="J65" s="4">
        <f t="shared" si="0"/>
        <v>1016.96</v>
      </c>
      <c r="K65" s="179">
        <f>SUMIF(FALTAS!A:A,A65,FALTAS!D:D)</f>
        <v>0</v>
      </c>
    </row>
    <row r="66" spans="1:11" x14ac:dyDescent="0.25">
      <c r="A66" s="235">
        <v>112726</v>
      </c>
      <c r="B66" s="162" t="s">
        <v>367</v>
      </c>
      <c r="C66" s="162" t="s">
        <v>22</v>
      </c>
      <c r="D66" s="162" t="s">
        <v>1578</v>
      </c>
      <c r="E66" s="231">
        <v>43617</v>
      </c>
      <c r="F66" s="162" t="s">
        <v>1229</v>
      </c>
      <c r="G66" s="231">
        <v>45149</v>
      </c>
      <c r="H66" s="198">
        <f>SUMIF(VA!B:B,A66,VA!I:I)</f>
        <v>359.46</v>
      </c>
      <c r="I66" s="32">
        <f>SUMIF(VR!B:B,A66,VR!I:I)</f>
        <v>657.5</v>
      </c>
      <c r="J66" s="4">
        <f t="shared" ref="J66:J129" si="1">H66+I66</f>
        <v>1016.96</v>
      </c>
      <c r="K66" s="179">
        <f>SUMIF(FALTAS!A:A,A66,FALTAS!D:D)</f>
        <v>0</v>
      </c>
    </row>
    <row r="67" spans="1:11" x14ac:dyDescent="0.25">
      <c r="A67" s="235">
        <v>113795</v>
      </c>
      <c r="B67" s="162" t="s">
        <v>981</v>
      </c>
      <c r="C67" s="162" t="s">
        <v>982</v>
      </c>
      <c r="D67" s="162" t="s">
        <v>1580</v>
      </c>
      <c r="E67" s="231">
        <v>43628</v>
      </c>
      <c r="F67" s="162" t="s">
        <v>1229</v>
      </c>
      <c r="G67" s="231">
        <v>44825</v>
      </c>
      <c r="H67" s="198">
        <f>SUMIF(VA!B:B,A67,VA!I:I)</f>
        <v>359.46</v>
      </c>
      <c r="I67" s="32">
        <f>SUMIF(VR!B:B,A67,VR!I:I)</f>
        <v>657.5</v>
      </c>
      <c r="J67" s="4">
        <f t="shared" si="1"/>
        <v>1016.96</v>
      </c>
      <c r="K67" s="179">
        <f>SUMIF(FALTAS!A:A,A67,FALTAS!D:D)</f>
        <v>0</v>
      </c>
    </row>
    <row r="68" spans="1:11" x14ac:dyDescent="0.25">
      <c r="A68" s="235">
        <v>116020</v>
      </c>
      <c r="B68" s="162" t="s">
        <v>1172</v>
      </c>
      <c r="C68" s="162" t="s">
        <v>5</v>
      </c>
      <c r="D68" s="162" t="s">
        <v>0</v>
      </c>
      <c r="E68" s="231">
        <v>44207</v>
      </c>
      <c r="F68" s="162" t="s">
        <v>1229</v>
      </c>
      <c r="G68" s="231">
        <v>45177</v>
      </c>
      <c r="H68" s="198">
        <f>SUMIF(VA!B:B,A68,VA!I:I)</f>
        <v>359.46</v>
      </c>
      <c r="I68" s="32">
        <f>SUMIF(VR!B:B,A68,VR!I:I)</f>
        <v>657.5</v>
      </c>
      <c r="J68" s="4">
        <f t="shared" si="1"/>
        <v>1016.96</v>
      </c>
      <c r="K68" s="179">
        <f>SUMIF(FALTAS!A:A,A68,FALTAS!D:D)</f>
        <v>0</v>
      </c>
    </row>
    <row r="69" spans="1:11" x14ac:dyDescent="0.25">
      <c r="A69" s="235">
        <v>114101</v>
      </c>
      <c r="B69" s="162" t="s">
        <v>1004</v>
      </c>
      <c r="C69" s="162" t="s">
        <v>5</v>
      </c>
      <c r="D69" s="162" t="s">
        <v>19</v>
      </c>
      <c r="E69" s="231">
        <v>43728</v>
      </c>
      <c r="F69" s="162" t="s">
        <v>1229</v>
      </c>
      <c r="G69" s="231">
        <v>45196</v>
      </c>
      <c r="H69" s="198">
        <f>SUMIF(VA!B:B,A69,VA!I:I)</f>
        <v>359.46</v>
      </c>
      <c r="I69" s="32">
        <f>SUMIF(VR!B:B,A69,VR!I:I)</f>
        <v>657.5</v>
      </c>
      <c r="J69" s="4">
        <f t="shared" si="1"/>
        <v>1016.96</v>
      </c>
      <c r="K69" s="179">
        <f>SUMIF(FALTAS!A:A,A69,FALTAS!D:D)</f>
        <v>0</v>
      </c>
    </row>
    <row r="70" spans="1:11" x14ac:dyDescent="0.25">
      <c r="A70" s="235">
        <v>122437</v>
      </c>
      <c r="B70" s="162" t="s">
        <v>1676</v>
      </c>
      <c r="C70" s="162" t="s">
        <v>5</v>
      </c>
      <c r="D70" s="162" t="s">
        <v>1578</v>
      </c>
      <c r="E70" s="231">
        <v>45117</v>
      </c>
      <c r="F70" s="162" t="s">
        <v>1229</v>
      </c>
      <c r="G70" s="231">
        <v>45117</v>
      </c>
      <c r="H70" s="198">
        <f>SUMIF(VA!B:B,A70,VA!I:I)</f>
        <v>359.46</v>
      </c>
      <c r="I70" s="32">
        <f>SUMIF(VR!B:B,A70,VR!I:I)</f>
        <v>657.5</v>
      </c>
      <c r="J70" s="4">
        <f t="shared" si="1"/>
        <v>1016.96</v>
      </c>
      <c r="K70" s="179">
        <f>SUMIF(FALTAS!A:A,A70,FALTAS!D:D)</f>
        <v>0</v>
      </c>
    </row>
    <row r="71" spans="1:11" x14ac:dyDescent="0.25">
      <c r="A71" s="235">
        <v>114273</v>
      </c>
      <c r="B71" s="162" t="s">
        <v>1030</v>
      </c>
      <c r="C71" s="162" t="s">
        <v>5</v>
      </c>
      <c r="D71" s="162" t="s">
        <v>0</v>
      </c>
      <c r="E71" s="231">
        <v>43804</v>
      </c>
      <c r="F71" s="162" t="s">
        <v>1229</v>
      </c>
      <c r="G71" s="231">
        <v>45143</v>
      </c>
      <c r="H71" s="198">
        <f>SUMIF(VA!B:B,A71,VA!I:I)</f>
        <v>347.47</v>
      </c>
      <c r="I71" s="32">
        <f>SUMIF(VR!B:B,A71,VR!I:I)</f>
        <v>631.20000000000005</v>
      </c>
      <c r="J71" s="4">
        <f t="shared" si="1"/>
        <v>978.67000000000007</v>
      </c>
      <c r="K71" s="179">
        <f>SUMIF(FALTAS!A:A,A71,FALTAS!D:D)</f>
        <v>1</v>
      </c>
    </row>
    <row r="72" spans="1:11" x14ac:dyDescent="0.25">
      <c r="A72" s="235">
        <v>112763</v>
      </c>
      <c r="B72" s="162" t="s">
        <v>389</v>
      </c>
      <c r="C72" s="162" t="s">
        <v>15</v>
      </c>
      <c r="D72" s="162" t="s">
        <v>1578</v>
      </c>
      <c r="E72" s="231">
        <v>43627</v>
      </c>
      <c r="F72" s="162" t="s">
        <v>1229</v>
      </c>
      <c r="G72" s="231">
        <v>44930</v>
      </c>
      <c r="H72" s="198">
        <f>SUMIF(VA!B:B,A72,VA!I:I)</f>
        <v>359.46</v>
      </c>
      <c r="I72" s="32">
        <f>SUMIF(VR!B:B,A72,VR!I:I)</f>
        <v>657.5</v>
      </c>
      <c r="J72" s="4">
        <f t="shared" si="1"/>
        <v>1016.96</v>
      </c>
      <c r="K72" s="179">
        <f>SUMIF(FALTAS!A:A,A72,FALTAS!D:D)</f>
        <v>0</v>
      </c>
    </row>
    <row r="73" spans="1:11" x14ac:dyDescent="0.25">
      <c r="A73" s="235">
        <v>113000</v>
      </c>
      <c r="B73" s="162" t="s">
        <v>538</v>
      </c>
      <c r="C73" s="162" t="s">
        <v>15</v>
      </c>
      <c r="D73" s="162" t="s">
        <v>1578</v>
      </c>
      <c r="E73" s="231">
        <v>43617</v>
      </c>
      <c r="F73" s="162" t="s">
        <v>1229</v>
      </c>
      <c r="G73" s="231">
        <v>44898</v>
      </c>
      <c r="H73" s="198">
        <f>SUMIF(VA!B:B,A73,VA!I:I)</f>
        <v>359.46</v>
      </c>
      <c r="I73" s="32">
        <f>SUMIF(VR!B:B,A73,VR!I:I)</f>
        <v>657.5</v>
      </c>
      <c r="J73" s="4">
        <f t="shared" si="1"/>
        <v>1016.96</v>
      </c>
      <c r="K73" s="179">
        <f>SUMIF(FALTAS!A:A,A73,FALTAS!D:D)</f>
        <v>0</v>
      </c>
    </row>
    <row r="74" spans="1:11" x14ac:dyDescent="0.25">
      <c r="A74" s="235">
        <v>112793</v>
      </c>
      <c r="B74" s="162" t="s">
        <v>413</v>
      </c>
      <c r="C74" s="162" t="s">
        <v>2</v>
      </c>
      <c r="D74" s="162" t="s">
        <v>10</v>
      </c>
      <c r="E74" s="231">
        <v>43617</v>
      </c>
      <c r="F74" s="162" t="s">
        <v>1229</v>
      </c>
      <c r="G74" s="231">
        <v>45023</v>
      </c>
      <c r="H74" s="198">
        <f>SUMIF(VA!B:B,A74,VA!I:I)</f>
        <v>359.46</v>
      </c>
      <c r="I74" s="32">
        <f>SUMIF(VR!B:B,A74,VR!I:I)</f>
        <v>657.5</v>
      </c>
      <c r="J74" s="4">
        <f t="shared" si="1"/>
        <v>1016.96</v>
      </c>
      <c r="K74" s="179">
        <f>SUMIF(FALTAS!A:A,A74,FALTAS!D:D)</f>
        <v>0</v>
      </c>
    </row>
    <row r="75" spans="1:11" x14ac:dyDescent="0.25">
      <c r="A75" s="235">
        <v>117410</v>
      </c>
      <c r="B75" s="162" t="s">
        <v>1272</v>
      </c>
      <c r="C75" s="162" t="s">
        <v>205</v>
      </c>
      <c r="D75" s="162" t="s">
        <v>1578</v>
      </c>
      <c r="E75" s="231">
        <v>44522</v>
      </c>
      <c r="F75" s="162" t="s">
        <v>1229</v>
      </c>
      <c r="G75" s="231">
        <v>45147</v>
      </c>
      <c r="H75" s="198">
        <f>SUMIF(VA!B:B,A75,VA!I:I)</f>
        <v>359.46</v>
      </c>
      <c r="I75" s="32">
        <f>SUMIF(VR!B:B,A75,VR!I:I)</f>
        <v>657.5</v>
      </c>
      <c r="J75" s="4">
        <f t="shared" si="1"/>
        <v>1016.96</v>
      </c>
      <c r="K75" s="179">
        <f>SUMIF(FALTAS!A:A,A75,FALTAS!D:D)</f>
        <v>0</v>
      </c>
    </row>
    <row r="76" spans="1:11" x14ac:dyDescent="0.25">
      <c r="A76" s="235">
        <v>112798</v>
      </c>
      <c r="B76" s="162" t="s">
        <v>417</v>
      </c>
      <c r="C76" s="162" t="s">
        <v>2</v>
      </c>
      <c r="D76" s="162" t="s">
        <v>8</v>
      </c>
      <c r="E76" s="231">
        <v>43617</v>
      </c>
      <c r="F76" s="162" t="s">
        <v>1229</v>
      </c>
      <c r="G76" s="231">
        <v>45056</v>
      </c>
      <c r="H76" s="198">
        <f>SUMIF(VA!B:B,A76,VA!I:I)</f>
        <v>359.46</v>
      </c>
      <c r="I76" s="32">
        <f>SUMIF(VR!B:B,A76,VR!I:I)</f>
        <v>657.5</v>
      </c>
      <c r="J76" s="4">
        <f t="shared" si="1"/>
        <v>1016.96</v>
      </c>
      <c r="K76" s="179">
        <f>SUMIF(FALTAS!A:A,A76,FALTAS!D:D)</f>
        <v>0</v>
      </c>
    </row>
    <row r="77" spans="1:11" x14ac:dyDescent="0.25">
      <c r="A77" s="235">
        <v>113028</v>
      </c>
      <c r="B77" s="162" t="s">
        <v>548</v>
      </c>
      <c r="C77" s="162" t="s">
        <v>182</v>
      </c>
      <c r="D77" s="162" t="s">
        <v>19</v>
      </c>
      <c r="E77" s="231">
        <v>43617</v>
      </c>
      <c r="F77" s="162" t="s">
        <v>1229</v>
      </c>
      <c r="G77" s="231">
        <v>45177</v>
      </c>
      <c r="H77" s="198">
        <f>SUMIF(VA!B:B,A77,VA!I:I)</f>
        <v>359.46</v>
      </c>
      <c r="I77" s="32">
        <f>SUMIF(VR!B:B,A77,VR!I:I)</f>
        <v>657.5</v>
      </c>
      <c r="J77" s="4">
        <f t="shared" si="1"/>
        <v>1016.96</v>
      </c>
      <c r="K77" s="179">
        <f>SUMIF(FALTAS!A:A,A77,FALTAS!D:D)</f>
        <v>0</v>
      </c>
    </row>
    <row r="78" spans="1:11" x14ac:dyDescent="0.25">
      <c r="A78" s="235">
        <v>112804</v>
      </c>
      <c r="B78" s="162" t="s">
        <v>422</v>
      </c>
      <c r="C78" s="162" t="s">
        <v>2</v>
      </c>
      <c r="D78" s="162" t="s">
        <v>32</v>
      </c>
      <c r="E78" s="231">
        <v>43617</v>
      </c>
      <c r="F78" s="162" t="s">
        <v>1230</v>
      </c>
      <c r="G78" s="231">
        <v>45180</v>
      </c>
      <c r="H78" s="198">
        <f>SUMIF(VA!B:B,A78,VA!I:I)</f>
        <v>359.46</v>
      </c>
      <c r="I78" s="32">
        <f>SUMIF(VR!B:B,A78,VR!I:I)</f>
        <v>657.5</v>
      </c>
      <c r="J78" s="4">
        <f t="shared" si="1"/>
        <v>1016.96</v>
      </c>
      <c r="K78" s="179">
        <f>SUMIF(FALTAS!A:A,A78,FALTAS!D:D)</f>
        <v>0</v>
      </c>
    </row>
    <row r="79" spans="1:11" x14ac:dyDescent="0.25">
      <c r="A79" s="235">
        <v>113043</v>
      </c>
      <c r="B79" s="162" t="s">
        <v>557</v>
      </c>
      <c r="C79" s="162" t="s">
        <v>5</v>
      </c>
      <c r="D79" s="162" t="s">
        <v>10</v>
      </c>
      <c r="E79" s="231">
        <v>43617</v>
      </c>
      <c r="F79" s="162" t="s">
        <v>1229</v>
      </c>
      <c r="G79" s="231">
        <v>45000</v>
      </c>
      <c r="H79" s="198">
        <f>SUMIF(VA!B:B,A79,VA!I:I)</f>
        <v>359.46</v>
      </c>
      <c r="I79" s="32">
        <f>SUMIF(VR!B:B,A79,VR!I:I)</f>
        <v>657.5</v>
      </c>
      <c r="J79" s="4">
        <f t="shared" si="1"/>
        <v>1016.96</v>
      </c>
      <c r="K79" s="179">
        <f>SUMIF(FALTAS!A:A,A79,FALTAS!D:D)</f>
        <v>0</v>
      </c>
    </row>
    <row r="80" spans="1:11" x14ac:dyDescent="0.25">
      <c r="A80" s="235">
        <v>121482</v>
      </c>
      <c r="B80" s="162" t="s">
        <v>1547</v>
      </c>
      <c r="C80" s="162" t="s">
        <v>15</v>
      </c>
      <c r="D80" s="162" t="s">
        <v>1578</v>
      </c>
      <c r="E80" s="231">
        <v>44967</v>
      </c>
      <c r="F80" s="162" t="s">
        <v>1229</v>
      </c>
      <c r="G80" s="231">
        <v>44967</v>
      </c>
      <c r="H80" s="198">
        <f>SUMIF(VA!B:B,A80,VA!I:I)</f>
        <v>359.46</v>
      </c>
      <c r="I80" s="32">
        <f>SUMIF(VR!B:B,A80,VR!I:I)</f>
        <v>657.5</v>
      </c>
      <c r="J80" s="4">
        <f t="shared" si="1"/>
        <v>1016.96</v>
      </c>
      <c r="K80" s="179">
        <f>SUMIF(FALTAS!A:A,A80,FALTAS!D:D)</f>
        <v>0</v>
      </c>
    </row>
    <row r="81" spans="1:11" x14ac:dyDescent="0.25">
      <c r="A81" s="235">
        <v>112812</v>
      </c>
      <c r="B81" s="162" t="s">
        <v>428</v>
      </c>
      <c r="C81" s="162" t="s">
        <v>146</v>
      </c>
      <c r="D81" s="162" t="s">
        <v>19</v>
      </c>
      <c r="E81" s="231">
        <v>43617</v>
      </c>
      <c r="F81" s="162" t="s">
        <v>1229</v>
      </c>
      <c r="G81" s="231">
        <v>45119</v>
      </c>
      <c r="H81" s="198">
        <f>SUMIF(VA!B:B,A81,VA!I:I)</f>
        <v>359.46</v>
      </c>
      <c r="I81" s="32">
        <f>SUMIF(VR!B:B,A81,VR!I:I)</f>
        <v>657.5</v>
      </c>
      <c r="J81" s="4">
        <f t="shared" si="1"/>
        <v>1016.96</v>
      </c>
      <c r="K81" s="179">
        <f>SUMIF(FALTAS!A:A,A81,FALTAS!D:D)</f>
        <v>0</v>
      </c>
    </row>
    <row r="82" spans="1:11" x14ac:dyDescent="0.25">
      <c r="A82" s="235">
        <v>112815</v>
      </c>
      <c r="B82" s="162" t="s">
        <v>430</v>
      </c>
      <c r="C82" s="162" t="s">
        <v>5</v>
      </c>
      <c r="D82" s="162" t="s">
        <v>10</v>
      </c>
      <c r="E82" s="231">
        <v>43617</v>
      </c>
      <c r="F82" s="162" t="s">
        <v>1229</v>
      </c>
      <c r="G82" s="231">
        <v>44960</v>
      </c>
      <c r="H82" s="198">
        <f>SUMIF(VA!B:B,A82,VA!I:I)</f>
        <v>359.46</v>
      </c>
      <c r="I82" s="32">
        <f>SUMIF(VR!B:B,A82,VR!I:I)</f>
        <v>657.5</v>
      </c>
      <c r="J82" s="4">
        <f t="shared" si="1"/>
        <v>1016.96</v>
      </c>
      <c r="K82" s="179">
        <f>SUMIF(FALTAS!A:A,A82,FALTAS!D:D)</f>
        <v>0</v>
      </c>
    </row>
    <row r="83" spans="1:11" x14ac:dyDescent="0.25">
      <c r="A83" s="235">
        <v>118049</v>
      </c>
      <c r="B83" s="162" t="s">
        <v>1392</v>
      </c>
      <c r="C83" s="162" t="s">
        <v>5</v>
      </c>
      <c r="D83" s="162" t="s">
        <v>0</v>
      </c>
      <c r="E83" s="231">
        <v>44567</v>
      </c>
      <c r="F83" s="162" t="s">
        <v>1229</v>
      </c>
      <c r="G83" s="231">
        <v>45119</v>
      </c>
      <c r="H83" s="198">
        <f>SUMIF(VA!B:B,A83,VA!I:I)</f>
        <v>83.87</v>
      </c>
      <c r="I83" s="32">
        <f>SUMIF(VR!B:B,A83,VR!I:I)</f>
        <v>52.6</v>
      </c>
      <c r="J83" s="4">
        <f t="shared" si="1"/>
        <v>136.47</v>
      </c>
      <c r="K83" s="179">
        <f>SUMIF(FALTAS!A:A,A83,FALTAS!D:D)</f>
        <v>23</v>
      </c>
    </row>
    <row r="84" spans="1:11" x14ac:dyDescent="0.25">
      <c r="A84" s="235">
        <v>113058</v>
      </c>
      <c r="B84" s="162" t="s">
        <v>563</v>
      </c>
      <c r="C84" s="162" t="s">
        <v>2</v>
      </c>
      <c r="D84" s="162" t="s">
        <v>8</v>
      </c>
      <c r="E84" s="231">
        <v>43617</v>
      </c>
      <c r="F84" s="162" t="s">
        <v>1229</v>
      </c>
      <c r="G84" s="231">
        <v>45149</v>
      </c>
      <c r="H84" s="198">
        <f>SUMIF(VA!B:B,A84,VA!I:I)</f>
        <v>359.46</v>
      </c>
      <c r="I84" s="32">
        <f>SUMIF(VR!B:B,A84,VR!I:I)</f>
        <v>657.5</v>
      </c>
      <c r="J84" s="4">
        <f t="shared" si="1"/>
        <v>1016.96</v>
      </c>
      <c r="K84" s="179">
        <f>SUMIF(FALTAS!A:A,A84,FALTAS!D:D)</f>
        <v>0</v>
      </c>
    </row>
    <row r="85" spans="1:11" x14ac:dyDescent="0.25">
      <c r="A85" s="235">
        <v>112824</v>
      </c>
      <c r="B85" s="162" t="s">
        <v>437</v>
      </c>
      <c r="C85" s="162" t="s">
        <v>2</v>
      </c>
      <c r="D85" s="162" t="s">
        <v>10</v>
      </c>
      <c r="E85" s="231">
        <v>43617</v>
      </c>
      <c r="F85" s="162" t="s">
        <v>1229</v>
      </c>
      <c r="G85" s="231">
        <v>45177</v>
      </c>
      <c r="H85" s="198">
        <f>SUMIF(VA!B:B,A85,VA!I:I)</f>
        <v>359.46</v>
      </c>
      <c r="I85" s="32">
        <f>SUMIF(VR!B:B,A85,VR!I:I)</f>
        <v>657.5</v>
      </c>
      <c r="J85" s="4">
        <f t="shared" si="1"/>
        <v>1016.96</v>
      </c>
      <c r="K85" s="179">
        <f>SUMIF(FALTAS!A:A,A85,FALTAS!D:D)</f>
        <v>0</v>
      </c>
    </row>
    <row r="86" spans="1:11" x14ac:dyDescent="0.25">
      <c r="A86" s="235">
        <v>113086</v>
      </c>
      <c r="B86" s="162" t="s">
        <v>579</v>
      </c>
      <c r="C86" s="162" t="s">
        <v>15</v>
      </c>
      <c r="D86" s="162" t="s">
        <v>1578</v>
      </c>
      <c r="E86" s="231">
        <v>43617</v>
      </c>
      <c r="F86" s="162" t="s">
        <v>1229</v>
      </c>
      <c r="G86" s="231">
        <v>45149</v>
      </c>
      <c r="H86" s="198">
        <f>SUMIF(VA!B:B,A86,VA!I:I)</f>
        <v>359.46</v>
      </c>
      <c r="I86" s="32">
        <f>SUMIF(VR!B:B,A86,VR!I:I)</f>
        <v>657.5</v>
      </c>
      <c r="J86" s="4">
        <f t="shared" si="1"/>
        <v>1016.96</v>
      </c>
      <c r="K86" s="179">
        <f>SUMIF(FALTAS!A:A,A86,FALTAS!D:D)</f>
        <v>0</v>
      </c>
    </row>
    <row r="87" spans="1:11" x14ac:dyDescent="0.25">
      <c r="A87" s="235">
        <v>112995</v>
      </c>
      <c r="B87" s="162" t="s">
        <v>536</v>
      </c>
      <c r="C87" s="162" t="s">
        <v>2</v>
      </c>
      <c r="D87" s="162" t="s">
        <v>19</v>
      </c>
      <c r="E87" s="231">
        <v>43617</v>
      </c>
      <c r="F87" s="162" t="s">
        <v>1229</v>
      </c>
      <c r="G87" s="231">
        <v>45119</v>
      </c>
      <c r="H87" s="198">
        <f>SUMIF(VA!B:B,A87,VA!I:I)</f>
        <v>359.46</v>
      </c>
      <c r="I87" s="32">
        <f>SUMIF(VR!B:B,A87,VR!I:I)</f>
        <v>657.5</v>
      </c>
      <c r="J87" s="4">
        <f t="shared" si="1"/>
        <v>1016.96</v>
      </c>
      <c r="K87" s="179">
        <f>SUMIF(FALTAS!A:A,A87,FALTAS!D:D)</f>
        <v>0</v>
      </c>
    </row>
    <row r="88" spans="1:11" x14ac:dyDescent="0.25">
      <c r="A88" s="235">
        <v>116330</v>
      </c>
      <c r="B88" s="162" t="s">
        <v>1207</v>
      </c>
      <c r="C88" s="162" t="s">
        <v>5</v>
      </c>
      <c r="D88" s="162" t="s">
        <v>0</v>
      </c>
      <c r="E88" s="231">
        <v>44308</v>
      </c>
      <c r="F88" s="162" t="s">
        <v>1229</v>
      </c>
      <c r="G88" s="231">
        <v>45177</v>
      </c>
      <c r="H88" s="198">
        <f>SUMIF(VA!B:B,A88,VA!I:I)</f>
        <v>359.46</v>
      </c>
      <c r="I88" s="32">
        <f>SUMIF(VR!B:B,A88,VR!I:I)</f>
        <v>657.5</v>
      </c>
      <c r="J88" s="4">
        <f t="shared" si="1"/>
        <v>1016.96</v>
      </c>
      <c r="K88" s="179">
        <f>SUMIF(FALTAS!A:A,A88,FALTAS!D:D)</f>
        <v>0</v>
      </c>
    </row>
    <row r="89" spans="1:11" x14ac:dyDescent="0.25">
      <c r="A89" s="235">
        <v>113103</v>
      </c>
      <c r="B89" s="162" t="s">
        <v>586</v>
      </c>
      <c r="C89" s="162" t="s">
        <v>5</v>
      </c>
      <c r="D89" s="162" t="s">
        <v>8</v>
      </c>
      <c r="E89" s="231">
        <v>43617</v>
      </c>
      <c r="F89" s="162" t="s">
        <v>1229</v>
      </c>
      <c r="G89" s="231">
        <v>45177</v>
      </c>
      <c r="H89" s="198">
        <f>SUMIF(VA!B:B,A89,VA!I:I)</f>
        <v>359.46</v>
      </c>
      <c r="I89" s="32">
        <f>SUMIF(VR!B:B,A89,VR!I:I)</f>
        <v>657.5</v>
      </c>
      <c r="J89" s="4">
        <f t="shared" si="1"/>
        <v>1016.96</v>
      </c>
      <c r="K89" s="179">
        <f>SUMIF(FALTAS!A:A,A89,FALTAS!D:D)</f>
        <v>0</v>
      </c>
    </row>
    <row r="90" spans="1:11" x14ac:dyDescent="0.25">
      <c r="A90" s="235">
        <v>113109</v>
      </c>
      <c r="B90" s="162" t="s">
        <v>588</v>
      </c>
      <c r="C90" s="162" t="s">
        <v>39</v>
      </c>
      <c r="D90" s="162" t="s">
        <v>8</v>
      </c>
      <c r="E90" s="231">
        <v>43617</v>
      </c>
      <c r="F90" s="162" t="s">
        <v>1229</v>
      </c>
      <c r="G90" s="231">
        <v>45086</v>
      </c>
      <c r="H90" s="198">
        <f>SUMIF(VA!B:B,A90,VA!I:I)</f>
        <v>359.46</v>
      </c>
      <c r="I90" s="32">
        <f>SUMIF(VR!B:B,A90,VR!I:I)</f>
        <v>657.5</v>
      </c>
      <c r="J90" s="4">
        <f t="shared" si="1"/>
        <v>1016.96</v>
      </c>
      <c r="K90" s="179">
        <f>SUMIF(FALTAS!A:A,A90,FALTAS!D:D)</f>
        <v>0</v>
      </c>
    </row>
    <row r="91" spans="1:11" x14ac:dyDescent="0.25">
      <c r="A91" s="235">
        <v>113117</v>
      </c>
      <c r="B91" s="162" t="s">
        <v>593</v>
      </c>
      <c r="C91" s="162" t="s">
        <v>5</v>
      </c>
      <c r="D91" s="162" t="s">
        <v>32</v>
      </c>
      <c r="E91" s="231">
        <v>43617</v>
      </c>
      <c r="F91" s="162" t="s">
        <v>1229</v>
      </c>
      <c r="G91" s="231">
        <v>44867</v>
      </c>
      <c r="H91" s="198">
        <f>SUMIF(VA!B:B,A91,VA!I:I)</f>
        <v>359.46</v>
      </c>
      <c r="I91" s="32">
        <f>SUMIF(VR!B:B,A91,VR!I:I)</f>
        <v>657.5</v>
      </c>
      <c r="J91" s="4">
        <f t="shared" si="1"/>
        <v>1016.96</v>
      </c>
      <c r="K91" s="179">
        <f>SUMIF(FALTAS!A:A,A91,FALTAS!D:D)</f>
        <v>0</v>
      </c>
    </row>
    <row r="92" spans="1:11" x14ac:dyDescent="0.25">
      <c r="A92" s="235">
        <v>113124</v>
      </c>
      <c r="B92" s="162" t="s">
        <v>598</v>
      </c>
      <c r="C92" s="162" t="s">
        <v>22</v>
      </c>
      <c r="D92" s="162" t="s">
        <v>1578</v>
      </c>
      <c r="E92" s="231">
        <v>43617</v>
      </c>
      <c r="F92" s="162" t="s">
        <v>1229</v>
      </c>
      <c r="G92" s="231">
        <v>44993</v>
      </c>
      <c r="H92" s="198">
        <f>SUMIF(VA!B:B,A92,VA!I:I)</f>
        <v>359.46</v>
      </c>
      <c r="I92" s="32">
        <f>SUMIF(VR!B:B,A92,VR!I:I)</f>
        <v>657.5</v>
      </c>
      <c r="J92" s="4">
        <f t="shared" si="1"/>
        <v>1016.96</v>
      </c>
      <c r="K92" s="179">
        <f>SUMIF(FALTAS!A:A,A92,FALTAS!D:D)</f>
        <v>0</v>
      </c>
    </row>
    <row r="93" spans="1:11" x14ac:dyDescent="0.25">
      <c r="A93" s="235">
        <v>121817</v>
      </c>
      <c r="B93" s="162" t="s">
        <v>1595</v>
      </c>
      <c r="C93" s="162" t="s">
        <v>1456</v>
      </c>
      <c r="D93" s="162" t="s">
        <v>1580</v>
      </c>
      <c r="E93" s="231">
        <v>45019</v>
      </c>
      <c r="F93" s="162" t="s">
        <v>1229</v>
      </c>
      <c r="G93" s="231">
        <v>45019</v>
      </c>
      <c r="H93" s="198">
        <f>SUMIF(VA!B:B,A93,VA!I:I)</f>
        <v>0</v>
      </c>
      <c r="I93" s="32">
        <f>SUMIF(VR!B:B,A93,VR!I:I)</f>
        <v>657.5</v>
      </c>
      <c r="J93" s="4">
        <f t="shared" si="1"/>
        <v>657.5</v>
      </c>
      <c r="K93" s="179">
        <f>SUMIF(FALTAS!A:A,A93,FALTAS!D:D)</f>
        <v>0</v>
      </c>
    </row>
    <row r="94" spans="1:11" x14ac:dyDescent="0.25">
      <c r="A94" s="235">
        <v>113135</v>
      </c>
      <c r="B94" s="162" t="s">
        <v>603</v>
      </c>
      <c r="C94" s="162" t="s">
        <v>2</v>
      </c>
      <c r="D94" s="162" t="s">
        <v>19</v>
      </c>
      <c r="E94" s="231">
        <v>43617</v>
      </c>
      <c r="F94" s="162" t="s">
        <v>1229</v>
      </c>
      <c r="G94" s="231">
        <v>45149</v>
      </c>
      <c r="H94" s="198">
        <f>SUMIF(VA!B:B,A94,VA!I:I)</f>
        <v>359.46</v>
      </c>
      <c r="I94" s="32">
        <f>SUMIF(VR!B:B,A94,VR!I:I)</f>
        <v>657.5</v>
      </c>
      <c r="J94" s="4">
        <f t="shared" si="1"/>
        <v>1016.96</v>
      </c>
      <c r="K94" s="179">
        <f>SUMIF(FALTAS!A:A,A94,FALTAS!D:D)</f>
        <v>0</v>
      </c>
    </row>
    <row r="95" spans="1:11" x14ac:dyDescent="0.25">
      <c r="A95" s="235">
        <v>121672</v>
      </c>
      <c r="B95" s="162" t="s">
        <v>1582</v>
      </c>
      <c r="C95" s="162" t="s">
        <v>5</v>
      </c>
      <c r="D95" s="162" t="s">
        <v>32</v>
      </c>
      <c r="E95" s="231">
        <v>44994</v>
      </c>
      <c r="F95" s="162" t="s">
        <v>1229</v>
      </c>
      <c r="G95" s="231">
        <v>44994</v>
      </c>
      <c r="H95" s="198">
        <f>SUMIF(VA!B:B,A95,VA!I:I)</f>
        <v>359.46</v>
      </c>
      <c r="I95" s="32">
        <f>SUMIF(VR!B:B,A95,VR!I:I)</f>
        <v>657.5</v>
      </c>
      <c r="J95" s="4">
        <f t="shared" si="1"/>
        <v>1016.96</v>
      </c>
      <c r="K95" s="179">
        <f>SUMIF(FALTAS!A:A,A95,FALTAS!D:D)</f>
        <v>0</v>
      </c>
    </row>
    <row r="96" spans="1:11" x14ac:dyDescent="0.25">
      <c r="A96" s="235">
        <v>113139</v>
      </c>
      <c r="B96" s="162" t="s">
        <v>606</v>
      </c>
      <c r="C96" s="162" t="s">
        <v>2</v>
      </c>
      <c r="D96" s="162" t="s">
        <v>10</v>
      </c>
      <c r="E96" s="231">
        <v>43617</v>
      </c>
      <c r="F96" s="162" t="s">
        <v>1229</v>
      </c>
      <c r="G96" s="231">
        <v>45177</v>
      </c>
      <c r="H96" s="198">
        <f>SUMIF(VA!B:B,A96,VA!I:I)</f>
        <v>359.46</v>
      </c>
      <c r="I96" s="32">
        <f>SUMIF(VR!B:B,A96,VR!I:I)</f>
        <v>657.5</v>
      </c>
      <c r="J96" s="4">
        <f t="shared" si="1"/>
        <v>1016.96</v>
      </c>
      <c r="K96" s="179">
        <f>SUMIF(FALTAS!A:A,A96,FALTAS!D:D)</f>
        <v>0</v>
      </c>
    </row>
    <row r="97" spans="1:11" x14ac:dyDescent="0.25">
      <c r="A97" s="235">
        <v>113760</v>
      </c>
      <c r="B97" s="162" t="s">
        <v>1509</v>
      </c>
      <c r="C97" s="162" t="s">
        <v>1650</v>
      </c>
      <c r="D97" s="162" t="s">
        <v>1578</v>
      </c>
      <c r="E97" s="231">
        <v>43621</v>
      </c>
      <c r="F97" s="162" t="s">
        <v>1229</v>
      </c>
      <c r="G97" s="231">
        <v>45177</v>
      </c>
      <c r="H97" s="198">
        <f>SUMIF(VA!B:B,A97,VA!I:I)</f>
        <v>359.46</v>
      </c>
      <c r="I97" s="32">
        <f>SUMIF(VR!B:B,A97,VR!I:I)</f>
        <v>657.5</v>
      </c>
      <c r="J97" s="4">
        <f t="shared" si="1"/>
        <v>1016.96</v>
      </c>
      <c r="K97" s="179">
        <f>SUMIF(FALTAS!A:A,A97,FALTAS!D:D)</f>
        <v>0</v>
      </c>
    </row>
    <row r="98" spans="1:11" x14ac:dyDescent="0.25">
      <c r="A98" s="235">
        <v>114682</v>
      </c>
      <c r="B98" s="162" t="s">
        <v>1063</v>
      </c>
      <c r="C98" s="162" t="s">
        <v>5</v>
      </c>
      <c r="D98" s="162" t="s">
        <v>10</v>
      </c>
      <c r="E98" s="231">
        <v>43874</v>
      </c>
      <c r="F98" s="162" t="s">
        <v>1229</v>
      </c>
      <c r="G98" s="231">
        <v>44715</v>
      </c>
      <c r="H98" s="198">
        <f>SUMIF(VA!B:B,A98,VA!I:I)</f>
        <v>359.46</v>
      </c>
      <c r="I98" s="32">
        <f>SUMIF(VR!B:B,A98,VR!I:I)</f>
        <v>657.5</v>
      </c>
      <c r="J98" s="4">
        <f t="shared" si="1"/>
        <v>1016.96</v>
      </c>
      <c r="K98" s="179">
        <f>SUMIF(FALTAS!A:A,A98,FALTAS!D:D)</f>
        <v>0</v>
      </c>
    </row>
    <row r="99" spans="1:11" x14ac:dyDescent="0.25">
      <c r="A99" s="235">
        <v>113151</v>
      </c>
      <c r="B99" s="162" t="s">
        <v>613</v>
      </c>
      <c r="C99" s="162" t="s">
        <v>5</v>
      </c>
      <c r="D99" s="162" t="s">
        <v>32</v>
      </c>
      <c r="E99" s="231">
        <v>43617</v>
      </c>
      <c r="F99" s="162" t="s">
        <v>1229</v>
      </c>
      <c r="G99" s="231">
        <v>44898</v>
      </c>
      <c r="H99" s="198">
        <f>SUMIF(VA!B:B,A99,VA!I:I)</f>
        <v>359.46</v>
      </c>
      <c r="I99" s="32">
        <f>SUMIF(VR!B:B,A99,VR!I:I)</f>
        <v>657.5</v>
      </c>
      <c r="J99" s="4">
        <f t="shared" si="1"/>
        <v>1016.96</v>
      </c>
      <c r="K99" s="179">
        <f>SUMIF(FALTAS!A:A,A99,FALTAS!D:D)</f>
        <v>0</v>
      </c>
    </row>
    <row r="100" spans="1:11" x14ac:dyDescent="0.25">
      <c r="A100" s="235">
        <v>122440</v>
      </c>
      <c r="B100" s="162" t="s">
        <v>1677</v>
      </c>
      <c r="C100" s="162" t="s">
        <v>5</v>
      </c>
      <c r="D100" s="162" t="s">
        <v>1578</v>
      </c>
      <c r="E100" s="231">
        <v>45117</v>
      </c>
      <c r="F100" s="162" t="s">
        <v>1229</v>
      </c>
      <c r="G100" s="231">
        <v>45117</v>
      </c>
      <c r="H100" s="198">
        <f>SUMIF(VA!B:B,A100,VA!I:I)</f>
        <v>359.46</v>
      </c>
      <c r="I100" s="32">
        <f>SUMIF(VR!B:B,A100,VR!I:I)</f>
        <v>657.5</v>
      </c>
      <c r="J100" s="4">
        <f t="shared" si="1"/>
        <v>1016.96</v>
      </c>
      <c r="K100" s="179">
        <f>SUMIF(FALTAS!A:A,A100,FALTAS!D:D)</f>
        <v>0</v>
      </c>
    </row>
    <row r="101" spans="1:11" x14ac:dyDescent="0.25">
      <c r="A101" s="235">
        <v>114968</v>
      </c>
      <c r="B101" s="162" t="s">
        <v>1130</v>
      </c>
      <c r="C101" s="162" t="s">
        <v>5</v>
      </c>
      <c r="D101" s="162" t="s">
        <v>1578</v>
      </c>
      <c r="E101" s="231">
        <v>43917</v>
      </c>
      <c r="F101" s="162" t="s">
        <v>1229</v>
      </c>
      <c r="G101" s="231">
        <v>45086</v>
      </c>
      <c r="H101" s="198">
        <f>SUMIF(VA!B:B,A101,VA!I:I)</f>
        <v>359.46</v>
      </c>
      <c r="I101" s="32">
        <f>SUMIF(VR!B:B,A101,VR!I:I)</f>
        <v>657.5</v>
      </c>
      <c r="J101" s="4">
        <f t="shared" si="1"/>
        <v>1016.96</v>
      </c>
      <c r="K101" s="179">
        <f>SUMIF(FALTAS!A:A,A101,FALTAS!D:D)</f>
        <v>0</v>
      </c>
    </row>
    <row r="102" spans="1:11" x14ac:dyDescent="0.25">
      <c r="A102" s="235">
        <v>113171</v>
      </c>
      <c r="B102" s="162" t="s">
        <v>626</v>
      </c>
      <c r="C102" s="162" t="s">
        <v>5</v>
      </c>
      <c r="D102" s="162" t="s">
        <v>1578</v>
      </c>
      <c r="E102" s="231">
        <v>43617</v>
      </c>
      <c r="F102" s="162" t="s">
        <v>1229</v>
      </c>
      <c r="G102" s="231">
        <v>44930</v>
      </c>
      <c r="H102" s="198">
        <f>SUMIF(VA!B:B,A102,VA!I:I)</f>
        <v>359.46</v>
      </c>
      <c r="I102" s="32">
        <f>SUMIF(VR!B:B,A102,VR!I:I)</f>
        <v>657.5</v>
      </c>
      <c r="J102" s="4">
        <f t="shared" si="1"/>
        <v>1016.96</v>
      </c>
      <c r="K102" s="179">
        <f>SUMIF(FALTAS!A:A,A102,FALTAS!D:D)</f>
        <v>0</v>
      </c>
    </row>
    <row r="103" spans="1:11" x14ac:dyDescent="0.25">
      <c r="A103" s="235">
        <v>114683</v>
      </c>
      <c r="B103" s="162" t="s">
        <v>1064</v>
      </c>
      <c r="C103" s="162" t="s">
        <v>2</v>
      </c>
      <c r="D103" s="162" t="s">
        <v>19</v>
      </c>
      <c r="E103" s="231">
        <v>43874</v>
      </c>
      <c r="F103" s="162" t="s">
        <v>1229</v>
      </c>
      <c r="G103" s="231">
        <v>45086</v>
      </c>
      <c r="H103" s="198">
        <f>SUMIF(VA!B:B,A103,VA!I:I)</f>
        <v>359.46</v>
      </c>
      <c r="I103" s="32">
        <f>SUMIF(VR!B:B,A103,VR!I:I)</f>
        <v>657.5</v>
      </c>
      <c r="J103" s="4">
        <f t="shared" si="1"/>
        <v>1016.96</v>
      </c>
      <c r="K103" s="179">
        <f>SUMIF(FALTAS!A:A,A103,FALTAS!D:D)</f>
        <v>0</v>
      </c>
    </row>
    <row r="104" spans="1:11" x14ac:dyDescent="0.25">
      <c r="A104" s="235">
        <v>113173</v>
      </c>
      <c r="B104" s="162" t="s">
        <v>628</v>
      </c>
      <c r="C104" s="162" t="s">
        <v>5</v>
      </c>
      <c r="D104" s="162" t="s">
        <v>19</v>
      </c>
      <c r="E104" s="231">
        <v>43617</v>
      </c>
      <c r="F104" s="162" t="s">
        <v>1229</v>
      </c>
      <c r="G104" s="231">
        <v>45177</v>
      </c>
      <c r="H104" s="198">
        <f>SUMIF(VA!B:B,A104,VA!I:I)</f>
        <v>359.46</v>
      </c>
      <c r="I104" s="32">
        <f>SUMIF(VR!B:B,A104,VR!I:I)</f>
        <v>657.5</v>
      </c>
      <c r="J104" s="4">
        <f t="shared" si="1"/>
        <v>1016.96</v>
      </c>
      <c r="K104" s="179">
        <f>SUMIF(FALTAS!A:A,A104,FALTAS!D:D)</f>
        <v>0</v>
      </c>
    </row>
    <row r="105" spans="1:11" x14ac:dyDescent="0.25">
      <c r="A105" s="235">
        <v>114616</v>
      </c>
      <c r="B105" s="162" t="s">
        <v>1060</v>
      </c>
      <c r="C105" s="162" t="s">
        <v>15</v>
      </c>
      <c r="D105" s="162" t="s">
        <v>1578</v>
      </c>
      <c r="E105" s="231">
        <v>43840</v>
      </c>
      <c r="F105" s="162" t="s">
        <v>1279</v>
      </c>
      <c r="G105" s="231">
        <v>45171</v>
      </c>
      <c r="H105" s="198">
        <f>SUMIF(VA!B:B,A105,VA!I:I)</f>
        <v>0</v>
      </c>
      <c r="I105" s="32">
        <f>SUMIF(VR!B:B,A105,VR!I:I)</f>
        <v>0</v>
      </c>
      <c r="J105" s="4">
        <f t="shared" si="1"/>
        <v>0</v>
      </c>
      <c r="K105" s="179">
        <f>SUMIF(FALTAS!A:A,A105,FALTAS!D:D)</f>
        <v>0</v>
      </c>
    </row>
    <row r="106" spans="1:11" x14ac:dyDescent="0.25">
      <c r="A106" s="235">
        <v>122438</v>
      </c>
      <c r="B106" s="162" t="s">
        <v>1678</v>
      </c>
      <c r="C106" s="162" t="s">
        <v>5</v>
      </c>
      <c r="D106" s="162" t="s">
        <v>1578</v>
      </c>
      <c r="E106" s="231">
        <v>45117</v>
      </c>
      <c r="F106" s="162" t="s">
        <v>1229</v>
      </c>
      <c r="G106" s="231">
        <v>45117</v>
      </c>
      <c r="H106" s="198">
        <f>SUMIF(VA!B:B,A106,VA!I:I)</f>
        <v>359.46</v>
      </c>
      <c r="I106" s="32">
        <f>SUMIF(VR!B:B,A106,VR!I:I)</f>
        <v>657.5</v>
      </c>
      <c r="J106" s="4">
        <f t="shared" si="1"/>
        <v>1016.96</v>
      </c>
      <c r="K106" s="179">
        <f>SUMIF(FALTAS!A:A,A106,FALTAS!D:D)</f>
        <v>0</v>
      </c>
    </row>
    <row r="107" spans="1:11" x14ac:dyDescent="0.25">
      <c r="A107" s="235">
        <v>114529</v>
      </c>
      <c r="B107" s="162" t="s">
        <v>1049</v>
      </c>
      <c r="C107" s="162" t="s">
        <v>5</v>
      </c>
      <c r="D107" s="162" t="s">
        <v>1578</v>
      </c>
      <c r="E107" s="231">
        <v>43813</v>
      </c>
      <c r="F107" s="162" t="s">
        <v>1229</v>
      </c>
      <c r="G107" s="231">
        <v>44960</v>
      </c>
      <c r="H107" s="198">
        <f>SUMIF(VA!B:B,A107,VA!I:I)</f>
        <v>359.46</v>
      </c>
      <c r="I107" s="32">
        <f>SUMIF(VR!B:B,A107,VR!I:I)</f>
        <v>657.5</v>
      </c>
      <c r="J107" s="4">
        <f t="shared" si="1"/>
        <v>1016.96</v>
      </c>
      <c r="K107" s="179">
        <f>SUMIF(FALTAS!A:A,A107,FALTAS!D:D)</f>
        <v>0</v>
      </c>
    </row>
    <row r="108" spans="1:11" x14ac:dyDescent="0.25">
      <c r="A108" s="235">
        <v>113186</v>
      </c>
      <c r="B108" s="162" t="s">
        <v>634</v>
      </c>
      <c r="C108" s="162" t="s">
        <v>2</v>
      </c>
      <c r="D108" s="162" t="s">
        <v>8</v>
      </c>
      <c r="E108" s="231">
        <v>43617</v>
      </c>
      <c r="F108" s="162" t="s">
        <v>1229</v>
      </c>
      <c r="G108" s="231">
        <v>45056</v>
      </c>
      <c r="H108" s="198">
        <f>SUMIF(VA!B:B,A108,VA!I:I)</f>
        <v>359.46</v>
      </c>
      <c r="I108" s="32">
        <f>SUMIF(VR!B:B,A108,VR!I:I)</f>
        <v>657.5</v>
      </c>
      <c r="J108" s="4">
        <f t="shared" si="1"/>
        <v>1016.96</v>
      </c>
      <c r="K108" s="179">
        <f>SUMIF(FALTAS!A:A,A108,FALTAS!D:D)</f>
        <v>0</v>
      </c>
    </row>
    <row r="109" spans="1:11" x14ac:dyDescent="0.25">
      <c r="A109" s="235">
        <v>120187</v>
      </c>
      <c r="B109" s="162" t="s">
        <v>1490</v>
      </c>
      <c r="C109" s="162" t="s">
        <v>5</v>
      </c>
      <c r="D109" s="162" t="s">
        <v>1578</v>
      </c>
      <c r="E109" s="231">
        <v>44791</v>
      </c>
      <c r="F109" s="162" t="s">
        <v>1229</v>
      </c>
      <c r="G109" s="231">
        <v>44791</v>
      </c>
      <c r="H109" s="198">
        <f>SUMIF(VA!B:B,A109,VA!I:I)</f>
        <v>359.46</v>
      </c>
      <c r="I109" s="32">
        <f>SUMIF(VR!B:B,A109,VR!I:I)</f>
        <v>657.5</v>
      </c>
      <c r="J109" s="4">
        <f t="shared" si="1"/>
        <v>1016.96</v>
      </c>
      <c r="K109" s="179">
        <f>SUMIF(FALTAS!A:A,A109,FALTAS!D:D)</f>
        <v>0</v>
      </c>
    </row>
    <row r="110" spans="1:11" x14ac:dyDescent="0.25">
      <c r="A110" s="235">
        <v>113792</v>
      </c>
      <c r="B110" s="162" t="s">
        <v>980</v>
      </c>
      <c r="C110" s="162" t="s">
        <v>384</v>
      </c>
      <c r="D110" s="162" t="s">
        <v>1578</v>
      </c>
      <c r="E110" s="231">
        <v>43627</v>
      </c>
      <c r="F110" s="162" t="s">
        <v>1229</v>
      </c>
      <c r="G110" s="231">
        <v>44960</v>
      </c>
      <c r="H110" s="198">
        <f>SUMIF(VA!B:B,A110,VA!I:I)</f>
        <v>359.46</v>
      </c>
      <c r="I110" s="32">
        <f>SUMIF(VR!B:B,A110,VR!I:I)</f>
        <v>657.5</v>
      </c>
      <c r="J110" s="4">
        <f t="shared" si="1"/>
        <v>1016.96</v>
      </c>
      <c r="K110" s="179">
        <f>SUMIF(FALTAS!A:A,A110,FALTAS!D:D)</f>
        <v>0</v>
      </c>
    </row>
    <row r="111" spans="1:11" x14ac:dyDescent="0.25">
      <c r="A111" s="235">
        <v>114760</v>
      </c>
      <c r="B111" s="162" t="s">
        <v>1093</v>
      </c>
      <c r="C111" s="162" t="s">
        <v>15</v>
      </c>
      <c r="D111" s="162" t="s">
        <v>1578</v>
      </c>
      <c r="E111" s="231">
        <v>43874</v>
      </c>
      <c r="F111" s="162" t="s">
        <v>1229</v>
      </c>
      <c r="G111" s="231">
        <v>45023</v>
      </c>
      <c r="H111" s="198">
        <f>SUMIF(VA!B:B,A111,VA!I:I)</f>
        <v>359.46</v>
      </c>
      <c r="I111" s="32">
        <f>SUMIF(VR!B:B,A111,VR!I:I)</f>
        <v>657.5</v>
      </c>
      <c r="J111" s="4">
        <f t="shared" si="1"/>
        <v>1016.96</v>
      </c>
      <c r="K111" s="179">
        <f>SUMIF(FALTAS!A:A,A111,FALTAS!D:D)</f>
        <v>0</v>
      </c>
    </row>
    <row r="112" spans="1:11" x14ac:dyDescent="0.25">
      <c r="A112" s="235">
        <v>113213</v>
      </c>
      <c r="B112" s="162" t="s">
        <v>650</v>
      </c>
      <c r="C112" s="162" t="s">
        <v>15</v>
      </c>
      <c r="D112" s="162" t="s">
        <v>1578</v>
      </c>
      <c r="E112" s="231">
        <v>43617</v>
      </c>
      <c r="F112" s="162" t="s">
        <v>1230</v>
      </c>
      <c r="G112" s="231">
        <v>45180</v>
      </c>
      <c r="H112" s="198">
        <f>SUMIF(VA!B:B,A112,VA!I:I)</f>
        <v>359.46</v>
      </c>
      <c r="I112" s="32">
        <f>SUMIF(VR!B:B,A112,VR!I:I)</f>
        <v>657.5</v>
      </c>
      <c r="J112" s="4">
        <f t="shared" si="1"/>
        <v>1016.96</v>
      </c>
      <c r="K112" s="179">
        <f>SUMIF(FALTAS!A:A,A112,FALTAS!D:D)</f>
        <v>0</v>
      </c>
    </row>
    <row r="113" spans="1:11" x14ac:dyDescent="0.25">
      <c r="A113" s="235">
        <v>113219</v>
      </c>
      <c r="B113" s="162" t="s">
        <v>653</v>
      </c>
      <c r="C113" s="162" t="s">
        <v>15</v>
      </c>
      <c r="D113" s="162" t="s">
        <v>1578</v>
      </c>
      <c r="E113" s="231">
        <v>43617</v>
      </c>
      <c r="F113" s="162" t="s">
        <v>1229</v>
      </c>
      <c r="G113" s="231">
        <v>45119</v>
      </c>
      <c r="H113" s="198">
        <f>SUMIF(VA!B:B,A113,VA!I:I)</f>
        <v>359.46</v>
      </c>
      <c r="I113" s="32">
        <f>SUMIF(VR!B:B,A113,VR!I:I)</f>
        <v>657.5</v>
      </c>
      <c r="J113" s="4">
        <f t="shared" si="1"/>
        <v>1016.96</v>
      </c>
      <c r="K113" s="179">
        <f>SUMIF(FALTAS!A:A,A113,FALTAS!D:D)</f>
        <v>0</v>
      </c>
    </row>
    <row r="114" spans="1:11" x14ac:dyDescent="0.25">
      <c r="A114" s="235">
        <v>113223</v>
      </c>
      <c r="B114" s="162" t="s">
        <v>654</v>
      </c>
      <c r="C114" s="162" t="s">
        <v>5</v>
      </c>
      <c r="D114" s="162" t="s">
        <v>8</v>
      </c>
      <c r="E114" s="231">
        <v>43617</v>
      </c>
      <c r="F114" s="162" t="s">
        <v>1229</v>
      </c>
      <c r="G114" s="231">
        <v>44806</v>
      </c>
      <c r="H114" s="198">
        <f>SUMIF(VA!B:B,A114,VA!I:I)</f>
        <v>359.46</v>
      </c>
      <c r="I114" s="32">
        <f>SUMIF(VR!B:B,A114,VR!I:I)</f>
        <v>657.5</v>
      </c>
      <c r="J114" s="4">
        <f t="shared" si="1"/>
        <v>1016.96</v>
      </c>
      <c r="K114" s="179">
        <f>SUMIF(FALTAS!A:A,A114,FALTAS!D:D)</f>
        <v>0</v>
      </c>
    </row>
    <row r="115" spans="1:11" x14ac:dyDescent="0.25">
      <c r="A115" s="235">
        <v>114684</v>
      </c>
      <c r="B115" s="162" t="s">
        <v>1065</v>
      </c>
      <c r="C115" s="162" t="s">
        <v>2</v>
      </c>
      <c r="D115" s="162" t="s">
        <v>0</v>
      </c>
      <c r="E115" s="231">
        <v>43874</v>
      </c>
      <c r="F115" s="162" t="s">
        <v>1229</v>
      </c>
      <c r="G115" s="231">
        <v>45149</v>
      </c>
      <c r="H115" s="198">
        <f>SUMIF(VA!B:B,A115,VA!I:I)</f>
        <v>359.46</v>
      </c>
      <c r="I115" s="32">
        <f>SUMIF(VR!B:B,A115,VR!I:I)</f>
        <v>657.5</v>
      </c>
      <c r="J115" s="4">
        <f t="shared" si="1"/>
        <v>1016.96</v>
      </c>
      <c r="K115" s="179">
        <f>SUMIF(FALTAS!A:A,A115,FALTAS!D:D)</f>
        <v>0</v>
      </c>
    </row>
    <row r="116" spans="1:11" x14ac:dyDescent="0.25">
      <c r="A116" s="235">
        <v>121449</v>
      </c>
      <c r="B116" s="162" t="s">
        <v>1548</v>
      </c>
      <c r="C116" s="162" t="s">
        <v>5</v>
      </c>
      <c r="D116" s="162" t="s">
        <v>1578</v>
      </c>
      <c r="E116" s="231">
        <v>44967</v>
      </c>
      <c r="F116" s="162" t="s">
        <v>1229</v>
      </c>
      <c r="G116" s="231">
        <v>44967</v>
      </c>
      <c r="H116" s="198">
        <f>SUMIF(VA!B:B,A116,VA!I:I)</f>
        <v>347.47</v>
      </c>
      <c r="I116" s="32">
        <f>SUMIF(VR!B:B,A116,VR!I:I)</f>
        <v>631.20000000000005</v>
      </c>
      <c r="J116" s="4">
        <f t="shared" si="1"/>
        <v>978.67000000000007</v>
      </c>
      <c r="K116" s="179">
        <f>SUMIF(FALTAS!A:A,A116,FALTAS!D:D)</f>
        <v>1</v>
      </c>
    </row>
    <row r="117" spans="1:11" x14ac:dyDescent="0.25">
      <c r="A117" s="235">
        <v>113226</v>
      </c>
      <c r="B117" s="162" t="s">
        <v>657</v>
      </c>
      <c r="C117" s="162" t="s">
        <v>2</v>
      </c>
      <c r="D117" s="162" t="s">
        <v>0</v>
      </c>
      <c r="E117" s="231">
        <v>43617</v>
      </c>
      <c r="F117" s="162" t="s">
        <v>1229</v>
      </c>
      <c r="G117" s="231">
        <v>45149</v>
      </c>
      <c r="H117" s="198">
        <f>SUMIF(VA!B:B,A117,VA!I:I)</f>
        <v>359.46</v>
      </c>
      <c r="I117" s="32">
        <f>SUMIF(VR!B:B,A117,VR!I:I)</f>
        <v>657.5</v>
      </c>
      <c r="J117" s="4">
        <f t="shared" si="1"/>
        <v>1016.96</v>
      </c>
      <c r="K117" s="179">
        <f>SUMIF(FALTAS!A:A,A117,FALTAS!D:D)</f>
        <v>0</v>
      </c>
    </row>
    <row r="118" spans="1:11" x14ac:dyDescent="0.25">
      <c r="A118" s="235">
        <v>114546</v>
      </c>
      <c r="B118" s="162" t="s">
        <v>1053</v>
      </c>
      <c r="C118" s="162" t="s">
        <v>2</v>
      </c>
      <c r="D118" s="162" t="s">
        <v>8</v>
      </c>
      <c r="E118" s="231">
        <v>43817</v>
      </c>
      <c r="F118" s="162" t="s">
        <v>1229</v>
      </c>
      <c r="G118" s="231">
        <v>44685</v>
      </c>
      <c r="H118" s="198">
        <f>SUMIF(VA!B:B,A118,VA!I:I)</f>
        <v>359.46</v>
      </c>
      <c r="I118" s="32">
        <f>SUMIF(VR!B:B,A118,VR!I:I)</f>
        <v>657.5</v>
      </c>
      <c r="J118" s="4">
        <f t="shared" si="1"/>
        <v>1016.96</v>
      </c>
      <c r="K118" s="179">
        <f>SUMIF(FALTAS!A:A,A118,FALTAS!D:D)</f>
        <v>0</v>
      </c>
    </row>
    <row r="119" spans="1:11" x14ac:dyDescent="0.25">
      <c r="A119" s="235">
        <v>113232</v>
      </c>
      <c r="B119" s="162" t="s">
        <v>660</v>
      </c>
      <c r="C119" s="162" t="s">
        <v>7</v>
      </c>
      <c r="D119" s="162" t="s">
        <v>1578</v>
      </c>
      <c r="E119" s="231">
        <v>43617</v>
      </c>
      <c r="F119" s="162" t="s">
        <v>1229</v>
      </c>
      <c r="G119" s="231">
        <v>45023</v>
      </c>
      <c r="H119" s="198">
        <f>SUMIF(VA!B:B,A119,VA!I:I)</f>
        <v>359.46</v>
      </c>
      <c r="I119" s="32">
        <f>SUMIF(VR!B:B,A119,VR!I:I)</f>
        <v>657.5</v>
      </c>
      <c r="J119" s="4">
        <f t="shared" si="1"/>
        <v>1016.96</v>
      </c>
      <c r="K119" s="179">
        <f>SUMIF(FALTAS!A:A,A119,FALTAS!D:D)</f>
        <v>0</v>
      </c>
    </row>
    <row r="120" spans="1:11" x14ac:dyDescent="0.25">
      <c r="A120" s="235">
        <v>114685</v>
      </c>
      <c r="B120" s="162" t="s">
        <v>1066</v>
      </c>
      <c r="C120" s="162" t="s">
        <v>2</v>
      </c>
      <c r="D120" s="162" t="s">
        <v>10</v>
      </c>
      <c r="E120" s="231">
        <v>43874</v>
      </c>
      <c r="F120" s="162" t="s">
        <v>1229</v>
      </c>
      <c r="G120" s="231">
        <v>45086</v>
      </c>
      <c r="H120" s="198">
        <f>SUMIF(VA!B:B,A120,VA!I:I)</f>
        <v>347.47</v>
      </c>
      <c r="I120" s="32">
        <f>SUMIF(VR!B:B,A120,VR!I:I)</f>
        <v>631.20000000000005</v>
      </c>
      <c r="J120" s="4">
        <f t="shared" si="1"/>
        <v>978.67000000000007</v>
      </c>
      <c r="K120" s="179">
        <f>SUMIF(FALTAS!A:A,A120,FALTAS!D:D)</f>
        <v>1</v>
      </c>
    </row>
    <row r="121" spans="1:11" x14ac:dyDescent="0.25">
      <c r="A121" s="235">
        <v>120163</v>
      </c>
      <c r="B121" s="162" t="s">
        <v>1491</v>
      </c>
      <c r="C121" s="162" t="s">
        <v>39</v>
      </c>
      <c r="D121" s="162" t="s">
        <v>8</v>
      </c>
      <c r="E121" s="231">
        <v>44791</v>
      </c>
      <c r="F121" s="162" t="s">
        <v>1229</v>
      </c>
      <c r="G121" s="231">
        <v>44791</v>
      </c>
      <c r="H121" s="198">
        <f>SUMIF(VA!B:B,A121,VA!I:I)</f>
        <v>359.46</v>
      </c>
      <c r="I121" s="32">
        <f>SUMIF(VR!B:B,A121,VR!I:I)</f>
        <v>657.5</v>
      </c>
      <c r="J121" s="4">
        <f t="shared" si="1"/>
        <v>1016.96</v>
      </c>
      <c r="K121" s="179">
        <f>SUMIF(FALTAS!A:A,A121,FALTAS!D:D)</f>
        <v>0</v>
      </c>
    </row>
    <row r="122" spans="1:11" x14ac:dyDescent="0.25">
      <c r="A122" s="235">
        <v>113251</v>
      </c>
      <c r="B122" s="162" t="s">
        <v>669</v>
      </c>
      <c r="C122" s="162" t="s">
        <v>15</v>
      </c>
      <c r="D122" s="162" t="s">
        <v>1578</v>
      </c>
      <c r="E122" s="231">
        <v>43617</v>
      </c>
      <c r="F122" s="162" t="s">
        <v>1229</v>
      </c>
      <c r="G122" s="231">
        <v>44867</v>
      </c>
      <c r="H122" s="198">
        <f>SUMIF(VA!B:B,A122,VA!I:I)</f>
        <v>359.46</v>
      </c>
      <c r="I122" s="32">
        <f>SUMIF(VR!B:B,A122,VR!I:I)</f>
        <v>657.5</v>
      </c>
      <c r="J122" s="4">
        <f t="shared" si="1"/>
        <v>1016.96</v>
      </c>
      <c r="K122" s="179">
        <f>SUMIF(FALTAS!A:A,A122,FALTAS!D:D)</f>
        <v>0</v>
      </c>
    </row>
    <row r="123" spans="1:11" x14ac:dyDescent="0.25">
      <c r="A123" s="235">
        <v>118646</v>
      </c>
      <c r="B123" s="162" t="s">
        <v>1393</v>
      </c>
      <c r="C123" s="162" t="s">
        <v>5</v>
      </c>
      <c r="D123" s="162" t="s">
        <v>0</v>
      </c>
      <c r="E123" s="231">
        <v>44582</v>
      </c>
      <c r="F123" s="162" t="s">
        <v>1230</v>
      </c>
      <c r="G123" s="231">
        <v>45180</v>
      </c>
      <c r="H123" s="198">
        <f>SUMIF(VA!B:B,A123,VA!I:I)</f>
        <v>347.47</v>
      </c>
      <c r="I123" s="32">
        <f>SUMIF(VR!B:B,A123,VR!I:I)</f>
        <v>631.20000000000005</v>
      </c>
      <c r="J123" s="4">
        <f t="shared" si="1"/>
        <v>978.67000000000007</v>
      </c>
      <c r="K123" s="179">
        <f>SUMIF(FALTAS!A:A,A123,FALTAS!D:D)</f>
        <v>1</v>
      </c>
    </row>
    <row r="124" spans="1:11" x14ac:dyDescent="0.25">
      <c r="A124" s="235">
        <v>113253</v>
      </c>
      <c r="B124" s="162" t="s">
        <v>670</v>
      </c>
      <c r="C124" s="162" t="s">
        <v>146</v>
      </c>
      <c r="D124" s="162" t="s">
        <v>8</v>
      </c>
      <c r="E124" s="231">
        <v>43617</v>
      </c>
      <c r="F124" s="162" t="s">
        <v>1230</v>
      </c>
      <c r="G124" s="231">
        <v>45180</v>
      </c>
      <c r="H124" s="198">
        <f>SUMIF(VA!B:B,A124,VA!I:I)</f>
        <v>359.46</v>
      </c>
      <c r="I124" s="32">
        <f>SUMIF(VR!B:B,A124,VR!I:I)</f>
        <v>657.5</v>
      </c>
      <c r="J124" s="4">
        <f t="shared" si="1"/>
        <v>1016.96</v>
      </c>
      <c r="K124" s="179">
        <f>SUMIF(FALTAS!A:A,A124,FALTAS!D:D)</f>
        <v>0</v>
      </c>
    </row>
    <row r="125" spans="1:11" x14ac:dyDescent="0.25">
      <c r="A125" s="235">
        <v>114687</v>
      </c>
      <c r="B125" s="162" t="s">
        <v>1067</v>
      </c>
      <c r="C125" s="162" t="s">
        <v>2</v>
      </c>
      <c r="D125" s="162" t="s">
        <v>19</v>
      </c>
      <c r="E125" s="231">
        <v>43874</v>
      </c>
      <c r="F125" s="162" t="s">
        <v>1229</v>
      </c>
      <c r="G125" s="231">
        <v>45086</v>
      </c>
      <c r="H125" s="198">
        <f>SUMIF(VA!B:B,A125,VA!I:I)</f>
        <v>359.46</v>
      </c>
      <c r="I125" s="32">
        <f>SUMIF(VR!B:B,A125,VR!I:I)</f>
        <v>657.5</v>
      </c>
      <c r="J125" s="4">
        <f t="shared" si="1"/>
        <v>1016.96</v>
      </c>
      <c r="K125" s="179">
        <f>SUMIF(FALTAS!A:A,A125,FALTAS!D:D)</f>
        <v>0</v>
      </c>
    </row>
    <row r="126" spans="1:11" x14ac:dyDescent="0.25">
      <c r="A126" s="235">
        <v>113899</v>
      </c>
      <c r="B126" s="162" t="s">
        <v>986</v>
      </c>
      <c r="C126" s="162" t="s">
        <v>15</v>
      </c>
      <c r="D126" s="162" t="s">
        <v>1578</v>
      </c>
      <c r="E126" s="231">
        <v>43668</v>
      </c>
      <c r="F126" s="162" t="s">
        <v>1229</v>
      </c>
      <c r="G126" s="231">
        <v>44898</v>
      </c>
      <c r="H126" s="198">
        <f>SUMIF(VA!B:B,A126,VA!I:I)</f>
        <v>359.46</v>
      </c>
      <c r="I126" s="32">
        <f>SUMIF(VR!B:B,A126,VR!I:I)</f>
        <v>657.5</v>
      </c>
      <c r="J126" s="4">
        <f t="shared" si="1"/>
        <v>1016.96</v>
      </c>
      <c r="K126" s="179">
        <f>SUMIF(FALTAS!A:A,A126,FALTAS!D:D)</f>
        <v>0</v>
      </c>
    </row>
    <row r="127" spans="1:11" x14ac:dyDescent="0.25">
      <c r="A127" s="235">
        <v>122832</v>
      </c>
      <c r="B127" s="162" t="s">
        <v>1714</v>
      </c>
      <c r="C127" s="162" t="s">
        <v>5</v>
      </c>
      <c r="D127" s="162" t="s">
        <v>1578</v>
      </c>
      <c r="E127" s="231">
        <v>45180</v>
      </c>
      <c r="F127" s="162" t="s">
        <v>1229</v>
      </c>
      <c r="G127" s="231">
        <v>45180</v>
      </c>
      <c r="H127" s="198">
        <f>SUMIF(VA!B:B,A127,VA!I:I)</f>
        <v>359.46</v>
      </c>
      <c r="I127" s="32">
        <f>SUMIF(VR!B:B,A127,VR!I:I)</f>
        <v>657.5</v>
      </c>
      <c r="J127" s="4">
        <f t="shared" si="1"/>
        <v>1016.96</v>
      </c>
      <c r="K127" s="179">
        <f>SUMIF(FALTAS!A:A,A127,FALTAS!D:D)</f>
        <v>0</v>
      </c>
    </row>
    <row r="128" spans="1:11" x14ac:dyDescent="0.25">
      <c r="A128" s="235">
        <v>113258</v>
      </c>
      <c r="B128" s="162" t="s">
        <v>672</v>
      </c>
      <c r="C128" s="162" t="s">
        <v>5</v>
      </c>
      <c r="D128" s="162" t="s">
        <v>8</v>
      </c>
      <c r="E128" s="231">
        <v>43617</v>
      </c>
      <c r="F128" s="162" t="s">
        <v>1229</v>
      </c>
      <c r="G128" s="231">
        <v>44835</v>
      </c>
      <c r="H128" s="198">
        <f>SUMIF(VA!B:B,A128,VA!I:I)</f>
        <v>359.46</v>
      </c>
      <c r="I128" s="32">
        <f>SUMIF(VR!B:B,A128,VR!I:I)</f>
        <v>657.5</v>
      </c>
      <c r="J128" s="4">
        <f t="shared" si="1"/>
        <v>1016.96</v>
      </c>
      <c r="K128" s="179">
        <f>SUMIF(FALTAS!A:A,A128,FALTAS!D:D)</f>
        <v>0</v>
      </c>
    </row>
    <row r="129" spans="1:11" x14ac:dyDescent="0.25">
      <c r="A129" s="235">
        <v>113302</v>
      </c>
      <c r="B129" s="162" t="s">
        <v>694</v>
      </c>
      <c r="C129" s="162" t="s">
        <v>2</v>
      </c>
      <c r="D129" s="162" t="s">
        <v>8</v>
      </c>
      <c r="E129" s="231">
        <v>43617</v>
      </c>
      <c r="F129" s="162" t="s">
        <v>1229</v>
      </c>
      <c r="G129" s="231">
        <v>44960</v>
      </c>
      <c r="H129" s="198">
        <f>SUMIF(VA!B:B,A129,VA!I:I)</f>
        <v>359.46</v>
      </c>
      <c r="I129" s="32">
        <f>SUMIF(VR!B:B,A129,VR!I:I)</f>
        <v>657.5</v>
      </c>
      <c r="J129" s="4">
        <f t="shared" si="1"/>
        <v>1016.96</v>
      </c>
      <c r="K129" s="179">
        <f>SUMIF(FALTAS!A:A,A129,FALTAS!D:D)</f>
        <v>0</v>
      </c>
    </row>
    <row r="130" spans="1:11" x14ac:dyDescent="0.25">
      <c r="A130" s="235">
        <v>113415</v>
      </c>
      <c r="B130" s="162" t="s">
        <v>764</v>
      </c>
      <c r="C130" s="162" t="s">
        <v>2</v>
      </c>
      <c r="D130" s="162" t="s">
        <v>0</v>
      </c>
      <c r="E130" s="231">
        <v>43617</v>
      </c>
      <c r="F130" s="162" t="s">
        <v>1229</v>
      </c>
      <c r="G130" s="231">
        <v>45149</v>
      </c>
      <c r="H130" s="198">
        <f>SUMIF(VA!B:B,A130,VA!I:I)</f>
        <v>359.46</v>
      </c>
      <c r="I130" s="32">
        <f>SUMIF(VR!B:B,A130,VR!I:I)</f>
        <v>657.5</v>
      </c>
      <c r="J130" s="4">
        <f t="shared" ref="J130:J193" si="2">H130+I130</f>
        <v>1016.96</v>
      </c>
      <c r="K130" s="179">
        <f>SUMIF(FALTAS!A:A,A130,FALTAS!D:D)</f>
        <v>0</v>
      </c>
    </row>
    <row r="131" spans="1:11" x14ac:dyDescent="0.25">
      <c r="A131" s="235">
        <v>113310</v>
      </c>
      <c r="B131" s="162" t="s">
        <v>700</v>
      </c>
      <c r="C131" s="162" t="s">
        <v>15</v>
      </c>
      <c r="D131" s="162" t="s">
        <v>1578</v>
      </c>
      <c r="E131" s="231">
        <v>43617</v>
      </c>
      <c r="F131" s="162" t="s">
        <v>1229</v>
      </c>
      <c r="G131" s="231">
        <v>45023</v>
      </c>
      <c r="H131" s="198">
        <f>SUMIF(VA!B:B,A131,VA!I:I)</f>
        <v>359.46</v>
      </c>
      <c r="I131" s="32">
        <f>SUMIF(VR!B:B,A131,VR!I:I)</f>
        <v>657.5</v>
      </c>
      <c r="J131" s="4">
        <f t="shared" si="2"/>
        <v>1016.96</v>
      </c>
      <c r="K131" s="179">
        <f>SUMIF(FALTAS!A:A,A131,FALTAS!D:D)</f>
        <v>0</v>
      </c>
    </row>
    <row r="132" spans="1:11" x14ac:dyDescent="0.25">
      <c r="A132" s="235">
        <v>113419</v>
      </c>
      <c r="B132" s="162" t="s">
        <v>768</v>
      </c>
      <c r="C132" s="162" t="s">
        <v>769</v>
      </c>
      <c r="D132" s="162" t="s">
        <v>1578</v>
      </c>
      <c r="E132" s="231">
        <v>43617</v>
      </c>
      <c r="F132" s="162" t="s">
        <v>1229</v>
      </c>
      <c r="G132" s="231">
        <v>45056</v>
      </c>
      <c r="H132" s="198">
        <f>SUMIF(VA!B:B,A132,VA!I:I)</f>
        <v>359.46</v>
      </c>
      <c r="I132" s="32">
        <f>SUMIF(VR!B:B,A132,VR!I:I)</f>
        <v>657.5</v>
      </c>
      <c r="J132" s="4">
        <f t="shared" si="2"/>
        <v>1016.96</v>
      </c>
      <c r="K132" s="179">
        <f>SUMIF(FALTAS!A:A,A132,FALTAS!D:D)</f>
        <v>0</v>
      </c>
    </row>
    <row r="133" spans="1:11" x14ac:dyDescent="0.25">
      <c r="A133" s="235">
        <v>113334</v>
      </c>
      <c r="B133" s="162" t="s">
        <v>712</v>
      </c>
      <c r="C133" s="162" t="s">
        <v>15</v>
      </c>
      <c r="D133" s="162" t="s">
        <v>1578</v>
      </c>
      <c r="E133" s="231">
        <v>43617</v>
      </c>
      <c r="F133" s="162" t="s">
        <v>1229</v>
      </c>
      <c r="G133" s="231">
        <v>45119</v>
      </c>
      <c r="H133" s="198">
        <f>SUMIF(VA!B:B,A133,VA!I:I)</f>
        <v>359.46</v>
      </c>
      <c r="I133" s="32">
        <f>SUMIF(VR!B:B,A133,VR!I:I)</f>
        <v>657.5</v>
      </c>
      <c r="J133" s="4">
        <f t="shared" si="2"/>
        <v>1016.96</v>
      </c>
      <c r="K133" s="179">
        <f>SUMIF(FALTAS!A:A,A133,FALTAS!D:D)</f>
        <v>0</v>
      </c>
    </row>
    <row r="134" spans="1:11" x14ac:dyDescent="0.25">
      <c r="A134" s="235">
        <v>113355</v>
      </c>
      <c r="B134" s="162" t="s">
        <v>723</v>
      </c>
      <c r="C134" s="162" t="s">
        <v>5</v>
      </c>
      <c r="D134" s="162" t="s">
        <v>0</v>
      </c>
      <c r="E134" s="231">
        <v>43617</v>
      </c>
      <c r="F134" s="162" t="s">
        <v>1229</v>
      </c>
      <c r="G134" s="231">
        <v>44835</v>
      </c>
      <c r="H134" s="198">
        <f>SUMIF(VA!B:B,A134,VA!I:I)</f>
        <v>359.46</v>
      </c>
      <c r="I134" s="32">
        <f>SUMIF(VR!B:B,A134,VR!I:I)</f>
        <v>657.5</v>
      </c>
      <c r="J134" s="4">
        <f t="shared" si="2"/>
        <v>1016.96</v>
      </c>
      <c r="K134" s="179">
        <f>SUMIF(FALTAS!A:A,A134,FALTAS!D:D)</f>
        <v>0</v>
      </c>
    </row>
    <row r="135" spans="1:11" x14ac:dyDescent="0.25">
      <c r="A135" s="235">
        <v>116969</v>
      </c>
      <c r="B135" s="162" t="s">
        <v>1233</v>
      </c>
      <c r="C135" s="162" t="s">
        <v>5</v>
      </c>
      <c r="D135" s="162" t="s">
        <v>8</v>
      </c>
      <c r="E135" s="231">
        <v>44419</v>
      </c>
      <c r="F135" s="162" t="s">
        <v>1229</v>
      </c>
      <c r="G135" s="231">
        <v>45086</v>
      </c>
      <c r="H135" s="198">
        <f>SUMIF(VA!B:B,A135,VA!I:I)</f>
        <v>359.46</v>
      </c>
      <c r="I135" s="32">
        <f>SUMIF(VR!B:B,A135,VR!I:I)</f>
        <v>657.5</v>
      </c>
      <c r="J135" s="4">
        <f t="shared" si="2"/>
        <v>1016.96</v>
      </c>
      <c r="K135" s="179">
        <f>SUMIF(FALTAS!A:A,A135,FALTAS!D:D)</f>
        <v>0</v>
      </c>
    </row>
    <row r="136" spans="1:11" x14ac:dyDescent="0.25">
      <c r="A136" s="235">
        <v>113431</v>
      </c>
      <c r="B136" s="162" t="s">
        <v>774</v>
      </c>
      <c r="C136" s="162" t="s">
        <v>2</v>
      </c>
      <c r="D136" s="162" t="s">
        <v>0</v>
      </c>
      <c r="E136" s="231">
        <v>43617</v>
      </c>
      <c r="F136" s="162" t="s">
        <v>1229</v>
      </c>
      <c r="G136" s="231">
        <v>45177</v>
      </c>
      <c r="H136" s="198">
        <f>SUMIF(VA!B:B,A136,VA!I:I)</f>
        <v>359.46</v>
      </c>
      <c r="I136" s="32">
        <f>SUMIF(VR!B:B,A136,VR!I:I)</f>
        <v>657.5</v>
      </c>
      <c r="J136" s="4">
        <f t="shared" si="2"/>
        <v>1016.96</v>
      </c>
      <c r="K136" s="179">
        <f>SUMIF(FALTAS!A:A,A136,FALTAS!D:D)</f>
        <v>0</v>
      </c>
    </row>
    <row r="137" spans="1:11" x14ac:dyDescent="0.25">
      <c r="A137" s="235">
        <v>113369</v>
      </c>
      <c r="B137" s="162" t="s">
        <v>734</v>
      </c>
      <c r="C137" s="162" t="s">
        <v>2</v>
      </c>
      <c r="D137" s="162" t="s">
        <v>10</v>
      </c>
      <c r="E137" s="231">
        <v>43617</v>
      </c>
      <c r="F137" s="162" t="s">
        <v>1229</v>
      </c>
      <c r="G137" s="231">
        <v>44960</v>
      </c>
      <c r="H137" s="198">
        <f>SUMIF(VA!B:B,A137,VA!I:I)</f>
        <v>359.46</v>
      </c>
      <c r="I137" s="32">
        <f>SUMIF(VR!B:B,A137,VR!I:I)</f>
        <v>657.5</v>
      </c>
      <c r="J137" s="4">
        <f t="shared" si="2"/>
        <v>1016.96</v>
      </c>
      <c r="K137" s="179">
        <f>SUMIF(FALTAS!A:A,A137,FALTAS!D:D)</f>
        <v>0</v>
      </c>
    </row>
    <row r="138" spans="1:11" x14ac:dyDescent="0.25">
      <c r="A138" s="235">
        <v>121673</v>
      </c>
      <c r="B138" s="162" t="s">
        <v>1583</v>
      </c>
      <c r="C138" s="162" t="s">
        <v>5</v>
      </c>
      <c r="D138" s="162" t="s">
        <v>0</v>
      </c>
      <c r="E138" s="231">
        <v>44994</v>
      </c>
      <c r="F138" s="162" t="s">
        <v>1229</v>
      </c>
      <c r="G138" s="231">
        <v>45184</v>
      </c>
      <c r="H138" s="198">
        <f>SUMIF(VA!B:B,A138,VA!I:I)</f>
        <v>323.51</v>
      </c>
      <c r="I138" s="32">
        <f>SUMIF(VR!B:B,A138,VR!I:I)</f>
        <v>578.6</v>
      </c>
      <c r="J138" s="4">
        <f t="shared" si="2"/>
        <v>902.11</v>
      </c>
      <c r="K138" s="179">
        <f>SUMIF(FALTAS!A:A,A138,FALTAS!D:D)</f>
        <v>3</v>
      </c>
    </row>
    <row r="139" spans="1:11" x14ac:dyDescent="0.25">
      <c r="A139" s="235">
        <v>113438</v>
      </c>
      <c r="B139" s="162" t="s">
        <v>780</v>
      </c>
      <c r="C139" s="162" t="s">
        <v>5</v>
      </c>
      <c r="D139" s="162" t="s">
        <v>19</v>
      </c>
      <c r="E139" s="231">
        <v>43617</v>
      </c>
      <c r="F139" s="162" t="s">
        <v>1229</v>
      </c>
      <c r="G139" s="231">
        <v>45023</v>
      </c>
      <c r="H139" s="198">
        <f>SUMIF(VA!B:B,A139,VA!I:I)</f>
        <v>359.46</v>
      </c>
      <c r="I139" s="32">
        <f>SUMIF(VR!B:B,A139,VR!I:I)</f>
        <v>657.5</v>
      </c>
      <c r="J139" s="4">
        <f t="shared" si="2"/>
        <v>1016.96</v>
      </c>
      <c r="K139" s="179">
        <f>SUMIF(FALTAS!A:A,A139,FALTAS!D:D)</f>
        <v>0</v>
      </c>
    </row>
    <row r="140" spans="1:11" x14ac:dyDescent="0.25">
      <c r="A140" s="235">
        <v>113379</v>
      </c>
      <c r="B140" s="162" t="s">
        <v>740</v>
      </c>
      <c r="C140" s="162" t="s">
        <v>39</v>
      </c>
      <c r="D140" s="162" t="s">
        <v>8</v>
      </c>
      <c r="E140" s="231">
        <v>43617</v>
      </c>
      <c r="F140" s="162" t="s">
        <v>1229</v>
      </c>
      <c r="G140" s="231">
        <v>45119</v>
      </c>
      <c r="H140" s="198">
        <f>SUMIF(VA!B:B,A140,VA!I:I)</f>
        <v>359.46</v>
      </c>
      <c r="I140" s="32">
        <f>SUMIF(VR!B:B,A140,VR!I:I)</f>
        <v>657.5</v>
      </c>
      <c r="J140" s="4">
        <f t="shared" si="2"/>
        <v>1016.96</v>
      </c>
      <c r="K140" s="179">
        <f>SUMIF(FALTAS!A:A,A140,FALTAS!D:D)</f>
        <v>0</v>
      </c>
    </row>
    <row r="141" spans="1:11" x14ac:dyDescent="0.25">
      <c r="A141" s="235">
        <v>113445</v>
      </c>
      <c r="B141" s="162" t="s">
        <v>783</v>
      </c>
      <c r="C141" s="162" t="s">
        <v>5</v>
      </c>
      <c r="D141" s="162" t="s">
        <v>8</v>
      </c>
      <c r="E141" s="231">
        <v>43617</v>
      </c>
      <c r="F141" s="162" t="s">
        <v>1229</v>
      </c>
      <c r="G141" s="231">
        <v>44898</v>
      </c>
      <c r="H141" s="198">
        <f>SUMIF(VA!B:B,A141,VA!I:I)</f>
        <v>359.46</v>
      </c>
      <c r="I141" s="32">
        <f>SUMIF(VR!B:B,A141,VR!I:I)</f>
        <v>657.5</v>
      </c>
      <c r="J141" s="4">
        <f t="shared" si="2"/>
        <v>1016.96</v>
      </c>
      <c r="K141" s="179">
        <f>SUMIF(FALTAS!A:A,A141,FALTAS!D:D)</f>
        <v>0</v>
      </c>
    </row>
    <row r="142" spans="1:11" x14ac:dyDescent="0.25">
      <c r="A142" s="235">
        <v>113388</v>
      </c>
      <c r="B142" s="162" t="s">
        <v>745</v>
      </c>
      <c r="C142" s="162" t="s">
        <v>2</v>
      </c>
      <c r="D142" s="162" t="s">
        <v>0</v>
      </c>
      <c r="E142" s="231">
        <v>43617</v>
      </c>
      <c r="F142" s="162" t="s">
        <v>1229</v>
      </c>
      <c r="G142" s="231">
        <v>45149</v>
      </c>
      <c r="H142" s="198">
        <f>SUMIF(VA!B:B,A142,VA!I:I)</f>
        <v>359.46</v>
      </c>
      <c r="I142" s="32">
        <f>SUMIF(VR!B:B,A142,VR!I:I)</f>
        <v>657.5</v>
      </c>
      <c r="J142" s="4">
        <f t="shared" si="2"/>
        <v>1016.96</v>
      </c>
      <c r="K142" s="179">
        <f>SUMIF(FALTAS!A:A,A142,FALTAS!D:D)</f>
        <v>0</v>
      </c>
    </row>
    <row r="143" spans="1:11" x14ac:dyDescent="0.25">
      <c r="A143" s="235">
        <v>113396</v>
      </c>
      <c r="B143" s="162" t="s">
        <v>753</v>
      </c>
      <c r="C143" s="162" t="s">
        <v>5</v>
      </c>
      <c r="D143" s="162" t="s">
        <v>19</v>
      </c>
      <c r="E143" s="231">
        <v>43617</v>
      </c>
      <c r="F143" s="162" t="s">
        <v>1229</v>
      </c>
      <c r="G143" s="231">
        <v>45023</v>
      </c>
      <c r="H143" s="198">
        <f>SUMIF(VA!B:B,A143,VA!I:I)</f>
        <v>359.46</v>
      </c>
      <c r="I143" s="32">
        <f>SUMIF(VR!B:B,A143,VR!I:I)</f>
        <v>657.5</v>
      </c>
      <c r="J143" s="4">
        <f t="shared" si="2"/>
        <v>1016.96</v>
      </c>
      <c r="K143" s="179">
        <f>SUMIF(FALTAS!A:A,A143,FALTAS!D:D)</f>
        <v>0</v>
      </c>
    </row>
    <row r="144" spans="1:11" x14ac:dyDescent="0.25">
      <c r="A144" s="235">
        <v>113400</v>
      </c>
      <c r="B144" s="162" t="s">
        <v>755</v>
      </c>
      <c r="C144" s="162" t="s">
        <v>22</v>
      </c>
      <c r="D144" s="162" t="s">
        <v>1578</v>
      </c>
      <c r="E144" s="231">
        <v>43617</v>
      </c>
      <c r="F144" s="162" t="s">
        <v>1229</v>
      </c>
      <c r="G144" s="231">
        <v>45177</v>
      </c>
      <c r="H144" s="198">
        <f>SUMIF(VA!B:B,A144,VA!I:I)</f>
        <v>359.46</v>
      </c>
      <c r="I144" s="32">
        <f>SUMIF(VR!B:B,A144,VR!I:I)</f>
        <v>657.5</v>
      </c>
      <c r="J144" s="4">
        <f t="shared" si="2"/>
        <v>1016.96</v>
      </c>
      <c r="K144" s="179">
        <f>SUMIF(FALTAS!A:A,A144,FALTAS!D:D)</f>
        <v>0</v>
      </c>
    </row>
    <row r="145" spans="1:11" x14ac:dyDescent="0.25">
      <c r="A145" s="235">
        <v>113482</v>
      </c>
      <c r="B145" s="162" t="s">
        <v>803</v>
      </c>
      <c r="C145" s="162" t="s">
        <v>580</v>
      </c>
      <c r="D145" s="162" t="s">
        <v>1578</v>
      </c>
      <c r="E145" s="231">
        <v>43617</v>
      </c>
      <c r="F145" s="162" t="s">
        <v>1229</v>
      </c>
      <c r="G145" s="231">
        <v>45119</v>
      </c>
      <c r="H145" s="198">
        <f>SUMIF(VA!B:B,A145,VA!I:I)</f>
        <v>359.46</v>
      </c>
      <c r="I145" s="32">
        <f>SUMIF(VR!B:B,A145,VR!I:I)</f>
        <v>657.5</v>
      </c>
      <c r="J145" s="4">
        <f t="shared" si="2"/>
        <v>1016.96</v>
      </c>
      <c r="K145" s="179">
        <f>SUMIF(FALTAS!A:A,A145,FALTAS!D:D)</f>
        <v>0</v>
      </c>
    </row>
    <row r="146" spans="1:11" x14ac:dyDescent="0.25">
      <c r="A146" s="235">
        <v>116970</v>
      </c>
      <c r="B146" s="162" t="s">
        <v>1234</v>
      </c>
      <c r="C146" s="162" t="s">
        <v>5</v>
      </c>
      <c r="D146" s="162" t="s">
        <v>32</v>
      </c>
      <c r="E146" s="231">
        <v>44419</v>
      </c>
      <c r="F146" s="162" t="s">
        <v>1229</v>
      </c>
      <c r="G146" s="231">
        <v>45086</v>
      </c>
      <c r="H146" s="198">
        <f>SUMIF(VA!B:B,A146,VA!I:I)</f>
        <v>359.46</v>
      </c>
      <c r="I146" s="32">
        <f>SUMIF(VR!B:B,A146,VR!I:I)</f>
        <v>657.5</v>
      </c>
      <c r="J146" s="4">
        <f t="shared" si="2"/>
        <v>1016.96</v>
      </c>
      <c r="K146" s="179">
        <f>SUMIF(FALTAS!A:A,A146,FALTAS!D:D)</f>
        <v>0</v>
      </c>
    </row>
    <row r="147" spans="1:11" x14ac:dyDescent="0.25">
      <c r="A147" s="235">
        <v>113490</v>
      </c>
      <c r="B147" s="162" t="s">
        <v>807</v>
      </c>
      <c r="C147" s="162" t="s">
        <v>384</v>
      </c>
      <c r="D147" s="162" t="s">
        <v>1578</v>
      </c>
      <c r="E147" s="231">
        <v>43617</v>
      </c>
      <c r="F147" s="162" t="s">
        <v>1229</v>
      </c>
      <c r="G147" s="231">
        <v>44993</v>
      </c>
      <c r="H147" s="198">
        <f>SUMIF(VA!B:B,A147,VA!I:I)</f>
        <v>359.46</v>
      </c>
      <c r="I147" s="32">
        <f>SUMIF(VR!B:B,A147,VR!I:I)</f>
        <v>657.5</v>
      </c>
      <c r="J147" s="4">
        <f t="shared" si="2"/>
        <v>1016.96</v>
      </c>
      <c r="K147" s="179">
        <f>SUMIF(FALTAS!A:A,A147,FALTAS!D:D)</f>
        <v>0</v>
      </c>
    </row>
    <row r="148" spans="1:11" x14ac:dyDescent="0.25">
      <c r="A148" s="235">
        <v>113711</v>
      </c>
      <c r="B148" s="162" t="s">
        <v>926</v>
      </c>
      <c r="C148" s="162" t="s">
        <v>927</v>
      </c>
      <c r="D148" s="162" t="s">
        <v>1580</v>
      </c>
      <c r="E148" s="231">
        <v>43619</v>
      </c>
      <c r="F148" s="162" t="s">
        <v>1229</v>
      </c>
      <c r="G148" s="231">
        <v>44888</v>
      </c>
      <c r="H148" s="198">
        <f>SUMIF(VA!B:B,A148,VA!I:I)</f>
        <v>359.46</v>
      </c>
      <c r="I148" s="32">
        <f>SUMIF(VR!B:B,A148,VR!I:I)</f>
        <v>657.5</v>
      </c>
      <c r="J148" s="4">
        <f t="shared" si="2"/>
        <v>1016.96</v>
      </c>
      <c r="K148" s="179">
        <f>SUMIF(FALTAS!A:A,A148,FALTAS!D:D)</f>
        <v>0</v>
      </c>
    </row>
    <row r="149" spans="1:11" x14ac:dyDescent="0.25">
      <c r="A149" s="235">
        <v>115225</v>
      </c>
      <c r="B149" s="162" t="s">
        <v>1145</v>
      </c>
      <c r="C149" s="162" t="s">
        <v>5</v>
      </c>
      <c r="D149" s="162" t="s">
        <v>19</v>
      </c>
      <c r="E149" s="231">
        <v>44018</v>
      </c>
      <c r="F149" s="162" t="s">
        <v>1229</v>
      </c>
      <c r="G149" s="231">
        <v>45086</v>
      </c>
      <c r="H149" s="198">
        <f>SUMIF(VA!B:B,A149,VA!I:I)</f>
        <v>359.46</v>
      </c>
      <c r="I149" s="32">
        <f>SUMIF(VR!B:B,A149,VR!I:I)</f>
        <v>657.5</v>
      </c>
      <c r="J149" s="4">
        <f t="shared" si="2"/>
        <v>1016.96</v>
      </c>
      <c r="K149" s="179">
        <f>SUMIF(FALTAS!A:A,A149,FALTAS!D:D)</f>
        <v>0</v>
      </c>
    </row>
    <row r="150" spans="1:11" x14ac:dyDescent="0.25">
      <c r="A150" s="235">
        <v>113922</v>
      </c>
      <c r="B150" s="162" t="s">
        <v>988</v>
      </c>
      <c r="C150" s="162" t="s">
        <v>989</v>
      </c>
      <c r="D150" s="162" t="s">
        <v>1578</v>
      </c>
      <c r="E150" s="231">
        <v>43682</v>
      </c>
      <c r="F150" s="162" t="s">
        <v>1229</v>
      </c>
      <c r="G150" s="231">
        <v>45112</v>
      </c>
      <c r="H150" s="198">
        <f>SUMIF(VA!B:B,A150,VA!I:I)</f>
        <v>359.46</v>
      </c>
      <c r="I150" s="32">
        <f>SUMIF(VR!B:B,A150,VR!I:I)</f>
        <v>657.5</v>
      </c>
      <c r="J150" s="4">
        <f t="shared" si="2"/>
        <v>1016.96</v>
      </c>
      <c r="K150" s="179">
        <f>SUMIF(FALTAS!A:A,A150,FALTAS!D:D)</f>
        <v>0</v>
      </c>
    </row>
    <row r="151" spans="1:11" x14ac:dyDescent="0.25">
      <c r="A151" s="235">
        <v>118633</v>
      </c>
      <c r="B151" s="162" t="s">
        <v>1394</v>
      </c>
      <c r="C151" s="162" t="s">
        <v>5</v>
      </c>
      <c r="D151" s="162" t="s">
        <v>0</v>
      </c>
      <c r="E151" s="231">
        <v>44582</v>
      </c>
      <c r="F151" s="162" t="s">
        <v>1229</v>
      </c>
      <c r="G151" s="231">
        <v>44582</v>
      </c>
      <c r="H151" s="198">
        <f>SUMIF(VA!B:B,A151,VA!I:I)</f>
        <v>359.46</v>
      </c>
      <c r="I151" s="32">
        <f>SUMIF(VR!B:B,A151,VR!I:I)</f>
        <v>657.5</v>
      </c>
      <c r="J151" s="4">
        <f t="shared" si="2"/>
        <v>1016.96</v>
      </c>
      <c r="K151" s="179">
        <f>SUMIF(FALTAS!A:A,A151,FALTAS!D:D)</f>
        <v>0</v>
      </c>
    </row>
    <row r="152" spans="1:11" x14ac:dyDescent="0.25">
      <c r="A152" s="235">
        <v>113508</v>
      </c>
      <c r="B152" s="162" t="s">
        <v>815</v>
      </c>
      <c r="C152" s="162" t="s">
        <v>15</v>
      </c>
      <c r="D152" s="162" t="s">
        <v>1578</v>
      </c>
      <c r="E152" s="231">
        <v>43617</v>
      </c>
      <c r="F152" s="162" t="s">
        <v>1229</v>
      </c>
      <c r="G152" s="231">
        <v>45149</v>
      </c>
      <c r="H152" s="198">
        <f>SUMIF(VA!B:B,A152,VA!I:I)</f>
        <v>359.46</v>
      </c>
      <c r="I152" s="32">
        <f>SUMIF(VR!B:B,A152,VR!I:I)</f>
        <v>657.5</v>
      </c>
      <c r="J152" s="4">
        <f t="shared" si="2"/>
        <v>1016.96</v>
      </c>
      <c r="K152" s="179">
        <f>SUMIF(FALTAS!A:A,A152,FALTAS!D:D)</f>
        <v>0</v>
      </c>
    </row>
    <row r="153" spans="1:11" x14ac:dyDescent="0.25">
      <c r="A153" s="235">
        <v>113699</v>
      </c>
      <c r="B153" s="162" t="s">
        <v>923</v>
      </c>
      <c r="C153" s="162" t="s">
        <v>2</v>
      </c>
      <c r="D153" s="162" t="s">
        <v>8</v>
      </c>
      <c r="E153" s="231">
        <v>43617</v>
      </c>
      <c r="F153" s="162" t="s">
        <v>1229</v>
      </c>
      <c r="G153" s="231">
        <v>44960</v>
      </c>
      <c r="H153" s="198">
        <f>SUMIF(VA!B:B,A153,VA!I:I)</f>
        <v>359.46</v>
      </c>
      <c r="I153" s="32">
        <f>SUMIF(VR!B:B,A153,VR!I:I)</f>
        <v>657.5</v>
      </c>
      <c r="J153" s="4">
        <f t="shared" si="2"/>
        <v>1016.96</v>
      </c>
      <c r="K153" s="179">
        <f>SUMIF(FALTAS!A:A,A153,FALTAS!D:D)</f>
        <v>0</v>
      </c>
    </row>
    <row r="154" spans="1:11" x14ac:dyDescent="0.25">
      <c r="A154" s="235">
        <v>113515</v>
      </c>
      <c r="B154" s="162" t="s">
        <v>818</v>
      </c>
      <c r="C154" s="162" t="s">
        <v>2</v>
      </c>
      <c r="D154" s="162" t="s">
        <v>10</v>
      </c>
      <c r="E154" s="231">
        <v>43617</v>
      </c>
      <c r="F154" s="162" t="s">
        <v>1229</v>
      </c>
      <c r="G154" s="231">
        <v>45177</v>
      </c>
      <c r="H154" s="198">
        <f>SUMIF(VA!B:B,A154,VA!I:I)</f>
        <v>359.46</v>
      </c>
      <c r="I154" s="32">
        <f>SUMIF(VR!B:B,A154,VR!I:I)</f>
        <v>657.5</v>
      </c>
      <c r="J154" s="4">
        <f t="shared" si="2"/>
        <v>1016.96</v>
      </c>
      <c r="K154" s="179">
        <f>SUMIF(FALTAS!A:A,A154,FALTAS!D:D)</f>
        <v>0</v>
      </c>
    </row>
    <row r="155" spans="1:11" x14ac:dyDescent="0.25">
      <c r="A155" s="235">
        <v>113679</v>
      </c>
      <c r="B155" s="162" t="s">
        <v>355</v>
      </c>
      <c r="C155" s="162" t="s">
        <v>2</v>
      </c>
      <c r="D155" s="162" t="s">
        <v>0</v>
      </c>
      <c r="E155" s="231">
        <v>43617</v>
      </c>
      <c r="F155" s="162" t="s">
        <v>1230</v>
      </c>
      <c r="G155" s="231">
        <v>45180</v>
      </c>
      <c r="H155" s="198">
        <f>SUMIF(VA!B:B,A155,VA!I:I)</f>
        <v>359.46</v>
      </c>
      <c r="I155" s="32">
        <f>SUMIF(VR!B:B,A155,VR!I:I)</f>
        <v>657.5</v>
      </c>
      <c r="J155" s="4">
        <f t="shared" si="2"/>
        <v>1016.96</v>
      </c>
      <c r="K155" s="179">
        <f>SUMIF(FALTAS!A:A,A155,FALTAS!D:D)</f>
        <v>0</v>
      </c>
    </row>
    <row r="156" spans="1:11" x14ac:dyDescent="0.25">
      <c r="A156" s="235">
        <v>113529</v>
      </c>
      <c r="B156" s="162" t="s">
        <v>825</v>
      </c>
      <c r="C156" s="162" t="s">
        <v>15</v>
      </c>
      <c r="D156" s="162" t="s">
        <v>1578</v>
      </c>
      <c r="E156" s="231">
        <v>43617</v>
      </c>
      <c r="F156" s="162" t="s">
        <v>1230</v>
      </c>
      <c r="G156" s="231">
        <v>45180</v>
      </c>
      <c r="H156" s="198">
        <f>SUMIF(VA!B:B,A156,VA!I:I)</f>
        <v>359.46</v>
      </c>
      <c r="I156" s="32">
        <f>SUMIF(VR!B:B,A156,VR!I:I)</f>
        <v>657.5</v>
      </c>
      <c r="J156" s="4">
        <f t="shared" si="2"/>
        <v>1016.96</v>
      </c>
      <c r="K156" s="179">
        <f>SUMIF(FALTAS!A:A,A156,FALTAS!D:D)</f>
        <v>0</v>
      </c>
    </row>
    <row r="157" spans="1:11" x14ac:dyDescent="0.25">
      <c r="A157" s="235">
        <v>113533</v>
      </c>
      <c r="B157" s="162" t="s">
        <v>829</v>
      </c>
      <c r="C157" s="162" t="s">
        <v>2</v>
      </c>
      <c r="D157" s="162" t="s">
        <v>10</v>
      </c>
      <c r="E157" s="231">
        <v>43617</v>
      </c>
      <c r="F157" s="162" t="s">
        <v>1229</v>
      </c>
      <c r="G157" s="231">
        <v>45000</v>
      </c>
      <c r="H157" s="198">
        <f>SUMIF(VA!B:B,A157,VA!I:I)</f>
        <v>359.46</v>
      </c>
      <c r="I157" s="32">
        <f>SUMIF(VR!B:B,A157,VR!I:I)</f>
        <v>657.5</v>
      </c>
      <c r="J157" s="4">
        <f t="shared" si="2"/>
        <v>1016.96</v>
      </c>
      <c r="K157" s="179">
        <f>SUMIF(FALTAS!A:A,A157,FALTAS!D:D)</f>
        <v>0</v>
      </c>
    </row>
    <row r="158" spans="1:11" x14ac:dyDescent="0.25">
      <c r="A158" s="235">
        <v>113543</v>
      </c>
      <c r="B158" s="162" t="s">
        <v>835</v>
      </c>
      <c r="C158" s="162" t="s">
        <v>15</v>
      </c>
      <c r="D158" s="162" t="s">
        <v>1578</v>
      </c>
      <c r="E158" s="231">
        <v>43617</v>
      </c>
      <c r="F158" s="162" t="s">
        <v>1229</v>
      </c>
      <c r="G158" s="231">
        <v>44990</v>
      </c>
      <c r="H158" s="198">
        <f>SUMIF(VA!B:B,A158,VA!I:I)</f>
        <v>359.46</v>
      </c>
      <c r="I158" s="32">
        <f>SUMIF(VR!B:B,A158,VR!I:I)</f>
        <v>657.5</v>
      </c>
      <c r="J158" s="4">
        <f t="shared" si="2"/>
        <v>1016.96</v>
      </c>
      <c r="K158" s="179">
        <f>SUMIF(FALTAS!A:A,A158,FALTAS!D:D)</f>
        <v>0</v>
      </c>
    </row>
    <row r="159" spans="1:11" x14ac:dyDescent="0.25">
      <c r="A159" s="235">
        <v>113549</v>
      </c>
      <c r="B159" s="162" t="s">
        <v>840</v>
      </c>
      <c r="C159" s="162" t="s">
        <v>5</v>
      </c>
      <c r="D159" s="162" t="s">
        <v>0</v>
      </c>
      <c r="E159" s="231">
        <v>43617</v>
      </c>
      <c r="F159" s="162" t="s">
        <v>1229</v>
      </c>
      <c r="G159" s="231">
        <v>45143</v>
      </c>
      <c r="H159" s="198">
        <f>SUMIF(VA!B:B,A159,VA!I:I)</f>
        <v>323.51</v>
      </c>
      <c r="I159" s="32">
        <f>SUMIF(VR!B:B,A159,VR!I:I)</f>
        <v>578.6</v>
      </c>
      <c r="J159" s="4">
        <f t="shared" si="2"/>
        <v>902.11</v>
      </c>
      <c r="K159" s="179">
        <f>SUMIF(FALTAS!A:A,A159,FALTAS!D:D)</f>
        <v>3</v>
      </c>
    </row>
    <row r="160" spans="1:11" x14ac:dyDescent="0.25">
      <c r="A160" s="235">
        <v>113553</v>
      </c>
      <c r="B160" s="162" t="s">
        <v>844</v>
      </c>
      <c r="C160" s="162" t="s">
        <v>2</v>
      </c>
      <c r="D160" s="162" t="s">
        <v>8</v>
      </c>
      <c r="E160" s="231">
        <v>43617</v>
      </c>
      <c r="F160" s="162" t="s">
        <v>1229</v>
      </c>
      <c r="G160" s="231">
        <v>45177</v>
      </c>
      <c r="H160" s="198">
        <f>SUMIF(VA!B:B,A160,VA!I:I)</f>
        <v>359.46</v>
      </c>
      <c r="I160" s="32">
        <f>SUMIF(VR!B:B,A160,VR!I:I)</f>
        <v>657.5</v>
      </c>
      <c r="J160" s="4">
        <f t="shared" si="2"/>
        <v>1016.96</v>
      </c>
      <c r="K160" s="179">
        <f>SUMIF(FALTAS!A:A,A160,FALTAS!D:D)</f>
        <v>0</v>
      </c>
    </row>
    <row r="161" spans="1:11" x14ac:dyDescent="0.25">
      <c r="A161" s="235">
        <v>119644</v>
      </c>
      <c r="B161" s="162" t="s">
        <v>1454</v>
      </c>
      <c r="C161" s="162" t="s">
        <v>5</v>
      </c>
      <c r="D161" s="162" t="s">
        <v>19</v>
      </c>
      <c r="E161" s="231">
        <v>44725</v>
      </c>
      <c r="F161" s="162" t="s">
        <v>1229</v>
      </c>
      <c r="G161" s="231">
        <v>44725</v>
      </c>
      <c r="H161" s="198">
        <f>SUMIF(VA!B:B,A161,VA!I:I)</f>
        <v>359.46</v>
      </c>
      <c r="I161" s="32">
        <f>SUMIF(VR!B:B,A161,VR!I:I)</f>
        <v>657.5</v>
      </c>
      <c r="J161" s="4">
        <f t="shared" si="2"/>
        <v>1016.96</v>
      </c>
      <c r="K161" s="179">
        <f>SUMIF(FALTAS!A:A,A161,FALTAS!D:D)</f>
        <v>0</v>
      </c>
    </row>
    <row r="162" spans="1:11" x14ac:dyDescent="0.25">
      <c r="A162" s="235">
        <v>113558</v>
      </c>
      <c r="B162" s="162" t="s">
        <v>846</v>
      </c>
      <c r="C162" s="162" t="s">
        <v>2</v>
      </c>
      <c r="D162" s="162" t="s">
        <v>0</v>
      </c>
      <c r="E162" s="231">
        <v>43617</v>
      </c>
      <c r="F162" s="162" t="s">
        <v>1229</v>
      </c>
      <c r="G162" s="231">
        <v>45149</v>
      </c>
      <c r="H162" s="198">
        <f>SUMIF(VA!B:B,A162,VA!I:I)</f>
        <v>359.46</v>
      </c>
      <c r="I162" s="32">
        <f>SUMIF(VR!B:B,A162,VR!I:I)</f>
        <v>657.5</v>
      </c>
      <c r="J162" s="4">
        <f t="shared" si="2"/>
        <v>1016.96</v>
      </c>
      <c r="K162" s="179">
        <f>SUMIF(FALTAS!A:A,A162,FALTAS!D:D)</f>
        <v>0</v>
      </c>
    </row>
    <row r="163" spans="1:11" x14ac:dyDescent="0.25">
      <c r="A163" s="235">
        <v>113561</v>
      </c>
      <c r="B163" s="162" t="s">
        <v>849</v>
      </c>
      <c r="C163" s="162" t="s">
        <v>2</v>
      </c>
      <c r="D163" s="162" t="s">
        <v>10</v>
      </c>
      <c r="E163" s="231">
        <v>43617</v>
      </c>
      <c r="F163" s="162" t="s">
        <v>1230</v>
      </c>
      <c r="G163" s="231">
        <v>45180</v>
      </c>
      <c r="H163" s="198">
        <f>SUMIF(VA!B:B,A163,VA!I:I)</f>
        <v>359.46</v>
      </c>
      <c r="I163" s="32">
        <f>SUMIF(VR!B:B,A163,VR!I:I)</f>
        <v>657.5</v>
      </c>
      <c r="J163" s="4">
        <f t="shared" si="2"/>
        <v>1016.96</v>
      </c>
      <c r="K163" s="179">
        <f>SUMIF(FALTAS!A:A,A163,FALTAS!D:D)</f>
        <v>0</v>
      </c>
    </row>
    <row r="164" spans="1:11" x14ac:dyDescent="0.25">
      <c r="A164" s="235">
        <v>114973</v>
      </c>
      <c r="B164" s="162" t="s">
        <v>1131</v>
      </c>
      <c r="C164" s="162" t="s">
        <v>15</v>
      </c>
      <c r="D164" s="162" t="s">
        <v>1578</v>
      </c>
      <c r="E164" s="231">
        <v>43917</v>
      </c>
      <c r="F164" s="162" t="s">
        <v>1229</v>
      </c>
      <c r="G164" s="231">
        <v>45056</v>
      </c>
      <c r="H164" s="198">
        <f>SUMIF(VA!B:B,A164,VA!I:I)</f>
        <v>359.46</v>
      </c>
      <c r="I164" s="32">
        <f>SUMIF(VR!B:B,A164,VR!I:I)</f>
        <v>657.5</v>
      </c>
      <c r="J164" s="4">
        <f t="shared" si="2"/>
        <v>1016.96</v>
      </c>
      <c r="K164" s="179">
        <f>SUMIF(FALTAS!A:A,A164,FALTAS!D:D)</f>
        <v>0</v>
      </c>
    </row>
    <row r="165" spans="1:11" x14ac:dyDescent="0.25">
      <c r="A165" s="235">
        <v>113588</v>
      </c>
      <c r="B165" s="162" t="s">
        <v>861</v>
      </c>
      <c r="C165" s="162" t="s">
        <v>2</v>
      </c>
      <c r="D165" s="162" t="s">
        <v>8</v>
      </c>
      <c r="E165" s="231">
        <v>43617</v>
      </c>
      <c r="F165" s="162" t="s">
        <v>1229</v>
      </c>
      <c r="G165" s="231">
        <v>45177</v>
      </c>
      <c r="H165" s="198">
        <f>SUMIF(VA!B:B,A165,VA!I:I)</f>
        <v>359.46</v>
      </c>
      <c r="I165" s="32">
        <f>SUMIF(VR!B:B,A165,VR!I:I)</f>
        <v>657.5</v>
      </c>
      <c r="J165" s="4">
        <f t="shared" si="2"/>
        <v>1016.96</v>
      </c>
      <c r="K165" s="179">
        <f>SUMIF(FALTAS!A:A,A165,FALTAS!D:D)</f>
        <v>0</v>
      </c>
    </row>
    <row r="166" spans="1:11" x14ac:dyDescent="0.25">
      <c r="A166" s="235">
        <v>113625</v>
      </c>
      <c r="B166" s="162" t="s">
        <v>878</v>
      </c>
      <c r="C166" s="162" t="s">
        <v>5</v>
      </c>
      <c r="D166" s="162" t="s">
        <v>0</v>
      </c>
      <c r="E166" s="231">
        <v>43617</v>
      </c>
      <c r="F166" s="162" t="s">
        <v>1229</v>
      </c>
      <c r="G166" s="231">
        <v>44835</v>
      </c>
      <c r="H166" s="198">
        <f>SUMIF(VA!B:B,A166,VA!I:I)</f>
        <v>359.46</v>
      </c>
      <c r="I166" s="32">
        <f>SUMIF(VR!B:B,A166,VR!I:I)</f>
        <v>657.5</v>
      </c>
      <c r="J166" s="4">
        <f t="shared" si="2"/>
        <v>1016.96</v>
      </c>
      <c r="K166" s="179">
        <f>SUMIF(FALTAS!A:A,A166,FALTAS!D:D)</f>
        <v>0</v>
      </c>
    </row>
    <row r="167" spans="1:11" x14ac:dyDescent="0.25">
      <c r="A167" s="235">
        <v>113631</v>
      </c>
      <c r="B167" s="162" t="s">
        <v>883</v>
      </c>
      <c r="C167" s="162" t="s">
        <v>2</v>
      </c>
      <c r="D167" s="162" t="s">
        <v>10</v>
      </c>
      <c r="E167" s="231">
        <v>43617</v>
      </c>
      <c r="F167" s="162" t="s">
        <v>1230</v>
      </c>
      <c r="G167" s="231">
        <v>45180</v>
      </c>
      <c r="H167" s="198">
        <f>SUMIF(VA!B:B,A167,VA!I:I)</f>
        <v>359.46</v>
      </c>
      <c r="I167" s="32">
        <f>SUMIF(VR!B:B,A167,VR!I:I)</f>
        <v>657.5</v>
      </c>
      <c r="J167" s="4">
        <f t="shared" si="2"/>
        <v>1016.96</v>
      </c>
      <c r="K167" s="179">
        <f>SUMIF(FALTAS!A:A,A167,FALTAS!D:D)</f>
        <v>0</v>
      </c>
    </row>
    <row r="168" spans="1:11" x14ac:dyDescent="0.25">
      <c r="A168" s="235">
        <v>113666</v>
      </c>
      <c r="B168" s="162" t="s">
        <v>903</v>
      </c>
      <c r="C168" s="162" t="s">
        <v>255</v>
      </c>
      <c r="D168" s="162" t="s">
        <v>1578</v>
      </c>
      <c r="E168" s="231">
        <v>43617</v>
      </c>
      <c r="F168" s="162" t="s">
        <v>1229</v>
      </c>
      <c r="G168" s="231">
        <v>45023</v>
      </c>
      <c r="H168" s="198">
        <f>SUMIF(VA!B:B,A168,VA!I:I)</f>
        <v>359.46</v>
      </c>
      <c r="I168" s="32">
        <f>SUMIF(VR!B:B,A168,VR!I:I)</f>
        <v>657.5</v>
      </c>
      <c r="J168" s="4">
        <f t="shared" si="2"/>
        <v>1016.96</v>
      </c>
      <c r="K168" s="179">
        <f>SUMIF(FALTAS!A:A,A168,FALTAS!D:D)</f>
        <v>0</v>
      </c>
    </row>
    <row r="169" spans="1:11" x14ac:dyDescent="0.25">
      <c r="A169" s="235">
        <v>113677</v>
      </c>
      <c r="B169" s="162" t="s">
        <v>910</v>
      </c>
      <c r="C169" s="162" t="s">
        <v>2</v>
      </c>
      <c r="D169" s="162" t="s">
        <v>10</v>
      </c>
      <c r="E169" s="231">
        <v>43617</v>
      </c>
      <c r="F169" s="162" t="s">
        <v>1230</v>
      </c>
      <c r="G169" s="231">
        <v>45180</v>
      </c>
      <c r="H169" s="198">
        <f>SUMIF(VA!B:B,A169,VA!I:I)</f>
        <v>359.46</v>
      </c>
      <c r="I169" s="32">
        <f>SUMIF(VR!B:B,A169,VR!I:I)</f>
        <v>657.5</v>
      </c>
      <c r="J169" s="4">
        <f t="shared" si="2"/>
        <v>1016.96</v>
      </c>
      <c r="K169" s="179">
        <f>SUMIF(FALTAS!A:A,A169,FALTAS!D:D)</f>
        <v>0</v>
      </c>
    </row>
    <row r="170" spans="1:11" x14ac:dyDescent="0.25">
      <c r="A170" s="235">
        <v>113694</v>
      </c>
      <c r="B170" s="162" t="s">
        <v>920</v>
      </c>
      <c r="C170" s="162" t="s">
        <v>15</v>
      </c>
      <c r="D170" s="162" t="s">
        <v>1578</v>
      </c>
      <c r="E170" s="231">
        <v>43617</v>
      </c>
      <c r="F170" s="162" t="s">
        <v>1229</v>
      </c>
      <c r="G170" s="231">
        <v>44898</v>
      </c>
      <c r="H170" s="198">
        <f>SUMIF(VA!B:B,A170,VA!I:I)</f>
        <v>359.46</v>
      </c>
      <c r="I170" s="32">
        <f>SUMIF(VR!B:B,A170,VR!I:I)</f>
        <v>657.5</v>
      </c>
      <c r="J170" s="4">
        <f t="shared" si="2"/>
        <v>1016.96</v>
      </c>
      <c r="K170" s="179">
        <f>SUMIF(FALTAS!A:A,A170,FALTAS!D:D)</f>
        <v>0</v>
      </c>
    </row>
    <row r="171" spans="1:11" x14ac:dyDescent="0.25">
      <c r="A171" s="235">
        <v>113696</v>
      </c>
      <c r="B171" s="162" t="s">
        <v>921</v>
      </c>
      <c r="C171" s="162" t="s">
        <v>5</v>
      </c>
      <c r="D171" s="162" t="s">
        <v>19</v>
      </c>
      <c r="E171" s="231">
        <v>43617</v>
      </c>
      <c r="F171" s="162" t="s">
        <v>1229</v>
      </c>
      <c r="G171" s="231">
        <v>45023</v>
      </c>
      <c r="H171" s="198">
        <f>SUMIF(VA!B:B,A171,VA!I:I)</f>
        <v>359.46</v>
      </c>
      <c r="I171" s="32">
        <f>SUMIF(VR!B:B,A171,VR!I:I)</f>
        <v>657.5</v>
      </c>
      <c r="J171" s="4">
        <f t="shared" si="2"/>
        <v>1016.96</v>
      </c>
      <c r="K171" s="179">
        <f>SUMIF(FALTAS!A:A,A171,FALTAS!D:D)</f>
        <v>0</v>
      </c>
    </row>
    <row r="172" spans="1:11" x14ac:dyDescent="0.25">
      <c r="A172" s="235">
        <v>113693</v>
      </c>
      <c r="B172" s="162" t="s">
        <v>919</v>
      </c>
      <c r="C172" s="162" t="s">
        <v>2</v>
      </c>
      <c r="D172" s="162" t="s">
        <v>0</v>
      </c>
      <c r="E172" s="231">
        <v>43617</v>
      </c>
      <c r="F172" s="162" t="s">
        <v>1229</v>
      </c>
      <c r="G172" s="231">
        <v>45070</v>
      </c>
      <c r="H172" s="198">
        <f>SUMIF(VA!B:B,A172,VA!I:I)</f>
        <v>359.46</v>
      </c>
      <c r="I172" s="32">
        <f>SUMIF(VR!B:B,A172,VR!I:I)</f>
        <v>657.5</v>
      </c>
      <c r="J172" s="4">
        <f t="shared" si="2"/>
        <v>1016.96</v>
      </c>
      <c r="K172" s="179">
        <f>SUMIF(FALTAS!A:A,A172,FALTAS!D:D)</f>
        <v>0</v>
      </c>
    </row>
    <row r="173" spans="1:11" x14ac:dyDescent="0.25">
      <c r="A173" s="235">
        <v>113686</v>
      </c>
      <c r="B173" s="162" t="s">
        <v>436</v>
      </c>
      <c r="C173" s="162" t="s">
        <v>2</v>
      </c>
      <c r="D173" s="162" t="s">
        <v>32</v>
      </c>
      <c r="E173" s="231">
        <v>43617</v>
      </c>
      <c r="F173" s="162" t="s">
        <v>1229</v>
      </c>
      <c r="G173" s="231">
        <v>45119</v>
      </c>
      <c r="H173" s="198">
        <f>SUMIF(VA!B:B,A173,VA!I:I)</f>
        <v>359.46</v>
      </c>
      <c r="I173" s="32">
        <f>SUMIF(VR!B:B,A173,VR!I:I)</f>
        <v>657.5</v>
      </c>
      <c r="J173" s="4">
        <f t="shared" si="2"/>
        <v>1016.96</v>
      </c>
      <c r="K173" s="179">
        <f>SUMIF(FALTAS!A:A,A173,FALTAS!D:D)</f>
        <v>0</v>
      </c>
    </row>
    <row r="174" spans="1:11" x14ac:dyDescent="0.25">
      <c r="A174" s="235">
        <v>113681</v>
      </c>
      <c r="B174" s="162" t="s">
        <v>912</v>
      </c>
      <c r="C174" s="162" t="s">
        <v>2</v>
      </c>
      <c r="D174" s="162" t="s">
        <v>0</v>
      </c>
      <c r="E174" s="231">
        <v>43617</v>
      </c>
      <c r="F174" s="162" t="s">
        <v>1229</v>
      </c>
      <c r="G174" s="231">
        <v>44867</v>
      </c>
      <c r="H174" s="198">
        <f>SUMIF(VA!B:B,A174,VA!I:I)</f>
        <v>359.46</v>
      </c>
      <c r="I174" s="32">
        <f>SUMIF(VR!B:B,A174,VR!I:I)</f>
        <v>657.5</v>
      </c>
      <c r="J174" s="4">
        <f t="shared" si="2"/>
        <v>1016.96</v>
      </c>
      <c r="K174" s="179">
        <f>SUMIF(FALTAS!A:A,A174,FALTAS!D:D)</f>
        <v>0</v>
      </c>
    </row>
    <row r="175" spans="1:11" x14ac:dyDescent="0.25">
      <c r="A175" s="235">
        <v>113698</v>
      </c>
      <c r="B175" s="162" t="s">
        <v>922</v>
      </c>
      <c r="C175" s="162" t="s">
        <v>5</v>
      </c>
      <c r="D175" s="162" t="s">
        <v>1578</v>
      </c>
      <c r="E175" s="231">
        <v>43617</v>
      </c>
      <c r="F175" s="162" t="s">
        <v>1230</v>
      </c>
      <c r="G175" s="231">
        <v>45180</v>
      </c>
      <c r="H175" s="198">
        <f>SUMIF(VA!B:B,A175,VA!I:I)</f>
        <v>359.46</v>
      </c>
      <c r="I175" s="32">
        <f>SUMIF(VR!B:B,A175,VR!I:I)</f>
        <v>657.5</v>
      </c>
      <c r="J175" s="4">
        <f t="shared" si="2"/>
        <v>1016.96</v>
      </c>
      <c r="K175" s="179">
        <f>SUMIF(FALTAS!A:A,A175,FALTAS!D:D)</f>
        <v>0</v>
      </c>
    </row>
    <row r="176" spans="1:11" x14ac:dyDescent="0.25">
      <c r="A176" s="235">
        <v>114523</v>
      </c>
      <c r="B176" s="162" t="s">
        <v>1045</v>
      </c>
      <c r="C176" s="162" t="s">
        <v>15</v>
      </c>
      <c r="D176" s="162" t="s">
        <v>1578</v>
      </c>
      <c r="E176" s="231">
        <v>43813</v>
      </c>
      <c r="F176" s="162" t="s">
        <v>1229</v>
      </c>
      <c r="G176" s="231">
        <v>44960</v>
      </c>
      <c r="H176" s="198">
        <f>SUMIF(VA!B:B,A176,VA!I:I)</f>
        <v>359.46</v>
      </c>
      <c r="I176" s="32">
        <f>SUMIF(VR!B:B,A176,VR!I:I)</f>
        <v>657.5</v>
      </c>
      <c r="J176" s="4">
        <f t="shared" si="2"/>
        <v>1016.96</v>
      </c>
      <c r="K176" s="179">
        <f>SUMIF(FALTAS!A:A,A176,FALTAS!D:D)</f>
        <v>0</v>
      </c>
    </row>
    <row r="177" spans="1:11" x14ac:dyDescent="0.25">
      <c r="A177" s="235">
        <v>113704</v>
      </c>
      <c r="B177" s="162" t="s">
        <v>924</v>
      </c>
      <c r="C177" s="162" t="s">
        <v>2</v>
      </c>
      <c r="D177" s="162" t="s">
        <v>8</v>
      </c>
      <c r="E177" s="231">
        <v>43617</v>
      </c>
      <c r="F177" s="162" t="s">
        <v>1229</v>
      </c>
      <c r="G177" s="231">
        <v>45177</v>
      </c>
      <c r="H177" s="198">
        <f>SUMIF(VA!B:B,A177,VA!I:I)</f>
        <v>359.46</v>
      </c>
      <c r="I177" s="32">
        <f>SUMIF(VR!B:B,A177,VR!I:I)</f>
        <v>657.5</v>
      </c>
      <c r="J177" s="4">
        <f t="shared" si="2"/>
        <v>1016.96</v>
      </c>
      <c r="K177" s="179">
        <f>SUMIF(FALTAS!A:A,A177,FALTAS!D:D)</f>
        <v>0</v>
      </c>
    </row>
    <row r="178" spans="1:11" x14ac:dyDescent="0.25">
      <c r="A178" s="235">
        <v>113690</v>
      </c>
      <c r="B178" s="162" t="s">
        <v>917</v>
      </c>
      <c r="C178" s="162" t="s">
        <v>2</v>
      </c>
      <c r="D178" s="162" t="s">
        <v>8</v>
      </c>
      <c r="E178" s="231">
        <v>43617</v>
      </c>
      <c r="F178" s="162" t="s">
        <v>1229</v>
      </c>
      <c r="G178" s="231">
        <v>44960</v>
      </c>
      <c r="H178" s="198">
        <f>SUMIF(VA!B:B,A178,VA!I:I)</f>
        <v>359.46</v>
      </c>
      <c r="I178" s="32">
        <f>SUMIF(VR!B:B,A178,VR!I:I)</f>
        <v>657.5</v>
      </c>
      <c r="J178" s="4">
        <f t="shared" si="2"/>
        <v>1016.96</v>
      </c>
      <c r="K178" s="179">
        <f>SUMIF(FALTAS!A:A,A178,FALTAS!D:D)</f>
        <v>0</v>
      </c>
    </row>
    <row r="179" spans="1:11" x14ac:dyDescent="0.25">
      <c r="A179" s="235">
        <v>121849</v>
      </c>
      <c r="B179" s="162" t="s">
        <v>1602</v>
      </c>
      <c r="C179" s="162" t="s">
        <v>5</v>
      </c>
      <c r="D179" s="162" t="s">
        <v>0</v>
      </c>
      <c r="E179" s="231">
        <v>45022</v>
      </c>
      <c r="F179" s="162" t="s">
        <v>1229</v>
      </c>
      <c r="G179" s="231">
        <v>45022</v>
      </c>
      <c r="H179" s="198">
        <f>SUMIF(VA!B:B,A179,VA!I:I)</f>
        <v>347.47</v>
      </c>
      <c r="I179" s="32">
        <f>SUMIF(VR!B:B,A179,VR!I:I)</f>
        <v>631.20000000000005</v>
      </c>
      <c r="J179" s="4">
        <f t="shared" si="2"/>
        <v>978.67000000000007</v>
      </c>
      <c r="K179" s="179">
        <f>SUMIF(FALTAS!A:A,A179,FALTAS!D:D)</f>
        <v>1</v>
      </c>
    </row>
    <row r="180" spans="1:11" x14ac:dyDescent="0.25">
      <c r="A180" s="235">
        <v>119754</v>
      </c>
      <c r="B180" s="162" t="s">
        <v>1455</v>
      </c>
      <c r="C180" s="162" t="s">
        <v>1456</v>
      </c>
      <c r="D180" s="162" t="s">
        <v>1580</v>
      </c>
      <c r="E180" s="231">
        <v>44734</v>
      </c>
      <c r="F180" s="162" t="s">
        <v>1229</v>
      </c>
      <c r="G180" s="231">
        <v>44734</v>
      </c>
      <c r="H180" s="198">
        <f>SUMIF(VA!B:B,A180,VA!I:I)</f>
        <v>0</v>
      </c>
      <c r="I180" s="32">
        <f>SUMIF(VR!B:B,A180,VR!I:I)</f>
        <v>657.5</v>
      </c>
      <c r="J180" s="4">
        <f t="shared" si="2"/>
        <v>657.5</v>
      </c>
      <c r="K180" s="179">
        <f>SUMIF(FALTAS!A:A,A180,FALTAS!D:D)</f>
        <v>0</v>
      </c>
    </row>
    <row r="181" spans="1:11" x14ac:dyDescent="0.25">
      <c r="A181" s="235">
        <v>118056</v>
      </c>
      <c r="B181" s="162" t="s">
        <v>1395</v>
      </c>
      <c r="C181" s="162" t="s">
        <v>5</v>
      </c>
      <c r="D181" s="162" t="s">
        <v>0</v>
      </c>
      <c r="E181" s="231">
        <v>44567</v>
      </c>
      <c r="F181" s="162" t="s">
        <v>1229</v>
      </c>
      <c r="G181" s="231">
        <v>44567</v>
      </c>
      <c r="H181" s="198">
        <f>SUMIF(VA!B:B,A181,VA!I:I)</f>
        <v>359.46</v>
      </c>
      <c r="I181" s="32">
        <f>SUMIF(VR!B:B,A181,VR!I:I)</f>
        <v>657.5</v>
      </c>
      <c r="J181" s="4">
        <f t="shared" si="2"/>
        <v>1016.96</v>
      </c>
      <c r="K181" s="179">
        <f>SUMIF(FALTAS!A:A,A181,FALTAS!D:D)</f>
        <v>0</v>
      </c>
    </row>
    <row r="182" spans="1:11" x14ac:dyDescent="0.25">
      <c r="A182" s="235">
        <v>122829</v>
      </c>
      <c r="B182" s="162" t="s">
        <v>1715</v>
      </c>
      <c r="C182" s="162" t="s">
        <v>5</v>
      </c>
      <c r="D182" s="162" t="s">
        <v>1578</v>
      </c>
      <c r="E182" s="231">
        <v>45180</v>
      </c>
      <c r="F182" s="162" t="s">
        <v>1229</v>
      </c>
      <c r="G182" s="231">
        <v>45180</v>
      </c>
      <c r="H182" s="198">
        <f>SUMIF(VA!B:B,A182,VA!I:I)</f>
        <v>359.46</v>
      </c>
      <c r="I182" s="32">
        <f>SUMIF(VR!B:B,A182,VR!I:I)</f>
        <v>657.5</v>
      </c>
      <c r="J182" s="4">
        <f t="shared" si="2"/>
        <v>1016.96</v>
      </c>
      <c r="K182" s="179">
        <f>SUMIF(FALTAS!A:A,A182,FALTAS!D:D)</f>
        <v>0</v>
      </c>
    </row>
    <row r="183" spans="1:11" x14ac:dyDescent="0.25">
      <c r="A183" s="235">
        <v>113682</v>
      </c>
      <c r="B183" s="162" t="s">
        <v>913</v>
      </c>
      <c r="C183" s="162" t="s">
        <v>5</v>
      </c>
      <c r="D183" s="162" t="s">
        <v>1578</v>
      </c>
      <c r="E183" s="231">
        <v>43617</v>
      </c>
      <c r="F183" s="162" t="s">
        <v>1229</v>
      </c>
      <c r="G183" s="231">
        <v>45149</v>
      </c>
      <c r="H183" s="198">
        <f>SUMIF(VA!B:B,A183,VA!I:I)</f>
        <v>359.46</v>
      </c>
      <c r="I183" s="32">
        <f>SUMIF(VR!B:B,A183,VR!I:I)</f>
        <v>657.5</v>
      </c>
      <c r="J183" s="4">
        <f t="shared" si="2"/>
        <v>1016.96</v>
      </c>
      <c r="K183" s="179">
        <f>SUMIF(FALTAS!A:A,A183,FALTAS!D:D)</f>
        <v>0</v>
      </c>
    </row>
    <row r="184" spans="1:11" x14ac:dyDescent="0.25">
      <c r="A184" s="235">
        <v>113678</v>
      </c>
      <c r="B184" s="162" t="s">
        <v>911</v>
      </c>
      <c r="C184" s="162" t="s">
        <v>5</v>
      </c>
      <c r="D184" s="162" t="s">
        <v>0</v>
      </c>
      <c r="E184" s="231">
        <v>43617</v>
      </c>
      <c r="F184" s="162" t="s">
        <v>1229</v>
      </c>
      <c r="G184" s="231">
        <v>45056</v>
      </c>
      <c r="H184" s="198">
        <f>SUMIF(VA!B:B,A184,VA!I:I)</f>
        <v>359.46</v>
      </c>
      <c r="I184" s="32">
        <f>SUMIF(VR!B:B,A184,VR!I:I)</f>
        <v>657.5</v>
      </c>
      <c r="J184" s="4">
        <f t="shared" si="2"/>
        <v>1016.96</v>
      </c>
      <c r="K184" s="179">
        <f>SUMIF(FALTAS!A:A,A184,FALTAS!D:D)</f>
        <v>0</v>
      </c>
    </row>
    <row r="185" spans="1:11" x14ac:dyDescent="0.25">
      <c r="A185" s="235">
        <v>113930</v>
      </c>
      <c r="B185" s="162" t="s">
        <v>991</v>
      </c>
      <c r="C185" s="162" t="s">
        <v>992</v>
      </c>
      <c r="D185" s="162" t="s">
        <v>1580</v>
      </c>
      <c r="E185" s="231">
        <v>43682</v>
      </c>
      <c r="F185" s="162" t="s">
        <v>1229</v>
      </c>
      <c r="G185" s="231">
        <v>45130</v>
      </c>
      <c r="H185" s="198">
        <f>SUMIF(VA!B:B,A185,VA!I:I)</f>
        <v>359.46</v>
      </c>
      <c r="I185" s="32">
        <f>SUMIF(VR!B:B,A185,VR!I:I)</f>
        <v>657.5</v>
      </c>
      <c r="J185" s="4">
        <f t="shared" si="2"/>
        <v>1016.96</v>
      </c>
      <c r="K185" s="179">
        <f>SUMIF(FALTAS!A:A,A185,FALTAS!D:D)</f>
        <v>0</v>
      </c>
    </row>
    <row r="186" spans="1:11" x14ac:dyDescent="0.25">
      <c r="A186" s="235">
        <v>113692</v>
      </c>
      <c r="B186" s="162" t="s">
        <v>918</v>
      </c>
      <c r="C186" s="162" t="s">
        <v>15</v>
      </c>
      <c r="D186" s="162" t="s">
        <v>1578</v>
      </c>
      <c r="E186" s="231">
        <v>43617</v>
      </c>
      <c r="F186" s="162" t="s">
        <v>1230</v>
      </c>
      <c r="G186" s="231">
        <v>45180</v>
      </c>
      <c r="H186" s="198">
        <f>SUMIF(VA!B:B,A186,VA!I:I)</f>
        <v>359.46</v>
      </c>
      <c r="I186" s="32">
        <f>SUMIF(VR!B:B,A186,VR!I:I)</f>
        <v>657.5</v>
      </c>
      <c r="J186" s="4">
        <f t="shared" si="2"/>
        <v>1016.96</v>
      </c>
      <c r="K186" s="179">
        <f>SUMIF(FALTAS!A:A,A186,FALTAS!D:D)</f>
        <v>0</v>
      </c>
    </row>
    <row r="187" spans="1:11" x14ac:dyDescent="0.25">
      <c r="A187" s="235">
        <v>113683</v>
      </c>
      <c r="B187" s="162" t="s">
        <v>914</v>
      </c>
      <c r="C187" s="162" t="s">
        <v>2</v>
      </c>
      <c r="D187" s="162" t="s">
        <v>0</v>
      </c>
      <c r="E187" s="231">
        <v>43617</v>
      </c>
      <c r="F187" s="162" t="s">
        <v>1229</v>
      </c>
      <c r="G187" s="231">
        <v>45177</v>
      </c>
      <c r="H187" s="198">
        <f>SUMIF(VA!B:B,A187,VA!I:I)</f>
        <v>359.46</v>
      </c>
      <c r="I187" s="32">
        <f>SUMIF(VR!B:B,A187,VR!I:I)</f>
        <v>657.5</v>
      </c>
      <c r="J187" s="4">
        <f t="shared" si="2"/>
        <v>1016.96</v>
      </c>
      <c r="K187" s="179">
        <f>SUMIF(FALTAS!A:A,A187,FALTAS!D:D)</f>
        <v>0</v>
      </c>
    </row>
    <row r="188" spans="1:11" x14ac:dyDescent="0.25">
      <c r="A188" s="235">
        <v>113585</v>
      </c>
      <c r="B188" s="162" t="s">
        <v>858</v>
      </c>
      <c r="C188" s="162" t="s">
        <v>2</v>
      </c>
      <c r="D188" s="162" t="s">
        <v>19</v>
      </c>
      <c r="E188" s="231">
        <v>43617</v>
      </c>
      <c r="F188" s="162" t="s">
        <v>1229</v>
      </c>
      <c r="G188" s="231">
        <v>45119</v>
      </c>
      <c r="H188" s="198">
        <f>SUMIF(VA!B:B,A188,VA!I:I)</f>
        <v>359.46</v>
      </c>
      <c r="I188" s="32">
        <f>SUMIF(VR!B:B,A188,VR!I:I)</f>
        <v>657.5</v>
      </c>
      <c r="J188" s="4">
        <f t="shared" si="2"/>
        <v>1016.96</v>
      </c>
      <c r="K188" s="179">
        <f>SUMIF(FALTAS!A:A,A188,FALTAS!D:D)</f>
        <v>0</v>
      </c>
    </row>
    <row r="189" spans="1:11" x14ac:dyDescent="0.25">
      <c r="A189" s="235">
        <v>116972</v>
      </c>
      <c r="B189" s="162" t="s">
        <v>1235</v>
      </c>
      <c r="C189" s="162" t="s">
        <v>5</v>
      </c>
      <c r="D189" s="162" t="s">
        <v>0</v>
      </c>
      <c r="E189" s="231">
        <v>44419</v>
      </c>
      <c r="F189" s="162" t="s">
        <v>1229</v>
      </c>
      <c r="G189" s="231">
        <v>45086</v>
      </c>
      <c r="H189" s="198">
        <f>SUMIF(VA!B:B,A189,VA!I:I)</f>
        <v>359.46</v>
      </c>
      <c r="I189" s="32">
        <f>SUMIF(VR!B:B,A189,VR!I:I)</f>
        <v>657.5</v>
      </c>
      <c r="J189" s="4">
        <f t="shared" si="2"/>
        <v>1016.96</v>
      </c>
      <c r="K189" s="179">
        <f>SUMIF(FALTAS!A:A,A189,FALTAS!D:D)</f>
        <v>0</v>
      </c>
    </row>
    <row r="190" spans="1:11" x14ac:dyDescent="0.25">
      <c r="A190" s="235">
        <v>113763</v>
      </c>
      <c r="B190" s="162" t="s">
        <v>965</v>
      </c>
      <c r="C190" s="162" t="s">
        <v>415</v>
      </c>
      <c r="D190" s="162" t="s">
        <v>1578</v>
      </c>
      <c r="E190" s="231">
        <v>43621</v>
      </c>
      <c r="F190" s="162" t="s">
        <v>1229</v>
      </c>
      <c r="G190" s="231">
        <v>45149</v>
      </c>
      <c r="H190" s="198">
        <f>SUMIF(VA!B:B,A190,VA!I:I)</f>
        <v>359.46</v>
      </c>
      <c r="I190" s="32">
        <f>SUMIF(VR!B:B,A190,VR!I:I)</f>
        <v>657.5</v>
      </c>
      <c r="J190" s="4">
        <f t="shared" si="2"/>
        <v>1016.96</v>
      </c>
      <c r="K190" s="179">
        <f>SUMIF(FALTAS!A:A,A190,FALTAS!D:D)</f>
        <v>0</v>
      </c>
    </row>
    <row r="191" spans="1:11" x14ac:dyDescent="0.25">
      <c r="A191" s="235">
        <v>122028</v>
      </c>
      <c r="B191" s="162" t="s">
        <v>1625</v>
      </c>
      <c r="C191" s="162" t="s">
        <v>120</v>
      </c>
      <c r="D191" s="162" t="s">
        <v>1578</v>
      </c>
      <c r="E191" s="231">
        <v>45054</v>
      </c>
      <c r="F191" s="162" t="s">
        <v>1229</v>
      </c>
      <c r="G191" s="231">
        <v>45054</v>
      </c>
      <c r="H191" s="198">
        <f>SUMIF(VA!B:B,A191,VA!I:I)</f>
        <v>359.46</v>
      </c>
      <c r="I191" s="32">
        <f>SUMIF(VR!B:B,A191,VR!I:I)</f>
        <v>657.5</v>
      </c>
      <c r="J191" s="4">
        <f t="shared" si="2"/>
        <v>1016.96</v>
      </c>
      <c r="K191" s="179">
        <f>SUMIF(FALTAS!A:A,A191,FALTAS!D:D)</f>
        <v>0</v>
      </c>
    </row>
    <row r="192" spans="1:11" x14ac:dyDescent="0.25">
      <c r="A192" s="235">
        <v>117238</v>
      </c>
      <c r="B192" s="162" t="s">
        <v>1254</v>
      </c>
      <c r="C192" s="162" t="s">
        <v>5</v>
      </c>
      <c r="D192" s="162" t="s">
        <v>1578</v>
      </c>
      <c r="E192" s="231">
        <v>44487</v>
      </c>
      <c r="F192" s="162" t="s">
        <v>1229</v>
      </c>
      <c r="G192" s="231">
        <v>44898</v>
      </c>
      <c r="H192" s="198">
        <f>SUMIF(VA!B:B,A192,VA!I:I)</f>
        <v>359.46</v>
      </c>
      <c r="I192" s="32">
        <f>SUMIF(VR!B:B,A192,VR!I:I)</f>
        <v>657.5</v>
      </c>
      <c r="J192" s="4">
        <f t="shared" si="2"/>
        <v>1016.96</v>
      </c>
      <c r="K192" s="179">
        <f>SUMIF(FALTAS!A:A,A192,FALTAS!D:D)</f>
        <v>0</v>
      </c>
    </row>
    <row r="193" spans="1:11" x14ac:dyDescent="0.25">
      <c r="A193" s="235">
        <v>121320</v>
      </c>
      <c r="B193" s="162" t="s">
        <v>1523</v>
      </c>
      <c r="C193" s="162" t="s">
        <v>2</v>
      </c>
      <c r="D193" s="162" t="s">
        <v>10</v>
      </c>
      <c r="E193" s="231">
        <v>44945</v>
      </c>
      <c r="F193" s="162" t="s">
        <v>1229</v>
      </c>
      <c r="G193" s="231">
        <v>44945</v>
      </c>
      <c r="H193" s="198">
        <f>SUMIF(VA!B:B,A193,VA!I:I)</f>
        <v>359.46</v>
      </c>
      <c r="I193" s="32">
        <f>SUMIF(VR!B:B,A193,VR!I:I)</f>
        <v>657.5</v>
      </c>
      <c r="J193" s="4">
        <f t="shared" si="2"/>
        <v>1016.96</v>
      </c>
      <c r="K193" s="179">
        <f>SUMIF(FALTAS!A:A,A193,FALTAS!D:D)</f>
        <v>0</v>
      </c>
    </row>
    <row r="194" spans="1:11" x14ac:dyDescent="0.25">
      <c r="A194" s="235">
        <v>122830</v>
      </c>
      <c r="B194" s="162" t="s">
        <v>1716</v>
      </c>
      <c r="C194" s="162" t="s">
        <v>5</v>
      </c>
      <c r="D194" s="162" t="s">
        <v>32</v>
      </c>
      <c r="E194" s="231">
        <v>45180</v>
      </c>
      <c r="F194" s="162" t="s">
        <v>1229</v>
      </c>
      <c r="G194" s="231">
        <v>45180</v>
      </c>
      <c r="H194" s="198">
        <f>SUMIF(VA!B:B,A194,VA!I:I)</f>
        <v>359.46</v>
      </c>
      <c r="I194" s="32">
        <f>SUMIF(VR!B:B,A194,VR!I:I)</f>
        <v>657.5</v>
      </c>
      <c r="J194" s="4">
        <f t="shared" ref="J194:J257" si="3">H194+I194</f>
        <v>1016.96</v>
      </c>
      <c r="K194" s="179">
        <f>SUMIF(FALTAS!A:A,A194,FALTAS!D:D)</f>
        <v>0</v>
      </c>
    </row>
    <row r="195" spans="1:11" x14ac:dyDescent="0.25">
      <c r="A195" s="235">
        <v>114266</v>
      </c>
      <c r="B195" s="162" t="s">
        <v>1027</v>
      </c>
      <c r="C195" s="162" t="s">
        <v>2</v>
      </c>
      <c r="D195" s="162" t="s">
        <v>0</v>
      </c>
      <c r="E195" s="231">
        <v>43804</v>
      </c>
      <c r="F195" s="162" t="s">
        <v>1229</v>
      </c>
      <c r="G195" s="231">
        <v>45086</v>
      </c>
      <c r="H195" s="198">
        <f>SUMIF(VA!B:B,A195,VA!I:I)</f>
        <v>359.46</v>
      </c>
      <c r="I195" s="32">
        <f>SUMIF(VR!B:B,A195,VR!I:I)</f>
        <v>657.5</v>
      </c>
      <c r="J195" s="4">
        <f t="shared" si="3"/>
        <v>1016.96</v>
      </c>
      <c r="K195" s="179">
        <f>SUMIF(FALTAS!A:A,A195,FALTAS!D:D)</f>
        <v>0</v>
      </c>
    </row>
    <row r="196" spans="1:11" x14ac:dyDescent="0.25">
      <c r="A196" s="235">
        <v>113568</v>
      </c>
      <c r="B196" s="162" t="s">
        <v>852</v>
      </c>
      <c r="C196" s="162" t="s">
        <v>15</v>
      </c>
      <c r="D196" s="162" t="s">
        <v>1578</v>
      </c>
      <c r="E196" s="231">
        <v>43617</v>
      </c>
      <c r="F196" s="162" t="s">
        <v>1229</v>
      </c>
      <c r="G196" s="231">
        <v>45119</v>
      </c>
      <c r="H196" s="198">
        <f>SUMIF(VA!B:B,A196,VA!I:I)</f>
        <v>359.46</v>
      </c>
      <c r="I196" s="32">
        <f>SUMIF(VR!B:B,A196,VR!I:I)</f>
        <v>657.5</v>
      </c>
      <c r="J196" s="4">
        <f t="shared" si="3"/>
        <v>1016.96</v>
      </c>
      <c r="K196" s="179">
        <f>SUMIF(FALTAS!A:A,A196,FALTAS!D:D)</f>
        <v>0</v>
      </c>
    </row>
    <row r="197" spans="1:11" x14ac:dyDescent="0.25">
      <c r="A197" s="235">
        <v>121857</v>
      </c>
      <c r="B197" s="162" t="s">
        <v>1603</v>
      </c>
      <c r="C197" s="162" t="s">
        <v>5</v>
      </c>
      <c r="D197" s="162" t="s">
        <v>0</v>
      </c>
      <c r="E197" s="231">
        <v>45022</v>
      </c>
      <c r="F197" s="162" t="s">
        <v>1229</v>
      </c>
      <c r="G197" s="231">
        <v>45022</v>
      </c>
      <c r="H197" s="198">
        <f>SUMIF(VA!B:B,A197,VA!I:I)</f>
        <v>359.46</v>
      </c>
      <c r="I197" s="32">
        <f>SUMIF(VR!B:B,A197,VR!I:I)</f>
        <v>657.5</v>
      </c>
      <c r="J197" s="4">
        <f t="shared" si="3"/>
        <v>1016.96</v>
      </c>
      <c r="K197" s="179">
        <f>SUMIF(FALTAS!A:A,A197,FALTAS!D:D)</f>
        <v>0</v>
      </c>
    </row>
    <row r="198" spans="1:11" x14ac:dyDescent="0.25">
      <c r="A198" s="235">
        <v>113560</v>
      </c>
      <c r="B198" s="162" t="s">
        <v>848</v>
      </c>
      <c r="C198" s="162" t="s">
        <v>5</v>
      </c>
      <c r="D198" s="162" t="s">
        <v>10</v>
      </c>
      <c r="E198" s="231">
        <v>43617</v>
      </c>
      <c r="F198" s="162" t="s">
        <v>1229</v>
      </c>
      <c r="G198" s="231">
        <v>45050</v>
      </c>
      <c r="H198" s="198">
        <f>SUMIF(VA!B:B,A198,VA!I:I)</f>
        <v>359.46</v>
      </c>
      <c r="I198" s="32">
        <f>SUMIF(VR!B:B,A198,VR!I:I)</f>
        <v>657.5</v>
      </c>
      <c r="J198" s="4">
        <f t="shared" si="3"/>
        <v>1016.96</v>
      </c>
      <c r="K198" s="179">
        <f>SUMIF(FALTAS!A:A,A198,FALTAS!D:D)</f>
        <v>0</v>
      </c>
    </row>
    <row r="199" spans="1:11" x14ac:dyDescent="0.25">
      <c r="A199" s="235">
        <v>113550</v>
      </c>
      <c r="B199" s="162" t="s">
        <v>841</v>
      </c>
      <c r="C199" s="162" t="s">
        <v>5</v>
      </c>
      <c r="D199" s="162" t="s">
        <v>0</v>
      </c>
      <c r="E199" s="231">
        <v>43617</v>
      </c>
      <c r="F199" s="162" t="s">
        <v>1229</v>
      </c>
      <c r="G199" s="231">
        <v>44960</v>
      </c>
      <c r="H199" s="198">
        <f>SUMIF(VA!B:B,A199,VA!I:I)</f>
        <v>359.46</v>
      </c>
      <c r="I199" s="32">
        <f>SUMIF(VR!B:B,A199,VR!I:I)</f>
        <v>657.5</v>
      </c>
      <c r="J199" s="4">
        <f t="shared" si="3"/>
        <v>1016.96</v>
      </c>
      <c r="K199" s="179">
        <f>SUMIF(FALTAS!A:A,A199,FALTAS!D:D)</f>
        <v>0</v>
      </c>
    </row>
    <row r="200" spans="1:11" x14ac:dyDescent="0.25">
      <c r="A200" s="235">
        <v>113546</v>
      </c>
      <c r="B200" s="162" t="s">
        <v>837</v>
      </c>
      <c r="C200" s="162" t="s">
        <v>22</v>
      </c>
      <c r="D200" s="162" t="s">
        <v>1578</v>
      </c>
      <c r="E200" s="231">
        <v>43617</v>
      </c>
      <c r="F200" s="162" t="s">
        <v>1229</v>
      </c>
      <c r="G200" s="231">
        <v>45177</v>
      </c>
      <c r="H200" s="198">
        <f>SUMIF(VA!B:B,A200,VA!I:I)</f>
        <v>359.46</v>
      </c>
      <c r="I200" s="32">
        <f>SUMIF(VR!B:B,A200,VR!I:I)</f>
        <v>657.5</v>
      </c>
      <c r="J200" s="4">
        <f t="shared" si="3"/>
        <v>1016.96</v>
      </c>
      <c r="K200" s="179">
        <f>SUMIF(FALTAS!A:A,A200,FALTAS!D:D)</f>
        <v>0</v>
      </c>
    </row>
    <row r="201" spans="1:11" x14ac:dyDescent="0.25">
      <c r="A201" s="235">
        <v>113545</v>
      </c>
      <c r="B201" s="162" t="s">
        <v>836</v>
      </c>
      <c r="C201" s="162" t="s">
        <v>2</v>
      </c>
      <c r="D201" s="162" t="s">
        <v>8</v>
      </c>
      <c r="E201" s="231">
        <v>43617</v>
      </c>
      <c r="F201" s="162" t="s">
        <v>1229</v>
      </c>
      <c r="G201" s="231">
        <v>44960</v>
      </c>
      <c r="H201" s="198">
        <f>SUMIF(VA!B:B,A201,VA!I:I)</f>
        <v>359.46</v>
      </c>
      <c r="I201" s="32">
        <f>SUMIF(VR!B:B,A201,VR!I:I)</f>
        <v>657.5</v>
      </c>
      <c r="J201" s="4">
        <f t="shared" si="3"/>
        <v>1016.96</v>
      </c>
      <c r="K201" s="179">
        <f>SUMIF(FALTAS!A:A,A201,FALTAS!D:D)</f>
        <v>0</v>
      </c>
    </row>
    <row r="202" spans="1:11" x14ac:dyDescent="0.25">
      <c r="A202" s="235">
        <v>121947</v>
      </c>
      <c r="B202" s="162" t="s">
        <v>1604</v>
      </c>
      <c r="C202" s="162" t="s">
        <v>1456</v>
      </c>
      <c r="D202" s="162" t="s">
        <v>1580</v>
      </c>
      <c r="E202" s="231">
        <v>45040</v>
      </c>
      <c r="F202" s="162" t="s">
        <v>1229</v>
      </c>
      <c r="G202" s="231">
        <v>45040</v>
      </c>
      <c r="H202" s="198">
        <f>SUMIF(VA!B:B,A202,VA!I:I)</f>
        <v>0</v>
      </c>
      <c r="I202" s="32">
        <f>SUMIF(VR!B:B,A202,VR!I:I)</f>
        <v>657.5</v>
      </c>
      <c r="J202" s="4">
        <f t="shared" si="3"/>
        <v>657.5</v>
      </c>
      <c r="K202" s="179">
        <f>SUMIF(FALTAS!A:A,A202,FALTAS!D:D)</f>
        <v>0</v>
      </c>
    </row>
    <row r="203" spans="1:11" x14ac:dyDescent="0.25">
      <c r="A203" s="235">
        <v>113540</v>
      </c>
      <c r="B203" s="162" t="s">
        <v>833</v>
      </c>
      <c r="C203" s="162" t="s">
        <v>15</v>
      </c>
      <c r="D203" s="162" t="s">
        <v>1578</v>
      </c>
      <c r="E203" s="231">
        <v>43617</v>
      </c>
      <c r="F203" s="162" t="s">
        <v>1229</v>
      </c>
      <c r="G203" s="231">
        <v>44960</v>
      </c>
      <c r="H203" s="198">
        <f>SUMIF(VA!B:B,A203,VA!I:I)</f>
        <v>359.46</v>
      </c>
      <c r="I203" s="32">
        <f>SUMIF(VR!B:B,A203,VR!I:I)</f>
        <v>657.5</v>
      </c>
      <c r="J203" s="4">
        <f t="shared" si="3"/>
        <v>1016.96</v>
      </c>
      <c r="K203" s="179">
        <f>SUMIF(FALTAS!A:A,A203,FALTAS!D:D)</f>
        <v>0</v>
      </c>
    </row>
    <row r="204" spans="1:11" x14ac:dyDescent="0.25">
      <c r="A204" s="235">
        <v>120356</v>
      </c>
      <c r="B204" s="162" t="s">
        <v>1503</v>
      </c>
      <c r="C204" s="162" t="s">
        <v>5</v>
      </c>
      <c r="D204" s="162" t="s">
        <v>32</v>
      </c>
      <c r="E204" s="231">
        <v>44820</v>
      </c>
      <c r="F204" s="162" t="s">
        <v>1229</v>
      </c>
      <c r="G204" s="231">
        <v>44820</v>
      </c>
      <c r="H204" s="198">
        <f>SUMIF(VA!B:B,A204,VA!I:I)</f>
        <v>359.46</v>
      </c>
      <c r="I204" s="32">
        <f>SUMIF(VR!B:B,A204,VR!I:I)</f>
        <v>657.5</v>
      </c>
      <c r="J204" s="4">
        <f t="shared" si="3"/>
        <v>1016.96</v>
      </c>
      <c r="K204" s="179">
        <f>SUMIF(FALTAS!A:A,A204,FALTAS!D:D)</f>
        <v>0</v>
      </c>
    </row>
    <row r="205" spans="1:11" x14ac:dyDescent="0.25">
      <c r="A205" s="235">
        <v>122410</v>
      </c>
      <c r="B205" s="162" t="s">
        <v>1679</v>
      </c>
      <c r="C205" s="162" t="s">
        <v>5</v>
      </c>
      <c r="D205" s="162" t="s">
        <v>1578</v>
      </c>
      <c r="E205" s="231">
        <v>45117</v>
      </c>
      <c r="F205" s="162" t="s">
        <v>1229</v>
      </c>
      <c r="G205" s="231">
        <v>45117</v>
      </c>
      <c r="H205" s="198">
        <f>SUMIF(VA!B:B,A205,VA!I:I)</f>
        <v>359.46</v>
      </c>
      <c r="I205" s="32">
        <f>SUMIF(VR!B:B,A205,VR!I:I)</f>
        <v>657.5</v>
      </c>
      <c r="J205" s="4">
        <f t="shared" si="3"/>
        <v>1016.96</v>
      </c>
      <c r="K205" s="179">
        <f>SUMIF(FALTAS!A:A,A205,FALTAS!D:D)</f>
        <v>0</v>
      </c>
    </row>
    <row r="206" spans="1:11" x14ac:dyDescent="0.25">
      <c r="A206" s="235">
        <v>121848</v>
      </c>
      <c r="B206" s="162" t="s">
        <v>1605</v>
      </c>
      <c r="C206" s="162" t="s">
        <v>5</v>
      </c>
      <c r="D206" s="162" t="s">
        <v>8</v>
      </c>
      <c r="E206" s="231">
        <v>45022</v>
      </c>
      <c r="F206" s="162" t="s">
        <v>1229</v>
      </c>
      <c r="G206" s="231">
        <v>45022</v>
      </c>
      <c r="H206" s="198">
        <f>SUMIF(VA!B:B,A206,VA!I:I)</f>
        <v>359.46</v>
      </c>
      <c r="I206" s="32">
        <f>SUMIF(VR!B:B,A206,VR!I:I)</f>
        <v>657.5</v>
      </c>
      <c r="J206" s="4">
        <f t="shared" si="3"/>
        <v>1016.96</v>
      </c>
      <c r="K206" s="179">
        <f>SUMIF(FALTAS!A:A,A206,FALTAS!D:D)</f>
        <v>0</v>
      </c>
    </row>
    <row r="207" spans="1:11" x14ac:dyDescent="0.25">
      <c r="A207" s="235">
        <v>112169</v>
      </c>
      <c r="B207" s="162" t="s">
        <v>1</v>
      </c>
      <c r="C207" s="162" t="s">
        <v>2</v>
      </c>
      <c r="D207" s="162" t="s">
        <v>0</v>
      </c>
      <c r="E207" s="231">
        <v>43617</v>
      </c>
      <c r="F207" s="162" t="s">
        <v>1229</v>
      </c>
      <c r="G207" s="231">
        <v>44776</v>
      </c>
      <c r="H207" s="198">
        <f>SUMIF(VA!B:B,A207,VA!I:I)</f>
        <v>359.46</v>
      </c>
      <c r="I207" s="32">
        <f>SUMIF(VR!B:B,A207,VR!I:I)</f>
        <v>657.5</v>
      </c>
      <c r="J207" s="4">
        <f t="shared" si="3"/>
        <v>1016.96</v>
      </c>
      <c r="K207" s="179">
        <f>SUMIF(FALTAS!A:A,A207,FALTAS!D:D)</f>
        <v>0</v>
      </c>
    </row>
    <row r="208" spans="1:11" x14ac:dyDescent="0.25">
      <c r="A208" s="235">
        <v>112170</v>
      </c>
      <c r="B208" s="162" t="s">
        <v>3</v>
      </c>
      <c r="C208" s="162" t="s">
        <v>2</v>
      </c>
      <c r="D208" s="162" t="s">
        <v>0</v>
      </c>
      <c r="E208" s="231">
        <v>43617</v>
      </c>
      <c r="F208" s="162" t="s">
        <v>1229</v>
      </c>
      <c r="G208" s="231">
        <v>45023</v>
      </c>
      <c r="H208" s="198">
        <f>SUMIF(VA!B:B,A208,VA!I:I)</f>
        <v>359.46</v>
      </c>
      <c r="I208" s="32">
        <f>SUMIF(VR!B:B,A208,VR!I:I)</f>
        <v>657.5</v>
      </c>
      <c r="J208" s="4">
        <f t="shared" si="3"/>
        <v>1016.96</v>
      </c>
      <c r="K208" s="179">
        <f>SUMIF(FALTAS!A:A,A208,FALTAS!D:D)</f>
        <v>0</v>
      </c>
    </row>
    <row r="209" spans="1:11" x14ac:dyDescent="0.25">
      <c r="A209" s="235">
        <v>114549</v>
      </c>
      <c r="B209" s="162" t="s">
        <v>1056</v>
      </c>
      <c r="C209" s="162" t="s">
        <v>2</v>
      </c>
      <c r="D209" s="162" t="s">
        <v>0</v>
      </c>
      <c r="E209" s="231">
        <v>43817</v>
      </c>
      <c r="F209" s="162" t="s">
        <v>1229</v>
      </c>
      <c r="G209" s="231">
        <v>45119</v>
      </c>
      <c r="H209" s="198">
        <f>SUMIF(VA!B:B,A209,VA!I:I)</f>
        <v>359.46</v>
      </c>
      <c r="I209" s="32">
        <f>SUMIF(VR!B:B,A209,VR!I:I)</f>
        <v>657.5</v>
      </c>
      <c r="J209" s="4">
        <f t="shared" si="3"/>
        <v>1016.96</v>
      </c>
      <c r="K209" s="179">
        <f>SUMIF(FALTAS!A:A,A209,FALTAS!D:D)</f>
        <v>0</v>
      </c>
    </row>
    <row r="210" spans="1:11" x14ac:dyDescent="0.25">
      <c r="A210" s="235">
        <v>116026</v>
      </c>
      <c r="B210" s="162" t="s">
        <v>1175</v>
      </c>
      <c r="C210" s="162" t="s">
        <v>5</v>
      </c>
      <c r="D210" s="162" t="s">
        <v>0</v>
      </c>
      <c r="E210" s="231">
        <v>44207</v>
      </c>
      <c r="F210" s="162" t="s">
        <v>1229</v>
      </c>
      <c r="G210" s="231">
        <v>45173</v>
      </c>
      <c r="H210" s="198">
        <f>SUMIF(VA!B:B,A210,VA!I:I)</f>
        <v>359.46</v>
      </c>
      <c r="I210" s="32">
        <f>SUMIF(VR!B:B,A210,VR!I:I)</f>
        <v>657.5</v>
      </c>
      <c r="J210" s="4">
        <f t="shared" si="3"/>
        <v>1016.96</v>
      </c>
      <c r="K210" s="179">
        <f>SUMIF(FALTAS!A:A,A210,FALTAS!D:D)</f>
        <v>0</v>
      </c>
    </row>
    <row r="211" spans="1:11" x14ac:dyDescent="0.25">
      <c r="A211" s="235">
        <v>112177</v>
      </c>
      <c r="B211" s="162" t="s">
        <v>14</v>
      </c>
      <c r="C211" s="162" t="s">
        <v>15</v>
      </c>
      <c r="D211" s="162" t="s">
        <v>1578</v>
      </c>
      <c r="E211" s="231">
        <v>43617</v>
      </c>
      <c r="F211" s="162" t="s">
        <v>1229</v>
      </c>
      <c r="G211" s="231">
        <v>44867</v>
      </c>
      <c r="H211" s="198">
        <f>SUMIF(VA!B:B,A211,VA!I:I)</f>
        <v>359.46</v>
      </c>
      <c r="I211" s="32">
        <f>SUMIF(VR!B:B,A211,VR!I:I)</f>
        <v>657.5</v>
      </c>
      <c r="J211" s="4">
        <f t="shared" si="3"/>
        <v>1016.96</v>
      </c>
      <c r="K211" s="179">
        <f>SUMIF(FALTAS!A:A,A211,FALTAS!D:D)</f>
        <v>0</v>
      </c>
    </row>
    <row r="212" spans="1:11" x14ac:dyDescent="0.25">
      <c r="A212" s="235">
        <v>112179</v>
      </c>
      <c r="B212" s="162" t="s">
        <v>17</v>
      </c>
      <c r="C212" s="162" t="s">
        <v>5</v>
      </c>
      <c r="D212" s="162" t="s">
        <v>10</v>
      </c>
      <c r="E212" s="231">
        <v>43617</v>
      </c>
      <c r="F212" s="162" t="s">
        <v>1229</v>
      </c>
      <c r="G212" s="231">
        <v>44806</v>
      </c>
      <c r="H212" s="198">
        <f>SUMIF(VA!B:B,A212,VA!I:I)</f>
        <v>359.46</v>
      </c>
      <c r="I212" s="32">
        <f>SUMIF(VR!B:B,A212,VR!I:I)</f>
        <v>657.5</v>
      </c>
      <c r="J212" s="4">
        <f t="shared" si="3"/>
        <v>1016.96</v>
      </c>
      <c r="K212" s="179">
        <f>SUMIF(FALTAS!A:A,A212,FALTAS!D:D)</f>
        <v>0</v>
      </c>
    </row>
    <row r="213" spans="1:11" x14ac:dyDescent="0.25">
      <c r="A213" s="235">
        <v>115413</v>
      </c>
      <c r="B213" s="162" t="s">
        <v>1158</v>
      </c>
      <c r="C213" s="162" t="s">
        <v>5</v>
      </c>
      <c r="D213" s="162" t="s">
        <v>19</v>
      </c>
      <c r="E213" s="231">
        <v>44048</v>
      </c>
      <c r="F213" s="162" t="s">
        <v>1229</v>
      </c>
      <c r="G213" s="231">
        <v>45086</v>
      </c>
      <c r="H213" s="198">
        <f>SUMIF(VA!B:B,A213,VA!I:I)</f>
        <v>359.46</v>
      </c>
      <c r="I213" s="32">
        <f>SUMIF(VR!B:B,A213,VR!I:I)</f>
        <v>657.5</v>
      </c>
      <c r="J213" s="4">
        <f t="shared" si="3"/>
        <v>1016.96</v>
      </c>
      <c r="K213" s="179">
        <f>SUMIF(FALTAS!A:A,A213,FALTAS!D:D)</f>
        <v>0</v>
      </c>
    </row>
    <row r="214" spans="1:11" x14ac:dyDescent="0.25">
      <c r="A214" s="235">
        <v>112181</v>
      </c>
      <c r="B214" s="162" t="s">
        <v>1549</v>
      </c>
      <c r="C214" s="162" t="s">
        <v>5</v>
      </c>
      <c r="D214" s="162" t="s">
        <v>8</v>
      </c>
      <c r="E214" s="231">
        <v>43617</v>
      </c>
      <c r="F214" s="162" t="s">
        <v>1279</v>
      </c>
      <c r="G214" s="231">
        <v>44275</v>
      </c>
      <c r="H214" s="198">
        <f>SUMIF(VA!B:B,A214,VA!I:I)</f>
        <v>0</v>
      </c>
      <c r="I214" s="32">
        <f>SUMIF(VR!B:B,A214,VR!I:I)</f>
        <v>0</v>
      </c>
      <c r="J214" s="4">
        <f t="shared" si="3"/>
        <v>0</v>
      </c>
      <c r="K214" s="179">
        <f>SUMIF(FALTAS!A:A,A214,FALTAS!D:D)</f>
        <v>0</v>
      </c>
    </row>
    <row r="215" spans="1:11" x14ac:dyDescent="0.25">
      <c r="A215" s="235">
        <v>116008</v>
      </c>
      <c r="B215" s="162" t="s">
        <v>1170</v>
      </c>
      <c r="C215" s="162" t="s">
        <v>5</v>
      </c>
      <c r="D215" s="162" t="s">
        <v>0</v>
      </c>
      <c r="E215" s="231">
        <v>44207</v>
      </c>
      <c r="F215" s="162" t="s">
        <v>1229</v>
      </c>
      <c r="G215" s="231">
        <v>45149</v>
      </c>
      <c r="H215" s="198">
        <f>SUMIF(VA!B:B,A215,VA!I:I)</f>
        <v>359.46</v>
      </c>
      <c r="I215" s="32">
        <f>SUMIF(VR!B:B,A215,VR!I:I)</f>
        <v>657.5</v>
      </c>
      <c r="J215" s="4">
        <f t="shared" si="3"/>
        <v>1016.96</v>
      </c>
      <c r="K215" s="179">
        <f>SUMIF(FALTAS!A:A,A215,FALTAS!D:D)</f>
        <v>0</v>
      </c>
    </row>
    <row r="216" spans="1:11" x14ac:dyDescent="0.25">
      <c r="A216" s="235">
        <v>112183</v>
      </c>
      <c r="B216" s="162" t="s">
        <v>18</v>
      </c>
      <c r="C216" s="162" t="s">
        <v>5</v>
      </c>
      <c r="D216" s="162" t="s">
        <v>10</v>
      </c>
      <c r="E216" s="231">
        <v>43617</v>
      </c>
      <c r="F216" s="162" t="s">
        <v>1229</v>
      </c>
      <c r="G216" s="231">
        <v>44835</v>
      </c>
      <c r="H216" s="198">
        <f>SUMIF(VA!B:B,A216,VA!I:I)</f>
        <v>359.46</v>
      </c>
      <c r="I216" s="32">
        <f>SUMIF(VR!B:B,A216,VR!I:I)</f>
        <v>657.5</v>
      </c>
      <c r="J216" s="4">
        <f t="shared" si="3"/>
        <v>1016.96</v>
      </c>
      <c r="K216" s="179">
        <f>SUMIF(FALTAS!A:A,A216,FALTAS!D:D)</f>
        <v>0</v>
      </c>
    </row>
    <row r="217" spans="1:11" x14ac:dyDescent="0.25">
      <c r="A217" s="235">
        <v>112184</v>
      </c>
      <c r="B217" s="162" t="s">
        <v>20</v>
      </c>
      <c r="C217" s="162" t="s">
        <v>2</v>
      </c>
      <c r="D217" s="162" t="s">
        <v>19</v>
      </c>
      <c r="E217" s="231">
        <v>43617</v>
      </c>
      <c r="F217" s="162" t="s">
        <v>1229</v>
      </c>
      <c r="G217" s="231">
        <v>45149</v>
      </c>
      <c r="H217" s="198">
        <f>SUMIF(VA!B:B,A217,VA!I:I)</f>
        <v>359.46</v>
      </c>
      <c r="I217" s="32">
        <f>SUMIF(VR!B:B,A217,VR!I:I)</f>
        <v>657.5</v>
      </c>
      <c r="J217" s="4">
        <f t="shared" si="3"/>
        <v>1016.96</v>
      </c>
      <c r="K217" s="179">
        <f>SUMIF(FALTAS!A:A,A217,FALTAS!D:D)</f>
        <v>0</v>
      </c>
    </row>
    <row r="218" spans="1:11" x14ac:dyDescent="0.25">
      <c r="A218" s="235">
        <v>121436</v>
      </c>
      <c r="B218" s="162" t="s">
        <v>1550</v>
      </c>
      <c r="C218" s="162" t="s">
        <v>5</v>
      </c>
      <c r="D218" s="162" t="s">
        <v>1578</v>
      </c>
      <c r="E218" s="231">
        <v>44967</v>
      </c>
      <c r="F218" s="162" t="s">
        <v>1229</v>
      </c>
      <c r="G218" s="231">
        <v>44967</v>
      </c>
      <c r="H218" s="198">
        <f>SUMIF(VA!B:B,A218,VA!I:I)</f>
        <v>359.46</v>
      </c>
      <c r="I218" s="32">
        <f>SUMIF(VR!B:B,A218,VR!I:I)</f>
        <v>657.5</v>
      </c>
      <c r="J218" s="4">
        <f t="shared" si="3"/>
        <v>1016.96</v>
      </c>
      <c r="K218" s="179">
        <f>SUMIF(FALTAS!A:A,A218,FALTAS!D:D)</f>
        <v>0</v>
      </c>
    </row>
    <row r="219" spans="1:11" x14ac:dyDescent="0.25">
      <c r="A219" s="235">
        <v>118650</v>
      </c>
      <c r="B219" s="162" t="s">
        <v>1396</v>
      </c>
      <c r="C219" s="162" t="s">
        <v>5</v>
      </c>
      <c r="D219" s="162" t="s">
        <v>1578</v>
      </c>
      <c r="E219" s="231">
        <v>44582</v>
      </c>
      <c r="F219" s="162" t="s">
        <v>1229</v>
      </c>
      <c r="G219" s="231">
        <v>45023</v>
      </c>
      <c r="H219" s="198">
        <f>SUMIF(VA!B:B,A219,VA!I:I)</f>
        <v>359.46</v>
      </c>
      <c r="I219" s="32">
        <f>SUMIF(VR!B:B,A219,VR!I:I)</f>
        <v>657.5</v>
      </c>
      <c r="J219" s="4">
        <f t="shared" si="3"/>
        <v>1016.96</v>
      </c>
      <c r="K219" s="179">
        <f>SUMIF(FALTAS!A:A,A219,FALTAS!D:D)</f>
        <v>0</v>
      </c>
    </row>
    <row r="220" spans="1:11" x14ac:dyDescent="0.25">
      <c r="A220" s="235">
        <v>114253</v>
      </c>
      <c r="B220" s="162" t="s">
        <v>1017</v>
      </c>
      <c r="C220" s="162" t="s">
        <v>5</v>
      </c>
      <c r="D220" s="162" t="s">
        <v>0</v>
      </c>
      <c r="E220" s="231">
        <v>43804</v>
      </c>
      <c r="F220" s="162" t="s">
        <v>1229</v>
      </c>
      <c r="G220" s="231">
        <v>45143</v>
      </c>
      <c r="H220" s="198">
        <f>SUMIF(VA!B:B,A220,VA!I:I)</f>
        <v>359.46</v>
      </c>
      <c r="I220" s="32">
        <f>SUMIF(VR!B:B,A220,VR!I:I)</f>
        <v>657.5</v>
      </c>
      <c r="J220" s="4">
        <f t="shared" si="3"/>
        <v>1016.96</v>
      </c>
      <c r="K220" s="179">
        <f>SUMIF(FALTAS!A:A,A220,FALTAS!D:D)</f>
        <v>0</v>
      </c>
    </row>
    <row r="221" spans="1:11" x14ac:dyDescent="0.25">
      <c r="A221" s="235">
        <v>114691</v>
      </c>
      <c r="B221" s="162" t="s">
        <v>1068</v>
      </c>
      <c r="C221" s="162" t="s">
        <v>5</v>
      </c>
      <c r="D221" s="162" t="s">
        <v>0</v>
      </c>
      <c r="E221" s="231">
        <v>43874</v>
      </c>
      <c r="F221" s="162" t="s">
        <v>1229</v>
      </c>
      <c r="G221" s="231">
        <v>45177</v>
      </c>
      <c r="H221" s="198">
        <f>SUMIF(VA!B:B,A221,VA!I:I)</f>
        <v>179.73</v>
      </c>
      <c r="I221" s="32">
        <f>SUMIF(VR!B:B,A221,VR!I:I)</f>
        <v>263</v>
      </c>
      <c r="J221" s="4">
        <f t="shared" si="3"/>
        <v>442.73</v>
      </c>
      <c r="K221" s="179">
        <f>SUMIF(FALTAS!A:A,A221,FALTAS!D:D)</f>
        <v>15</v>
      </c>
    </row>
    <row r="222" spans="1:11" x14ac:dyDescent="0.25">
      <c r="A222" s="235">
        <v>112186</v>
      </c>
      <c r="B222" s="162" t="s">
        <v>1551</v>
      </c>
      <c r="C222" s="162" t="s">
        <v>5</v>
      </c>
      <c r="D222" s="162" t="s">
        <v>1578</v>
      </c>
      <c r="E222" s="231">
        <v>43620</v>
      </c>
      <c r="F222" s="162" t="s">
        <v>1229</v>
      </c>
      <c r="G222" s="231">
        <v>45048</v>
      </c>
      <c r="H222" s="198">
        <f>SUMIF(VA!B:B,A222,VA!I:I)</f>
        <v>359.46</v>
      </c>
      <c r="I222" s="32">
        <f>SUMIF(VR!B:B,A222,VR!I:I)</f>
        <v>657.5</v>
      </c>
      <c r="J222" s="4">
        <f t="shared" si="3"/>
        <v>1016.96</v>
      </c>
      <c r="K222" s="179">
        <f>SUMIF(FALTAS!A:A,A222,FALTAS!D:D)</f>
        <v>0</v>
      </c>
    </row>
    <row r="223" spans="1:11" x14ac:dyDescent="0.25">
      <c r="A223" s="235">
        <v>112187</v>
      </c>
      <c r="B223" s="162" t="s">
        <v>21</v>
      </c>
      <c r="C223" s="162" t="s">
        <v>22</v>
      </c>
      <c r="D223" s="162" t="s">
        <v>1578</v>
      </c>
      <c r="E223" s="231">
        <v>43617</v>
      </c>
      <c r="F223" s="162" t="s">
        <v>1229</v>
      </c>
      <c r="G223" s="231">
        <v>44898</v>
      </c>
      <c r="H223" s="198">
        <f>SUMIF(VA!B:B,A223,VA!I:I)</f>
        <v>359.46</v>
      </c>
      <c r="I223" s="32">
        <f>SUMIF(VR!B:B,A223,VR!I:I)</f>
        <v>657.5</v>
      </c>
      <c r="J223" s="4">
        <f t="shared" si="3"/>
        <v>1016.96</v>
      </c>
      <c r="K223" s="179">
        <f>SUMIF(FALTAS!A:A,A223,FALTAS!D:D)</f>
        <v>0</v>
      </c>
    </row>
    <row r="224" spans="1:11" x14ac:dyDescent="0.25">
      <c r="A224" s="235">
        <v>121674</v>
      </c>
      <c r="B224" s="162" t="s">
        <v>1584</v>
      </c>
      <c r="C224" s="162" t="s">
        <v>5</v>
      </c>
      <c r="D224" s="162" t="s">
        <v>1578</v>
      </c>
      <c r="E224" s="231">
        <v>44994</v>
      </c>
      <c r="F224" s="162" t="s">
        <v>1229</v>
      </c>
      <c r="G224" s="231">
        <v>44994</v>
      </c>
      <c r="H224" s="198">
        <f>SUMIF(VA!B:B,A224,VA!I:I)</f>
        <v>359.46</v>
      </c>
      <c r="I224" s="32">
        <f>SUMIF(VR!B:B,A224,VR!I:I)</f>
        <v>657.5</v>
      </c>
      <c r="J224" s="4">
        <f t="shared" si="3"/>
        <v>1016.96</v>
      </c>
      <c r="K224" s="179">
        <f>SUMIF(FALTAS!A:A,A224,FALTAS!D:D)</f>
        <v>0</v>
      </c>
    </row>
    <row r="225" spans="1:11" x14ac:dyDescent="0.25">
      <c r="A225" s="235">
        <v>114504</v>
      </c>
      <c r="B225" s="162" t="s">
        <v>1041</v>
      </c>
      <c r="C225" s="162" t="s">
        <v>2</v>
      </c>
      <c r="D225" s="162" t="s">
        <v>0</v>
      </c>
      <c r="E225" s="231">
        <v>43811</v>
      </c>
      <c r="F225" s="162" t="s">
        <v>1229</v>
      </c>
      <c r="G225" s="231">
        <v>45086</v>
      </c>
      <c r="H225" s="198">
        <f>SUMIF(VA!B:B,A225,VA!I:I)</f>
        <v>359.46</v>
      </c>
      <c r="I225" s="32">
        <f>SUMIF(VR!B:B,A225,VR!I:I)</f>
        <v>657.5</v>
      </c>
      <c r="J225" s="4">
        <f t="shared" si="3"/>
        <v>1016.96</v>
      </c>
      <c r="K225" s="179">
        <f>SUMIF(FALTAS!A:A,A225,FALTAS!D:D)</f>
        <v>0</v>
      </c>
    </row>
    <row r="226" spans="1:11" x14ac:dyDescent="0.25">
      <c r="A226" s="235">
        <v>112318</v>
      </c>
      <c r="B226" s="162" t="s">
        <v>104</v>
      </c>
      <c r="C226" s="162" t="s">
        <v>2</v>
      </c>
      <c r="D226" s="162" t="s">
        <v>8</v>
      </c>
      <c r="E226" s="231">
        <v>43617</v>
      </c>
      <c r="F226" s="162" t="s">
        <v>1229</v>
      </c>
      <c r="G226" s="231">
        <v>45177</v>
      </c>
      <c r="H226" s="198">
        <f>SUMIF(VA!B:B,A226,VA!I:I)</f>
        <v>359.46</v>
      </c>
      <c r="I226" s="32">
        <f>SUMIF(VR!B:B,A226,VR!I:I)</f>
        <v>657.5</v>
      </c>
      <c r="J226" s="4">
        <f t="shared" si="3"/>
        <v>1016.96</v>
      </c>
      <c r="K226" s="179">
        <f>SUMIF(FALTAS!A:A,A226,FALTAS!D:D)</f>
        <v>0</v>
      </c>
    </row>
    <row r="227" spans="1:11" x14ac:dyDescent="0.25">
      <c r="A227" s="235">
        <v>112324</v>
      </c>
      <c r="B227" s="162" t="s">
        <v>107</v>
      </c>
      <c r="C227" s="162" t="s">
        <v>2</v>
      </c>
      <c r="D227" s="162" t="s">
        <v>0</v>
      </c>
      <c r="E227" s="231">
        <v>43617</v>
      </c>
      <c r="F227" s="162" t="s">
        <v>1229</v>
      </c>
      <c r="G227" s="231">
        <v>45177</v>
      </c>
      <c r="H227" s="198">
        <f>SUMIF(VA!B:B,A227,VA!I:I)</f>
        <v>359.46</v>
      </c>
      <c r="I227" s="32">
        <f>SUMIF(VR!B:B,A227,VR!I:I)</f>
        <v>657.5</v>
      </c>
      <c r="J227" s="4">
        <f t="shared" si="3"/>
        <v>1016.96</v>
      </c>
      <c r="K227" s="179">
        <f>SUMIF(FALTAS!A:A,A227,FALTAS!D:D)</f>
        <v>0</v>
      </c>
    </row>
    <row r="228" spans="1:11" x14ac:dyDescent="0.25">
      <c r="A228" s="235">
        <v>112327</v>
      </c>
      <c r="B228" s="162" t="s">
        <v>109</v>
      </c>
      <c r="C228" s="162" t="s">
        <v>5</v>
      </c>
      <c r="D228" s="162" t="s">
        <v>19</v>
      </c>
      <c r="E228" s="231">
        <v>43617</v>
      </c>
      <c r="F228" s="162" t="s">
        <v>1230</v>
      </c>
      <c r="G228" s="231">
        <v>45180</v>
      </c>
      <c r="H228" s="198">
        <f>SUMIF(VA!B:B,A228,VA!I:I)</f>
        <v>359.46</v>
      </c>
      <c r="I228" s="32">
        <f>SUMIF(VR!B:B,A228,VR!I:I)</f>
        <v>657.5</v>
      </c>
      <c r="J228" s="4">
        <f t="shared" si="3"/>
        <v>1016.96</v>
      </c>
      <c r="K228" s="179">
        <f>SUMIF(FALTAS!A:A,A228,FALTAS!D:D)</f>
        <v>0</v>
      </c>
    </row>
    <row r="229" spans="1:11" x14ac:dyDescent="0.25">
      <c r="A229" s="235">
        <v>112334</v>
      </c>
      <c r="B229" s="162" t="s">
        <v>116</v>
      </c>
      <c r="C229" s="162" t="s">
        <v>2</v>
      </c>
      <c r="D229" s="162" t="s">
        <v>19</v>
      </c>
      <c r="E229" s="231">
        <v>43617</v>
      </c>
      <c r="F229" s="162" t="s">
        <v>1229</v>
      </c>
      <c r="G229" s="231">
        <v>45177</v>
      </c>
      <c r="H229" s="198">
        <f>SUMIF(VA!B:B,A229,VA!I:I)</f>
        <v>359.46</v>
      </c>
      <c r="I229" s="32">
        <f>SUMIF(VR!B:B,A229,VR!I:I)</f>
        <v>657.5</v>
      </c>
      <c r="J229" s="4">
        <f t="shared" si="3"/>
        <v>1016.96</v>
      </c>
      <c r="K229" s="179">
        <f>SUMIF(FALTAS!A:A,A229,FALTAS!D:D)</f>
        <v>0</v>
      </c>
    </row>
    <row r="230" spans="1:11" x14ac:dyDescent="0.25">
      <c r="A230" s="235">
        <v>112340</v>
      </c>
      <c r="B230" s="162" t="s">
        <v>119</v>
      </c>
      <c r="C230" s="162" t="s">
        <v>146</v>
      </c>
      <c r="D230" s="162" t="s">
        <v>0</v>
      </c>
      <c r="E230" s="231">
        <v>43617</v>
      </c>
      <c r="F230" s="162" t="s">
        <v>1229</v>
      </c>
      <c r="G230" s="231">
        <v>45071</v>
      </c>
      <c r="H230" s="198">
        <f>SUMIF(VA!B:B,A230,VA!I:I)</f>
        <v>359.46</v>
      </c>
      <c r="I230" s="32">
        <f>SUMIF(VR!B:B,A230,VR!I:I)</f>
        <v>657.5</v>
      </c>
      <c r="J230" s="4">
        <f t="shared" si="3"/>
        <v>1016.96</v>
      </c>
      <c r="K230" s="179">
        <f>SUMIF(FALTAS!A:A,A230,FALTAS!D:D)</f>
        <v>0</v>
      </c>
    </row>
    <row r="231" spans="1:11" x14ac:dyDescent="0.25">
      <c r="A231" s="235">
        <v>112348</v>
      </c>
      <c r="B231" s="162" t="s">
        <v>124</v>
      </c>
      <c r="C231" s="162" t="s">
        <v>2</v>
      </c>
      <c r="D231" s="162" t="s">
        <v>8</v>
      </c>
      <c r="E231" s="231">
        <v>43617</v>
      </c>
      <c r="F231" s="162" t="s">
        <v>1229</v>
      </c>
      <c r="G231" s="231">
        <v>45177</v>
      </c>
      <c r="H231" s="198">
        <f>SUMIF(VA!B:B,A231,VA!I:I)</f>
        <v>359.46</v>
      </c>
      <c r="I231" s="32">
        <f>SUMIF(VR!B:B,A231,VR!I:I)</f>
        <v>657.5</v>
      </c>
      <c r="J231" s="4">
        <f t="shared" si="3"/>
        <v>1016.96</v>
      </c>
      <c r="K231" s="179">
        <f>SUMIF(FALTAS!A:A,A231,FALTAS!D:D)</f>
        <v>0</v>
      </c>
    </row>
    <row r="232" spans="1:11" x14ac:dyDescent="0.25">
      <c r="A232" s="235">
        <v>122343</v>
      </c>
      <c r="B232" s="162" t="s">
        <v>1651</v>
      </c>
      <c r="C232" s="162" t="s">
        <v>2</v>
      </c>
      <c r="D232" s="162" t="s">
        <v>8</v>
      </c>
      <c r="E232" s="231">
        <v>45098</v>
      </c>
      <c r="F232" s="162" t="s">
        <v>1229</v>
      </c>
      <c r="G232" s="231">
        <v>45098</v>
      </c>
      <c r="H232" s="198">
        <f>SUMIF(VA!B:B,A232,VA!I:I)</f>
        <v>359.46</v>
      </c>
      <c r="I232" s="32">
        <f>SUMIF(VR!B:B,A232,VR!I:I)</f>
        <v>657.5</v>
      </c>
      <c r="J232" s="4">
        <f t="shared" si="3"/>
        <v>1016.96</v>
      </c>
      <c r="K232" s="179">
        <f>SUMIF(FALTAS!A:A,A232,FALTAS!D:D)</f>
        <v>0</v>
      </c>
    </row>
    <row r="233" spans="1:11" x14ac:dyDescent="0.25">
      <c r="A233" s="235">
        <v>112443</v>
      </c>
      <c r="B233" s="162" t="s">
        <v>184</v>
      </c>
      <c r="C233" s="162" t="s">
        <v>5</v>
      </c>
      <c r="D233" s="162" t="s">
        <v>19</v>
      </c>
      <c r="E233" s="231">
        <v>43617</v>
      </c>
      <c r="F233" s="162" t="s">
        <v>1229</v>
      </c>
      <c r="G233" s="231">
        <v>45177</v>
      </c>
      <c r="H233" s="198">
        <f>SUMIF(VA!B:B,A233,VA!I:I)</f>
        <v>359.46</v>
      </c>
      <c r="I233" s="32">
        <f>SUMIF(VR!B:B,A233,VR!I:I)</f>
        <v>657.5</v>
      </c>
      <c r="J233" s="4">
        <f t="shared" si="3"/>
        <v>1016.96</v>
      </c>
      <c r="K233" s="179">
        <f>SUMIF(FALTAS!A:A,A233,FALTAS!D:D)</f>
        <v>0</v>
      </c>
    </row>
    <row r="234" spans="1:11" x14ac:dyDescent="0.25">
      <c r="A234" s="235">
        <v>112490</v>
      </c>
      <c r="B234" s="162" t="s">
        <v>212</v>
      </c>
      <c r="C234" s="162" t="s">
        <v>22</v>
      </c>
      <c r="D234" s="162" t="s">
        <v>1578</v>
      </c>
      <c r="E234" s="231">
        <v>43617</v>
      </c>
      <c r="F234" s="162" t="s">
        <v>1229</v>
      </c>
      <c r="G234" s="231">
        <v>45023</v>
      </c>
      <c r="H234" s="198">
        <f>SUMIF(VA!B:B,A234,VA!I:I)</f>
        <v>359.46</v>
      </c>
      <c r="I234" s="32">
        <f>SUMIF(VR!B:B,A234,VR!I:I)</f>
        <v>657.5</v>
      </c>
      <c r="J234" s="4">
        <f t="shared" si="3"/>
        <v>1016.96</v>
      </c>
      <c r="K234" s="179">
        <f>SUMIF(FALTAS!A:A,A234,FALTAS!D:D)</f>
        <v>0</v>
      </c>
    </row>
    <row r="235" spans="1:11" x14ac:dyDescent="0.25">
      <c r="A235" s="235">
        <v>112502</v>
      </c>
      <c r="B235" s="162" t="s">
        <v>220</v>
      </c>
      <c r="C235" s="162" t="s">
        <v>15</v>
      </c>
      <c r="D235" s="162" t="s">
        <v>1578</v>
      </c>
      <c r="E235" s="231">
        <v>43617</v>
      </c>
      <c r="F235" s="162" t="s">
        <v>1229</v>
      </c>
      <c r="G235" s="231">
        <v>45177</v>
      </c>
      <c r="H235" s="198">
        <f>SUMIF(VA!B:B,A235,VA!I:I)</f>
        <v>359.46</v>
      </c>
      <c r="I235" s="32">
        <f>SUMIF(VR!B:B,A235,VR!I:I)</f>
        <v>657.5</v>
      </c>
      <c r="J235" s="4">
        <f t="shared" si="3"/>
        <v>1016.96</v>
      </c>
      <c r="K235" s="179">
        <f>SUMIF(FALTAS!A:A,A235,FALTAS!D:D)</f>
        <v>0</v>
      </c>
    </row>
    <row r="236" spans="1:11" x14ac:dyDescent="0.25">
      <c r="A236" s="235">
        <v>112521</v>
      </c>
      <c r="B236" s="162" t="s">
        <v>236</v>
      </c>
      <c r="C236" s="162" t="s">
        <v>2</v>
      </c>
      <c r="D236" s="162" t="s">
        <v>8</v>
      </c>
      <c r="E236" s="231">
        <v>43617</v>
      </c>
      <c r="F236" s="162" t="s">
        <v>1229</v>
      </c>
      <c r="G236" s="231">
        <v>45119</v>
      </c>
      <c r="H236" s="198">
        <f>SUMIF(VA!B:B,A236,VA!I:I)</f>
        <v>359.46</v>
      </c>
      <c r="I236" s="32">
        <f>SUMIF(VR!B:B,A236,VR!I:I)</f>
        <v>657.5</v>
      </c>
      <c r="J236" s="4">
        <f t="shared" si="3"/>
        <v>1016.96</v>
      </c>
      <c r="K236" s="179">
        <f>SUMIF(FALTAS!A:A,A236,FALTAS!D:D)</f>
        <v>0</v>
      </c>
    </row>
    <row r="237" spans="1:11" x14ac:dyDescent="0.25">
      <c r="A237" s="235">
        <v>122824</v>
      </c>
      <c r="B237" s="162" t="s">
        <v>1717</v>
      </c>
      <c r="C237" s="162" t="s">
        <v>5</v>
      </c>
      <c r="D237" s="162" t="s">
        <v>0</v>
      </c>
      <c r="E237" s="231">
        <v>45180</v>
      </c>
      <c r="F237" s="162" t="s">
        <v>1229</v>
      </c>
      <c r="G237" s="231">
        <v>45180</v>
      </c>
      <c r="H237" s="198">
        <f>SUMIF(VA!B:B,A237,VA!I:I)</f>
        <v>359.46</v>
      </c>
      <c r="I237" s="32">
        <f>SUMIF(VR!B:B,A237,VR!I:I)</f>
        <v>657.5</v>
      </c>
      <c r="J237" s="4">
        <f t="shared" si="3"/>
        <v>1016.96</v>
      </c>
      <c r="K237" s="179">
        <f>SUMIF(FALTAS!A:A,A237,FALTAS!D:D)</f>
        <v>0</v>
      </c>
    </row>
    <row r="238" spans="1:11" x14ac:dyDescent="0.25">
      <c r="A238" s="235">
        <v>113305</v>
      </c>
      <c r="B238" s="162" t="s">
        <v>696</v>
      </c>
      <c r="C238" s="162" t="s">
        <v>2</v>
      </c>
      <c r="D238" s="162" t="s">
        <v>0</v>
      </c>
      <c r="E238" s="231">
        <v>43617</v>
      </c>
      <c r="F238" s="162" t="s">
        <v>1229</v>
      </c>
      <c r="G238" s="231">
        <v>45056</v>
      </c>
      <c r="H238" s="198">
        <f>SUMIF(VA!B:B,A238,VA!I:I)</f>
        <v>359.46</v>
      </c>
      <c r="I238" s="32">
        <f>SUMIF(VR!B:B,A238,VR!I:I)</f>
        <v>657.5</v>
      </c>
      <c r="J238" s="4">
        <f t="shared" si="3"/>
        <v>1016.96</v>
      </c>
      <c r="K238" s="179">
        <f>SUMIF(FALTAS!A:A,A238,FALTAS!D:D)</f>
        <v>0</v>
      </c>
    </row>
    <row r="239" spans="1:11" x14ac:dyDescent="0.25">
      <c r="A239" s="235">
        <v>112525</v>
      </c>
      <c r="B239" s="162" t="s">
        <v>238</v>
      </c>
      <c r="C239" s="162" t="s">
        <v>15</v>
      </c>
      <c r="D239" s="162" t="s">
        <v>1578</v>
      </c>
      <c r="E239" s="231">
        <v>43617</v>
      </c>
      <c r="F239" s="162" t="s">
        <v>1229</v>
      </c>
      <c r="G239" s="231">
        <v>44867</v>
      </c>
      <c r="H239" s="198">
        <f>SUMIF(VA!B:B,A239,VA!I:I)</f>
        <v>359.46</v>
      </c>
      <c r="I239" s="32">
        <f>SUMIF(VR!B:B,A239,VR!I:I)</f>
        <v>657.5</v>
      </c>
      <c r="J239" s="4">
        <f t="shared" si="3"/>
        <v>1016.96</v>
      </c>
      <c r="K239" s="179">
        <f>SUMIF(FALTAS!A:A,A239,FALTAS!D:D)</f>
        <v>0</v>
      </c>
    </row>
    <row r="240" spans="1:11" x14ac:dyDescent="0.25">
      <c r="A240" s="235">
        <v>112527</v>
      </c>
      <c r="B240" s="162" t="s">
        <v>240</v>
      </c>
      <c r="C240" s="162" t="s">
        <v>15</v>
      </c>
      <c r="D240" s="162" t="s">
        <v>1578</v>
      </c>
      <c r="E240" s="231">
        <v>43617</v>
      </c>
      <c r="F240" s="162" t="s">
        <v>1229</v>
      </c>
      <c r="G240" s="231">
        <v>44806</v>
      </c>
      <c r="H240" s="198">
        <f>SUMIF(VA!B:B,A240,VA!I:I)</f>
        <v>359.46</v>
      </c>
      <c r="I240" s="32">
        <f>SUMIF(VR!B:B,A240,VR!I:I)</f>
        <v>657.5</v>
      </c>
      <c r="J240" s="4">
        <f t="shared" si="3"/>
        <v>1016.96</v>
      </c>
      <c r="K240" s="179">
        <f>SUMIF(FALTAS!A:A,A240,FALTAS!D:D)</f>
        <v>0</v>
      </c>
    </row>
    <row r="241" spans="1:11" x14ac:dyDescent="0.25">
      <c r="A241" s="235">
        <v>112530</v>
      </c>
      <c r="B241" s="162" t="s">
        <v>242</v>
      </c>
      <c r="C241" s="162" t="s">
        <v>15</v>
      </c>
      <c r="D241" s="162" t="s">
        <v>1578</v>
      </c>
      <c r="E241" s="231">
        <v>43617</v>
      </c>
      <c r="F241" s="162" t="s">
        <v>1229</v>
      </c>
      <c r="G241" s="231">
        <v>45149</v>
      </c>
      <c r="H241" s="198">
        <f>SUMIF(VA!B:B,A241,VA!I:I)</f>
        <v>359.46</v>
      </c>
      <c r="I241" s="32">
        <f>SUMIF(VR!B:B,A241,VR!I:I)</f>
        <v>657.5</v>
      </c>
      <c r="J241" s="4">
        <f t="shared" si="3"/>
        <v>1016.96</v>
      </c>
      <c r="K241" s="179">
        <f>SUMIF(FALTAS!A:A,A241,FALTAS!D:D)</f>
        <v>0</v>
      </c>
    </row>
    <row r="242" spans="1:11" x14ac:dyDescent="0.25">
      <c r="A242" s="235">
        <v>112532</v>
      </c>
      <c r="B242" s="162" t="s">
        <v>244</v>
      </c>
      <c r="C242" s="162" t="s">
        <v>2</v>
      </c>
      <c r="D242" s="162" t="s">
        <v>10</v>
      </c>
      <c r="E242" s="231">
        <v>43617</v>
      </c>
      <c r="F242" s="162" t="s">
        <v>1229</v>
      </c>
      <c r="G242" s="231">
        <v>45119</v>
      </c>
      <c r="H242" s="198">
        <f>SUMIF(VA!B:B,A242,VA!I:I)</f>
        <v>359.46</v>
      </c>
      <c r="I242" s="32">
        <f>SUMIF(VR!B:B,A242,VR!I:I)</f>
        <v>657.5</v>
      </c>
      <c r="J242" s="4">
        <f t="shared" si="3"/>
        <v>1016.96</v>
      </c>
      <c r="K242" s="179">
        <f>SUMIF(FALTAS!A:A,A242,FALTAS!D:D)</f>
        <v>0</v>
      </c>
    </row>
    <row r="243" spans="1:11" x14ac:dyDescent="0.25">
      <c r="A243" s="235">
        <v>112533</v>
      </c>
      <c r="B243" s="162" t="s">
        <v>245</v>
      </c>
      <c r="C243" s="162" t="s">
        <v>2</v>
      </c>
      <c r="D243" s="162" t="s">
        <v>0</v>
      </c>
      <c r="E243" s="231">
        <v>43617</v>
      </c>
      <c r="F243" s="162" t="s">
        <v>1229</v>
      </c>
      <c r="G243" s="231">
        <v>45056</v>
      </c>
      <c r="H243" s="198">
        <f>SUMIF(VA!B:B,A243,VA!I:I)</f>
        <v>359.46</v>
      </c>
      <c r="I243" s="32">
        <f>SUMIF(VR!B:B,A243,VR!I:I)</f>
        <v>657.5</v>
      </c>
      <c r="J243" s="4">
        <f t="shared" si="3"/>
        <v>1016.96</v>
      </c>
      <c r="K243" s="179">
        <f>SUMIF(FALTAS!A:A,A243,FALTAS!D:D)</f>
        <v>0</v>
      </c>
    </row>
    <row r="244" spans="1:11" x14ac:dyDescent="0.25">
      <c r="A244" s="235">
        <v>112535</v>
      </c>
      <c r="B244" s="162" t="s">
        <v>247</v>
      </c>
      <c r="C244" s="162" t="s">
        <v>2</v>
      </c>
      <c r="D244" s="162" t="s">
        <v>8</v>
      </c>
      <c r="E244" s="231">
        <v>43617</v>
      </c>
      <c r="F244" s="162" t="s">
        <v>1229</v>
      </c>
      <c r="G244" s="231">
        <v>45177</v>
      </c>
      <c r="H244" s="198">
        <f>SUMIF(VA!B:B,A244,VA!I:I)</f>
        <v>359.46</v>
      </c>
      <c r="I244" s="32">
        <f>SUMIF(VR!B:B,A244,VR!I:I)</f>
        <v>657.5</v>
      </c>
      <c r="J244" s="4">
        <f t="shared" si="3"/>
        <v>1016.96</v>
      </c>
      <c r="K244" s="179">
        <f>SUMIF(FALTAS!A:A,A244,FALTAS!D:D)</f>
        <v>0</v>
      </c>
    </row>
    <row r="245" spans="1:11" x14ac:dyDescent="0.25">
      <c r="A245" s="235">
        <v>112538</v>
      </c>
      <c r="B245" s="162" t="s">
        <v>249</v>
      </c>
      <c r="C245" s="162" t="s">
        <v>2</v>
      </c>
      <c r="D245" s="162" t="s">
        <v>10</v>
      </c>
      <c r="E245" s="231">
        <v>43617</v>
      </c>
      <c r="F245" s="162" t="s">
        <v>1229</v>
      </c>
      <c r="G245" s="231">
        <v>45149</v>
      </c>
      <c r="H245" s="198">
        <f>SUMIF(VA!B:B,A245,VA!I:I)</f>
        <v>359.46</v>
      </c>
      <c r="I245" s="32">
        <f>SUMIF(VR!B:B,A245,VR!I:I)</f>
        <v>657.5</v>
      </c>
      <c r="J245" s="4">
        <f t="shared" si="3"/>
        <v>1016.96</v>
      </c>
      <c r="K245" s="179">
        <f>SUMIF(FALTAS!A:A,A245,FALTAS!D:D)</f>
        <v>0</v>
      </c>
    </row>
    <row r="246" spans="1:11" x14ac:dyDescent="0.25">
      <c r="A246" s="235">
        <v>114537</v>
      </c>
      <c r="B246" s="162" t="s">
        <v>1050</v>
      </c>
      <c r="C246" s="162" t="s">
        <v>5</v>
      </c>
      <c r="D246" s="162" t="s">
        <v>8</v>
      </c>
      <c r="E246" s="231">
        <v>43817</v>
      </c>
      <c r="F246" s="162" t="s">
        <v>1229</v>
      </c>
      <c r="G246" s="231">
        <v>45177</v>
      </c>
      <c r="H246" s="198">
        <f>SUMIF(VA!B:B,A246,VA!I:I)</f>
        <v>359.46</v>
      </c>
      <c r="I246" s="32">
        <f>SUMIF(VR!B:B,A246,VR!I:I)</f>
        <v>657.5</v>
      </c>
      <c r="J246" s="4">
        <f t="shared" si="3"/>
        <v>1016.96</v>
      </c>
      <c r="K246" s="179">
        <f>SUMIF(FALTAS!A:A,A246,FALTAS!D:D)</f>
        <v>0</v>
      </c>
    </row>
    <row r="247" spans="1:11" x14ac:dyDescent="0.25">
      <c r="A247" s="235">
        <v>115218</v>
      </c>
      <c r="B247" s="162" t="s">
        <v>1142</v>
      </c>
      <c r="C247" s="162" t="s">
        <v>5</v>
      </c>
      <c r="D247" s="162" t="s">
        <v>19</v>
      </c>
      <c r="E247" s="231">
        <v>44018</v>
      </c>
      <c r="F247" s="162" t="s">
        <v>1229</v>
      </c>
      <c r="G247" s="231">
        <v>45056</v>
      </c>
      <c r="H247" s="198">
        <f>SUMIF(VA!B:B,A247,VA!I:I)</f>
        <v>359.46</v>
      </c>
      <c r="I247" s="32">
        <f>SUMIF(VR!B:B,A247,VR!I:I)</f>
        <v>657.5</v>
      </c>
      <c r="J247" s="4">
        <f t="shared" si="3"/>
        <v>1016.96</v>
      </c>
      <c r="K247" s="179">
        <f>SUMIF(FALTAS!A:A,A247,FALTAS!D:D)</f>
        <v>0</v>
      </c>
    </row>
    <row r="248" spans="1:11" x14ac:dyDescent="0.25">
      <c r="A248" s="235">
        <v>112544</v>
      </c>
      <c r="B248" s="162" t="s">
        <v>1552</v>
      </c>
      <c r="C248" s="162" t="s">
        <v>2</v>
      </c>
      <c r="D248" s="162" t="s">
        <v>0</v>
      </c>
      <c r="E248" s="231">
        <v>43617</v>
      </c>
      <c r="F248" s="162" t="s">
        <v>1279</v>
      </c>
      <c r="G248" s="231">
        <v>43713</v>
      </c>
      <c r="H248" s="198">
        <f>SUMIF(VA!B:B,A248,VA!I:I)</f>
        <v>0</v>
      </c>
      <c r="I248" s="32">
        <f>SUMIF(VR!B:B,A248,VR!I:I)</f>
        <v>0</v>
      </c>
      <c r="J248" s="4">
        <f t="shared" si="3"/>
        <v>0</v>
      </c>
      <c r="K248" s="179">
        <f>SUMIF(FALTAS!A:A,A248,FALTAS!D:D)</f>
        <v>0</v>
      </c>
    </row>
    <row r="249" spans="1:11" x14ac:dyDescent="0.25">
      <c r="A249" s="235">
        <v>112548</v>
      </c>
      <c r="B249" s="162" t="s">
        <v>258</v>
      </c>
      <c r="C249" s="162" t="s">
        <v>39</v>
      </c>
      <c r="D249" s="162" t="s">
        <v>32</v>
      </c>
      <c r="E249" s="231">
        <v>43617</v>
      </c>
      <c r="F249" s="162" t="s">
        <v>1230</v>
      </c>
      <c r="G249" s="231">
        <v>45180</v>
      </c>
      <c r="H249" s="198">
        <f>SUMIF(VA!B:B,A249,VA!I:I)</f>
        <v>359.46</v>
      </c>
      <c r="I249" s="32">
        <f>SUMIF(VR!B:B,A249,VR!I:I)</f>
        <v>657.5</v>
      </c>
      <c r="J249" s="4">
        <f t="shared" si="3"/>
        <v>1016.96</v>
      </c>
      <c r="K249" s="179">
        <f>SUMIF(FALTAS!A:A,A249,FALTAS!D:D)</f>
        <v>0</v>
      </c>
    </row>
    <row r="250" spans="1:11" x14ac:dyDescent="0.25">
      <c r="A250" s="235">
        <v>116072</v>
      </c>
      <c r="B250" s="162" t="s">
        <v>1178</v>
      </c>
      <c r="C250" s="162" t="s">
        <v>228</v>
      </c>
      <c r="D250" s="162" t="s">
        <v>1578</v>
      </c>
      <c r="E250" s="231">
        <v>44216</v>
      </c>
      <c r="F250" s="162" t="s">
        <v>1229</v>
      </c>
      <c r="G250" s="231">
        <v>45149</v>
      </c>
      <c r="H250" s="198">
        <f>SUMIF(VA!B:B,A250,VA!I:I)</f>
        <v>359.46</v>
      </c>
      <c r="I250" s="32">
        <f>SUMIF(VR!B:B,A250,VR!I:I)</f>
        <v>657.5</v>
      </c>
      <c r="J250" s="4">
        <f t="shared" si="3"/>
        <v>1016.96</v>
      </c>
      <c r="K250" s="179">
        <f>SUMIF(FALTAS!A:A,A250,FALTAS!D:D)</f>
        <v>0</v>
      </c>
    </row>
    <row r="251" spans="1:11" x14ac:dyDescent="0.25">
      <c r="A251" s="235">
        <v>112551</v>
      </c>
      <c r="B251" s="162" t="s">
        <v>260</v>
      </c>
      <c r="C251" s="162" t="s">
        <v>39</v>
      </c>
      <c r="D251" s="162" t="s">
        <v>19</v>
      </c>
      <c r="E251" s="231">
        <v>43617</v>
      </c>
      <c r="F251" s="162" t="s">
        <v>1230</v>
      </c>
      <c r="G251" s="231">
        <v>45180</v>
      </c>
      <c r="H251" s="198">
        <f>SUMIF(VA!B:B,A251,VA!I:I)</f>
        <v>359.46</v>
      </c>
      <c r="I251" s="32">
        <f>SUMIF(VR!B:B,A251,VR!I:I)</f>
        <v>657.5</v>
      </c>
      <c r="J251" s="4">
        <f t="shared" si="3"/>
        <v>1016.96</v>
      </c>
      <c r="K251" s="179">
        <f>SUMIF(FALTAS!A:A,A251,FALTAS!D:D)</f>
        <v>0</v>
      </c>
    </row>
    <row r="252" spans="1:11" x14ac:dyDescent="0.25">
      <c r="A252" s="235">
        <v>115415</v>
      </c>
      <c r="B252" s="162" t="s">
        <v>1159</v>
      </c>
      <c r="C252" s="162" t="s">
        <v>5</v>
      </c>
      <c r="D252" s="162" t="s">
        <v>0</v>
      </c>
      <c r="E252" s="231">
        <v>44048</v>
      </c>
      <c r="F252" s="162" t="s">
        <v>1229</v>
      </c>
      <c r="G252" s="231">
        <v>45086</v>
      </c>
      <c r="H252" s="198">
        <f>SUMIF(VA!B:B,A252,VA!I:I)</f>
        <v>359.46</v>
      </c>
      <c r="I252" s="32">
        <f>SUMIF(VR!B:B,A252,VR!I:I)</f>
        <v>657.5</v>
      </c>
      <c r="J252" s="4">
        <f t="shared" si="3"/>
        <v>1016.96</v>
      </c>
      <c r="K252" s="179">
        <f>SUMIF(FALTAS!A:A,A252,FALTAS!D:D)</f>
        <v>0</v>
      </c>
    </row>
    <row r="253" spans="1:11" x14ac:dyDescent="0.25">
      <c r="A253" s="235">
        <v>112553</v>
      </c>
      <c r="B253" s="162" t="s">
        <v>261</v>
      </c>
      <c r="C253" s="162" t="s">
        <v>2</v>
      </c>
      <c r="D253" s="162" t="s">
        <v>8</v>
      </c>
      <c r="E253" s="231">
        <v>43617</v>
      </c>
      <c r="F253" s="162" t="s">
        <v>1229</v>
      </c>
      <c r="G253" s="231">
        <v>45177</v>
      </c>
      <c r="H253" s="198">
        <f>SUMIF(VA!B:B,A253,VA!I:I)</f>
        <v>359.46</v>
      </c>
      <c r="I253" s="32">
        <f>SUMIF(VR!B:B,A253,VR!I:I)</f>
        <v>657.5</v>
      </c>
      <c r="J253" s="4">
        <f t="shared" si="3"/>
        <v>1016.96</v>
      </c>
      <c r="K253" s="179">
        <f>SUMIF(FALTAS!A:A,A253,FALTAS!D:D)</f>
        <v>0</v>
      </c>
    </row>
    <row r="254" spans="1:11" x14ac:dyDescent="0.25">
      <c r="A254" s="235">
        <v>112555</v>
      </c>
      <c r="B254" s="162" t="s">
        <v>262</v>
      </c>
      <c r="C254" s="162" t="s">
        <v>2</v>
      </c>
      <c r="D254" s="162" t="s">
        <v>8</v>
      </c>
      <c r="E254" s="231">
        <v>43617</v>
      </c>
      <c r="F254" s="162" t="s">
        <v>1229</v>
      </c>
      <c r="G254" s="231">
        <v>45177</v>
      </c>
      <c r="H254" s="198">
        <f>SUMIF(VA!B:B,A254,VA!I:I)</f>
        <v>359.46</v>
      </c>
      <c r="I254" s="32">
        <f>SUMIF(VR!B:B,A254,VR!I:I)</f>
        <v>657.5</v>
      </c>
      <c r="J254" s="4">
        <f t="shared" si="3"/>
        <v>1016.96</v>
      </c>
      <c r="K254" s="179">
        <f>SUMIF(FALTAS!A:A,A254,FALTAS!D:D)</f>
        <v>0</v>
      </c>
    </row>
    <row r="255" spans="1:11" x14ac:dyDescent="0.25">
      <c r="A255" s="235">
        <v>112557</v>
      </c>
      <c r="B255" s="162" t="s">
        <v>263</v>
      </c>
      <c r="C255" s="162" t="s">
        <v>22</v>
      </c>
      <c r="D255" s="162" t="s">
        <v>1578</v>
      </c>
      <c r="E255" s="231">
        <v>43617</v>
      </c>
      <c r="F255" s="162" t="s">
        <v>1229</v>
      </c>
      <c r="G255" s="231">
        <v>44930</v>
      </c>
      <c r="H255" s="198">
        <f>SUMIF(VA!B:B,A255,VA!I:I)</f>
        <v>359.46</v>
      </c>
      <c r="I255" s="32">
        <f>SUMIF(VR!B:B,A255,VR!I:I)</f>
        <v>657.5</v>
      </c>
      <c r="J255" s="4">
        <f t="shared" si="3"/>
        <v>1016.96</v>
      </c>
      <c r="K255" s="179">
        <f>SUMIF(FALTAS!A:A,A255,FALTAS!D:D)</f>
        <v>0</v>
      </c>
    </row>
    <row r="256" spans="1:11" x14ac:dyDescent="0.25">
      <c r="A256" s="235">
        <v>112559</v>
      </c>
      <c r="B256" s="162" t="s">
        <v>265</v>
      </c>
      <c r="C256" s="162" t="s">
        <v>2</v>
      </c>
      <c r="D256" s="162" t="s">
        <v>0</v>
      </c>
      <c r="E256" s="231">
        <v>43617</v>
      </c>
      <c r="F256" s="162" t="s">
        <v>1230</v>
      </c>
      <c r="G256" s="231">
        <v>45180</v>
      </c>
      <c r="H256" s="198">
        <f>SUMIF(VA!B:B,A256,VA!I:I)</f>
        <v>359.46</v>
      </c>
      <c r="I256" s="32">
        <f>SUMIF(VR!B:B,A256,VR!I:I)</f>
        <v>657.5</v>
      </c>
      <c r="J256" s="4">
        <f t="shared" si="3"/>
        <v>1016.96</v>
      </c>
      <c r="K256" s="179">
        <f>SUMIF(FALTAS!A:A,A256,FALTAS!D:D)</f>
        <v>0</v>
      </c>
    </row>
    <row r="257" spans="1:11" x14ac:dyDescent="0.25">
      <c r="A257" s="235">
        <v>112561</v>
      </c>
      <c r="B257" s="162" t="s">
        <v>266</v>
      </c>
      <c r="C257" s="162" t="s">
        <v>2</v>
      </c>
      <c r="D257" s="162" t="s">
        <v>10</v>
      </c>
      <c r="E257" s="231">
        <v>43617</v>
      </c>
      <c r="F257" s="162" t="s">
        <v>1230</v>
      </c>
      <c r="G257" s="231">
        <v>45180</v>
      </c>
      <c r="H257" s="198">
        <f>SUMIF(VA!B:B,A257,VA!I:I)</f>
        <v>359.46</v>
      </c>
      <c r="I257" s="32">
        <f>SUMIF(VR!B:B,A257,VR!I:I)</f>
        <v>657.5</v>
      </c>
      <c r="J257" s="4">
        <f t="shared" si="3"/>
        <v>1016.96</v>
      </c>
      <c r="K257" s="179">
        <f>SUMIF(FALTAS!A:A,A257,FALTAS!D:D)</f>
        <v>0</v>
      </c>
    </row>
    <row r="258" spans="1:11" x14ac:dyDescent="0.25">
      <c r="A258" s="235">
        <v>116731</v>
      </c>
      <c r="B258" s="162" t="s">
        <v>1222</v>
      </c>
      <c r="C258" s="162" t="s">
        <v>15</v>
      </c>
      <c r="D258" s="162" t="s">
        <v>1578</v>
      </c>
      <c r="E258" s="231">
        <v>44368</v>
      </c>
      <c r="F258" s="162" t="s">
        <v>1229</v>
      </c>
      <c r="G258" s="231">
        <v>45023</v>
      </c>
      <c r="H258" s="198">
        <f>SUMIF(VA!B:B,A258,VA!I:I)</f>
        <v>359.46</v>
      </c>
      <c r="I258" s="32">
        <f>SUMIF(VR!B:B,A258,VR!I:I)</f>
        <v>657.5</v>
      </c>
      <c r="J258" s="4">
        <f t="shared" ref="J258:J321" si="4">H258+I258</f>
        <v>1016.96</v>
      </c>
      <c r="K258" s="179">
        <f>SUMIF(FALTAS!A:A,A258,FALTAS!D:D)</f>
        <v>0</v>
      </c>
    </row>
    <row r="259" spans="1:11" x14ac:dyDescent="0.25">
      <c r="A259" s="235">
        <v>112563</v>
      </c>
      <c r="B259" s="162" t="s">
        <v>267</v>
      </c>
      <c r="C259" s="162" t="s">
        <v>2</v>
      </c>
      <c r="D259" s="162" t="s">
        <v>0</v>
      </c>
      <c r="E259" s="231">
        <v>43617</v>
      </c>
      <c r="F259" s="162" t="s">
        <v>1229</v>
      </c>
      <c r="G259" s="231">
        <v>45023</v>
      </c>
      <c r="H259" s="198">
        <f>SUMIF(VA!B:B,A259,VA!I:I)</f>
        <v>359.46</v>
      </c>
      <c r="I259" s="32">
        <f>SUMIF(VR!B:B,A259,VR!I:I)</f>
        <v>657.5</v>
      </c>
      <c r="J259" s="4">
        <f t="shared" si="4"/>
        <v>1016.96</v>
      </c>
      <c r="K259" s="179">
        <f>SUMIF(FALTAS!A:A,A259,FALTAS!D:D)</f>
        <v>0</v>
      </c>
    </row>
    <row r="260" spans="1:11" x14ac:dyDescent="0.25">
      <c r="A260" s="235">
        <v>119109</v>
      </c>
      <c r="B260" s="162" t="s">
        <v>1432</v>
      </c>
      <c r="C260" s="162" t="s">
        <v>5</v>
      </c>
      <c r="D260" s="162" t="s">
        <v>1578</v>
      </c>
      <c r="E260" s="231">
        <v>44630</v>
      </c>
      <c r="F260" s="162" t="s">
        <v>1229</v>
      </c>
      <c r="G260" s="231">
        <v>45086</v>
      </c>
      <c r="H260" s="198">
        <f>SUMIF(VA!B:B,A260,VA!I:I)</f>
        <v>359.46</v>
      </c>
      <c r="I260" s="32">
        <f>SUMIF(VR!B:B,A260,VR!I:I)</f>
        <v>657.5</v>
      </c>
      <c r="J260" s="4">
        <f t="shared" si="4"/>
        <v>1016.96</v>
      </c>
      <c r="K260" s="179">
        <f>SUMIF(FALTAS!A:A,A260,FALTAS!D:D)</f>
        <v>0</v>
      </c>
    </row>
    <row r="261" spans="1:11" x14ac:dyDescent="0.25">
      <c r="A261" s="235">
        <v>116315</v>
      </c>
      <c r="B261" s="162" t="s">
        <v>1199</v>
      </c>
      <c r="C261" s="162" t="s">
        <v>5</v>
      </c>
      <c r="D261" s="162" t="s">
        <v>32</v>
      </c>
      <c r="E261" s="231">
        <v>44308</v>
      </c>
      <c r="F261" s="162" t="s">
        <v>1229</v>
      </c>
      <c r="G261" s="231">
        <v>45149</v>
      </c>
      <c r="H261" s="198">
        <f>SUMIF(VA!B:B,A261,VA!I:I)</f>
        <v>359.46</v>
      </c>
      <c r="I261" s="32">
        <f>SUMIF(VR!B:B,A261,VR!I:I)</f>
        <v>657.5</v>
      </c>
      <c r="J261" s="4">
        <f t="shared" si="4"/>
        <v>1016.96</v>
      </c>
      <c r="K261" s="179">
        <f>SUMIF(FALTAS!A:A,A261,FALTAS!D:D)</f>
        <v>0</v>
      </c>
    </row>
    <row r="262" spans="1:11" x14ac:dyDescent="0.25">
      <c r="A262" s="235">
        <v>112568</v>
      </c>
      <c r="B262" s="162" t="s">
        <v>270</v>
      </c>
      <c r="C262" s="162" t="s">
        <v>15</v>
      </c>
      <c r="D262" s="162" t="s">
        <v>1578</v>
      </c>
      <c r="E262" s="231">
        <v>43617</v>
      </c>
      <c r="F262" s="162" t="s">
        <v>1229</v>
      </c>
      <c r="G262" s="231">
        <v>44806</v>
      </c>
      <c r="H262" s="198">
        <f>SUMIF(VA!B:B,A262,VA!I:I)</f>
        <v>359.46</v>
      </c>
      <c r="I262" s="32">
        <f>SUMIF(VR!B:B,A262,VR!I:I)</f>
        <v>657.5</v>
      </c>
      <c r="J262" s="4">
        <f t="shared" si="4"/>
        <v>1016.96</v>
      </c>
      <c r="K262" s="179">
        <f>SUMIF(FALTAS!A:A,A262,FALTAS!D:D)</f>
        <v>0</v>
      </c>
    </row>
    <row r="263" spans="1:11" x14ac:dyDescent="0.25">
      <c r="A263" s="235">
        <v>115406</v>
      </c>
      <c r="B263" s="162" t="s">
        <v>1155</v>
      </c>
      <c r="C263" s="162" t="s">
        <v>5</v>
      </c>
      <c r="D263" s="162" t="s">
        <v>0</v>
      </c>
      <c r="E263" s="231">
        <v>44048</v>
      </c>
      <c r="F263" s="162" t="s">
        <v>1229</v>
      </c>
      <c r="G263" s="231">
        <v>45086</v>
      </c>
      <c r="H263" s="198">
        <f>SUMIF(VA!B:B,A263,VA!I:I)</f>
        <v>359.46</v>
      </c>
      <c r="I263" s="32">
        <f>SUMIF(VR!B:B,A263,VR!I:I)</f>
        <v>657.5</v>
      </c>
      <c r="J263" s="4">
        <f t="shared" si="4"/>
        <v>1016.96</v>
      </c>
      <c r="K263" s="179">
        <f>SUMIF(FALTAS!A:A,A263,FALTAS!D:D)</f>
        <v>0</v>
      </c>
    </row>
    <row r="264" spans="1:11" x14ac:dyDescent="0.25">
      <c r="A264" s="235">
        <v>112576</v>
      </c>
      <c r="B264" s="162" t="s">
        <v>273</v>
      </c>
      <c r="C264" s="162" t="s">
        <v>2</v>
      </c>
      <c r="D264" s="162" t="s">
        <v>8</v>
      </c>
      <c r="E264" s="231">
        <v>43617</v>
      </c>
      <c r="F264" s="162" t="s">
        <v>1229</v>
      </c>
      <c r="G264" s="231">
        <v>45177</v>
      </c>
      <c r="H264" s="198">
        <f>SUMIF(VA!B:B,A264,VA!I:I)</f>
        <v>359.46</v>
      </c>
      <c r="I264" s="32">
        <f>SUMIF(VR!B:B,A264,VR!I:I)</f>
        <v>657.5</v>
      </c>
      <c r="J264" s="4">
        <f t="shared" si="4"/>
        <v>1016.96</v>
      </c>
      <c r="K264" s="179">
        <f>SUMIF(FALTAS!A:A,A264,FALTAS!D:D)</f>
        <v>0</v>
      </c>
    </row>
    <row r="265" spans="1:11" x14ac:dyDescent="0.25">
      <c r="A265" s="235">
        <v>112581</v>
      </c>
      <c r="B265" s="162" t="s">
        <v>277</v>
      </c>
      <c r="C265" s="162" t="s">
        <v>5</v>
      </c>
      <c r="D265" s="162" t="s">
        <v>1578</v>
      </c>
      <c r="E265" s="231">
        <v>43617</v>
      </c>
      <c r="F265" s="162" t="s">
        <v>1229</v>
      </c>
      <c r="G265" s="231">
        <v>44867</v>
      </c>
      <c r="H265" s="198">
        <f>SUMIF(VA!B:B,A265,VA!I:I)</f>
        <v>359.46</v>
      </c>
      <c r="I265" s="32">
        <f>SUMIF(VR!B:B,A265,VR!I:I)</f>
        <v>657.5</v>
      </c>
      <c r="J265" s="4">
        <f t="shared" si="4"/>
        <v>1016.96</v>
      </c>
      <c r="K265" s="179">
        <f>SUMIF(FALTAS!A:A,A265,FALTAS!D:D)</f>
        <v>0</v>
      </c>
    </row>
    <row r="266" spans="1:11" x14ac:dyDescent="0.25">
      <c r="A266" s="235">
        <v>112587</v>
      </c>
      <c r="B266" s="162" t="s">
        <v>280</v>
      </c>
      <c r="C266" s="162" t="s">
        <v>2</v>
      </c>
      <c r="D266" s="162" t="s">
        <v>0</v>
      </c>
      <c r="E266" s="231">
        <v>43617</v>
      </c>
      <c r="F266" s="162" t="s">
        <v>1230</v>
      </c>
      <c r="G266" s="231">
        <v>45180</v>
      </c>
      <c r="H266" s="198">
        <f>SUMIF(VA!B:B,A266,VA!I:I)</f>
        <v>359.46</v>
      </c>
      <c r="I266" s="32">
        <f>SUMIF(VR!B:B,A266,VR!I:I)</f>
        <v>657.5</v>
      </c>
      <c r="J266" s="4">
        <f t="shared" si="4"/>
        <v>1016.96</v>
      </c>
      <c r="K266" s="179">
        <f>SUMIF(FALTAS!A:A,A266,FALTAS!D:D)</f>
        <v>0</v>
      </c>
    </row>
    <row r="267" spans="1:11" x14ac:dyDescent="0.25">
      <c r="A267" s="235">
        <v>114805</v>
      </c>
      <c r="B267" s="162" t="s">
        <v>1102</v>
      </c>
      <c r="C267" s="162" t="s">
        <v>15</v>
      </c>
      <c r="D267" s="162" t="s">
        <v>1578</v>
      </c>
      <c r="E267" s="231">
        <v>43881</v>
      </c>
      <c r="F267" s="162" t="s">
        <v>1229</v>
      </c>
      <c r="G267" s="231">
        <v>45056</v>
      </c>
      <c r="H267" s="198">
        <f>SUMIF(VA!B:B,A267,VA!I:I)</f>
        <v>359.46</v>
      </c>
      <c r="I267" s="32">
        <f>SUMIF(VR!B:B,A267,VR!I:I)</f>
        <v>657.5</v>
      </c>
      <c r="J267" s="4">
        <f t="shared" si="4"/>
        <v>1016.96</v>
      </c>
      <c r="K267" s="179">
        <f>SUMIF(FALTAS!A:A,A267,FALTAS!D:D)</f>
        <v>0</v>
      </c>
    </row>
    <row r="268" spans="1:11" x14ac:dyDescent="0.25">
      <c r="A268" s="235">
        <v>114526</v>
      </c>
      <c r="B268" s="162" t="s">
        <v>1047</v>
      </c>
      <c r="C268" s="162" t="s">
        <v>15</v>
      </c>
      <c r="D268" s="162" t="s">
        <v>1578</v>
      </c>
      <c r="E268" s="231">
        <v>43813</v>
      </c>
      <c r="F268" s="162" t="s">
        <v>1229</v>
      </c>
      <c r="G268" s="231">
        <v>44960</v>
      </c>
      <c r="H268" s="198">
        <f>SUMIF(VA!B:B,A268,VA!I:I)</f>
        <v>359.46</v>
      </c>
      <c r="I268" s="32">
        <f>SUMIF(VR!B:B,A268,VR!I:I)</f>
        <v>657.5</v>
      </c>
      <c r="J268" s="4">
        <f t="shared" si="4"/>
        <v>1016.96</v>
      </c>
      <c r="K268" s="179">
        <f>SUMIF(FALTAS!A:A,A268,FALTAS!D:D)</f>
        <v>0</v>
      </c>
    </row>
    <row r="269" spans="1:11" x14ac:dyDescent="0.25">
      <c r="A269" s="235">
        <v>121328</v>
      </c>
      <c r="B269" s="162" t="s">
        <v>1524</v>
      </c>
      <c r="C269" s="162" t="s">
        <v>5</v>
      </c>
      <c r="D269" s="162" t="s">
        <v>8</v>
      </c>
      <c r="E269" s="231">
        <v>44945</v>
      </c>
      <c r="F269" s="162" t="s">
        <v>1229</v>
      </c>
      <c r="G269" s="231">
        <v>44945</v>
      </c>
      <c r="H269" s="198">
        <f>SUMIF(VA!B:B,A269,VA!I:I)</f>
        <v>359.46</v>
      </c>
      <c r="I269" s="32">
        <f>SUMIF(VR!B:B,A269,VR!I:I)</f>
        <v>657.5</v>
      </c>
      <c r="J269" s="4">
        <f t="shared" si="4"/>
        <v>1016.96</v>
      </c>
      <c r="K269" s="179">
        <f>SUMIF(FALTAS!A:A,A269,FALTAS!D:D)</f>
        <v>0</v>
      </c>
    </row>
    <row r="270" spans="1:11" x14ac:dyDescent="0.25">
      <c r="A270" s="235">
        <v>112594</v>
      </c>
      <c r="B270" s="162" t="s">
        <v>283</v>
      </c>
      <c r="C270" s="162" t="s">
        <v>2</v>
      </c>
      <c r="D270" s="162" t="s">
        <v>32</v>
      </c>
      <c r="E270" s="231">
        <v>43617</v>
      </c>
      <c r="F270" s="162" t="s">
        <v>1230</v>
      </c>
      <c r="G270" s="231">
        <v>45180</v>
      </c>
      <c r="H270" s="198">
        <f>SUMIF(VA!B:B,A270,VA!I:I)</f>
        <v>359.46</v>
      </c>
      <c r="I270" s="32">
        <f>SUMIF(VR!B:B,A270,VR!I:I)</f>
        <v>657.5</v>
      </c>
      <c r="J270" s="4">
        <f t="shared" si="4"/>
        <v>1016.96</v>
      </c>
      <c r="K270" s="179">
        <f>SUMIF(FALTAS!A:A,A270,FALTAS!D:D)</f>
        <v>0</v>
      </c>
    </row>
    <row r="271" spans="1:11" x14ac:dyDescent="0.25">
      <c r="A271" s="235">
        <v>114693</v>
      </c>
      <c r="B271" s="162" t="s">
        <v>1069</v>
      </c>
      <c r="C271" s="162" t="s">
        <v>5</v>
      </c>
      <c r="D271" s="162" t="s">
        <v>0</v>
      </c>
      <c r="E271" s="231">
        <v>43874</v>
      </c>
      <c r="F271" s="162" t="s">
        <v>1229</v>
      </c>
      <c r="G271" s="231">
        <v>45149</v>
      </c>
      <c r="H271" s="198">
        <f>SUMIF(VA!B:B,A271,VA!I:I)</f>
        <v>359.46</v>
      </c>
      <c r="I271" s="32">
        <f>SUMIF(VR!B:B,A271,VR!I:I)</f>
        <v>657.5</v>
      </c>
      <c r="J271" s="4">
        <f t="shared" si="4"/>
        <v>1016.96</v>
      </c>
      <c r="K271" s="179">
        <f>SUMIF(FALTAS!A:A,A271,FALTAS!D:D)</f>
        <v>0</v>
      </c>
    </row>
    <row r="272" spans="1:11" x14ac:dyDescent="0.25">
      <c r="A272" s="235">
        <v>112610</v>
      </c>
      <c r="B272" s="162" t="s">
        <v>294</v>
      </c>
      <c r="C272" s="162" t="s">
        <v>5</v>
      </c>
      <c r="D272" s="162" t="s">
        <v>19</v>
      </c>
      <c r="E272" s="231">
        <v>43617</v>
      </c>
      <c r="F272" s="162" t="s">
        <v>1230</v>
      </c>
      <c r="G272" s="231">
        <v>45180</v>
      </c>
      <c r="H272" s="198">
        <f>SUMIF(VA!B:B,A272,VA!I:I)</f>
        <v>359.46</v>
      </c>
      <c r="I272" s="32">
        <f>SUMIF(VR!B:B,A272,VR!I:I)</f>
        <v>657.5</v>
      </c>
      <c r="J272" s="4">
        <f t="shared" si="4"/>
        <v>1016.96</v>
      </c>
      <c r="K272" s="179">
        <f>SUMIF(FALTAS!A:A,A272,FALTAS!D:D)</f>
        <v>0</v>
      </c>
    </row>
    <row r="273" spans="1:11" x14ac:dyDescent="0.25">
      <c r="A273" s="235">
        <v>112613</v>
      </c>
      <c r="B273" s="162" t="s">
        <v>297</v>
      </c>
      <c r="C273" s="162" t="s">
        <v>5</v>
      </c>
      <c r="D273" s="162" t="s">
        <v>8</v>
      </c>
      <c r="E273" s="231">
        <v>43617</v>
      </c>
      <c r="F273" s="162" t="s">
        <v>1229</v>
      </c>
      <c r="G273" s="231">
        <v>45056</v>
      </c>
      <c r="H273" s="198">
        <f>SUMIF(VA!B:B,A273,VA!I:I)</f>
        <v>359.46</v>
      </c>
      <c r="I273" s="32">
        <f>SUMIF(VR!B:B,A273,VR!I:I)</f>
        <v>657.5</v>
      </c>
      <c r="J273" s="4">
        <f t="shared" si="4"/>
        <v>1016.96</v>
      </c>
      <c r="K273" s="179">
        <f>SUMIF(FALTAS!A:A,A273,FALTAS!D:D)</f>
        <v>0</v>
      </c>
    </row>
    <row r="274" spans="1:11" x14ac:dyDescent="0.25">
      <c r="A274" s="235">
        <v>112620</v>
      </c>
      <c r="B274" s="162" t="s">
        <v>303</v>
      </c>
      <c r="C274" s="162" t="s">
        <v>5</v>
      </c>
      <c r="D274" s="162" t="s">
        <v>10</v>
      </c>
      <c r="E274" s="231">
        <v>43617</v>
      </c>
      <c r="F274" s="162" t="s">
        <v>1229</v>
      </c>
      <c r="G274" s="231">
        <v>45149</v>
      </c>
      <c r="H274" s="198">
        <f>SUMIF(VA!B:B,A274,VA!I:I)</f>
        <v>359.46</v>
      </c>
      <c r="I274" s="32">
        <f>SUMIF(VR!B:B,A274,VR!I:I)</f>
        <v>657.5</v>
      </c>
      <c r="J274" s="4">
        <f t="shared" si="4"/>
        <v>1016.96</v>
      </c>
      <c r="K274" s="179">
        <f>SUMIF(FALTAS!A:A,A274,FALTAS!D:D)</f>
        <v>0</v>
      </c>
    </row>
    <row r="275" spans="1:11" x14ac:dyDescent="0.25">
      <c r="A275" s="235">
        <v>112634</v>
      </c>
      <c r="B275" s="162" t="s">
        <v>311</v>
      </c>
      <c r="C275" s="162" t="s">
        <v>2</v>
      </c>
      <c r="D275" s="162" t="s">
        <v>0</v>
      </c>
      <c r="E275" s="231">
        <v>43617</v>
      </c>
      <c r="F275" s="162" t="s">
        <v>1229</v>
      </c>
      <c r="G275" s="231">
        <v>45169</v>
      </c>
      <c r="H275" s="198">
        <f>SUMIF(VA!B:B,A275,VA!I:I)</f>
        <v>359.46</v>
      </c>
      <c r="I275" s="32">
        <f>SUMIF(VR!B:B,A275,VR!I:I)</f>
        <v>657.5</v>
      </c>
      <c r="J275" s="4">
        <f t="shared" si="4"/>
        <v>1016.96</v>
      </c>
      <c r="K275" s="179">
        <f>SUMIF(FALTAS!A:A,A275,FALTAS!D:D)</f>
        <v>0</v>
      </c>
    </row>
    <row r="276" spans="1:11" x14ac:dyDescent="0.25">
      <c r="A276" s="235">
        <v>116712</v>
      </c>
      <c r="B276" s="162" t="s">
        <v>1213</v>
      </c>
      <c r="C276" s="162" t="s">
        <v>5</v>
      </c>
      <c r="D276" s="162" t="s">
        <v>10</v>
      </c>
      <c r="E276" s="231">
        <v>44368</v>
      </c>
      <c r="F276" s="162" t="s">
        <v>1229</v>
      </c>
      <c r="G276" s="231">
        <v>44989</v>
      </c>
      <c r="H276" s="198">
        <f>SUMIF(VA!B:B,A276,VA!I:I)</f>
        <v>359.46</v>
      </c>
      <c r="I276" s="32">
        <f>SUMIF(VR!B:B,A276,VR!I:I)</f>
        <v>657.5</v>
      </c>
      <c r="J276" s="4">
        <f t="shared" si="4"/>
        <v>1016.96</v>
      </c>
      <c r="K276" s="179">
        <f>SUMIF(FALTAS!A:A,A276,FALTAS!D:D)</f>
        <v>0</v>
      </c>
    </row>
    <row r="277" spans="1:11" x14ac:dyDescent="0.25">
      <c r="A277" s="235">
        <v>112797</v>
      </c>
      <c r="B277" s="162" t="s">
        <v>416</v>
      </c>
      <c r="C277" s="162" t="s">
        <v>2</v>
      </c>
      <c r="D277" s="162" t="s">
        <v>0</v>
      </c>
      <c r="E277" s="231">
        <v>43617</v>
      </c>
      <c r="F277" s="162" t="s">
        <v>1230</v>
      </c>
      <c r="G277" s="231">
        <v>45180</v>
      </c>
      <c r="H277" s="198">
        <f>SUMIF(VA!B:B,A277,VA!I:I)</f>
        <v>359.46</v>
      </c>
      <c r="I277" s="32">
        <f>SUMIF(VR!B:B,A277,VR!I:I)</f>
        <v>657.5</v>
      </c>
      <c r="J277" s="4">
        <f t="shared" si="4"/>
        <v>1016.96</v>
      </c>
      <c r="K277" s="179">
        <f>SUMIF(FALTAS!A:A,A277,FALTAS!D:D)</f>
        <v>0</v>
      </c>
    </row>
    <row r="278" spans="1:11" x14ac:dyDescent="0.25">
      <c r="A278" s="235">
        <v>112851</v>
      </c>
      <c r="B278" s="162" t="s">
        <v>453</v>
      </c>
      <c r="C278" s="162" t="s">
        <v>5</v>
      </c>
      <c r="D278" s="162" t="s">
        <v>8</v>
      </c>
      <c r="E278" s="231">
        <v>43617</v>
      </c>
      <c r="F278" s="162" t="s">
        <v>1229</v>
      </c>
      <c r="G278" s="231">
        <v>44867</v>
      </c>
      <c r="H278" s="198">
        <f>SUMIF(VA!B:B,A278,VA!I:I)</f>
        <v>359.46</v>
      </c>
      <c r="I278" s="32">
        <f>SUMIF(VR!B:B,A278,VR!I:I)</f>
        <v>657.5</v>
      </c>
      <c r="J278" s="4">
        <f t="shared" si="4"/>
        <v>1016.96</v>
      </c>
      <c r="K278" s="179">
        <f>SUMIF(FALTAS!A:A,A278,FALTAS!D:D)</f>
        <v>0</v>
      </c>
    </row>
    <row r="279" spans="1:11" x14ac:dyDescent="0.25">
      <c r="A279" s="235">
        <v>112855</v>
      </c>
      <c r="B279" s="162" t="s">
        <v>455</v>
      </c>
      <c r="C279" s="162" t="s">
        <v>5</v>
      </c>
      <c r="D279" s="162" t="s">
        <v>0</v>
      </c>
      <c r="E279" s="231">
        <v>43617</v>
      </c>
      <c r="F279" s="162" t="s">
        <v>1229</v>
      </c>
      <c r="G279" s="231">
        <v>45023</v>
      </c>
      <c r="H279" s="198">
        <f>SUMIF(VA!B:B,A279,VA!I:I)</f>
        <v>359.46</v>
      </c>
      <c r="I279" s="32">
        <f>SUMIF(VR!B:B,A279,VR!I:I)</f>
        <v>657.5</v>
      </c>
      <c r="J279" s="4">
        <f t="shared" si="4"/>
        <v>1016.96</v>
      </c>
      <c r="K279" s="179">
        <f>SUMIF(FALTAS!A:A,A279,FALTAS!D:D)</f>
        <v>0</v>
      </c>
    </row>
    <row r="280" spans="1:11" x14ac:dyDescent="0.25">
      <c r="A280" s="235">
        <v>112860</v>
      </c>
      <c r="B280" s="162" t="s">
        <v>457</v>
      </c>
      <c r="C280" s="162" t="s">
        <v>5</v>
      </c>
      <c r="D280" s="162" t="s">
        <v>1578</v>
      </c>
      <c r="E280" s="231">
        <v>43617</v>
      </c>
      <c r="F280" s="162" t="s">
        <v>1229</v>
      </c>
      <c r="G280" s="231">
        <v>44835</v>
      </c>
      <c r="H280" s="198">
        <f>SUMIF(VA!B:B,A280,VA!I:I)</f>
        <v>359.46</v>
      </c>
      <c r="I280" s="32">
        <f>SUMIF(VR!B:B,A280,VR!I:I)</f>
        <v>657.5</v>
      </c>
      <c r="J280" s="4">
        <f t="shared" si="4"/>
        <v>1016.96</v>
      </c>
      <c r="K280" s="179">
        <f>SUMIF(FALTAS!A:A,A280,FALTAS!D:D)</f>
        <v>0</v>
      </c>
    </row>
    <row r="281" spans="1:11" x14ac:dyDescent="0.25">
      <c r="A281" s="235">
        <v>112865</v>
      </c>
      <c r="B281" s="162" t="s">
        <v>460</v>
      </c>
      <c r="C281" s="162" t="s">
        <v>2</v>
      </c>
      <c r="D281" s="162" t="s">
        <v>19</v>
      </c>
      <c r="E281" s="231">
        <v>43617</v>
      </c>
      <c r="F281" s="162" t="s">
        <v>1229</v>
      </c>
      <c r="G281" s="231">
        <v>44867</v>
      </c>
      <c r="H281" s="198">
        <f>SUMIF(VA!B:B,A281,VA!I:I)</f>
        <v>359.46</v>
      </c>
      <c r="I281" s="32">
        <f>SUMIF(VR!B:B,A281,VR!I:I)</f>
        <v>657.5</v>
      </c>
      <c r="J281" s="4">
        <f t="shared" si="4"/>
        <v>1016.96</v>
      </c>
      <c r="K281" s="179">
        <f>SUMIF(FALTAS!A:A,A281,FALTAS!D:D)</f>
        <v>0</v>
      </c>
    </row>
    <row r="282" spans="1:11" x14ac:dyDescent="0.25">
      <c r="A282" s="235">
        <v>113769</v>
      </c>
      <c r="B282" s="162" t="s">
        <v>969</v>
      </c>
      <c r="C282" s="162" t="s">
        <v>970</v>
      </c>
      <c r="D282" s="162" t="s">
        <v>1578</v>
      </c>
      <c r="E282" s="231">
        <v>43622</v>
      </c>
      <c r="F282" s="162" t="s">
        <v>1229</v>
      </c>
      <c r="G282" s="231">
        <v>45041</v>
      </c>
      <c r="H282" s="198">
        <f>SUMIF(VA!B:B,A282,VA!I:I)</f>
        <v>359.46</v>
      </c>
      <c r="I282" s="32">
        <f>SUMIF(VR!B:B,A282,VR!I:I)</f>
        <v>657.5</v>
      </c>
      <c r="J282" s="4">
        <f t="shared" si="4"/>
        <v>1016.96</v>
      </c>
      <c r="K282" s="179">
        <f>SUMIF(FALTAS!A:A,A282,FALTAS!D:D)</f>
        <v>0</v>
      </c>
    </row>
    <row r="283" spans="1:11" x14ac:dyDescent="0.25">
      <c r="A283" s="235">
        <v>114988</v>
      </c>
      <c r="B283" s="162" t="s">
        <v>1136</v>
      </c>
      <c r="C283" s="162" t="s">
        <v>15</v>
      </c>
      <c r="D283" s="162" t="s">
        <v>1578</v>
      </c>
      <c r="E283" s="231">
        <v>43918</v>
      </c>
      <c r="F283" s="162" t="s">
        <v>1229</v>
      </c>
      <c r="G283" s="231">
        <v>45056</v>
      </c>
      <c r="H283" s="198">
        <f>SUMIF(VA!B:B,A283,VA!I:I)</f>
        <v>359.46</v>
      </c>
      <c r="I283" s="32">
        <f>SUMIF(VR!B:B,A283,VR!I:I)</f>
        <v>657.5</v>
      </c>
      <c r="J283" s="4">
        <f t="shared" si="4"/>
        <v>1016.96</v>
      </c>
      <c r="K283" s="179">
        <f>SUMIF(FALTAS!A:A,A283,FALTAS!D:D)</f>
        <v>0</v>
      </c>
    </row>
    <row r="284" spans="1:11" x14ac:dyDescent="0.25">
      <c r="A284" s="235">
        <v>112875</v>
      </c>
      <c r="B284" s="162" t="s">
        <v>467</v>
      </c>
      <c r="C284" s="162" t="s">
        <v>15</v>
      </c>
      <c r="D284" s="162" t="s">
        <v>1578</v>
      </c>
      <c r="E284" s="231">
        <v>43620</v>
      </c>
      <c r="F284" s="162" t="s">
        <v>1229</v>
      </c>
      <c r="G284" s="231">
        <v>44898</v>
      </c>
      <c r="H284" s="198">
        <f>SUMIF(VA!B:B,A284,VA!I:I)</f>
        <v>359.46</v>
      </c>
      <c r="I284" s="32">
        <f>SUMIF(VR!B:B,A284,VR!I:I)</f>
        <v>657.5</v>
      </c>
      <c r="J284" s="4">
        <f t="shared" si="4"/>
        <v>1016.96</v>
      </c>
      <c r="K284" s="179">
        <f>SUMIF(FALTAS!A:A,A284,FALTAS!D:D)</f>
        <v>0</v>
      </c>
    </row>
    <row r="285" spans="1:11" x14ac:dyDescent="0.25">
      <c r="A285" s="235">
        <v>113766</v>
      </c>
      <c r="B285" s="162" t="s">
        <v>967</v>
      </c>
      <c r="C285" s="162" t="s">
        <v>720</v>
      </c>
      <c r="D285" s="162" t="s">
        <v>1578</v>
      </c>
      <c r="E285" s="231">
        <v>43622</v>
      </c>
      <c r="F285" s="162" t="s">
        <v>1229</v>
      </c>
      <c r="G285" s="231">
        <v>45056</v>
      </c>
      <c r="H285" s="198">
        <f>SUMIF(VA!B:B,A285,VA!I:I)</f>
        <v>359.46</v>
      </c>
      <c r="I285" s="32">
        <f>SUMIF(VR!B:B,A285,VR!I:I)</f>
        <v>657.5</v>
      </c>
      <c r="J285" s="4">
        <f t="shared" si="4"/>
        <v>1016.96</v>
      </c>
      <c r="K285" s="179">
        <f>SUMIF(FALTAS!A:A,A285,FALTAS!D:D)</f>
        <v>0</v>
      </c>
    </row>
    <row r="286" spans="1:11" x14ac:dyDescent="0.25">
      <c r="A286" s="235">
        <v>112883</v>
      </c>
      <c r="B286" s="162" t="s">
        <v>474</v>
      </c>
      <c r="C286" s="162" t="s">
        <v>5</v>
      </c>
      <c r="D286" s="162" t="s">
        <v>0</v>
      </c>
      <c r="E286" s="231">
        <v>43617</v>
      </c>
      <c r="F286" s="162" t="s">
        <v>1229</v>
      </c>
      <c r="G286" s="231">
        <v>44806</v>
      </c>
      <c r="H286" s="198">
        <f>SUMIF(VA!B:B,A286,VA!I:I)</f>
        <v>347.47</v>
      </c>
      <c r="I286" s="32">
        <f>SUMIF(VR!B:B,A286,VR!I:I)</f>
        <v>631.20000000000005</v>
      </c>
      <c r="J286" s="4">
        <f t="shared" si="4"/>
        <v>978.67000000000007</v>
      </c>
      <c r="K286" s="179">
        <f>SUMIF(FALTAS!A:A,A286,FALTAS!D:D)</f>
        <v>1</v>
      </c>
    </row>
    <row r="287" spans="1:11" x14ac:dyDescent="0.25">
      <c r="A287" s="235">
        <v>112891</v>
      </c>
      <c r="B287" s="162" t="s">
        <v>478</v>
      </c>
      <c r="C287" s="162" t="s">
        <v>2</v>
      </c>
      <c r="D287" s="162" t="s">
        <v>19</v>
      </c>
      <c r="E287" s="231">
        <v>43617</v>
      </c>
      <c r="F287" s="162" t="s">
        <v>1229</v>
      </c>
      <c r="G287" s="231">
        <v>45177</v>
      </c>
      <c r="H287" s="198">
        <f>SUMIF(VA!B:B,A287,VA!I:I)</f>
        <v>359.46</v>
      </c>
      <c r="I287" s="32">
        <f>SUMIF(VR!B:B,A287,VR!I:I)</f>
        <v>657.5</v>
      </c>
      <c r="J287" s="4">
        <f t="shared" si="4"/>
        <v>1016.96</v>
      </c>
      <c r="K287" s="179">
        <f>SUMIF(FALTAS!A:A,A287,FALTAS!D:D)</f>
        <v>0</v>
      </c>
    </row>
    <row r="288" spans="1:11" x14ac:dyDescent="0.25">
      <c r="A288" s="235">
        <v>112900</v>
      </c>
      <c r="B288" s="162" t="s">
        <v>486</v>
      </c>
      <c r="C288" s="162" t="s">
        <v>5</v>
      </c>
      <c r="D288" s="162" t="s">
        <v>10</v>
      </c>
      <c r="E288" s="231">
        <v>43617</v>
      </c>
      <c r="F288" s="162" t="s">
        <v>1229</v>
      </c>
      <c r="G288" s="231">
        <v>45056</v>
      </c>
      <c r="H288" s="198">
        <f>SUMIF(VA!B:B,A288,VA!I:I)</f>
        <v>359.46</v>
      </c>
      <c r="I288" s="32">
        <f>SUMIF(VR!B:B,A288,VR!I:I)</f>
        <v>657.5</v>
      </c>
      <c r="J288" s="4">
        <f t="shared" si="4"/>
        <v>1016.96</v>
      </c>
      <c r="K288" s="179">
        <f>SUMIF(FALTAS!A:A,A288,FALTAS!D:D)</f>
        <v>0</v>
      </c>
    </row>
    <row r="289" spans="1:11" x14ac:dyDescent="0.25">
      <c r="A289" s="235">
        <v>112916</v>
      </c>
      <c r="B289" s="162" t="s">
        <v>495</v>
      </c>
      <c r="C289" s="162" t="s">
        <v>2</v>
      </c>
      <c r="D289" s="162" t="s">
        <v>19</v>
      </c>
      <c r="E289" s="231">
        <v>43617</v>
      </c>
      <c r="F289" s="162" t="s">
        <v>1229</v>
      </c>
      <c r="G289" s="231">
        <v>45177</v>
      </c>
      <c r="H289" s="198">
        <f>SUMIF(VA!B:B,A289,VA!I:I)</f>
        <v>359.46</v>
      </c>
      <c r="I289" s="32">
        <f>SUMIF(VR!B:B,A289,VR!I:I)</f>
        <v>657.5</v>
      </c>
      <c r="J289" s="4">
        <f t="shared" si="4"/>
        <v>1016.96</v>
      </c>
      <c r="K289" s="179">
        <f>SUMIF(FALTAS!A:A,A289,FALTAS!D:D)</f>
        <v>0</v>
      </c>
    </row>
    <row r="290" spans="1:11" x14ac:dyDescent="0.25">
      <c r="A290" s="235">
        <v>112534</v>
      </c>
      <c r="B290" s="162" t="s">
        <v>246</v>
      </c>
      <c r="C290" s="162" t="s">
        <v>5</v>
      </c>
      <c r="D290" s="162" t="s">
        <v>1578</v>
      </c>
      <c r="E290" s="231">
        <v>43617</v>
      </c>
      <c r="F290" s="162" t="s">
        <v>1229</v>
      </c>
      <c r="G290" s="231">
        <v>45119</v>
      </c>
      <c r="H290" s="198">
        <f>SUMIF(VA!B:B,A290,VA!I:I)</f>
        <v>359.46</v>
      </c>
      <c r="I290" s="32">
        <f>SUMIF(VR!B:B,A290,VR!I:I)</f>
        <v>657.5</v>
      </c>
      <c r="J290" s="4">
        <f t="shared" si="4"/>
        <v>1016.96</v>
      </c>
      <c r="K290" s="179">
        <f>SUMIF(FALTAS!A:A,A290,FALTAS!D:D)</f>
        <v>0</v>
      </c>
    </row>
    <row r="291" spans="1:11" x14ac:dyDescent="0.25">
      <c r="A291" s="235">
        <v>114913</v>
      </c>
      <c r="B291" s="162" t="s">
        <v>1105</v>
      </c>
      <c r="C291" s="162" t="s">
        <v>480</v>
      </c>
      <c r="D291" s="162" t="s">
        <v>1578</v>
      </c>
      <c r="E291" s="231">
        <v>43916</v>
      </c>
      <c r="F291" s="162" t="s">
        <v>1229</v>
      </c>
      <c r="G291" s="231">
        <v>45149</v>
      </c>
      <c r="H291" s="198">
        <f>SUMIF(VA!B:B,A291,VA!I:I)</f>
        <v>359.46</v>
      </c>
      <c r="I291" s="32">
        <f>SUMIF(VR!B:B,A291,VR!I:I)</f>
        <v>657.5</v>
      </c>
      <c r="J291" s="4">
        <f t="shared" si="4"/>
        <v>1016.96</v>
      </c>
      <c r="K291" s="179">
        <f>SUMIF(FALTAS!A:A,A291,FALTAS!D:D)</f>
        <v>0</v>
      </c>
    </row>
    <row r="292" spans="1:11" x14ac:dyDescent="0.25">
      <c r="A292" s="235">
        <v>112537</v>
      </c>
      <c r="B292" s="162" t="s">
        <v>248</v>
      </c>
      <c r="C292" s="162" t="s">
        <v>5</v>
      </c>
      <c r="D292" s="162" t="s">
        <v>10</v>
      </c>
      <c r="E292" s="231">
        <v>43617</v>
      </c>
      <c r="F292" s="162" t="s">
        <v>1230</v>
      </c>
      <c r="G292" s="231">
        <v>45180</v>
      </c>
      <c r="H292" s="198">
        <f>SUMIF(VA!B:B,A292,VA!I:I)</f>
        <v>359.46</v>
      </c>
      <c r="I292" s="32">
        <f>SUMIF(VR!B:B,A292,VR!I:I)</f>
        <v>657.5</v>
      </c>
      <c r="J292" s="4">
        <f t="shared" si="4"/>
        <v>1016.96</v>
      </c>
      <c r="K292" s="179">
        <f>SUMIF(FALTAS!A:A,A292,FALTAS!D:D)</f>
        <v>0</v>
      </c>
    </row>
    <row r="293" spans="1:11" x14ac:dyDescent="0.25">
      <c r="A293" s="235">
        <v>112539</v>
      </c>
      <c r="B293" s="162" t="s">
        <v>250</v>
      </c>
      <c r="C293" s="162" t="s">
        <v>2</v>
      </c>
      <c r="D293" s="162" t="s">
        <v>0</v>
      </c>
      <c r="E293" s="231">
        <v>43617</v>
      </c>
      <c r="F293" s="162" t="s">
        <v>1230</v>
      </c>
      <c r="G293" s="231">
        <v>45180</v>
      </c>
      <c r="H293" s="198">
        <f>SUMIF(VA!B:B,A293,VA!I:I)</f>
        <v>359.46</v>
      </c>
      <c r="I293" s="32">
        <f>SUMIF(VR!B:B,A293,VR!I:I)</f>
        <v>657.5</v>
      </c>
      <c r="J293" s="4">
        <f t="shared" si="4"/>
        <v>1016.96</v>
      </c>
      <c r="K293" s="179">
        <f>SUMIF(FALTAS!A:A,A293,FALTAS!D:D)</f>
        <v>0</v>
      </c>
    </row>
    <row r="294" spans="1:11" x14ac:dyDescent="0.25">
      <c r="A294" s="235">
        <v>112540</v>
      </c>
      <c r="B294" s="162" t="s">
        <v>251</v>
      </c>
      <c r="C294" s="162" t="s">
        <v>5</v>
      </c>
      <c r="D294" s="162" t="s">
        <v>0</v>
      </c>
      <c r="E294" s="231">
        <v>43617</v>
      </c>
      <c r="F294" s="162" t="s">
        <v>1229</v>
      </c>
      <c r="G294" s="231">
        <v>45119</v>
      </c>
      <c r="H294" s="198">
        <f>SUMIF(VA!B:B,A294,VA!I:I)</f>
        <v>359.46</v>
      </c>
      <c r="I294" s="32">
        <f>SUMIF(VR!B:B,A294,VR!I:I)</f>
        <v>657.5</v>
      </c>
      <c r="J294" s="4">
        <f t="shared" si="4"/>
        <v>1016.96</v>
      </c>
      <c r="K294" s="179">
        <f>SUMIF(FALTAS!A:A,A294,FALTAS!D:D)</f>
        <v>0</v>
      </c>
    </row>
    <row r="295" spans="1:11" x14ac:dyDescent="0.25">
      <c r="A295" s="235">
        <v>113775</v>
      </c>
      <c r="B295" s="162" t="s">
        <v>972</v>
      </c>
      <c r="C295" s="162" t="s">
        <v>973</v>
      </c>
      <c r="D295" s="162" t="s">
        <v>1578</v>
      </c>
      <c r="E295" s="231">
        <v>43623</v>
      </c>
      <c r="F295" s="162" t="s">
        <v>1229</v>
      </c>
      <c r="G295" s="231">
        <v>45119</v>
      </c>
      <c r="H295" s="198">
        <f>SUMIF(VA!B:B,A295,VA!I:I)</f>
        <v>359.46</v>
      </c>
      <c r="I295" s="32">
        <f>SUMIF(VR!B:B,A295,VR!I:I)</f>
        <v>657.5</v>
      </c>
      <c r="J295" s="4">
        <f t="shared" si="4"/>
        <v>1016.96</v>
      </c>
      <c r="K295" s="179">
        <f>SUMIF(FALTAS!A:A,A295,FALTAS!D:D)</f>
        <v>0</v>
      </c>
    </row>
    <row r="296" spans="1:11" x14ac:dyDescent="0.25">
      <c r="A296" s="235">
        <v>122573</v>
      </c>
      <c r="B296" s="162" t="s">
        <v>1680</v>
      </c>
      <c r="C296" s="162" t="s">
        <v>15</v>
      </c>
      <c r="D296" s="162" t="s">
        <v>1578</v>
      </c>
      <c r="E296" s="231">
        <v>45131</v>
      </c>
      <c r="F296" s="162" t="s">
        <v>1229</v>
      </c>
      <c r="G296" s="231">
        <v>45131</v>
      </c>
      <c r="H296" s="198">
        <f>SUMIF(VA!B:B,A296,VA!I:I)</f>
        <v>359.46</v>
      </c>
      <c r="I296" s="32">
        <f>SUMIF(VR!B:B,A296,VR!I:I)</f>
        <v>657.5</v>
      </c>
      <c r="J296" s="4">
        <f t="shared" si="4"/>
        <v>1016.96</v>
      </c>
      <c r="K296" s="179">
        <f>SUMIF(FALTAS!A:A,A296,FALTAS!D:D)</f>
        <v>0</v>
      </c>
    </row>
    <row r="297" spans="1:11" x14ac:dyDescent="0.25">
      <c r="A297" s="235">
        <v>112821</v>
      </c>
      <c r="B297" s="162" t="s">
        <v>434</v>
      </c>
      <c r="C297" s="162" t="s">
        <v>15</v>
      </c>
      <c r="D297" s="162" t="s">
        <v>1578</v>
      </c>
      <c r="E297" s="231">
        <v>43617</v>
      </c>
      <c r="F297" s="162" t="s">
        <v>1229</v>
      </c>
      <c r="G297" s="231">
        <v>44806</v>
      </c>
      <c r="H297" s="198">
        <f>SUMIF(VA!B:B,A297,VA!I:I)</f>
        <v>359.46</v>
      </c>
      <c r="I297" s="32">
        <f>SUMIF(VR!B:B,A297,VR!I:I)</f>
        <v>657.5</v>
      </c>
      <c r="J297" s="4">
        <f t="shared" si="4"/>
        <v>1016.96</v>
      </c>
      <c r="K297" s="179">
        <f>SUMIF(FALTAS!A:A,A297,FALTAS!D:D)</f>
        <v>0</v>
      </c>
    </row>
    <row r="298" spans="1:11" x14ac:dyDescent="0.25">
      <c r="A298" s="235">
        <v>114907</v>
      </c>
      <c r="B298" s="162" t="s">
        <v>1103</v>
      </c>
      <c r="C298" s="162" t="s">
        <v>5</v>
      </c>
      <c r="D298" s="162" t="s">
        <v>1578</v>
      </c>
      <c r="E298" s="231">
        <v>43916</v>
      </c>
      <c r="F298" s="162" t="s">
        <v>1229</v>
      </c>
      <c r="G298" s="231">
        <v>45056</v>
      </c>
      <c r="H298" s="198">
        <f>SUMIF(VA!B:B,A298,VA!I:I)</f>
        <v>359.46</v>
      </c>
      <c r="I298" s="32">
        <f>SUMIF(VR!B:B,A298,VR!I:I)</f>
        <v>657.5</v>
      </c>
      <c r="J298" s="4">
        <f t="shared" si="4"/>
        <v>1016.96</v>
      </c>
      <c r="K298" s="179">
        <f>SUMIF(FALTAS!A:A,A298,FALTAS!D:D)</f>
        <v>0</v>
      </c>
    </row>
    <row r="299" spans="1:11" s="228" customFormat="1" x14ac:dyDescent="0.25">
      <c r="A299" s="235">
        <v>112827</v>
      </c>
      <c r="B299" s="162" t="s">
        <v>439</v>
      </c>
      <c r="C299" s="162" t="s">
        <v>22</v>
      </c>
      <c r="D299" s="162" t="s">
        <v>1578</v>
      </c>
      <c r="E299" s="231">
        <v>43617</v>
      </c>
      <c r="F299" s="162" t="s">
        <v>1229</v>
      </c>
      <c r="G299" s="231">
        <v>44867</v>
      </c>
      <c r="H299" s="224">
        <f>SUMIF(VA!B:B,A299,VA!I:I)</f>
        <v>359.46</v>
      </c>
      <c r="I299" s="225">
        <f>SUMIF(VR!B:B,A299,VR!I:I)</f>
        <v>657.5</v>
      </c>
      <c r="J299" s="226">
        <f t="shared" si="4"/>
        <v>1016.96</v>
      </c>
      <c r="K299" s="227">
        <f>SUMIF(FALTAS!A:A,A299,FALTAS!D:D)</f>
        <v>0</v>
      </c>
    </row>
    <row r="300" spans="1:11" x14ac:dyDescent="0.25">
      <c r="A300" s="235">
        <v>112834</v>
      </c>
      <c r="B300" s="162" t="s">
        <v>444</v>
      </c>
      <c r="C300" s="162" t="s">
        <v>2</v>
      </c>
      <c r="D300" s="162" t="s">
        <v>8</v>
      </c>
      <c r="E300" s="231">
        <v>43617</v>
      </c>
      <c r="F300" s="162" t="s">
        <v>1230</v>
      </c>
      <c r="G300" s="231">
        <v>45180</v>
      </c>
      <c r="H300" s="198">
        <f>SUMIF(VA!B:B,A300,VA!I:I)</f>
        <v>359.46</v>
      </c>
      <c r="I300" s="32">
        <f>SUMIF(VR!B:B,A300,VR!I:I)</f>
        <v>657.5</v>
      </c>
      <c r="J300" s="4">
        <f t="shared" si="4"/>
        <v>1016.96</v>
      </c>
      <c r="K300" s="179">
        <f>SUMIF(FALTAS!A:A,A300,FALTAS!D:D)</f>
        <v>0</v>
      </c>
    </row>
    <row r="301" spans="1:11" x14ac:dyDescent="0.25">
      <c r="A301" s="235">
        <v>112843</v>
      </c>
      <c r="B301" s="162" t="s">
        <v>448</v>
      </c>
      <c r="C301" s="162" t="s">
        <v>5</v>
      </c>
      <c r="D301" s="162" t="s">
        <v>0</v>
      </c>
      <c r="E301" s="231">
        <v>43617</v>
      </c>
      <c r="F301" s="162" t="s">
        <v>1229</v>
      </c>
      <c r="G301" s="231">
        <v>45177</v>
      </c>
      <c r="H301" s="198">
        <f>SUMIF(VA!B:B,A301,VA!I:I)</f>
        <v>359.46</v>
      </c>
      <c r="I301" s="32">
        <f>SUMIF(VR!B:B,A301,VR!I:I)</f>
        <v>657.5</v>
      </c>
      <c r="J301" s="4">
        <f t="shared" si="4"/>
        <v>1016.96</v>
      </c>
      <c r="K301" s="179">
        <f>SUMIF(FALTAS!A:A,A301,FALTAS!D:D)</f>
        <v>0</v>
      </c>
    </row>
    <row r="302" spans="1:11" x14ac:dyDescent="0.25">
      <c r="A302" s="235">
        <v>112922</v>
      </c>
      <c r="B302" s="162" t="s">
        <v>498</v>
      </c>
      <c r="C302" s="162" t="s">
        <v>22</v>
      </c>
      <c r="D302" s="162" t="s">
        <v>1578</v>
      </c>
      <c r="E302" s="231">
        <v>43617</v>
      </c>
      <c r="F302" s="162" t="s">
        <v>1229</v>
      </c>
      <c r="G302" s="231">
        <v>45177</v>
      </c>
      <c r="H302" s="198">
        <f>SUMIF(VA!B:B,A302,VA!I:I)</f>
        <v>359.46</v>
      </c>
      <c r="I302" s="32">
        <f>SUMIF(VR!B:B,A302,VR!I:I)</f>
        <v>657.5</v>
      </c>
      <c r="J302" s="4">
        <f t="shared" si="4"/>
        <v>1016.96</v>
      </c>
      <c r="K302" s="179">
        <f>SUMIF(FALTAS!A:A,A302,FALTAS!D:D)</f>
        <v>0</v>
      </c>
    </row>
    <row r="303" spans="1:11" x14ac:dyDescent="0.25">
      <c r="A303" s="235">
        <v>112930</v>
      </c>
      <c r="B303" s="162" t="s">
        <v>503</v>
      </c>
      <c r="C303" s="162" t="s">
        <v>5</v>
      </c>
      <c r="D303" s="162" t="s">
        <v>10</v>
      </c>
      <c r="E303" s="231">
        <v>43617</v>
      </c>
      <c r="F303" s="162" t="s">
        <v>1229</v>
      </c>
      <c r="G303" s="231">
        <v>45184</v>
      </c>
      <c r="H303" s="198">
        <f>SUMIF(VA!B:B,A303,VA!I:I)</f>
        <v>359.46</v>
      </c>
      <c r="I303" s="32">
        <f>SUMIF(VR!B:B,A303,VR!I:I)</f>
        <v>657.5</v>
      </c>
      <c r="J303" s="4">
        <f t="shared" si="4"/>
        <v>1016.96</v>
      </c>
      <c r="K303" s="179">
        <f>SUMIF(FALTAS!A:A,A303,FALTAS!D:D)</f>
        <v>0</v>
      </c>
    </row>
    <row r="304" spans="1:11" x14ac:dyDescent="0.25">
      <c r="A304" s="235">
        <v>114418</v>
      </c>
      <c r="B304" s="162" t="s">
        <v>1036</v>
      </c>
      <c r="C304" s="162" t="s">
        <v>2</v>
      </c>
      <c r="D304" s="162" t="s">
        <v>0</v>
      </c>
      <c r="E304" s="231">
        <v>43811</v>
      </c>
      <c r="F304" s="162" t="s">
        <v>1229</v>
      </c>
      <c r="G304" s="231">
        <v>45119</v>
      </c>
      <c r="H304" s="198">
        <f>SUMIF(VA!B:B,A304,VA!I:I)</f>
        <v>359.46</v>
      </c>
      <c r="I304" s="32">
        <f>SUMIF(VR!B:B,A304,VR!I:I)</f>
        <v>657.5</v>
      </c>
      <c r="J304" s="4">
        <f t="shared" si="4"/>
        <v>1016.96</v>
      </c>
      <c r="K304" s="179">
        <f>SUMIF(FALTAS!A:A,A304,FALTAS!D:D)</f>
        <v>0</v>
      </c>
    </row>
    <row r="305" spans="1:11" x14ac:dyDescent="0.25">
      <c r="A305" s="235">
        <v>112936</v>
      </c>
      <c r="B305" s="162" t="s">
        <v>505</v>
      </c>
      <c r="C305" s="162" t="s">
        <v>2</v>
      </c>
      <c r="D305" s="162" t="s">
        <v>19</v>
      </c>
      <c r="E305" s="231">
        <v>43617</v>
      </c>
      <c r="F305" s="162" t="s">
        <v>1229</v>
      </c>
      <c r="G305" s="231">
        <v>45177</v>
      </c>
      <c r="H305" s="198">
        <f>SUMIF(VA!B:B,A305,VA!I:I)</f>
        <v>359.46</v>
      </c>
      <c r="I305" s="32">
        <f>SUMIF(VR!B:B,A305,VR!I:I)</f>
        <v>657.5</v>
      </c>
      <c r="J305" s="4">
        <f t="shared" si="4"/>
        <v>1016.96</v>
      </c>
      <c r="K305" s="179">
        <f>SUMIF(FALTAS!A:A,A305,FALTAS!D:D)</f>
        <v>0</v>
      </c>
    </row>
    <row r="306" spans="1:11" x14ac:dyDescent="0.25">
      <c r="A306" s="235">
        <v>112942</v>
      </c>
      <c r="B306" s="162" t="s">
        <v>509</v>
      </c>
      <c r="C306" s="162" t="s">
        <v>15</v>
      </c>
      <c r="D306" s="162" t="s">
        <v>1578</v>
      </c>
      <c r="E306" s="231">
        <v>43620</v>
      </c>
      <c r="F306" s="162" t="s">
        <v>1229</v>
      </c>
      <c r="G306" s="231">
        <v>44930</v>
      </c>
      <c r="H306" s="198">
        <f>SUMIF(VA!B:B,A306,VA!I:I)</f>
        <v>359.46</v>
      </c>
      <c r="I306" s="32">
        <f>SUMIF(VR!B:B,A306,VR!I:I)</f>
        <v>657.5</v>
      </c>
      <c r="J306" s="4">
        <f t="shared" si="4"/>
        <v>1016.96</v>
      </c>
      <c r="K306" s="179">
        <f>SUMIF(FALTAS!A:A,A306,FALTAS!D:D)</f>
        <v>0</v>
      </c>
    </row>
    <row r="307" spans="1:11" x14ac:dyDescent="0.25">
      <c r="A307" s="235">
        <v>113774</v>
      </c>
      <c r="B307" s="162" t="s">
        <v>971</v>
      </c>
      <c r="C307" s="162" t="s">
        <v>146</v>
      </c>
      <c r="D307" s="162" t="s">
        <v>10</v>
      </c>
      <c r="E307" s="231">
        <v>43623</v>
      </c>
      <c r="F307" s="162" t="s">
        <v>1229</v>
      </c>
      <c r="G307" s="231">
        <v>44957</v>
      </c>
      <c r="H307" s="198">
        <f>SUMIF(VA!B:B,A307,VA!I:I)</f>
        <v>359.46</v>
      </c>
      <c r="I307" s="32">
        <f>SUMIF(VR!B:B,A307,VR!I:I)</f>
        <v>657.5</v>
      </c>
      <c r="J307" s="4">
        <f t="shared" si="4"/>
        <v>1016.96</v>
      </c>
      <c r="K307" s="179">
        <f>SUMIF(FALTAS!A:A,A307,FALTAS!D:D)</f>
        <v>0</v>
      </c>
    </row>
    <row r="308" spans="1:11" x14ac:dyDescent="0.25">
      <c r="A308" s="235">
        <v>116716</v>
      </c>
      <c r="B308" s="162" t="s">
        <v>1215</v>
      </c>
      <c r="C308" s="162" t="s">
        <v>2</v>
      </c>
      <c r="D308" s="162" t="s">
        <v>8</v>
      </c>
      <c r="E308" s="231">
        <v>44368</v>
      </c>
      <c r="F308" s="162" t="s">
        <v>1229</v>
      </c>
      <c r="G308" s="231">
        <v>45103</v>
      </c>
      <c r="H308" s="198">
        <f>SUMIF(VA!B:B,A308,VA!I:I)</f>
        <v>359.46</v>
      </c>
      <c r="I308" s="32">
        <f>SUMIF(VR!B:B,A308,VR!I:I)</f>
        <v>657.5</v>
      </c>
      <c r="J308" s="4">
        <f t="shared" si="4"/>
        <v>1016.96</v>
      </c>
      <c r="K308" s="179">
        <f>SUMIF(FALTAS!A:A,A308,FALTAS!D:D)</f>
        <v>0</v>
      </c>
    </row>
    <row r="309" spans="1:11" x14ac:dyDescent="0.25">
      <c r="A309" s="235">
        <v>121948</v>
      </c>
      <c r="B309" s="162" t="s">
        <v>1606</v>
      </c>
      <c r="C309" s="162" t="s">
        <v>1456</v>
      </c>
      <c r="D309" s="162" t="s">
        <v>1580</v>
      </c>
      <c r="E309" s="231">
        <v>45040</v>
      </c>
      <c r="F309" s="162" t="s">
        <v>1229</v>
      </c>
      <c r="G309" s="231">
        <v>45040</v>
      </c>
      <c r="H309" s="198">
        <f>SUMIF(VA!B:B,A309,VA!I:I)</f>
        <v>0</v>
      </c>
      <c r="I309" s="32">
        <f>SUMIF(VR!B:B,A309,VR!I:I)</f>
        <v>657.5</v>
      </c>
      <c r="J309" s="4">
        <f t="shared" si="4"/>
        <v>657.5</v>
      </c>
      <c r="K309" s="179">
        <f>SUMIF(FALTAS!A:A,A309,FALTAS!D:D)</f>
        <v>0</v>
      </c>
    </row>
    <row r="310" spans="1:11" x14ac:dyDescent="0.25">
      <c r="A310" s="235">
        <v>112950</v>
      </c>
      <c r="B310" s="162" t="s">
        <v>514</v>
      </c>
      <c r="C310" s="162" t="s">
        <v>2</v>
      </c>
      <c r="D310" s="162" t="s">
        <v>0</v>
      </c>
      <c r="E310" s="231">
        <v>43617</v>
      </c>
      <c r="F310" s="162" t="s">
        <v>1229</v>
      </c>
      <c r="G310" s="231">
        <v>44835</v>
      </c>
      <c r="H310" s="198">
        <f>SUMIF(VA!B:B,A310,VA!I:I)</f>
        <v>359.46</v>
      </c>
      <c r="I310" s="32">
        <f>SUMIF(VR!B:B,A310,VR!I:I)</f>
        <v>657.5</v>
      </c>
      <c r="J310" s="4">
        <f t="shared" si="4"/>
        <v>1016.96</v>
      </c>
      <c r="K310" s="179">
        <f>SUMIF(FALTAS!A:A,A310,FALTAS!D:D)</f>
        <v>0</v>
      </c>
    </row>
    <row r="311" spans="1:11" x14ac:dyDescent="0.25">
      <c r="A311" s="235">
        <v>114695</v>
      </c>
      <c r="B311" s="162" t="s">
        <v>1070</v>
      </c>
      <c r="C311" s="162" t="s">
        <v>2</v>
      </c>
      <c r="D311" s="162" t="s">
        <v>19</v>
      </c>
      <c r="E311" s="231">
        <v>43874</v>
      </c>
      <c r="F311" s="162" t="s">
        <v>1229</v>
      </c>
      <c r="G311" s="231">
        <v>45119</v>
      </c>
      <c r="H311" s="198">
        <f>SUMIF(VA!B:B,A311,VA!I:I)</f>
        <v>359.46</v>
      </c>
      <c r="I311" s="32">
        <f>SUMIF(VR!B:B,A311,VR!I:I)</f>
        <v>657.5</v>
      </c>
      <c r="J311" s="4">
        <f t="shared" si="4"/>
        <v>1016.96</v>
      </c>
      <c r="K311" s="179">
        <f>SUMIF(FALTAS!A:A,A311,FALTAS!D:D)</f>
        <v>0</v>
      </c>
    </row>
    <row r="312" spans="1:11" x14ac:dyDescent="0.25">
      <c r="A312" s="235">
        <v>112954</v>
      </c>
      <c r="B312" s="162" t="s">
        <v>517</v>
      </c>
      <c r="C312" s="162" t="s">
        <v>2</v>
      </c>
      <c r="D312" s="162" t="s">
        <v>8</v>
      </c>
      <c r="E312" s="231">
        <v>43617</v>
      </c>
      <c r="F312" s="162" t="s">
        <v>1230</v>
      </c>
      <c r="G312" s="231">
        <v>45180</v>
      </c>
      <c r="H312" s="198">
        <f>SUMIF(VA!B:B,A312,VA!I:I)</f>
        <v>359.46</v>
      </c>
      <c r="I312" s="32">
        <f>SUMIF(VR!B:B,A312,VR!I:I)</f>
        <v>657.5</v>
      </c>
      <c r="J312" s="4">
        <f t="shared" si="4"/>
        <v>1016.96</v>
      </c>
      <c r="K312" s="179">
        <f>SUMIF(FALTAS!A:A,A312,FALTAS!D:D)</f>
        <v>0</v>
      </c>
    </row>
    <row r="313" spans="1:11" x14ac:dyDescent="0.25">
      <c r="A313" s="235">
        <v>112956</v>
      </c>
      <c r="B313" s="162" t="s">
        <v>518</v>
      </c>
      <c r="C313" s="162" t="s">
        <v>5</v>
      </c>
      <c r="D313" s="162" t="s">
        <v>19</v>
      </c>
      <c r="E313" s="231">
        <v>43617</v>
      </c>
      <c r="F313" s="162" t="s">
        <v>1229</v>
      </c>
      <c r="G313" s="231">
        <v>45023</v>
      </c>
      <c r="H313" s="198">
        <f>SUMIF(VA!B:B,A313,VA!I:I)</f>
        <v>347.47</v>
      </c>
      <c r="I313" s="32">
        <f>SUMIF(VR!B:B,A313,VR!I:I)</f>
        <v>631.20000000000005</v>
      </c>
      <c r="J313" s="4">
        <f t="shared" si="4"/>
        <v>978.67000000000007</v>
      </c>
      <c r="K313" s="179">
        <f>SUMIF(FALTAS!A:A,A313,FALTAS!D:D)</f>
        <v>1</v>
      </c>
    </row>
    <row r="314" spans="1:11" x14ac:dyDescent="0.25">
      <c r="A314" s="235">
        <v>112961</v>
      </c>
      <c r="B314" s="162" t="s">
        <v>521</v>
      </c>
      <c r="C314" s="162" t="s">
        <v>15</v>
      </c>
      <c r="D314" s="162" t="s">
        <v>1578</v>
      </c>
      <c r="E314" s="231">
        <v>43617</v>
      </c>
      <c r="F314" s="162" t="s">
        <v>1229</v>
      </c>
      <c r="G314" s="231">
        <v>45023</v>
      </c>
      <c r="H314" s="198">
        <f>SUMIF(VA!B:B,A314,VA!I:I)</f>
        <v>359.46</v>
      </c>
      <c r="I314" s="32">
        <f>SUMIF(VR!B:B,A314,VR!I:I)</f>
        <v>657.5</v>
      </c>
      <c r="J314" s="4">
        <f t="shared" si="4"/>
        <v>1016.96</v>
      </c>
      <c r="K314" s="179">
        <f>SUMIF(FALTAS!A:A,A314,FALTAS!D:D)</f>
        <v>0</v>
      </c>
    </row>
    <row r="315" spans="1:11" x14ac:dyDescent="0.25">
      <c r="A315" s="235">
        <v>114500</v>
      </c>
      <c r="B315" s="162" t="s">
        <v>1040</v>
      </c>
      <c r="C315" s="162" t="s">
        <v>5</v>
      </c>
      <c r="D315" s="162" t="s">
        <v>0</v>
      </c>
      <c r="E315" s="231">
        <v>43811</v>
      </c>
      <c r="F315" s="162" t="s">
        <v>1229</v>
      </c>
      <c r="G315" s="231">
        <v>45149</v>
      </c>
      <c r="H315" s="198">
        <f>SUMIF(VA!B:B,A315,VA!I:I)</f>
        <v>347.47</v>
      </c>
      <c r="I315" s="32">
        <f>SUMIF(VR!B:B,A315,VR!I:I)</f>
        <v>631.20000000000005</v>
      </c>
      <c r="J315" s="4">
        <f t="shared" si="4"/>
        <v>978.67000000000007</v>
      </c>
      <c r="K315" s="179">
        <f>SUMIF(FALTAS!A:A,A315,FALTAS!D:D)</f>
        <v>1</v>
      </c>
    </row>
    <row r="316" spans="1:11" x14ac:dyDescent="0.25">
      <c r="A316" s="235">
        <v>116326</v>
      </c>
      <c r="B316" s="162" t="s">
        <v>1205</v>
      </c>
      <c r="C316" s="162" t="s">
        <v>5</v>
      </c>
      <c r="D316" s="162" t="s">
        <v>10</v>
      </c>
      <c r="E316" s="231">
        <v>44308</v>
      </c>
      <c r="F316" s="162" t="s">
        <v>1229</v>
      </c>
      <c r="G316" s="231">
        <v>44989</v>
      </c>
      <c r="H316" s="198">
        <f>SUMIF(VA!B:B,A316,VA!I:I)</f>
        <v>359.46</v>
      </c>
      <c r="I316" s="32">
        <f>SUMIF(VR!B:B,A316,VR!I:I)</f>
        <v>657.5</v>
      </c>
      <c r="J316" s="4">
        <f t="shared" si="4"/>
        <v>1016.96</v>
      </c>
      <c r="K316" s="179">
        <f>SUMIF(FALTAS!A:A,A316,FALTAS!D:D)</f>
        <v>0</v>
      </c>
    </row>
    <row r="317" spans="1:11" x14ac:dyDescent="0.25">
      <c r="A317" s="235">
        <v>113023</v>
      </c>
      <c r="B317" s="162" t="s">
        <v>545</v>
      </c>
      <c r="C317" s="162" t="s">
        <v>15</v>
      </c>
      <c r="D317" s="162" t="s">
        <v>1578</v>
      </c>
      <c r="E317" s="231">
        <v>43617</v>
      </c>
      <c r="F317" s="162" t="s">
        <v>1229</v>
      </c>
      <c r="G317" s="231">
        <v>44806</v>
      </c>
      <c r="H317" s="198">
        <f>SUMIF(VA!B:B,A317,VA!I:I)</f>
        <v>359.46</v>
      </c>
      <c r="I317" s="32">
        <f>SUMIF(VR!B:B,A317,VR!I:I)</f>
        <v>657.5</v>
      </c>
      <c r="J317" s="4">
        <f t="shared" si="4"/>
        <v>1016.96</v>
      </c>
      <c r="K317" s="179">
        <f>SUMIF(FALTAS!A:A,A317,FALTAS!D:D)</f>
        <v>0</v>
      </c>
    </row>
    <row r="318" spans="1:11" x14ac:dyDescent="0.25">
      <c r="A318" s="235">
        <v>113068</v>
      </c>
      <c r="B318" s="162" t="s">
        <v>567</v>
      </c>
      <c r="C318" s="162" t="s">
        <v>22</v>
      </c>
      <c r="D318" s="162" t="s">
        <v>1578</v>
      </c>
      <c r="E318" s="231">
        <v>43617</v>
      </c>
      <c r="F318" s="162" t="s">
        <v>1230</v>
      </c>
      <c r="G318" s="231">
        <v>45180</v>
      </c>
      <c r="H318" s="198">
        <f>SUMIF(VA!B:B,A318,VA!I:I)</f>
        <v>359.46</v>
      </c>
      <c r="I318" s="32">
        <f>SUMIF(VR!B:B,A318,VR!I:I)</f>
        <v>657.5</v>
      </c>
      <c r="J318" s="4">
        <f t="shared" si="4"/>
        <v>1016.96</v>
      </c>
      <c r="K318" s="179">
        <f>SUMIF(FALTAS!A:A,A318,FALTAS!D:D)</f>
        <v>0</v>
      </c>
    </row>
    <row r="319" spans="1:11" x14ac:dyDescent="0.25">
      <c r="A319" s="235">
        <v>121030</v>
      </c>
      <c r="B319" s="162" t="s">
        <v>1512</v>
      </c>
      <c r="C319" s="162" t="s">
        <v>2</v>
      </c>
      <c r="D319" s="162" t="s">
        <v>10</v>
      </c>
      <c r="E319" s="231">
        <v>44900</v>
      </c>
      <c r="F319" s="162" t="s">
        <v>1229</v>
      </c>
      <c r="G319" s="231">
        <v>44900</v>
      </c>
      <c r="H319" s="198">
        <f>SUMIF(VA!B:B,A319,VA!I:I)</f>
        <v>359.46</v>
      </c>
      <c r="I319" s="32">
        <f>SUMIF(VR!B:B,A319,VR!I:I)</f>
        <v>657.5</v>
      </c>
      <c r="J319" s="4">
        <f t="shared" si="4"/>
        <v>1016.96</v>
      </c>
      <c r="K319" s="179">
        <f>SUMIF(FALTAS!A:A,A319,FALTAS!D:D)</f>
        <v>0</v>
      </c>
    </row>
    <row r="320" spans="1:11" x14ac:dyDescent="0.25">
      <c r="A320" s="235">
        <v>113107</v>
      </c>
      <c r="B320" s="162" t="s">
        <v>587</v>
      </c>
      <c r="C320" s="162" t="s">
        <v>2</v>
      </c>
      <c r="D320" s="162" t="s">
        <v>8</v>
      </c>
      <c r="E320" s="231">
        <v>43617</v>
      </c>
      <c r="F320" s="162" t="s">
        <v>1230</v>
      </c>
      <c r="G320" s="231">
        <v>45180</v>
      </c>
      <c r="H320" s="198">
        <f>SUMIF(VA!B:B,A320,VA!I:I)</f>
        <v>359.46</v>
      </c>
      <c r="I320" s="32">
        <f>SUMIF(VR!B:B,A320,VR!I:I)</f>
        <v>657.5</v>
      </c>
      <c r="J320" s="4">
        <f t="shared" si="4"/>
        <v>1016.96</v>
      </c>
      <c r="K320" s="179">
        <f>SUMIF(FALTAS!A:A,A320,FALTAS!D:D)</f>
        <v>0</v>
      </c>
    </row>
    <row r="321" spans="1:11" x14ac:dyDescent="0.25">
      <c r="A321" s="235">
        <v>113119</v>
      </c>
      <c r="B321" s="162" t="s">
        <v>595</v>
      </c>
      <c r="C321" s="162" t="s">
        <v>22</v>
      </c>
      <c r="D321" s="162" t="s">
        <v>1578</v>
      </c>
      <c r="E321" s="231">
        <v>43617</v>
      </c>
      <c r="F321" s="162" t="s">
        <v>1229</v>
      </c>
      <c r="G321" s="231">
        <v>44806</v>
      </c>
      <c r="H321" s="198">
        <f>SUMIF(VA!B:B,A321,VA!I:I)</f>
        <v>359.46</v>
      </c>
      <c r="I321" s="32">
        <f>SUMIF(VR!B:B,A321,VR!I:I)</f>
        <v>657.5</v>
      </c>
      <c r="J321" s="4">
        <f t="shared" si="4"/>
        <v>1016.96</v>
      </c>
      <c r="K321" s="179">
        <f>SUMIF(FALTAS!A:A,A321,FALTAS!D:D)</f>
        <v>0</v>
      </c>
    </row>
    <row r="322" spans="1:11" x14ac:dyDescent="0.25">
      <c r="A322" s="235">
        <v>113157</v>
      </c>
      <c r="B322" s="162" t="s">
        <v>616</v>
      </c>
      <c r="C322" s="162" t="s">
        <v>2</v>
      </c>
      <c r="D322" s="162" t="s">
        <v>32</v>
      </c>
      <c r="E322" s="231">
        <v>43617</v>
      </c>
      <c r="F322" s="162" t="s">
        <v>1229</v>
      </c>
      <c r="G322" s="231">
        <v>45149</v>
      </c>
      <c r="H322" s="198">
        <f>SUMIF(VA!B:B,A322,VA!I:I)</f>
        <v>359.46</v>
      </c>
      <c r="I322" s="32">
        <f>SUMIF(VR!B:B,A322,VR!I:I)</f>
        <v>657.5</v>
      </c>
      <c r="J322" s="4">
        <f t="shared" ref="J322:J385" si="5">H322+I322</f>
        <v>1016.96</v>
      </c>
      <c r="K322" s="179">
        <f>SUMIF(FALTAS!A:A,A322,FALTAS!D:D)</f>
        <v>0</v>
      </c>
    </row>
    <row r="323" spans="1:11" x14ac:dyDescent="0.25">
      <c r="A323" s="235">
        <v>113204</v>
      </c>
      <c r="B323" s="162" t="s">
        <v>644</v>
      </c>
      <c r="C323" s="162" t="s">
        <v>5</v>
      </c>
      <c r="D323" s="162" t="s">
        <v>0</v>
      </c>
      <c r="E323" s="231">
        <v>43617</v>
      </c>
      <c r="F323" s="162" t="s">
        <v>1229</v>
      </c>
      <c r="G323" s="231">
        <v>45023</v>
      </c>
      <c r="H323" s="198">
        <f>SUMIF(VA!B:B,A323,VA!I:I)</f>
        <v>359.46</v>
      </c>
      <c r="I323" s="32">
        <f>SUMIF(VR!B:B,A323,VR!I:I)</f>
        <v>657.5</v>
      </c>
      <c r="J323" s="4">
        <f t="shared" si="5"/>
        <v>1016.96</v>
      </c>
      <c r="K323" s="179">
        <f>SUMIF(FALTAS!A:A,A323,FALTAS!D:D)</f>
        <v>0</v>
      </c>
    </row>
    <row r="324" spans="1:11" x14ac:dyDescent="0.25">
      <c r="A324" s="235">
        <v>113712</v>
      </c>
      <c r="B324" s="162" t="s">
        <v>928</v>
      </c>
      <c r="C324" s="162" t="s">
        <v>5</v>
      </c>
      <c r="D324" s="162" t="s">
        <v>10</v>
      </c>
      <c r="E324" s="231">
        <v>43619</v>
      </c>
      <c r="F324" s="162" t="s">
        <v>1229</v>
      </c>
      <c r="G324" s="231">
        <v>45023</v>
      </c>
      <c r="H324" s="198">
        <f>SUMIF(VA!B:B,A324,VA!I:I)</f>
        <v>359.46</v>
      </c>
      <c r="I324" s="32">
        <f>SUMIF(VR!B:B,A324,VR!I:I)</f>
        <v>657.5</v>
      </c>
      <c r="J324" s="4">
        <f t="shared" si="5"/>
        <v>1016.96</v>
      </c>
      <c r="K324" s="179">
        <f>SUMIF(FALTAS!A:A,A324,FALTAS!D:D)</f>
        <v>0</v>
      </c>
    </row>
    <row r="325" spans="1:11" x14ac:dyDescent="0.25">
      <c r="A325" s="235">
        <v>121486</v>
      </c>
      <c r="B325" s="162" t="s">
        <v>1554</v>
      </c>
      <c r="C325" s="162" t="s">
        <v>15</v>
      </c>
      <c r="D325" s="162" t="s">
        <v>1578</v>
      </c>
      <c r="E325" s="231">
        <v>44967</v>
      </c>
      <c r="F325" s="162" t="s">
        <v>1229</v>
      </c>
      <c r="G325" s="231">
        <v>44967</v>
      </c>
      <c r="H325" s="198">
        <f>SUMIF(VA!B:B,A325,VA!I:I)</f>
        <v>359.46</v>
      </c>
      <c r="I325" s="32">
        <f>SUMIF(VR!B:B,A325,VR!I:I)</f>
        <v>657.5</v>
      </c>
      <c r="J325" s="4">
        <f t="shared" si="5"/>
        <v>1016.96</v>
      </c>
      <c r="K325" s="179">
        <f>SUMIF(FALTAS!A:A,A325,FALTAS!D:D)</f>
        <v>0</v>
      </c>
    </row>
    <row r="326" spans="1:11" x14ac:dyDescent="0.25">
      <c r="A326" s="235">
        <v>113309</v>
      </c>
      <c r="B326" s="162" t="s">
        <v>699</v>
      </c>
      <c r="C326" s="162" t="s">
        <v>2</v>
      </c>
      <c r="D326" s="162" t="s">
        <v>0</v>
      </c>
      <c r="E326" s="231">
        <v>43617</v>
      </c>
      <c r="F326" s="162" t="s">
        <v>1229</v>
      </c>
      <c r="G326" s="231">
        <v>44989</v>
      </c>
      <c r="H326" s="198">
        <f>SUMIF(VA!B:B,A326,VA!I:I)</f>
        <v>359.46</v>
      </c>
      <c r="I326" s="32">
        <f>SUMIF(VR!B:B,A326,VR!I:I)</f>
        <v>657.5</v>
      </c>
      <c r="J326" s="4">
        <f t="shared" si="5"/>
        <v>1016.96</v>
      </c>
      <c r="K326" s="179">
        <f>SUMIF(FALTAS!A:A,A326,FALTAS!D:D)</f>
        <v>0</v>
      </c>
    </row>
    <row r="327" spans="1:11" x14ac:dyDescent="0.25">
      <c r="A327" s="235">
        <v>113318</v>
      </c>
      <c r="B327" s="162" t="s">
        <v>703</v>
      </c>
      <c r="C327" s="162" t="s">
        <v>2</v>
      </c>
      <c r="D327" s="162" t="s">
        <v>19</v>
      </c>
      <c r="E327" s="231">
        <v>43617</v>
      </c>
      <c r="F327" s="162" t="s">
        <v>1230</v>
      </c>
      <c r="G327" s="231">
        <v>45180</v>
      </c>
      <c r="H327" s="198">
        <f>SUMIF(VA!B:B,A327,VA!I:I)</f>
        <v>359.46</v>
      </c>
      <c r="I327" s="32">
        <f>SUMIF(VR!B:B,A327,VR!I:I)</f>
        <v>657.5</v>
      </c>
      <c r="J327" s="4">
        <f t="shared" si="5"/>
        <v>1016.96</v>
      </c>
      <c r="K327" s="179">
        <f>SUMIF(FALTAS!A:A,A327,FALTAS!D:D)</f>
        <v>0</v>
      </c>
    </row>
    <row r="328" spans="1:11" x14ac:dyDescent="0.25">
      <c r="A328" s="235">
        <v>122334</v>
      </c>
      <c r="B328" s="162" t="s">
        <v>1652</v>
      </c>
      <c r="C328" s="162" t="s">
        <v>15</v>
      </c>
      <c r="D328" s="162" t="s">
        <v>1578</v>
      </c>
      <c r="E328" s="231">
        <v>45098</v>
      </c>
      <c r="F328" s="162" t="s">
        <v>1229</v>
      </c>
      <c r="G328" s="231">
        <v>45098</v>
      </c>
      <c r="H328" s="198">
        <f>SUMIF(VA!B:B,A328,VA!I:I)</f>
        <v>359.46</v>
      </c>
      <c r="I328" s="32">
        <f>SUMIF(VR!B:B,A328,VR!I:I)</f>
        <v>657.5</v>
      </c>
      <c r="J328" s="4">
        <f t="shared" si="5"/>
        <v>1016.96</v>
      </c>
      <c r="K328" s="179">
        <f>SUMIF(FALTAS!A:A,A328,FALTAS!D:D)</f>
        <v>0</v>
      </c>
    </row>
    <row r="329" spans="1:11" x14ac:dyDescent="0.25">
      <c r="A329" s="235">
        <v>116085</v>
      </c>
      <c r="B329" s="162" t="s">
        <v>1180</v>
      </c>
      <c r="C329" s="162" t="s">
        <v>15</v>
      </c>
      <c r="D329" s="162" t="s">
        <v>1578</v>
      </c>
      <c r="E329" s="231">
        <v>44235</v>
      </c>
      <c r="F329" s="162" t="s">
        <v>1229</v>
      </c>
      <c r="G329" s="231">
        <v>45086</v>
      </c>
      <c r="H329" s="198">
        <f>SUMIF(VA!B:B,A329,VA!I:I)</f>
        <v>359.46</v>
      </c>
      <c r="I329" s="32">
        <f>SUMIF(VR!B:B,A329,VR!I:I)</f>
        <v>657.5</v>
      </c>
      <c r="J329" s="4">
        <f t="shared" si="5"/>
        <v>1016.96</v>
      </c>
      <c r="K329" s="179">
        <f>SUMIF(FALTAS!A:A,A329,FALTAS!D:D)</f>
        <v>0</v>
      </c>
    </row>
    <row r="330" spans="1:11" x14ac:dyDescent="0.25">
      <c r="A330" s="235">
        <v>116225</v>
      </c>
      <c r="B330" s="162" t="s">
        <v>1189</v>
      </c>
      <c r="C330" s="162" t="s">
        <v>5</v>
      </c>
      <c r="D330" s="162" t="s">
        <v>0</v>
      </c>
      <c r="E330" s="231">
        <v>44273</v>
      </c>
      <c r="F330" s="162" t="s">
        <v>1229</v>
      </c>
      <c r="G330" s="231">
        <v>45198</v>
      </c>
      <c r="H330" s="198">
        <f>SUMIF(VA!B:B,A330,VA!I:I)</f>
        <v>359.46</v>
      </c>
      <c r="I330" s="32">
        <f>SUMIF(VR!B:B,A330,VR!I:I)</f>
        <v>657.5</v>
      </c>
      <c r="J330" s="4">
        <f t="shared" si="5"/>
        <v>1016.96</v>
      </c>
      <c r="K330" s="179">
        <f>SUMIF(FALTAS!A:A,A330,FALTAS!D:D)</f>
        <v>0</v>
      </c>
    </row>
    <row r="331" spans="1:11" x14ac:dyDescent="0.25">
      <c r="A331" s="235">
        <v>113331</v>
      </c>
      <c r="B331" s="162" t="s">
        <v>711</v>
      </c>
      <c r="C331" s="162" t="s">
        <v>5</v>
      </c>
      <c r="D331" s="162" t="s">
        <v>1578</v>
      </c>
      <c r="E331" s="231">
        <v>43617</v>
      </c>
      <c r="F331" s="162" t="s">
        <v>1229</v>
      </c>
      <c r="G331" s="231">
        <v>45056</v>
      </c>
      <c r="H331" s="198">
        <f>SUMIF(VA!B:B,A331,VA!I:I)</f>
        <v>359.46</v>
      </c>
      <c r="I331" s="32">
        <f>SUMIF(VR!B:B,A331,VR!I:I)</f>
        <v>657.5</v>
      </c>
      <c r="J331" s="4">
        <f t="shared" si="5"/>
        <v>1016.96</v>
      </c>
      <c r="K331" s="179">
        <f>SUMIF(FALTAS!A:A,A331,FALTAS!D:D)</f>
        <v>0</v>
      </c>
    </row>
    <row r="332" spans="1:11" x14ac:dyDescent="0.25">
      <c r="A332" s="235">
        <v>113341</v>
      </c>
      <c r="B332" s="162" t="s">
        <v>716</v>
      </c>
      <c r="C332" s="162" t="s">
        <v>2</v>
      </c>
      <c r="D332" s="162" t="s">
        <v>8</v>
      </c>
      <c r="E332" s="231">
        <v>43617</v>
      </c>
      <c r="F332" s="162" t="s">
        <v>1229</v>
      </c>
      <c r="G332" s="231">
        <v>45149</v>
      </c>
      <c r="H332" s="198">
        <f>SUMIF(VA!B:B,A332,VA!I:I)</f>
        <v>359.46</v>
      </c>
      <c r="I332" s="32">
        <f>SUMIF(VR!B:B,A332,VR!I:I)</f>
        <v>657.5</v>
      </c>
      <c r="J332" s="4">
        <f t="shared" si="5"/>
        <v>1016.96</v>
      </c>
      <c r="K332" s="179">
        <f>SUMIF(FALTAS!A:A,A332,FALTAS!D:D)</f>
        <v>0</v>
      </c>
    </row>
    <row r="333" spans="1:11" x14ac:dyDescent="0.25">
      <c r="A333" s="235">
        <v>113349</v>
      </c>
      <c r="B333" s="162" t="s">
        <v>1281</v>
      </c>
      <c r="C333" s="162" t="s">
        <v>15</v>
      </c>
      <c r="D333" s="162" t="s">
        <v>1578</v>
      </c>
      <c r="E333" s="231">
        <v>43617</v>
      </c>
      <c r="F333" s="162" t="s">
        <v>1229</v>
      </c>
      <c r="G333" s="231">
        <v>44960</v>
      </c>
      <c r="H333" s="198">
        <f>SUMIF(VA!B:B,A333,VA!I:I)</f>
        <v>359.46</v>
      </c>
      <c r="I333" s="32">
        <f>SUMIF(VR!B:B,A333,VR!I:I)</f>
        <v>657.5</v>
      </c>
      <c r="J333" s="4">
        <f t="shared" si="5"/>
        <v>1016.96</v>
      </c>
      <c r="K333" s="179">
        <f>SUMIF(FALTAS!A:A,A333,FALTAS!D:D)</f>
        <v>0</v>
      </c>
    </row>
    <row r="334" spans="1:11" x14ac:dyDescent="0.25">
      <c r="A334" s="235">
        <v>113354</v>
      </c>
      <c r="B334" s="162" t="s">
        <v>722</v>
      </c>
      <c r="C334" s="162" t="s">
        <v>5</v>
      </c>
      <c r="D334" s="162" t="s">
        <v>19</v>
      </c>
      <c r="E334" s="231">
        <v>43617</v>
      </c>
      <c r="F334" s="162" t="s">
        <v>1230</v>
      </c>
      <c r="G334" s="231">
        <v>45180</v>
      </c>
      <c r="H334" s="198">
        <f>SUMIF(VA!B:B,A334,VA!I:I)</f>
        <v>359.46</v>
      </c>
      <c r="I334" s="32">
        <f>SUMIF(VR!B:B,A334,VR!I:I)</f>
        <v>657.5</v>
      </c>
      <c r="J334" s="4">
        <f t="shared" si="5"/>
        <v>1016.96</v>
      </c>
      <c r="K334" s="179">
        <f>SUMIF(FALTAS!A:A,A334,FALTAS!D:D)</f>
        <v>0</v>
      </c>
    </row>
    <row r="335" spans="1:11" x14ac:dyDescent="0.25">
      <c r="A335" s="235">
        <v>116974</v>
      </c>
      <c r="B335" s="162" t="s">
        <v>1237</v>
      </c>
      <c r="C335" s="162" t="s">
        <v>5</v>
      </c>
      <c r="D335" s="162" t="s">
        <v>10</v>
      </c>
      <c r="E335" s="231">
        <v>44419</v>
      </c>
      <c r="F335" s="162" t="s">
        <v>1229</v>
      </c>
      <c r="G335" s="231">
        <v>45086</v>
      </c>
      <c r="H335" s="198">
        <f>SUMIF(VA!B:B,A335,VA!I:I)</f>
        <v>359.46</v>
      </c>
      <c r="I335" s="32">
        <f>SUMIF(VR!B:B,A335,VR!I:I)</f>
        <v>657.5</v>
      </c>
      <c r="J335" s="4">
        <f t="shared" si="5"/>
        <v>1016.96</v>
      </c>
      <c r="K335" s="179">
        <f>SUMIF(FALTAS!A:A,A335,FALTAS!D:D)</f>
        <v>0</v>
      </c>
    </row>
    <row r="336" spans="1:11" x14ac:dyDescent="0.25">
      <c r="A336" s="235">
        <v>113739</v>
      </c>
      <c r="B336" s="162" t="s">
        <v>958</v>
      </c>
      <c r="C336" s="162" t="s">
        <v>1429</v>
      </c>
      <c r="D336" s="162" t="s">
        <v>1580</v>
      </c>
      <c r="E336" s="231">
        <v>43619</v>
      </c>
      <c r="F336" s="162" t="s">
        <v>1229</v>
      </c>
      <c r="G336" s="231">
        <v>45013</v>
      </c>
      <c r="H336" s="198">
        <f>SUMIF(VA!B:B,A336,VA!I:I)</f>
        <v>359.46</v>
      </c>
      <c r="I336" s="32">
        <f>SUMIF(VR!B:B,A336,VR!I:I)</f>
        <v>657.5</v>
      </c>
      <c r="J336" s="4">
        <f t="shared" si="5"/>
        <v>1016.96</v>
      </c>
      <c r="K336" s="179">
        <f>SUMIF(FALTAS!A:A,A336,FALTAS!D:D)</f>
        <v>0</v>
      </c>
    </row>
    <row r="337" spans="1:11" x14ac:dyDescent="0.25">
      <c r="A337" s="235">
        <v>113361</v>
      </c>
      <c r="B337" s="162" t="s">
        <v>727</v>
      </c>
      <c r="C337" s="162" t="s">
        <v>15</v>
      </c>
      <c r="D337" s="162" t="s">
        <v>1578</v>
      </c>
      <c r="E337" s="231">
        <v>43620</v>
      </c>
      <c r="F337" s="162" t="s">
        <v>1229</v>
      </c>
      <c r="G337" s="231">
        <v>45149</v>
      </c>
      <c r="H337" s="198">
        <f>SUMIF(VA!B:B,A337,VA!I:I)</f>
        <v>359.46</v>
      </c>
      <c r="I337" s="32">
        <f>SUMIF(VR!B:B,A337,VR!I:I)</f>
        <v>657.5</v>
      </c>
      <c r="J337" s="4">
        <f t="shared" si="5"/>
        <v>1016.96</v>
      </c>
      <c r="K337" s="179">
        <f>SUMIF(FALTAS!A:A,A337,FALTAS!D:D)</f>
        <v>0</v>
      </c>
    </row>
    <row r="338" spans="1:11" x14ac:dyDescent="0.25">
      <c r="A338" s="235">
        <v>113364</v>
      </c>
      <c r="B338" s="162" t="s">
        <v>730</v>
      </c>
      <c r="C338" s="162" t="s">
        <v>2</v>
      </c>
      <c r="D338" s="162" t="s">
        <v>19</v>
      </c>
      <c r="E338" s="231">
        <v>43617</v>
      </c>
      <c r="F338" s="162" t="s">
        <v>1230</v>
      </c>
      <c r="G338" s="231">
        <v>45180</v>
      </c>
      <c r="H338" s="198">
        <f>SUMIF(VA!B:B,A338,VA!I:I)</f>
        <v>359.46</v>
      </c>
      <c r="I338" s="32">
        <f>SUMIF(VR!B:B,A338,VR!I:I)</f>
        <v>657.5</v>
      </c>
      <c r="J338" s="4">
        <f t="shared" si="5"/>
        <v>1016.96</v>
      </c>
      <c r="K338" s="179">
        <f>SUMIF(FALTAS!A:A,A338,FALTAS!D:D)</f>
        <v>0</v>
      </c>
    </row>
    <row r="339" spans="1:11" x14ac:dyDescent="0.25">
      <c r="A339" s="235">
        <v>113368</v>
      </c>
      <c r="B339" s="162" t="s">
        <v>733</v>
      </c>
      <c r="C339" s="162" t="s">
        <v>2</v>
      </c>
      <c r="D339" s="162" t="s">
        <v>19</v>
      </c>
      <c r="E339" s="231">
        <v>43617</v>
      </c>
      <c r="F339" s="162" t="s">
        <v>1230</v>
      </c>
      <c r="G339" s="231">
        <v>45180</v>
      </c>
      <c r="H339" s="198">
        <f>SUMIF(VA!B:B,A339,VA!I:I)</f>
        <v>359.46</v>
      </c>
      <c r="I339" s="32">
        <f>SUMIF(VR!B:B,A339,VR!I:I)</f>
        <v>657.5</v>
      </c>
      <c r="J339" s="4">
        <f t="shared" si="5"/>
        <v>1016.96</v>
      </c>
      <c r="K339" s="179">
        <f>SUMIF(FALTAS!A:A,A339,FALTAS!D:D)</f>
        <v>0</v>
      </c>
    </row>
    <row r="340" spans="1:11" x14ac:dyDescent="0.25">
      <c r="A340" s="235">
        <v>113374</v>
      </c>
      <c r="B340" s="162" t="s">
        <v>736</v>
      </c>
      <c r="C340" s="162" t="s">
        <v>2</v>
      </c>
      <c r="D340" s="162" t="s">
        <v>8</v>
      </c>
      <c r="E340" s="231">
        <v>43617</v>
      </c>
      <c r="F340" s="162" t="s">
        <v>1230</v>
      </c>
      <c r="G340" s="231">
        <v>45180</v>
      </c>
      <c r="H340" s="198">
        <f>SUMIF(VA!B:B,A340,VA!I:I)</f>
        <v>359.46</v>
      </c>
      <c r="I340" s="32">
        <f>SUMIF(VR!B:B,A340,VR!I:I)</f>
        <v>657.5</v>
      </c>
      <c r="J340" s="4">
        <f t="shared" si="5"/>
        <v>1016.96</v>
      </c>
      <c r="K340" s="179">
        <f>SUMIF(FALTAS!A:A,A340,FALTAS!D:D)</f>
        <v>0</v>
      </c>
    </row>
    <row r="341" spans="1:11" x14ac:dyDescent="0.25">
      <c r="A341" s="235">
        <v>117358</v>
      </c>
      <c r="B341" s="162" t="s">
        <v>1262</v>
      </c>
      <c r="C341" s="162" t="s">
        <v>15</v>
      </c>
      <c r="D341" s="162" t="s">
        <v>1578</v>
      </c>
      <c r="E341" s="231">
        <v>44508</v>
      </c>
      <c r="F341" s="162" t="s">
        <v>1229</v>
      </c>
      <c r="G341" s="231">
        <v>44930</v>
      </c>
      <c r="H341" s="198">
        <f>SUMIF(VA!B:B,A341,VA!I:I)</f>
        <v>359.46</v>
      </c>
      <c r="I341" s="32">
        <f>SUMIF(VR!B:B,A341,VR!I:I)</f>
        <v>657.5</v>
      </c>
      <c r="J341" s="4">
        <f t="shared" si="5"/>
        <v>1016.96</v>
      </c>
      <c r="K341" s="179">
        <f>SUMIF(FALTAS!A:A,A341,FALTAS!D:D)</f>
        <v>0</v>
      </c>
    </row>
    <row r="342" spans="1:11" x14ac:dyDescent="0.25">
      <c r="A342" s="235">
        <v>121675</v>
      </c>
      <c r="B342" s="162" t="s">
        <v>1585</v>
      </c>
      <c r="C342" s="162" t="s">
        <v>5</v>
      </c>
      <c r="D342" s="162" t="s">
        <v>10</v>
      </c>
      <c r="E342" s="231">
        <v>44994</v>
      </c>
      <c r="F342" s="162" t="s">
        <v>1229</v>
      </c>
      <c r="G342" s="231">
        <v>44994</v>
      </c>
      <c r="H342" s="198">
        <f>SUMIF(VA!B:B,A342,VA!I:I)</f>
        <v>359.46</v>
      </c>
      <c r="I342" s="32">
        <f>SUMIF(VR!B:B,A342,VR!I:I)</f>
        <v>657.5</v>
      </c>
      <c r="J342" s="4">
        <f t="shared" si="5"/>
        <v>1016.96</v>
      </c>
      <c r="K342" s="179">
        <f>SUMIF(FALTAS!A:A,A342,FALTAS!D:D)</f>
        <v>0</v>
      </c>
    </row>
    <row r="343" spans="1:11" x14ac:dyDescent="0.25">
      <c r="A343" s="235">
        <v>119645</v>
      </c>
      <c r="B343" s="162" t="s">
        <v>1457</v>
      </c>
      <c r="C343" s="162" t="s">
        <v>5</v>
      </c>
      <c r="D343" s="162" t="s">
        <v>0</v>
      </c>
      <c r="E343" s="231">
        <v>44725</v>
      </c>
      <c r="F343" s="162" t="s">
        <v>1229</v>
      </c>
      <c r="G343" s="231">
        <v>44725</v>
      </c>
      <c r="H343" s="198">
        <f>SUMIF(VA!B:B,A343,VA!I:I)</f>
        <v>359.46</v>
      </c>
      <c r="I343" s="32">
        <f>SUMIF(VR!B:B,A343,VR!I:I)</f>
        <v>657.5</v>
      </c>
      <c r="J343" s="4">
        <f t="shared" si="5"/>
        <v>1016.96</v>
      </c>
      <c r="K343" s="179">
        <f>SUMIF(FALTAS!A:A,A343,FALTAS!D:D)</f>
        <v>0</v>
      </c>
    </row>
    <row r="344" spans="1:11" x14ac:dyDescent="0.25">
      <c r="A344" s="235">
        <v>116226</v>
      </c>
      <c r="B344" s="162" t="s">
        <v>1190</v>
      </c>
      <c r="C344" s="162" t="s">
        <v>5</v>
      </c>
      <c r="D344" s="162" t="s">
        <v>0</v>
      </c>
      <c r="E344" s="231">
        <v>44273</v>
      </c>
      <c r="F344" s="162" t="s">
        <v>1230</v>
      </c>
      <c r="G344" s="231">
        <v>45180</v>
      </c>
      <c r="H344" s="198">
        <f>SUMIF(VA!B:B,A344,VA!I:I)</f>
        <v>359.46</v>
      </c>
      <c r="I344" s="32">
        <f>SUMIF(VR!B:B,A344,VR!I:I)</f>
        <v>657.5</v>
      </c>
      <c r="J344" s="4">
        <f t="shared" si="5"/>
        <v>1016.96</v>
      </c>
      <c r="K344" s="179">
        <f>SUMIF(FALTAS!A:A,A344,FALTAS!D:D)</f>
        <v>0</v>
      </c>
    </row>
    <row r="345" spans="1:11" x14ac:dyDescent="0.25">
      <c r="A345" s="235">
        <v>113390</v>
      </c>
      <c r="B345" s="162" t="s">
        <v>747</v>
      </c>
      <c r="C345" s="162" t="s">
        <v>469</v>
      </c>
      <c r="D345" s="162" t="s">
        <v>10</v>
      </c>
      <c r="E345" s="231">
        <v>43617</v>
      </c>
      <c r="F345" s="162" t="s">
        <v>1229</v>
      </c>
      <c r="G345" s="231">
        <v>45119</v>
      </c>
      <c r="H345" s="198">
        <f>SUMIF(VA!B:B,A345,VA!I:I)</f>
        <v>359.46</v>
      </c>
      <c r="I345" s="32">
        <f>SUMIF(VR!B:B,A345,VR!I:I)</f>
        <v>657.5</v>
      </c>
      <c r="J345" s="4">
        <f t="shared" si="5"/>
        <v>1016.96</v>
      </c>
      <c r="K345" s="179">
        <f>SUMIF(FALTAS!A:A,A345,FALTAS!D:D)</f>
        <v>0</v>
      </c>
    </row>
    <row r="346" spans="1:11" x14ac:dyDescent="0.25">
      <c r="A346" s="235">
        <v>113392</v>
      </c>
      <c r="B346" s="162" t="s">
        <v>750</v>
      </c>
      <c r="C346" s="162" t="s">
        <v>2</v>
      </c>
      <c r="D346" s="162" t="s">
        <v>10</v>
      </c>
      <c r="E346" s="231">
        <v>43617</v>
      </c>
      <c r="F346" s="162" t="s">
        <v>1229</v>
      </c>
      <c r="G346" s="231">
        <v>44960</v>
      </c>
      <c r="H346" s="198">
        <f>SUMIF(VA!B:B,A346,VA!I:I)</f>
        <v>359.46</v>
      </c>
      <c r="I346" s="32">
        <f>SUMIF(VR!B:B,A346,VR!I:I)</f>
        <v>657.5</v>
      </c>
      <c r="J346" s="4">
        <f t="shared" si="5"/>
        <v>1016.96</v>
      </c>
      <c r="K346" s="179">
        <f>SUMIF(FALTAS!A:A,A346,FALTAS!D:D)</f>
        <v>0</v>
      </c>
    </row>
    <row r="347" spans="1:11" x14ac:dyDescent="0.25">
      <c r="A347" s="235">
        <v>113404</v>
      </c>
      <c r="B347" s="162" t="s">
        <v>748</v>
      </c>
      <c r="C347" s="162" t="s">
        <v>182</v>
      </c>
      <c r="D347" s="162" t="s">
        <v>8</v>
      </c>
      <c r="E347" s="231">
        <v>43617</v>
      </c>
      <c r="F347" s="162" t="s">
        <v>1229</v>
      </c>
      <c r="G347" s="231">
        <v>45119</v>
      </c>
      <c r="H347" s="198">
        <f>SUMIF(VA!B:B,A347,VA!I:I)</f>
        <v>359.46</v>
      </c>
      <c r="I347" s="32">
        <f>SUMIF(VR!B:B,A347,VR!I:I)</f>
        <v>657.5</v>
      </c>
      <c r="J347" s="4">
        <f t="shared" si="5"/>
        <v>1016.96</v>
      </c>
      <c r="K347" s="179">
        <f>SUMIF(FALTAS!A:A,A347,FALTAS!D:D)</f>
        <v>0</v>
      </c>
    </row>
    <row r="348" spans="1:11" x14ac:dyDescent="0.25">
      <c r="A348" s="235">
        <v>112825</v>
      </c>
      <c r="B348" s="162" t="s">
        <v>438</v>
      </c>
      <c r="C348" s="162" t="s">
        <v>15</v>
      </c>
      <c r="D348" s="162" t="s">
        <v>1578</v>
      </c>
      <c r="E348" s="231">
        <v>43617</v>
      </c>
      <c r="F348" s="162" t="s">
        <v>1229</v>
      </c>
      <c r="G348" s="231">
        <v>44990</v>
      </c>
      <c r="H348" s="198">
        <f>SUMIF(VA!B:B,A348,VA!I:I)</f>
        <v>359.46</v>
      </c>
      <c r="I348" s="32">
        <f>SUMIF(VR!B:B,A348,VR!I:I)</f>
        <v>657.5</v>
      </c>
      <c r="J348" s="4">
        <f t="shared" si="5"/>
        <v>1016.96</v>
      </c>
      <c r="K348" s="179">
        <f>SUMIF(FALTAS!A:A,A348,FALTAS!D:D)</f>
        <v>0</v>
      </c>
    </row>
    <row r="349" spans="1:11" x14ac:dyDescent="0.25">
      <c r="A349" s="235">
        <v>112830</v>
      </c>
      <c r="B349" s="162" t="s">
        <v>441</v>
      </c>
      <c r="C349" s="162" t="s">
        <v>5</v>
      </c>
      <c r="D349" s="162" t="s">
        <v>10</v>
      </c>
      <c r="E349" s="231">
        <v>43617</v>
      </c>
      <c r="F349" s="162" t="s">
        <v>1230</v>
      </c>
      <c r="G349" s="231">
        <v>45180</v>
      </c>
      <c r="H349" s="198">
        <f>SUMIF(VA!B:B,A349,VA!I:I)</f>
        <v>359.46</v>
      </c>
      <c r="I349" s="32">
        <f>SUMIF(VR!B:B,A349,VR!I:I)</f>
        <v>657.5</v>
      </c>
      <c r="J349" s="4">
        <f t="shared" si="5"/>
        <v>1016.96</v>
      </c>
      <c r="K349" s="179">
        <f>SUMIF(FALTAS!A:A,A349,FALTAS!D:D)</f>
        <v>0</v>
      </c>
    </row>
    <row r="350" spans="1:11" x14ac:dyDescent="0.25">
      <c r="A350" s="235">
        <v>112838</v>
      </c>
      <c r="B350" s="162" t="s">
        <v>446</v>
      </c>
      <c r="C350" s="162" t="s">
        <v>15</v>
      </c>
      <c r="D350" s="162" t="s">
        <v>1578</v>
      </c>
      <c r="E350" s="231">
        <v>43617</v>
      </c>
      <c r="F350" s="162" t="s">
        <v>1229</v>
      </c>
      <c r="G350" s="231">
        <v>45149</v>
      </c>
      <c r="H350" s="198">
        <f>SUMIF(VA!B:B,A350,VA!I:I)</f>
        <v>359.46</v>
      </c>
      <c r="I350" s="32">
        <f>SUMIF(VR!B:B,A350,VR!I:I)</f>
        <v>657.5</v>
      </c>
      <c r="J350" s="4">
        <f t="shared" si="5"/>
        <v>1016.96</v>
      </c>
      <c r="K350" s="179">
        <f>SUMIF(FALTAS!A:A,A350,FALTAS!D:D)</f>
        <v>0</v>
      </c>
    </row>
    <row r="351" spans="1:11" x14ac:dyDescent="0.25">
      <c r="A351" s="235">
        <v>113726</v>
      </c>
      <c r="B351" s="162" t="s">
        <v>942</v>
      </c>
      <c r="C351" s="162" t="s">
        <v>5</v>
      </c>
      <c r="D351" s="162" t="s">
        <v>0</v>
      </c>
      <c r="E351" s="231">
        <v>43619</v>
      </c>
      <c r="F351" s="162" t="s">
        <v>1229</v>
      </c>
      <c r="G351" s="231">
        <v>45056</v>
      </c>
      <c r="H351" s="198">
        <f>SUMIF(VA!B:B,A351,VA!I:I)</f>
        <v>359.46</v>
      </c>
      <c r="I351" s="32">
        <f>SUMIF(VR!B:B,A351,VR!I:I)</f>
        <v>657.5</v>
      </c>
      <c r="J351" s="4">
        <f t="shared" si="5"/>
        <v>1016.96</v>
      </c>
      <c r="K351" s="179">
        <f>SUMIF(FALTAS!A:A,A351,FALTAS!D:D)</f>
        <v>0</v>
      </c>
    </row>
    <row r="352" spans="1:11" x14ac:dyDescent="0.25">
      <c r="A352" s="235">
        <v>112847</v>
      </c>
      <c r="B352" s="162" t="s">
        <v>450</v>
      </c>
      <c r="C352" s="162" t="s">
        <v>39</v>
      </c>
      <c r="D352" s="162" t="s">
        <v>10</v>
      </c>
      <c r="E352" s="231">
        <v>43617</v>
      </c>
      <c r="F352" s="162" t="s">
        <v>1229</v>
      </c>
      <c r="G352" s="231">
        <v>45177</v>
      </c>
      <c r="H352" s="198">
        <f>SUMIF(VA!B:B,A352,VA!I:I)</f>
        <v>359.46</v>
      </c>
      <c r="I352" s="32">
        <f>SUMIF(VR!B:B,A352,VR!I:I)</f>
        <v>657.5</v>
      </c>
      <c r="J352" s="4">
        <f t="shared" si="5"/>
        <v>1016.96</v>
      </c>
      <c r="K352" s="179">
        <f>SUMIF(FALTAS!A:A,A352,FALTAS!D:D)</f>
        <v>0</v>
      </c>
    </row>
    <row r="353" spans="1:11" x14ac:dyDescent="0.25">
      <c r="A353" s="235">
        <v>112850</v>
      </c>
      <c r="B353" s="162" t="s">
        <v>452</v>
      </c>
      <c r="C353" s="162" t="s">
        <v>15</v>
      </c>
      <c r="D353" s="162" t="s">
        <v>1578</v>
      </c>
      <c r="E353" s="231">
        <v>43617</v>
      </c>
      <c r="F353" s="162" t="s">
        <v>1229</v>
      </c>
      <c r="G353" s="231">
        <v>45023</v>
      </c>
      <c r="H353" s="198">
        <f>SUMIF(VA!B:B,A353,VA!I:I)</f>
        <v>359.46</v>
      </c>
      <c r="I353" s="32">
        <f>SUMIF(VR!B:B,A353,VR!I:I)</f>
        <v>657.5</v>
      </c>
      <c r="J353" s="4">
        <f t="shared" si="5"/>
        <v>1016.96</v>
      </c>
      <c r="K353" s="179">
        <f>SUMIF(FALTAS!A:A,A353,FALTAS!D:D)</f>
        <v>0</v>
      </c>
    </row>
    <row r="354" spans="1:11" x14ac:dyDescent="0.25">
      <c r="A354" s="235">
        <v>112858</v>
      </c>
      <c r="B354" s="162" t="s">
        <v>456</v>
      </c>
      <c r="C354" s="162" t="s">
        <v>15</v>
      </c>
      <c r="D354" s="162" t="s">
        <v>1578</v>
      </c>
      <c r="E354" s="231">
        <v>43617</v>
      </c>
      <c r="F354" s="162" t="s">
        <v>1230</v>
      </c>
      <c r="G354" s="231">
        <v>45180</v>
      </c>
      <c r="H354" s="198">
        <f>SUMIF(VA!B:B,A354,VA!I:I)</f>
        <v>359.46</v>
      </c>
      <c r="I354" s="32">
        <f>SUMIF(VR!B:B,A354,VR!I:I)</f>
        <v>657.5</v>
      </c>
      <c r="J354" s="4">
        <f t="shared" si="5"/>
        <v>1016.96</v>
      </c>
      <c r="K354" s="179">
        <f>SUMIF(FALTAS!A:A,A354,FALTAS!D:D)</f>
        <v>0</v>
      </c>
    </row>
    <row r="355" spans="1:11" x14ac:dyDescent="0.25">
      <c r="A355" s="235">
        <v>112866</v>
      </c>
      <c r="B355" s="162" t="s">
        <v>461</v>
      </c>
      <c r="C355" s="162" t="s">
        <v>2</v>
      </c>
      <c r="D355" s="162" t="s">
        <v>8</v>
      </c>
      <c r="E355" s="231">
        <v>43617</v>
      </c>
      <c r="F355" s="162" t="s">
        <v>1230</v>
      </c>
      <c r="G355" s="231">
        <v>45180</v>
      </c>
      <c r="H355" s="198">
        <f>SUMIF(VA!B:B,A355,VA!I:I)</f>
        <v>359.46</v>
      </c>
      <c r="I355" s="32">
        <f>SUMIF(VR!B:B,A355,VR!I:I)</f>
        <v>657.5</v>
      </c>
      <c r="J355" s="4">
        <f t="shared" si="5"/>
        <v>1016.96</v>
      </c>
      <c r="K355" s="179">
        <f>SUMIF(FALTAS!A:A,A355,FALTAS!D:D)</f>
        <v>0</v>
      </c>
    </row>
    <row r="356" spans="1:11" x14ac:dyDescent="0.25">
      <c r="A356" s="235">
        <v>112867</v>
      </c>
      <c r="B356" s="162" t="s">
        <v>462</v>
      </c>
      <c r="C356" s="162" t="s">
        <v>2</v>
      </c>
      <c r="D356" s="162" t="s">
        <v>8</v>
      </c>
      <c r="E356" s="231">
        <v>43617</v>
      </c>
      <c r="F356" s="162" t="s">
        <v>1230</v>
      </c>
      <c r="G356" s="231">
        <v>45180</v>
      </c>
      <c r="H356" s="198">
        <f>SUMIF(VA!B:B,A356,VA!I:I)</f>
        <v>359.46</v>
      </c>
      <c r="I356" s="32">
        <f>SUMIF(VR!B:B,A356,VR!I:I)</f>
        <v>657.5</v>
      </c>
      <c r="J356" s="4">
        <f t="shared" si="5"/>
        <v>1016.96</v>
      </c>
      <c r="K356" s="179">
        <f>SUMIF(FALTAS!A:A,A356,FALTAS!D:D)</f>
        <v>0</v>
      </c>
    </row>
    <row r="357" spans="1:11" x14ac:dyDescent="0.25">
      <c r="A357" s="235">
        <v>112874</v>
      </c>
      <c r="B357" s="162" t="s">
        <v>466</v>
      </c>
      <c r="C357" s="162" t="s">
        <v>15</v>
      </c>
      <c r="D357" s="162" t="s">
        <v>1578</v>
      </c>
      <c r="E357" s="231">
        <v>43617</v>
      </c>
      <c r="F357" s="162" t="s">
        <v>1229</v>
      </c>
      <c r="G357" s="231">
        <v>44960</v>
      </c>
      <c r="H357" s="198">
        <f>SUMIF(VA!B:B,A357,VA!I:I)</f>
        <v>359.46</v>
      </c>
      <c r="I357" s="32">
        <f>SUMIF(VR!B:B,A357,VR!I:I)</f>
        <v>657.5</v>
      </c>
      <c r="J357" s="4">
        <f t="shared" si="5"/>
        <v>1016.96</v>
      </c>
      <c r="K357" s="179">
        <f>SUMIF(FALTAS!A:A,A357,FALTAS!D:D)</f>
        <v>0</v>
      </c>
    </row>
    <row r="358" spans="1:11" x14ac:dyDescent="0.25">
      <c r="A358" s="235">
        <v>112881</v>
      </c>
      <c r="B358" s="162" t="s">
        <v>472</v>
      </c>
      <c r="C358" s="162" t="s">
        <v>2</v>
      </c>
      <c r="D358" s="162" t="s">
        <v>0</v>
      </c>
      <c r="E358" s="231">
        <v>43617</v>
      </c>
      <c r="F358" s="162" t="s">
        <v>1229</v>
      </c>
      <c r="G358" s="231">
        <v>45056</v>
      </c>
      <c r="H358" s="198">
        <f>SUMIF(VA!B:B,A358,VA!I:I)</f>
        <v>359.46</v>
      </c>
      <c r="I358" s="32">
        <f>SUMIF(VR!B:B,A358,VR!I:I)</f>
        <v>657.5</v>
      </c>
      <c r="J358" s="4">
        <f t="shared" si="5"/>
        <v>1016.96</v>
      </c>
      <c r="K358" s="179">
        <f>SUMIF(FALTAS!A:A,A358,FALTAS!D:D)</f>
        <v>0</v>
      </c>
    </row>
    <row r="359" spans="1:11" x14ac:dyDescent="0.25">
      <c r="A359" s="235">
        <v>112878</v>
      </c>
      <c r="B359" s="162" t="s">
        <v>471</v>
      </c>
      <c r="C359" s="162" t="s">
        <v>15</v>
      </c>
      <c r="D359" s="162" t="s">
        <v>1578</v>
      </c>
      <c r="E359" s="231">
        <v>43617</v>
      </c>
      <c r="F359" s="162" t="s">
        <v>1229</v>
      </c>
      <c r="G359" s="231">
        <v>45096</v>
      </c>
      <c r="H359" s="198">
        <f>SUMIF(VA!B:B,A359,VA!I:I)</f>
        <v>359.46</v>
      </c>
      <c r="I359" s="32">
        <f>SUMIF(VR!B:B,A359,VR!I:I)</f>
        <v>657.5</v>
      </c>
      <c r="J359" s="4">
        <f t="shared" si="5"/>
        <v>1016.96</v>
      </c>
      <c r="K359" s="179">
        <f>SUMIF(FALTAS!A:A,A359,FALTAS!D:D)</f>
        <v>0</v>
      </c>
    </row>
    <row r="360" spans="1:11" x14ac:dyDescent="0.25">
      <c r="A360" s="235">
        <v>119662</v>
      </c>
      <c r="B360" s="162" t="s">
        <v>1458</v>
      </c>
      <c r="C360" s="162" t="s">
        <v>15</v>
      </c>
      <c r="D360" s="162" t="s">
        <v>1578</v>
      </c>
      <c r="E360" s="231">
        <v>44725</v>
      </c>
      <c r="F360" s="162" t="s">
        <v>1229</v>
      </c>
      <c r="G360" s="231">
        <v>44725</v>
      </c>
      <c r="H360" s="198">
        <f>SUMIF(VA!B:B,A360,VA!I:I)</f>
        <v>359.46</v>
      </c>
      <c r="I360" s="32">
        <f>SUMIF(VR!B:B,A360,VR!I:I)</f>
        <v>657.5</v>
      </c>
      <c r="J360" s="4">
        <f t="shared" si="5"/>
        <v>1016.96</v>
      </c>
      <c r="K360" s="179">
        <f>SUMIF(FALTAS!A:A,A360,FALTAS!D:D)</f>
        <v>0</v>
      </c>
    </row>
    <row r="361" spans="1:11" x14ac:dyDescent="0.25">
      <c r="A361" s="235">
        <v>115231</v>
      </c>
      <c r="B361" s="162" t="s">
        <v>1147</v>
      </c>
      <c r="C361" s="162" t="s">
        <v>5</v>
      </c>
      <c r="D361" s="162" t="s">
        <v>1578</v>
      </c>
      <c r="E361" s="231">
        <v>44018</v>
      </c>
      <c r="F361" s="162" t="s">
        <v>1229</v>
      </c>
      <c r="G361" s="231">
        <v>44806</v>
      </c>
      <c r="H361" s="198">
        <f>SUMIF(VA!B:B,A361,VA!I:I)</f>
        <v>359.46</v>
      </c>
      <c r="I361" s="32">
        <f>SUMIF(VR!B:B,A361,VR!I:I)</f>
        <v>657.5</v>
      </c>
      <c r="J361" s="4">
        <f t="shared" si="5"/>
        <v>1016.96</v>
      </c>
      <c r="K361" s="179">
        <f>SUMIF(FALTAS!A:A,A361,FALTAS!D:D)</f>
        <v>0</v>
      </c>
    </row>
    <row r="362" spans="1:11" x14ac:dyDescent="0.25">
      <c r="A362" s="235">
        <v>113416</v>
      </c>
      <c r="B362" s="162" t="s">
        <v>765</v>
      </c>
      <c r="C362" s="162" t="s">
        <v>2</v>
      </c>
      <c r="D362" s="162" t="s">
        <v>0</v>
      </c>
      <c r="E362" s="231">
        <v>43617</v>
      </c>
      <c r="F362" s="162" t="s">
        <v>1229</v>
      </c>
      <c r="G362" s="231">
        <v>44930</v>
      </c>
      <c r="H362" s="198">
        <f>SUMIF(VA!B:B,A362,VA!I:I)</f>
        <v>359.46</v>
      </c>
      <c r="I362" s="32">
        <f>SUMIF(VR!B:B,A362,VR!I:I)</f>
        <v>657.5</v>
      </c>
      <c r="J362" s="4">
        <f t="shared" si="5"/>
        <v>1016.96</v>
      </c>
      <c r="K362" s="179">
        <f>SUMIF(FALTAS!A:A,A362,FALTAS!D:D)</f>
        <v>0</v>
      </c>
    </row>
    <row r="363" spans="1:11" x14ac:dyDescent="0.25">
      <c r="A363" s="235">
        <v>117359</v>
      </c>
      <c r="B363" s="162" t="s">
        <v>1263</v>
      </c>
      <c r="C363" s="162" t="s">
        <v>15</v>
      </c>
      <c r="D363" s="162" t="s">
        <v>1578</v>
      </c>
      <c r="E363" s="231">
        <v>44508</v>
      </c>
      <c r="F363" s="162" t="s">
        <v>1229</v>
      </c>
      <c r="G363" s="231">
        <v>44993</v>
      </c>
      <c r="H363" s="198">
        <f>SUMIF(VA!B:B,A363,VA!I:I)</f>
        <v>359.46</v>
      </c>
      <c r="I363" s="32">
        <f>SUMIF(VR!B:B,A363,VR!I:I)</f>
        <v>657.5</v>
      </c>
      <c r="J363" s="4">
        <f t="shared" si="5"/>
        <v>1016.96</v>
      </c>
      <c r="K363" s="179">
        <f>SUMIF(FALTAS!A:A,A363,FALTAS!D:D)</f>
        <v>0</v>
      </c>
    </row>
    <row r="364" spans="1:11" x14ac:dyDescent="0.25">
      <c r="A364" s="235">
        <v>114977</v>
      </c>
      <c r="B364" s="162" t="s">
        <v>1133</v>
      </c>
      <c r="C364" s="162" t="s">
        <v>5</v>
      </c>
      <c r="D364" s="162" t="s">
        <v>1578</v>
      </c>
      <c r="E364" s="231">
        <v>43917</v>
      </c>
      <c r="F364" s="162" t="s">
        <v>1229</v>
      </c>
      <c r="G364" s="231">
        <v>45086</v>
      </c>
      <c r="H364" s="198">
        <f>SUMIF(VA!B:B,A364,VA!I:I)</f>
        <v>359.46</v>
      </c>
      <c r="I364" s="32">
        <f>SUMIF(VR!B:B,A364,VR!I:I)</f>
        <v>657.5</v>
      </c>
      <c r="J364" s="4">
        <f t="shared" si="5"/>
        <v>1016.96</v>
      </c>
      <c r="K364" s="179">
        <f>SUMIF(FALTAS!A:A,A364,FALTAS!D:D)</f>
        <v>0</v>
      </c>
    </row>
    <row r="365" spans="1:11" x14ac:dyDescent="0.25">
      <c r="A365" s="235">
        <v>113442</v>
      </c>
      <c r="B365" s="162" t="s">
        <v>782</v>
      </c>
      <c r="C365" s="162" t="s">
        <v>2</v>
      </c>
      <c r="D365" s="162" t="s">
        <v>0</v>
      </c>
      <c r="E365" s="231">
        <v>43617</v>
      </c>
      <c r="F365" s="162" t="s">
        <v>1229</v>
      </c>
      <c r="G365" s="231">
        <v>44960</v>
      </c>
      <c r="H365" s="198">
        <f>SUMIF(VA!B:B,A365,VA!I:I)</f>
        <v>359.46</v>
      </c>
      <c r="I365" s="32">
        <f>SUMIF(VR!B:B,A365,VR!I:I)</f>
        <v>657.5</v>
      </c>
      <c r="J365" s="4">
        <f t="shared" si="5"/>
        <v>1016.96</v>
      </c>
      <c r="K365" s="179">
        <f>SUMIF(FALTAS!A:A,A365,FALTAS!D:D)</f>
        <v>0</v>
      </c>
    </row>
    <row r="366" spans="1:11" x14ac:dyDescent="0.25">
      <c r="A366" s="235">
        <v>115216</v>
      </c>
      <c r="B366" s="162" t="s">
        <v>1141</v>
      </c>
      <c r="C366" s="162" t="s">
        <v>5</v>
      </c>
      <c r="D366" s="162" t="s">
        <v>8</v>
      </c>
      <c r="E366" s="231">
        <v>44018</v>
      </c>
      <c r="F366" s="162" t="s">
        <v>1229</v>
      </c>
      <c r="G366" s="231">
        <v>45086</v>
      </c>
      <c r="H366" s="198">
        <f>SUMIF(VA!B:B,A366,VA!I:I)</f>
        <v>359.46</v>
      </c>
      <c r="I366" s="32">
        <f>SUMIF(VR!B:B,A366,VR!I:I)</f>
        <v>657.5</v>
      </c>
      <c r="J366" s="4">
        <f t="shared" si="5"/>
        <v>1016.96</v>
      </c>
      <c r="K366" s="179">
        <f>SUMIF(FALTAS!A:A,A366,FALTAS!D:D)</f>
        <v>0</v>
      </c>
    </row>
    <row r="367" spans="1:11" x14ac:dyDescent="0.25">
      <c r="A367" s="235">
        <v>113447</v>
      </c>
      <c r="B367" s="162" t="s">
        <v>784</v>
      </c>
      <c r="C367" s="162" t="s">
        <v>720</v>
      </c>
      <c r="D367" s="162" t="s">
        <v>1578</v>
      </c>
      <c r="E367" s="231">
        <v>43617</v>
      </c>
      <c r="F367" s="162" t="s">
        <v>1229</v>
      </c>
      <c r="G367" s="231">
        <v>44937</v>
      </c>
      <c r="H367" s="198">
        <f>SUMIF(VA!B:B,A367,VA!I:I)</f>
        <v>359.46</v>
      </c>
      <c r="I367" s="32">
        <f>SUMIF(VR!B:B,A367,VR!I:I)</f>
        <v>657.5</v>
      </c>
      <c r="J367" s="4">
        <f t="shared" si="5"/>
        <v>1016.96</v>
      </c>
      <c r="K367" s="179">
        <f>SUMIF(FALTAS!A:A,A367,FALTAS!D:D)</f>
        <v>0</v>
      </c>
    </row>
    <row r="368" spans="1:11" x14ac:dyDescent="0.25">
      <c r="A368" s="235">
        <v>113457</v>
      </c>
      <c r="B368" s="162" t="s">
        <v>788</v>
      </c>
      <c r="C368" s="162" t="s">
        <v>2</v>
      </c>
      <c r="D368" s="162" t="s">
        <v>32</v>
      </c>
      <c r="E368" s="231">
        <v>43617</v>
      </c>
      <c r="F368" s="162" t="s">
        <v>1229</v>
      </c>
      <c r="G368" s="231">
        <v>45023</v>
      </c>
      <c r="H368" s="198">
        <f>SUMIF(VA!B:B,A368,VA!I:I)</f>
        <v>359.46</v>
      </c>
      <c r="I368" s="32">
        <f>SUMIF(VR!B:B,A368,VR!I:I)</f>
        <v>657.5</v>
      </c>
      <c r="J368" s="4">
        <f t="shared" si="5"/>
        <v>1016.96</v>
      </c>
      <c r="K368" s="179">
        <f>SUMIF(FALTAS!A:A,A368,FALTAS!D:D)</f>
        <v>0</v>
      </c>
    </row>
    <row r="369" spans="1:11" x14ac:dyDescent="0.25">
      <c r="A369" s="235">
        <v>122574</v>
      </c>
      <c r="B369" s="162" t="s">
        <v>1681</v>
      </c>
      <c r="C369" s="162" t="s">
        <v>15</v>
      </c>
      <c r="D369" s="162" t="s">
        <v>1578</v>
      </c>
      <c r="E369" s="231">
        <v>45131</v>
      </c>
      <c r="F369" s="162" t="s">
        <v>1229</v>
      </c>
      <c r="G369" s="231">
        <v>45131</v>
      </c>
      <c r="H369" s="198">
        <f>SUMIF(VA!B:B,A369,VA!I:I)</f>
        <v>359.46</v>
      </c>
      <c r="I369" s="32">
        <f>SUMIF(VR!B:B,A369,VR!I:I)</f>
        <v>657.5</v>
      </c>
      <c r="J369" s="4">
        <f t="shared" si="5"/>
        <v>1016.96</v>
      </c>
      <c r="K369" s="179">
        <f>SUMIF(FALTAS!A:A,A369,FALTAS!D:D)</f>
        <v>0</v>
      </c>
    </row>
    <row r="370" spans="1:11" x14ac:dyDescent="0.25">
      <c r="A370" s="235">
        <v>113460</v>
      </c>
      <c r="B370" s="162" t="s">
        <v>791</v>
      </c>
      <c r="C370" s="162" t="s">
        <v>22</v>
      </c>
      <c r="D370" s="162" t="s">
        <v>1578</v>
      </c>
      <c r="E370" s="231">
        <v>43617</v>
      </c>
      <c r="F370" s="162" t="s">
        <v>1229</v>
      </c>
      <c r="G370" s="231">
        <v>45056</v>
      </c>
      <c r="H370" s="198">
        <f>SUMIF(VA!B:B,A370,VA!I:I)</f>
        <v>359.46</v>
      </c>
      <c r="I370" s="32">
        <f>SUMIF(VR!B:B,A370,VR!I:I)</f>
        <v>657.5</v>
      </c>
      <c r="J370" s="4">
        <f t="shared" si="5"/>
        <v>1016.96</v>
      </c>
      <c r="K370" s="179">
        <f>SUMIF(FALTAS!A:A,A370,FALTAS!D:D)</f>
        <v>0</v>
      </c>
    </row>
    <row r="371" spans="1:11" x14ac:dyDescent="0.25">
      <c r="A371" s="235">
        <v>113469</v>
      </c>
      <c r="B371" s="162" t="s">
        <v>796</v>
      </c>
      <c r="C371" s="162" t="s">
        <v>5</v>
      </c>
      <c r="D371" s="162" t="s">
        <v>0</v>
      </c>
      <c r="E371" s="231">
        <v>43617</v>
      </c>
      <c r="F371" s="162" t="s">
        <v>1229</v>
      </c>
      <c r="G371" s="231">
        <v>45023</v>
      </c>
      <c r="H371" s="198">
        <f>SUMIF(VA!B:B,A371,VA!I:I)</f>
        <v>359.46</v>
      </c>
      <c r="I371" s="32">
        <f>SUMIF(VR!B:B,A371,VR!I:I)</f>
        <v>657.5</v>
      </c>
      <c r="J371" s="4">
        <f t="shared" si="5"/>
        <v>1016.96</v>
      </c>
      <c r="K371" s="179">
        <f>SUMIF(FALTAS!A:A,A371,FALTAS!D:D)</f>
        <v>0</v>
      </c>
    </row>
    <row r="372" spans="1:11" x14ac:dyDescent="0.25">
      <c r="A372" s="235">
        <v>113491</v>
      </c>
      <c r="B372" s="162" t="s">
        <v>808</v>
      </c>
      <c r="C372" s="162" t="s">
        <v>5</v>
      </c>
      <c r="D372" s="162" t="s">
        <v>32</v>
      </c>
      <c r="E372" s="231">
        <v>43617</v>
      </c>
      <c r="F372" s="162" t="s">
        <v>1229</v>
      </c>
      <c r="G372" s="231">
        <v>44930</v>
      </c>
      <c r="H372" s="198">
        <f>SUMIF(VA!B:B,A372,VA!I:I)</f>
        <v>359.46</v>
      </c>
      <c r="I372" s="32">
        <f>SUMIF(VR!B:B,A372,VR!I:I)</f>
        <v>657.5</v>
      </c>
      <c r="J372" s="4">
        <f t="shared" si="5"/>
        <v>1016.96</v>
      </c>
      <c r="K372" s="179">
        <f>SUMIF(FALTAS!A:A,A372,FALTAS!D:D)</f>
        <v>0</v>
      </c>
    </row>
    <row r="373" spans="1:11" x14ac:dyDescent="0.25">
      <c r="A373" s="235">
        <v>113495</v>
      </c>
      <c r="B373" s="162" t="s">
        <v>1555</v>
      </c>
      <c r="C373" s="162" t="s">
        <v>5</v>
      </c>
      <c r="D373" s="162" t="s">
        <v>32</v>
      </c>
      <c r="E373" s="231">
        <v>43617</v>
      </c>
      <c r="F373" s="162" t="s">
        <v>1507</v>
      </c>
      <c r="G373" s="231">
        <v>44114</v>
      </c>
      <c r="H373" s="198">
        <f>SUMIF(VA!B:B,A373,VA!I:I)</f>
        <v>0</v>
      </c>
      <c r="I373" s="32">
        <f>SUMIF(VR!B:B,A373,VR!I:I)</f>
        <v>0</v>
      </c>
      <c r="J373" s="4">
        <f t="shared" si="5"/>
        <v>0</v>
      </c>
      <c r="K373" s="179">
        <f>SUMIF(FALTAS!A:A,A373,FALTAS!D:D)</f>
        <v>0</v>
      </c>
    </row>
    <row r="374" spans="1:11" x14ac:dyDescent="0.25">
      <c r="A374" s="235">
        <v>113498</v>
      </c>
      <c r="B374" s="162" t="s">
        <v>810</v>
      </c>
      <c r="C374" s="162" t="s">
        <v>5</v>
      </c>
      <c r="D374" s="162" t="s">
        <v>19</v>
      </c>
      <c r="E374" s="231">
        <v>43617</v>
      </c>
      <c r="F374" s="162" t="s">
        <v>1230</v>
      </c>
      <c r="G374" s="231">
        <v>45180</v>
      </c>
      <c r="H374" s="198">
        <f>SUMIF(VA!B:B,A374,VA!I:I)</f>
        <v>347.47</v>
      </c>
      <c r="I374" s="32">
        <f>SUMIF(VR!B:B,A374,VR!I:I)</f>
        <v>631.20000000000005</v>
      </c>
      <c r="J374" s="4">
        <f t="shared" si="5"/>
        <v>978.67000000000007</v>
      </c>
      <c r="K374" s="179">
        <f>SUMIF(FALTAS!A:A,A374,FALTAS!D:D)</f>
        <v>1</v>
      </c>
    </row>
    <row r="375" spans="1:11" x14ac:dyDescent="0.25">
      <c r="A375" s="235">
        <v>113510</v>
      </c>
      <c r="B375" s="162" t="s">
        <v>816</v>
      </c>
      <c r="C375" s="162" t="s">
        <v>15</v>
      </c>
      <c r="D375" s="162" t="s">
        <v>1578</v>
      </c>
      <c r="E375" s="231">
        <v>43617</v>
      </c>
      <c r="F375" s="162" t="s">
        <v>1229</v>
      </c>
      <c r="G375" s="231">
        <v>44993</v>
      </c>
      <c r="H375" s="198">
        <f>SUMIF(VA!B:B,A375,VA!I:I)</f>
        <v>359.46</v>
      </c>
      <c r="I375" s="32">
        <f>SUMIF(VR!B:B,A375,VR!I:I)</f>
        <v>657.5</v>
      </c>
      <c r="J375" s="4">
        <f t="shared" si="5"/>
        <v>1016.96</v>
      </c>
      <c r="K375" s="179">
        <f>SUMIF(FALTAS!A:A,A375,FALTAS!D:D)</f>
        <v>0</v>
      </c>
    </row>
    <row r="376" spans="1:11" x14ac:dyDescent="0.25">
      <c r="A376" s="235">
        <v>113512</v>
      </c>
      <c r="B376" s="162" t="s">
        <v>817</v>
      </c>
      <c r="C376" s="162" t="s">
        <v>5</v>
      </c>
      <c r="D376" s="162" t="s">
        <v>8</v>
      </c>
      <c r="E376" s="231">
        <v>43617</v>
      </c>
      <c r="F376" s="162" t="s">
        <v>1230</v>
      </c>
      <c r="G376" s="231">
        <v>45180</v>
      </c>
      <c r="H376" s="198">
        <f>SUMIF(VA!B:B,A376,VA!I:I)</f>
        <v>359.46</v>
      </c>
      <c r="I376" s="32">
        <f>SUMIF(VR!B:B,A376,VR!I:I)</f>
        <v>657.5</v>
      </c>
      <c r="J376" s="4">
        <f t="shared" si="5"/>
        <v>1016.96</v>
      </c>
      <c r="K376" s="179">
        <f>SUMIF(FALTAS!A:A,A376,FALTAS!D:D)</f>
        <v>0</v>
      </c>
    </row>
    <row r="377" spans="1:11" x14ac:dyDescent="0.25">
      <c r="A377" s="235">
        <v>113516</v>
      </c>
      <c r="B377" s="162" t="s">
        <v>819</v>
      </c>
      <c r="C377" s="162" t="s">
        <v>2</v>
      </c>
      <c r="D377" s="162" t="s">
        <v>10</v>
      </c>
      <c r="E377" s="231">
        <v>43617</v>
      </c>
      <c r="F377" s="162" t="s">
        <v>1229</v>
      </c>
      <c r="G377" s="231">
        <v>44989</v>
      </c>
      <c r="H377" s="198">
        <f>SUMIF(VA!B:B,A377,VA!I:I)</f>
        <v>359.46</v>
      </c>
      <c r="I377" s="32">
        <f>SUMIF(VR!B:B,A377,VR!I:I)</f>
        <v>657.5</v>
      </c>
      <c r="J377" s="4">
        <f t="shared" si="5"/>
        <v>1016.96</v>
      </c>
      <c r="K377" s="179">
        <f>SUMIF(FALTAS!A:A,A377,FALTAS!D:D)</f>
        <v>0</v>
      </c>
    </row>
    <row r="378" spans="1:11" x14ac:dyDescent="0.25">
      <c r="A378" s="235">
        <v>114108</v>
      </c>
      <c r="B378" s="162" t="s">
        <v>1008</v>
      </c>
      <c r="C378" s="162" t="s">
        <v>5</v>
      </c>
      <c r="D378" s="162" t="s">
        <v>8</v>
      </c>
      <c r="E378" s="231">
        <v>43728</v>
      </c>
      <c r="F378" s="162" t="s">
        <v>1229</v>
      </c>
      <c r="G378" s="231">
        <v>44960</v>
      </c>
      <c r="H378" s="198">
        <f>SUMIF(VA!B:B,A378,VA!I:I)</f>
        <v>359.46</v>
      </c>
      <c r="I378" s="32">
        <f>SUMIF(VR!B:B,A378,VR!I:I)</f>
        <v>657.5</v>
      </c>
      <c r="J378" s="4">
        <f t="shared" si="5"/>
        <v>1016.96</v>
      </c>
      <c r="K378" s="179">
        <f>SUMIF(FALTAS!A:A,A378,FALTAS!D:D)</f>
        <v>0</v>
      </c>
    </row>
    <row r="379" spans="1:11" x14ac:dyDescent="0.25">
      <c r="A379" s="235">
        <v>113521</v>
      </c>
      <c r="B379" s="162" t="s">
        <v>822</v>
      </c>
      <c r="C379" s="162" t="s">
        <v>2</v>
      </c>
      <c r="D379" s="162" t="s">
        <v>0</v>
      </c>
      <c r="E379" s="231">
        <v>43617</v>
      </c>
      <c r="F379" s="162" t="s">
        <v>1229</v>
      </c>
      <c r="G379" s="231">
        <v>45056</v>
      </c>
      <c r="H379" s="198">
        <f>SUMIF(VA!B:B,A379,VA!I:I)</f>
        <v>359.46</v>
      </c>
      <c r="I379" s="32">
        <f>SUMIF(VR!B:B,A379,VR!I:I)</f>
        <v>657.5</v>
      </c>
      <c r="J379" s="4">
        <f t="shared" si="5"/>
        <v>1016.96</v>
      </c>
      <c r="K379" s="179">
        <f>SUMIF(FALTAS!A:A,A379,FALTAS!D:D)</f>
        <v>0</v>
      </c>
    </row>
    <row r="380" spans="1:11" x14ac:dyDescent="0.25">
      <c r="A380" s="235">
        <v>116327</v>
      </c>
      <c r="B380" s="162" t="s">
        <v>1513</v>
      </c>
      <c r="C380" s="162" t="s">
        <v>5</v>
      </c>
      <c r="D380" s="162" t="s">
        <v>0</v>
      </c>
      <c r="E380" s="231">
        <v>44308</v>
      </c>
      <c r="F380" s="162" t="s">
        <v>1229</v>
      </c>
      <c r="G380" s="231">
        <v>45042</v>
      </c>
      <c r="H380" s="198">
        <f>SUMIF(VA!B:B,A380,VA!I:I)</f>
        <v>359.46</v>
      </c>
      <c r="I380" s="32">
        <f>SUMIF(VR!B:B,A380,VR!I:I)</f>
        <v>657.5</v>
      </c>
      <c r="J380" s="4">
        <f t="shared" si="5"/>
        <v>1016.96</v>
      </c>
      <c r="K380" s="179">
        <f>SUMIF(FALTAS!A:A,A380,FALTAS!D:D)</f>
        <v>0</v>
      </c>
    </row>
    <row r="381" spans="1:11" x14ac:dyDescent="0.25">
      <c r="A381" s="235">
        <v>113524</v>
      </c>
      <c r="B381" s="162" t="s">
        <v>823</v>
      </c>
      <c r="C381" s="162" t="s">
        <v>5</v>
      </c>
      <c r="D381" s="162" t="s">
        <v>19</v>
      </c>
      <c r="E381" s="231">
        <v>43617</v>
      </c>
      <c r="F381" s="162" t="s">
        <v>1229</v>
      </c>
      <c r="G381" s="231">
        <v>44835</v>
      </c>
      <c r="H381" s="198">
        <f>SUMIF(VA!B:B,A381,VA!I:I)</f>
        <v>359.46</v>
      </c>
      <c r="I381" s="32">
        <f>SUMIF(VR!B:B,A381,VR!I:I)</f>
        <v>657.5</v>
      </c>
      <c r="J381" s="4">
        <f t="shared" si="5"/>
        <v>1016.96</v>
      </c>
      <c r="K381" s="179">
        <f>SUMIF(FALTAS!A:A,A381,FALTAS!D:D)</f>
        <v>0</v>
      </c>
    </row>
    <row r="382" spans="1:11" x14ac:dyDescent="0.25">
      <c r="A382" s="235">
        <v>113530</v>
      </c>
      <c r="B382" s="162" t="s">
        <v>826</v>
      </c>
      <c r="C382" s="162" t="s">
        <v>2</v>
      </c>
      <c r="D382" s="162" t="s">
        <v>0</v>
      </c>
      <c r="E382" s="231">
        <v>43617</v>
      </c>
      <c r="F382" s="162" t="s">
        <v>1229</v>
      </c>
      <c r="G382" s="231">
        <v>44867</v>
      </c>
      <c r="H382" s="198">
        <f>SUMIF(VA!B:B,A382,VA!I:I)</f>
        <v>359.46</v>
      </c>
      <c r="I382" s="32">
        <f>SUMIF(VR!B:B,A382,VR!I:I)</f>
        <v>657.5</v>
      </c>
      <c r="J382" s="4">
        <f t="shared" si="5"/>
        <v>1016.96</v>
      </c>
      <c r="K382" s="179">
        <f>SUMIF(FALTAS!A:A,A382,FALTAS!D:D)</f>
        <v>0</v>
      </c>
    </row>
    <row r="383" spans="1:11" x14ac:dyDescent="0.25">
      <c r="A383" s="235">
        <v>113532</v>
      </c>
      <c r="B383" s="162" t="s">
        <v>828</v>
      </c>
      <c r="C383" s="162" t="s">
        <v>5</v>
      </c>
      <c r="D383" s="162" t="s">
        <v>10</v>
      </c>
      <c r="E383" s="231">
        <v>43617</v>
      </c>
      <c r="F383" s="162" t="s">
        <v>1229</v>
      </c>
      <c r="G383" s="231">
        <v>45149</v>
      </c>
      <c r="H383" s="198">
        <f>SUMIF(VA!B:B,A383,VA!I:I)</f>
        <v>359.46</v>
      </c>
      <c r="I383" s="32">
        <f>SUMIF(VR!B:B,A383,VR!I:I)</f>
        <v>657.5</v>
      </c>
      <c r="J383" s="4">
        <f t="shared" si="5"/>
        <v>1016.96</v>
      </c>
      <c r="K383" s="179">
        <f>SUMIF(FALTAS!A:A,A383,FALTAS!D:D)</f>
        <v>0</v>
      </c>
    </row>
    <row r="384" spans="1:11" x14ac:dyDescent="0.25">
      <c r="A384" s="235">
        <v>113535</v>
      </c>
      <c r="B384" s="162" t="s">
        <v>830</v>
      </c>
      <c r="C384" s="162" t="s">
        <v>1441</v>
      </c>
      <c r="D384" s="162" t="s">
        <v>1578</v>
      </c>
      <c r="E384" s="231">
        <v>43617</v>
      </c>
      <c r="F384" s="162" t="s">
        <v>1229</v>
      </c>
      <c r="G384" s="231">
        <v>44867</v>
      </c>
      <c r="H384" s="198">
        <f>SUMIF(VA!B:B,A384,VA!I:I)</f>
        <v>359.46</v>
      </c>
      <c r="I384" s="32">
        <f>SUMIF(VR!B:B,A384,VR!I:I)</f>
        <v>657.5</v>
      </c>
      <c r="J384" s="4">
        <f t="shared" si="5"/>
        <v>1016.96</v>
      </c>
      <c r="K384" s="179">
        <f>SUMIF(FALTAS!A:A,A384,FALTAS!D:D)</f>
        <v>0</v>
      </c>
    </row>
    <row r="385" spans="1:11" x14ac:dyDescent="0.25">
      <c r="A385" s="235">
        <v>113537</v>
      </c>
      <c r="B385" s="162" t="s">
        <v>832</v>
      </c>
      <c r="C385" s="162" t="s">
        <v>2</v>
      </c>
      <c r="D385" s="162" t="s">
        <v>0</v>
      </c>
      <c r="E385" s="231">
        <v>43617</v>
      </c>
      <c r="F385" s="162" t="s">
        <v>1230</v>
      </c>
      <c r="G385" s="231">
        <v>45180</v>
      </c>
      <c r="H385" s="198">
        <f>SUMIF(VA!B:B,A385,VA!I:I)</f>
        <v>359.46</v>
      </c>
      <c r="I385" s="32">
        <f>SUMIF(VR!B:B,A385,VR!I:I)</f>
        <v>657.5</v>
      </c>
      <c r="J385" s="4">
        <f t="shared" si="5"/>
        <v>1016.96</v>
      </c>
      <c r="K385" s="179">
        <f>SUMIF(FALTAS!A:A,A385,FALTAS!D:D)</f>
        <v>0</v>
      </c>
    </row>
    <row r="386" spans="1:11" x14ac:dyDescent="0.25">
      <c r="A386" s="235">
        <v>113541</v>
      </c>
      <c r="B386" s="162" t="s">
        <v>834</v>
      </c>
      <c r="C386" s="162" t="s">
        <v>7</v>
      </c>
      <c r="D386" s="162" t="s">
        <v>1578</v>
      </c>
      <c r="E386" s="231">
        <v>43617</v>
      </c>
      <c r="F386" s="162" t="s">
        <v>1229</v>
      </c>
      <c r="G386" s="231">
        <v>44867</v>
      </c>
      <c r="H386" s="198">
        <f>SUMIF(VA!B:B,A386,VA!I:I)</f>
        <v>359.46</v>
      </c>
      <c r="I386" s="32">
        <f>SUMIF(VR!B:B,A386,VR!I:I)</f>
        <v>657.5</v>
      </c>
      <c r="J386" s="4">
        <f t="shared" ref="J386:J449" si="6">H386+I386</f>
        <v>1016.96</v>
      </c>
      <c r="K386" s="179">
        <f>SUMIF(FALTAS!A:A,A386,FALTAS!D:D)</f>
        <v>0</v>
      </c>
    </row>
    <row r="387" spans="1:11" x14ac:dyDescent="0.25">
      <c r="A387" s="235">
        <v>113548</v>
      </c>
      <c r="B387" s="162" t="s">
        <v>839</v>
      </c>
      <c r="C387" s="162" t="s">
        <v>5</v>
      </c>
      <c r="D387" s="162" t="s">
        <v>0</v>
      </c>
      <c r="E387" s="231">
        <v>43617</v>
      </c>
      <c r="F387" s="162" t="s">
        <v>1229</v>
      </c>
      <c r="G387" s="231">
        <v>44993</v>
      </c>
      <c r="H387" s="198">
        <f>SUMIF(VA!B:B,A387,VA!I:I)</f>
        <v>359.46</v>
      </c>
      <c r="I387" s="32">
        <f>SUMIF(VR!B:B,A387,VR!I:I)</f>
        <v>657.5</v>
      </c>
      <c r="J387" s="4">
        <f t="shared" si="6"/>
        <v>1016.96</v>
      </c>
      <c r="K387" s="179">
        <f>SUMIF(FALTAS!A:A,A387,FALTAS!D:D)</f>
        <v>0</v>
      </c>
    </row>
    <row r="388" spans="1:11" x14ac:dyDescent="0.25">
      <c r="A388" s="235">
        <v>113551</v>
      </c>
      <c r="B388" s="162" t="s">
        <v>842</v>
      </c>
      <c r="C388" s="162" t="s">
        <v>2</v>
      </c>
      <c r="D388" s="162" t="s">
        <v>0</v>
      </c>
      <c r="E388" s="231">
        <v>43617</v>
      </c>
      <c r="F388" s="162" t="s">
        <v>1230</v>
      </c>
      <c r="G388" s="231">
        <v>45180</v>
      </c>
      <c r="H388" s="198">
        <f>SUMIF(VA!B:B,A388,VA!I:I)</f>
        <v>359.46</v>
      </c>
      <c r="I388" s="32">
        <f>SUMIF(VR!B:B,A388,VR!I:I)</f>
        <v>657.5</v>
      </c>
      <c r="J388" s="4">
        <f t="shared" si="6"/>
        <v>1016.96</v>
      </c>
      <c r="K388" s="179">
        <f>SUMIF(FALTAS!A:A,A388,FALTAS!D:D)</f>
        <v>0</v>
      </c>
    </row>
    <row r="389" spans="1:11" x14ac:dyDescent="0.25">
      <c r="A389" s="235">
        <v>114697</v>
      </c>
      <c r="B389" s="162" t="s">
        <v>1071</v>
      </c>
      <c r="C389" s="162" t="s">
        <v>39</v>
      </c>
      <c r="D389" s="162" t="s">
        <v>32</v>
      </c>
      <c r="E389" s="231">
        <v>43874</v>
      </c>
      <c r="F389" s="162" t="s">
        <v>1229</v>
      </c>
      <c r="G389" s="231">
        <v>45086</v>
      </c>
      <c r="H389" s="198">
        <f>SUMIF(VA!B:B,A389,VA!I:I)</f>
        <v>359.46</v>
      </c>
      <c r="I389" s="32">
        <f>SUMIF(VR!B:B,A389,VR!I:I)</f>
        <v>657.5</v>
      </c>
      <c r="J389" s="4">
        <f t="shared" si="6"/>
        <v>1016.96</v>
      </c>
      <c r="K389" s="179">
        <f>SUMIF(FALTAS!A:A,A389,FALTAS!D:D)</f>
        <v>0</v>
      </c>
    </row>
    <row r="390" spans="1:11" x14ac:dyDescent="0.25">
      <c r="A390" s="235">
        <v>113594</v>
      </c>
      <c r="B390" s="162" t="s">
        <v>864</v>
      </c>
      <c r="C390" s="162" t="s">
        <v>5</v>
      </c>
      <c r="D390" s="162" t="s">
        <v>0</v>
      </c>
      <c r="E390" s="231">
        <v>43617</v>
      </c>
      <c r="F390" s="162" t="s">
        <v>1229</v>
      </c>
      <c r="G390" s="231">
        <v>45149</v>
      </c>
      <c r="H390" s="198">
        <f>SUMIF(VA!B:B,A390,VA!I:I)</f>
        <v>359.46</v>
      </c>
      <c r="I390" s="32">
        <f>SUMIF(VR!B:B,A390,VR!I:I)</f>
        <v>657.5</v>
      </c>
      <c r="J390" s="4">
        <f t="shared" si="6"/>
        <v>1016.96</v>
      </c>
      <c r="K390" s="179">
        <f>SUMIF(FALTAS!A:A,A390,FALTAS!D:D)</f>
        <v>0</v>
      </c>
    </row>
    <row r="391" spans="1:11" x14ac:dyDescent="0.25">
      <c r="A391" s="235">
        <v>113566</v>
      </c>
      <c r="B391" s="162" t="s">
        <v>851</v>
      </c>
      <c r="C391" s="162" t="s">
        <v>2</v>
      </c>
      <c r="D391" s="162" t="s">
        <v>0</v>
      </c>
      <c r="E391" s="231">
        <v>43617</v>
      </c>
      <c r="F391" s="162" t="s">
        <v>1229</v>
      </c>
      <c r="G391" s="231">
        <v>44960</v>
      </c>
      <c r="H391" s="198">
        <f>SUMIF(VA!B:B,A391,VA!I:I)</f>
        <v>359.46</v>
      </c>
      <c r="I391" s="32">
        <f>SUMIF(VR!B:B,A391,VR!I:I)</f>
        <v>657.5</v>
      </c>
      <c r="J391" s="4">
        <f t="shared" si="6"/>
        <v>1016.96</v>
      </c>
      <c r="K391" s="179">
        <f>SUMIF(FALTAS!A:A,A391,FALTAS!D:D)</f>
        <v>0</v>
      </c>
    </row>
    <row r="392" spans="1:11" x14ac:dyDescent="0.25">
      <c r="A392" s="235">
        <v>113597</v>
      </c>
      <c r="B392" s="162" t="s">
        <v>865</v>
      </c>
      <c r="C392" s="162" t="s">
        <v>2</v>
      </c>
      <c r="D392" s="162" t="s">
        <v>8</v>
      </c>
      <c r="E392" s="231">
        <v>43617</v>
      </c>
      <c r="F392" s="162" t="s">
        <v>1230</v>
      </c>
      <c r="G392" s="231">
        <v>45180</v>
      </c>
      <c r="H392" s="198">
        <f>SUMIF(VA!B:B,A392,VA!I:I)</f>
        <v>359.46</v>
      </c>
      <c r="I392" s="32">
        <f>SUMIF(VR!B:B,A392,VR!I:I)</f>
        <v>657.5</v>
      </c>
      <c r="J392" s="4">
        <f t="shared" si="6"/>
        <v>1016.96</v>
      </c>
      <c r="K392" s="179">
        <f>SUMIF(FALTAS!A:A,A392,FALTAS!D:D)</f>
        <v>0</v>
      </c>
    </row>
    <row r="393" spans="1:11" x14ac:dyDescent="0.25">
      <c r="A393" s="235">
        <v>113579</v>
      </c>
      <c r="B393" s="162" t="s">
        <v>855</v>
      </c>
      <c r="C393" s="162" t="s">
        <v>2</v>
      </c>
      <c r="D393" s="162" t="s">
        <v>8</v>
      </c>
      <c r="E393" s="231">
        <v>43617</v>
      </c>
      <c r="F393" s="162" t="s">
        <v>1229</v>
      </c>
      <c r="G393" s="231">
        <v>44960</v>
      </c>
      <c r="H393" s="198">
        <f>SUMIF(VA!B:B,A393,VA!I:I)</f>
        <v>359.46</v>
      </c>
      <c r="I393" s="32">
        <f>SUMIF(VR!B:B,A393,VR!I:I)</f>
        <v>657.5</v>
      </c>
      <c r="J393" s="4">
        <f t="shared" si="6"/>
        <v>1016.96</v>
      </c>
      <c r="K393" s="179">
        <f>SUMIF(FALTAS!A:A,A393,FALTAS!D:D)</f>
        <v>0</v>
      </c>
    </row>
    <row r="394" spans="1:11" x14ac:dyDescent="0.25">
      <c r="A394" s="235">
        <v>113584</v>
      </c>
      <c r="B394" s="162" t="s">
        <v>857</v>
      </c>
      <c r="C394" s="162" t="s">
        <v>39</v>
      </c>
      <c r="D394" s="162" t="s">
        <v>0</v>
      </c>
      <c r="E394" s="231">
        <v>43617</v>
      </c>
      <c r="F394" s="162" t="s">
        <v>1229</v>
      </c>
      <c r="G394" s="231">
        <v>45149</v>
      </c>
      <c r="H394" s="198">
        <f>SUMIF(VA!B:B,A394,VA!I:I)</f>
        <v>359.46</v>
      </c>
      <c r="I394" s="32">
        <f>SUMIF(VR!B:B,A394,VR!I:I)</f>
        <v>657.5</v>
      </c>
      <c r="J394" s="4">
        <f t="shared" si="6"/>
        <v>1016.96</v>
      </c>
      <c r="K394" s="179">
        <f>SUMIF(FALTAS!A:A,A394,FALTAS!D:D)</f>
        <v>0</v>
      </c>
    </row>
    <row r="395" spans="1:11" x14ac:dyDescent="0.25">
      <c r="A395" s="235">
        <v>113586</v>
      </c>
      <c r="B395" s="162" t="s">
        <v>859</v>
      </c>
      <c r="C395" s="162" t="s">
        <v>2</v>
      </c>
      <c r="D395" s="162" t="s">
        <v>10</v>
      </c>
      <c r="E395" s="231">
        <v>43617</v>
      </c>
      <c r="F395" s="162" t="s">
        <v>1229</v>
      </c>
      <c r="G395" s="231">
        <v>45000</v>
      </c>
      <c r="H395" s="198">
        <f>SUMIF(VA!B:B,A395,VA!I:I)</f>
        <v>359.46</v>
      </c>
      <c r="I395" s="32">
        <f>SUMIF(VR!B:B,A395,VR!I:I)</f>
        <v>657.5</v>
      </c>
      <c r="J395" s="4">
        <f t="shared" si="6"/>
        <v>1016.96</v>
      </c>
      <c r="K395" s="179">
        <f>SUMIF(FALTAS!A:A,A395,FALTAS!D:D)</f>
        <v>0</v>
      </c>
    </row>
    <row r="396" spans="1:11" x14ac:dyDescent="0.25">
      <c r="A396" s="235">
        <v>113589</v>
      </c>
      <c r="B396" s="162" t="s">
        <v>1397</v>
      </c>
      <c r="C396" s="162" t="s">
        <v>5</v>
      </c>
      <c r="D396" s="162" t="s">
        <v>10</v>
      </c>
      <c r="E396" s="231">
        <v>43617</v>
      </c>
      <c r="F396" s="162" t="s">
        <v>1229</v>
      </c>
      <c r="G396" s="231">
        <v>44588</v>
      </c>
      <c r="H396" s="198">
        <f>SUMIF(VA!B:B,A396,VA!I:I)</f>
        <v>359.46</v>
      </c>
      <c r="I396" s="32">
        <f>SUMIF(VR!B:B,A396,VR!I:I)</f>
        <v>657.5</v>
      </c>
      <c r="J396" s="4">
        <f t="shared" si="6"/>
        <v>1016.96</v>
      </c>
      <c r="K396" s="179">
        <f>SUMIF(FALTAS!A:A,A396,FALTAS!D:D)</f>
        <v>0</v>
      </c>
    </row>
    <row r="397" spans="1:11" x14ac:dyDescent="0.25">
      <c r="A397" s="235">
        <v>114525</v>
      </c>
      <c r="B397" s="162" t="s">
        <v>1046</v>
      </c>
      <c r="C397" s="162" t="s">
        <v>15</v>
      </c>
      <c r="D397" s="162" t="s">
        <v>1578</v>
      </c>
      <c r="E397" s="231">
        <v>43813</v>
      </c>
      <c r="F397" s="162" t="s">
        <v>1229</v>
      </c>
      <c r="G397" s="231">
        <v>45023</v>
      </c>
      <c r="H397" s="198">
        <f>SUMIF(VA!B:B,A397,VA!I:I)</f>
        <v>359.46</v>
      </c>
      <c r="I397" s="32">
        <f>SUMIF(VR!B:B,A397,VR!I:I)</f>
        <v>657.5</v>
      </c>
      <c r="J397" s="4">
        <f t="shared" si="6"/>
        <v>1016.96</v>
      </c>
      <c r="K397" s="179">
        <f>SUMIF(FALTAS!A:A,A397,FALTAS!D:D)</f>
        <v>0</v>
      </c>
    </row>
    <row r="398" spans="1:11" x14ac:dyDescent="0.25">
      <c r="A398" s="235">
        <v>113590</v>
      </c>
      <c r="B398" s="162" t="s">
        <v>862</v>
      </c>
      <c r="C398" s="162" t="s">
        <v>5</v>
      </c>
      <c r="D398" s="162" t="s">
        <v>10</v>
      </c>
      <c r="E398" s="231">
        <v>43617</v>
      </c>
      <c r="F398" s="162" t="s">
        <v>1229</v>
      </c>
      <c r="G398" s="231">
        <v>44960</v>
      </c>
      <c r="H398" s="198">
        <f>SUMIF(VA!B:B,A398,VA!I:I)</f>
        <v>359.46</v>
      </c>
      <c r="I398" s="32">
        <f>SUMIF(VR!B:B,A398,VR!I:I)</f>
        <v>657.5</v>
      </c>
      <c r="J398" s="4">
        <f t="shared" si="6"/>
        <v>1016.96</v>
      </c>
      <c r="K398" s="179">
        <f>SUMIF(FALTAS!A:A,A398,FALTAS!D:D)</f>
        <v>0</v>
      </c>
    </row>
    <row r="399" spans="1:11" x14ac:dyDescent="0.25">
      <c r="A399" s="235">
        <v>113592</v>
      </c>
      <c r="B399" s="162" t="s">
        <v>863</v>
      </c>
      <c r="C399" s="162" t="s">
        <v>15</v>
      </c>
      <c r="D399" s="162" t="s">
        <v>1578</v>
      </c>
      <c r="E399" s="231">
        <v>43617</v>
      </c>
      <c r="F399" s="162" t="s">
        <v>1229</v>
      </c>
      <c r="G399" s="231">
        <v>44898</v>
      </c>
      <c r="H399" s="198">
        <f>SUMIF(VA!B:B,A399,VA!I:I)</f>
        <v>359.46</v>
      </c>
      <c r="I399" s="32">
        <f>SUMIF(VR!B:B,A399,VR!I:I)</f>
        <v>657.5</v>
      </c>
      <c r="J399" s="4">
        <f t="shared" si="6"/>
        <v>1016.96</v>
      </c>
      <c r="K399" s="179">
        <f>SUMIF(FALTAS!A:A,A399,FALTAS!D:D)</f>
        <v>0</v>
      </c>
    </row>
    <row r="400" spans="1:11" x14ac:dyDescent="0.25">
      <c r="A400" s="235">
        <v>121428</v>
      </c>
      <c r="B400" s="162" t="s">
        <v>1556</v>
      </c>
      <c r="C400" s="162" t="s">
        <v>5</v>
      </c>
      <c r="D400" s="162" t="s">
        <v>1578</v>
      </c>
      <c r="E400" s="231">
        <v>44967</v>
      </c>
      <c r="F400" s="162" t="s">
        <v>1229</v>
      </c>
      <c r="G400" s="231">
        <v>44967</v>
      </c>
      <c r="H400" s="198">
        <f>SUMIF(VA!B:B,A400,VA!I:I)</f>
        <v>359.46</v>
      </c>
      <c r="I400" s="32">
        <f>SUMIF(VR!B:B,A400,VR!I:I)</f>
        <v>657.5</v>
      </c>
      <c r="J400" s="4">
        <f t="shared" si="6"/>
        <v>1016.96</v>
      </c>
      <c r="K400" s="179">
        <f>SUMIF(FALTAS!A:A,A400,FALTAS!D:D)</f>
        <v>0</v>
      </c>
    </row>
    <row r="401" spans="1:11" x14ac:dyDescent="0.25">
      <c r="A401" s="235">
        <v>113603</v>
      </c>
      <c r="B401" s="162" t="s">
        <v>868</v>
      </c>
      <c r="C401" s="162" t="s">
        <v>39</v>
      </c>
      <c r="D401" s="162" t="s">
        <v>8</v>
      </c>
      <c r="E401" s="231">
        <v>43617</v>
      </c>
      <c r="F401" s="162" t="s">
        <v>1229</v>
      </c>
      <c r="G401" s="231">
        <v>45149</v>
      </c>
      <c r="H401" s="198">
        <f>SUMIF(VA!B:B,A401,VA!I:I)</f>
        <v>359.46</v>
      </c>
      <c r="I401" s="32">
        <f>SUMIF(VR!B:B,A401,VR!I:I)</f>
        <v>657.5</v>
      </c>
      <c r="J401" s="4">
        <f t="shared" si="6"/>
        <v>1016.96</v>
      </c>
      <c r="K401" s="179">
        <f>SUMIF(FALTAS!A:A,A401,FALTAS!D:D)</f>
        <v>0</v>
      </c>
    </row>
    <row r="402" spans="1:11" x14ac:dyDescent="0.25">
      <c r="A402" s="235">
        <v>113607</v>
      </c>
      <c r="B402" s="162" t="s">
        <v>869</v>
      </c>
      <c r="C402" s="162" t="s">
        <v>15</v>
      </c>
      <c r="D402" s="162" t="s">
        <v>1578</v>
      </c>
      <c r="E402" s="231">
        <v>43617</v>
      </c>
      <c r="F402" s="162" t="s">
        <v>1229</v>
      </c>
      <c r="G402" s="231">
        <v>44930</v>
      </c>
      <c r="H402" s="198">
        <f>SUMIF(VA!B:B,A402,VA!I:I)</f>
        <v>359.46</v>
      </c>
      <c r="I402" s="32">
        <f>SUMIF(VR!B:B,A402,VR!I:I)</f>
        <v>657.5</v>
      </c>
      <c r="J402" s="4">
        <f t="shared" si="6"/>
        <v>1016.96</v>
      </c>
      <c r="K402" s="179">
        <f>SUMIF(FALTAS!A:A,A402,FALTAS!D:D)</f>
        <v>0</v>
      </c>
    </row>
    <row r="403" spans="1:11" x14ac:dyDescent="0.25">
      <c r="A403" s="235">
        <v>113609</v>
      </c>
      <c r="B403" s="162" t="s">
        <v>871</v>
      </c>
      <c r="C403" s="162" t="s">
        <v>5</v>
      </c>
      <c r="D403" s="162" t="s">
        <v>10</v>
      </c>
      <c r="E403" s="231">
        <v>43617</v>
      </c>
      <c r="F403" s="162" t="s">
        <v>1229</v>
      </c>
      <c r="G403" s="231">
        <v>44898</v>
      </c>
      <c r="H403" s="198">
        <f>SUMIF(VA!B:B,A403,VA!I:I)</f>
        <v>359.46</v>
      </c>
      <c r="I403" s="32">
        <f>SUMIF(VR!B:B,A403,VR!I:I)</f>
        <v>657.5</v>
      </c>
      <c r="J403" s="4">
        <f t="shared" si="6"/>
        <v>1016.96</v>
      </c>
      <c r="K403" s="179">
        <f>SUMIF(FALTAS!A:A,A403,FALTAS!D:D)</f>
        <v>0</v>
      </c>
    </row>
    <row r="404" spans="1:11" x14ac:dyDescent="0.25">
      <c r="A404" s="235">
        <v>113661</v>
      </c>
      <c r="B404" s="162" t="s">
        <v>900</v>
      </c>
      <c r="C404" s="162" t="s">
        <v>2</v>
      </c>
      <c r="D404" s="162" t="s">
        <v>8</v>
      </c>
      <c r="E404" s="231">
        <v>43617</v>
      </c>
      <c r="F404" s="162" t="s">
        <v>1229</v>
      </c>
      <c r="G404" s="231">
        <v>44960</v>
      </c>
      <c r="H404" s="198">
        <f>SUMIF(VA!B:B,A404,VA!I:I)</f>
        <v>359.46</v>
      </c>
      <c r="I404" s="32">
        <f>SUMIF(VR!B:B,A404,VR!I:I)</f>
        <v>657.5</v>
      </c>
      <c r="J404" s="4">
        <f t="shared" si="6"/>
        <v>1016.96</v>
      </c>
      <c r="K404" s="179">
        <f>SUMIF(FALTAS!A:A,A404,FALTAS!D:D)</f>
        <v>0</v>
      </c>
    </row>
    <row r="405" spans="1:11" x14ac:dyDescent="0.25">
      <c r="A405" s="235">
        <v>113612</v>
      </c>
      <c r="B405" s="162" t="s">
        <v>873</v>
      </c>
      <c r="C405" s="162" t="s">
        <v>2</v>
      </c>
      <c r="D405" s="162" t="s">
        <v>8</v>
      </c>
      <c r="E405" s="231">
        <v>43617</v>
      </c>
      <c r="F405" s="162" t="s">
        <v>1229</v>
      </c>
      <c r="G405" s="231">
        <v>45119</v>
      </c>
      <c r="H405" s="198">
        <f>SUMIF(VA!B:B,A405,VA!I:I)</f>
        <v>359.46</v>
      </c>
      <c r="I405" s="32">
        <f>SUMIF(VR!B:B,A405,VR!I:I)</f>
        <v>657.5</v>
      </c>
      <c r="J405" s="4">
        <f t="shared" si="6"/>
        <v>1016.96</v>
      </c>
      <c r="K405" s="179">
        <f>SUMIF(FALTAS!A:A,A405,FALTAS!D:D)</f>
        <v>0</v>
      </c>
    </row>
    <row r="406" spans="1:11" x14ac:dyDescent="0.25">
      <c r="A406" s="235">
        <v>113619</v>
      </c>
      <c r="B406" s="162" t="s">
        <v>876</v>
      </c>
      <c r="C406" s="162" t="s">
        <v>5</v>
      </c>
      <c r="D406" s="162" t="s">
        <v>8</v>
      </c>
      <c r="E406" s="231">
        <v>43617</v>
      </c>
      <c r="F406" s="162" t="s">
        <v>1229</v>
      </c>
      <c r="G406" s="231">
        <v>44898</v>
      </c>
      <c r="H406" s="198">
        <f>SUMIF(VA!B:B,A406,VA!I:I)</f>
        <v>359.46</v>
      </c>
      <c r="I406" s="32">
        <f>SUMIF(VR!B:B,A406,VR!I:I)</f>
        <v>657.5</v>
      </c>
      <c r="J406" s="4">
        <f t="shared" si="6"/>
        <v>1016.96</v>
      </c>
      <c r="K406" s="179">
        <f>SUMIF(FALTAS!A:A,A406,FALTAS!D:D)</f>
        <v>0</v>
      </c>
    </row>
    <row r="407" spans="1:11" x14ac:dyDescent="0.25">
      <c r="A407" s="235">
        <v>113623</v>
      </c>
      <c r="B407" s="162" t="s">
        <v>877</v>
      </c>
      <c r="C407" s="162" t="s">
        <v>2</v>
      </c>
      <c r="D407" s="162" t="s">
        <v>19</v>
      </c>
      <c r="E407" s="231">
        <v>43617</v>
      </c>
      <c r="F407" s="162" t="s">
        <v>1230</v>
      </c>
      <c r="G407" s="231">
        <v>45180</v>
      </c>
      <c r="H407" s="198">
        <f>SUMIF(VA!B:B,A407,VA!I:I)</f>
        <v>359.46</v>
      </c>
      <c r="I407" s="32">
        <f>SUMIF(VR!B:B,A407,VR!I:I)</f>
        <v>657.5</v>
      </c>
      <c r="J407" s="4">
        <f t="shared" si="6"/>
        <v>1016.96</v>
      </c>
      <c r="K407" s="179">
        <f>SUMIF(FALTAS!A:A,A407,FALTAS!D:D)</f>
        <v>0</v>
      </c>
    </row>
    <row r="408" spans="1:11" x14ac:dyDescent="0.25">
      <c r="A408" s="235">
        <v>113626</v>
      </c>
      <c r="B408" s="162" t="s">
        <v>879</v>
      </c>
      <c r="C408" s="162" t="s">
        <v>410</v>
      </c>
      <c r="D408" s="162" t="s">
        <v>1578</v>
      </c>
      <c r="E408" s="231">
        <v>43617</v>
      </c>
      <c r="F408" s="162" t="s">
        <v>1229</v>
      </c>
      <c r="G408" s="231">
        <v>45156</v>
      </c>
      <c r="H408" s="198">
        <f>SUMIF(VA!B:B,A408,VA!I:I)</f>
        <v>359.46</v>
      </c>
      <c r="I408" s="32">
        <f>SUMIF(VR!B:B,A408,VR!I:I)</f>
        <v>657.5</v>
      </c>
      <c r="J408" s="4">
        <f t="shared" si="6"/>
        <v>1016.96</v>
      </c>
      <c r="K408" s="179">
        <f>SUMIF(FALTAS!A:A,A408,FALTAS!D:D)</f>
        <v>0</v>
      </c>
    </row>
    <row r="409" spans="1:11" x14ac:dyDescent="0.25">
      <c r="A409" s="235">
        <v>113636</v>
      </c>
      <c r="B409" s="162" t="s">
        <v>887</v>
      </c>
      <c r="C409" s="162" t="s">
        <v>5</v>
      </c>
      <c r="D409" s="162" t="s">
        <v>19</v>
      </c>
      <c r="E409" s="231">
        <v>43617</v>
      </c>
      <c r="F409" s="162" t="s">
        <v>1230</v>
      </c>
      <c r="G409" s="231">
        <v>45180</v>
      </c>
      <c r="H409" s="198">
        <f>SUMIF(VA!B:B,A409,VA!I:I)</f>
        <v>359.46</v>
      </c>
      <c r="I409" s="32">
        <f>SUMIF(VR!B:B,A409,VR!I:I)</f>
        <v>657.5</v>
      </c>
      <c r="J409" s="4">
        <f t="shared" si="6"/>
        <v>1016.96</v>
      </c>
      <c r="K409" s="179">
        <f>SUMIF(FALTAS!A:A,A409,FALTAS!D:D)</f>
        <v>0</v>
      </c>
    </row>
    <row r="410" spans="1:11" x14ac:dyDescent="0.25">
      <c r="A410" s="235">
        <v>113674</v>
      </c>
      <c r="B410" s="162" t="s">
        <v>908</v>
      </c>
      <c r="C410" s="162" t="s">
        <v>2</v>
      </c>
      <c r="D410" s="162" t="s">
        <v>8</v>
      </c>
      <c r="E410" s="231">
        <v>43617</v>
      </c>
      <c r="F410" s="162" t="s">
        <v>1229</v>
      </c>
      <c r="G410" s="231">
        <v>45149</v>
      </c>
      <c r="H410" s="198">
        <f>SUMIF(VA!B:B,A410,VA!I:I)</f>
        <v>359.46</v>
      </c>
      <c r="I410" s="32">
        <f>SUMIF(VR!B:B,A410,VR!I:I)</f>
        <v>657.5</v>
      </c>
      <c r="J410" s="4">
        <f t="shared" si="6"/>
        <v>1016.96</v>
      </c>
      <c r="K410" s="179">
        <f>SUMIF(FALTAS!A:A,A410,FALTAS!D:D)</f>
        <v>0</v>
      </c>
    </row>
    <row r="411" spans="1:11" x14ac:dyDescent="0.25">
      <c r="A411" s="235">
        <v>122081</v>
      </c>
      <c r="B411" s="162" t="s">
        <v>1626</v>
      </c>
      <c r="C411" s="162" t="s">
        <v>5</v>
      </c>
      <c r="D411" s="162" t="s">
        <v>10</v>
      </c>
      <c r="E411" s="231">
        <v>45061</v>
      </c>
      <c r="F411" s="162" t="s">
        <v>1229</v>
      </c>
      <c r="G411" s="231">
        <v>45061</v>
      </c>
      <c r="H411" s="198">
        <f>SUMIF(VA!B:B,A411,VA!I:I)</f>
        <v>359.46</v>
      </c>
      <c r="I411" s="32">
        <f>SUMIF(VR!B:B,A411,VR!I:I)</f>
        <v>657.5</v>
      </c>
      <c r="J411" s="4">
        <f t="shared" si="6"/>
        <v>1016.96</v>
      </c>
      <c r="K411" s="179">
        <f>SUMIF(FALTAS!A:A,A411,FALTAS!D:D)</f>
        <v>0</v>
      </c>
    </row>
    <row r="412" spans="1:11" x14ac:dyDescent="0.25">
      <c r="A412" s="235">
        <v>113785</v>
      </c>
      <c r="B412" s="162" t="s">
        <v>979</v>
      </c>
      <c r="C412" s="162" t="s">
        <v>15</v>
      </c>
      <c r="D412" s="162" t="s">
        <v>1578</v>
      </c>
      <c r="E412" s="231">
        <v>43624</v>
      </c>
      <c r="F412" s="162" t="s">
        <v>1229</v>
      </c>
      <c r="G412" s="231">
        <v>44898</v>
      </c>
      <c r="H412" s="198">
        <f>SUMIF(VA!B:B,A412,VA!I:I)</f>
        <v>359.46</v>
      </c>
      <c r="I412" s="32">
        <f>SUMIF(VR!B:B,A412,VR!I:I)</f>
        <v>657.5</v>
      </c>
      <c r="J412" s="4">
        <f t="shared" si="6"/>
        <v>1016.96</v>
      </c>
      <c r="K412" s="179">
        <f>SUMIF(FALTAS!A:A,A412,FALTAS!D:D)</f>
        <v>0</v>
      </c>
    </row>
    <row r="413" spans="1:11" x14ac:dyDescent="0.25">
      <c r="A413" s="235">
        <v>121404</v>
      </c>
      <c r="B413" s="162" t="s">
        <v>1557</v>
      </c>
      <c r="C413" s="162" t="s">
        <v>5</v>
      </c>
      <c r="D413" s="162" t="s">
        <v>1578</v>
      </c>
      <c r="E413" s="231">
        <v>44967</v>
      </c>
      <c r="F413" s="162" t="s">
        <v>1229</v>
      </c>
      <c r="G413" s="231">
        <v>44967</v>
      </c>
      <c r="H413" s="198">
        <f>SUMIF(VA!B:B,A413,VA!I:I)</f>
        <v>359.46</v>
      </c>
      <c r="I413" s="32">
        <f>SUMIF(VR!B:B,A413,VR!I:I)</f>
        <v>657.5</v>
      </c>
      <c r="J413" s="4">
        <f t="shared" si="6"/>
        <v>1016.96</v>
      </c>
      <c r="K413" s="179">
        <f>SUMIF(FALTAS!A:A,A413,FALTAS!D:D)</f>
        <v>0</v>
      </c>
    </row>
    <row r="414" spans="1:11" x14ac:dyDescent="0.25">
      <c r="A414" s="235">
        <v>113728</v>
      </c>
      <c r="B414" s="162" t="s">
        <v>943</v>
      </c>
      <c r="C414" s="162" t="s">
        <v>5</v>
      </c>
      <c r="D414" s="162" t="s">
        <v>19</v>
      </c>
      <c r="E414" s="231">
        <v>43619</v>
      </c>
      <c r="F414" s="162" t="s">
        <v>1229</v>
      </c>
      <c r="G414" s="231">
        <v>45056</v>
      </c>
      <c r="H414" s="198">
        <f>SUMIF(VA!B:B,A414,VA!I:I)</f>
        <v>359.46</v>
      </c>
      <c r="I414" s="32">
        <f>SUMIF(VR!B:B,A414,VR!I:I)</f>
        <v>657.5</v>
      </c>
      <c r="J414" s="4">
        <f t="shared" si="6"/>
        <v>1016.96</v>
      </c>
      <c r="K414" s="179">
        <f>SUMIF(FALTAS!A:A,A414,FALTAS!D:D)</f>
        <v>0</v>
      </c>
    </row>
    <row r="415" spans="1:11" x14ac:dyDescent="0.25">
      <c r="A415" s="235">
        <v>113646</v>
      </c>
      <c r="B415" s="162" t="s">
        <v>892</v>
      </c>
      <c r="C415" s="162" t="s">
        <v>2</v>
      </c>
      <c r="D415" s="162" t="s">
        <v>32</v>
      </c>
      <c r="E415" s="231">
        <v>43617</v>
      </c>
      <c r="F415" s="162" t="s">
        <v>1229</v>
      </c>
      <c r="G415" s="231">
        <v>45177</v>
      </c>
      <c r="H415" s="198">
        <f>SUMIF(VA!B:B,A415,VA!I:I)</f>
        <v>359.46</v>
      </c>
      <c r="I415" s="32">
        <f>SUMIF(VR!B:B,A415,VR!I:I)</f>
        <v>657.5</v>
      </c>
      <c r="J415" s="4">
        <f t="shared" si="6"/>
        <v>1016.96</v>
      </c>
      <c r="K415" s="179">
        <f>SUMIF(FALTAS!A:A,A415,FALTAS!D:D)</f>
        <v>0</v>
      </c>
    </row>
    <row r="416" spans="1:11" x14ac:dyDescent="0.25">
      <c r="A416" s="235">
        <v>113656</v>
      </c>
      <c r="B416" s="162" t="s">
        <v>898</v>
      </c>
      <c r="C416" s="162" t="s">
        <v>2</v>
      </c>
      <c r="D416" s="162" t="s">
        <v>0</v>
      </c>
      <c r="E416" s="231">
        <v>43617</v>
      </c>
      <c r="F416" s="162" t="s">
        <v>1229</v>
      </c>
      <c r="G416" s="231">
        <v>45177</v>
      </c>
      <c r="H416" s="198">
        <f>SUMIF(VA!B:B,A416,VA!I:I)</f>
        <v>359.46</v>
      </c>
      <c r="I416" s="32">
        <f>SUMIF(VR!B:B,A416,VR!I:I)</f>
        <v>657.5</v>
      </c>
      <c r="J416" s="4">
        <f t="shared" si="6"/>
        <v>1016.96</v>
      </c>
      <c r="K416" s="179">
        <f>SUMIF(FALTAS!A:A,A416,FALTAS!D:D)</f>
        <v>0</v>
      </c>
    </row>
    <row r="417" spans="1:11" x14ac:dyDescent="0.25">
      <c r="A417" s="235">
        <v>114698</v>
      </c>
      <c r="B417" s="162" t="s">
        <v>1072</v>
      </c>
      <c r="C417" s="162" t="s">
        <v>5</v>
      </c>
      <c r="D417" s="162" t="s">
        <v>0</v>
      </c>
      <c r="E417" s="231">
        <v>43874</v>
      </c>
      <c r="F417" s="162" t="s">
        <v>1229</v>
      </c>
      <c r="G417" s="231">
        <v>45177</v>
      </c>
      <c r="H417" s="198">
        <f>SUMIF(VA!B:B,A417,VA!I:I)</f>
        <v>359.46</v>
      </c>
      <c r="I417" s="32">
        <f>SUMIF(VR!B:B,A417,VR!I:I)</f>
        <v>657.5</v>
      </c>
      <c r="J417" s="4">
        <f t="shared" si="6"/>
        <v>1016.96</v>
      </c>
      <c r="K417" s="179">
        <f>SUMIF(FALTAS!A:A,A417,FALTAS!D:D)</f>
        <v>0</v>
      </c>
    </row>
    <row r="418" spans="1:11" x14ac:dyDescent="0.25">
      <c r="A418" s="235">
        <v>114385</v>
      </c>
      <c r="B418" s="162" t="s">
        <v>1034</v>
      </c>
      <c r="C418" s="162" t="s">
        <v>120</v>
      </c>
      <c r="D418" s="162" t="s">
        <v>1578</v>
      </c>
      <c r="E418" s="231">
        <v>43811</v>
      </c>
      <c r="F418" s="162" t="s">
        <v>1229</v>
      </c>
      <c r="G418" s="231">
        <v>44835</v>
      </c>
      <c r="H418" s="198">
        <f>SUMIF(VA!B:B,A418,VA!I:I)</f>
        <v>359.46</v>
      </c>
      <c r="I418" s="32">
        <f>SUMIF(VR!B:B,A418,VR!I:I)</f>
        <v>657.5</v>
      </c>
      <c r="J418" s="4">
        <f t="shared" si="6"/>
        <v>1016.96</v>
      </c>
      <c r="K418" s="179">
        <f>SUMIF(FALTAS!A:A,A418,FALTAS!D:D)</f>
        <v>0</v>
      </c>
    </row>
    <row r="419" spans="1:11" x14ac:dyDescent="0.25">
      <c r="A419" s="235">
        <v>112288</v>
      </c>
      <c r="B419" s="162" t="s">
        <v>90</v>
      </c>
      <c r="C419" s="162" t="s">
        <v>2</v>
      </c>
      <c r="D419" s="162" t="s">
        <v>19</v>
      </c>
      <c r="E419" s="231">
        <v>43617</v>
      </c>
      <c r="F419" s="162" t="s">
        <v>1229</v>
      </c>
      <c r="G419" s="231">
        <v>45056</v>
      </c>
      <c r="H419" s="198">
        <f>SUMIF(VA!B:B,A419,VA!I:I)</f>
        <v>359.46</v>
      </c>
      <c r="I419" s="32">
        <f>SUMIF(VR!B:B,A419,VR!I:I)</f>
        <v>657.5</v>
      </c>
      <c r="J419" s="4">
        <f t="shared" si="6"/>
        <v>1016.96</v>
      </c>
      <c r="K419" s="179">
        <f>SUMIF(FALTAS!A:A,A419,FALTAS!D:D)</f>
        <v>0</v>
      </c>
    </row>
    <row r="420" spans="1:11" x14ac:dyDescent="0.25">
      <c r="A420" s="235">
        <v>118051</v>
      </c>
      <c r="B420" s="162" t="s">
        <v>1398</v>
      </c>
      <c r="C420" s="162" t="s">
        <v>5</v>
      </c>
      <c r="D420" s="162" t="s">
        <v>19</v>
      </c>
      <c r="E420" s="231">
        <v>44567</v>
      </c>
      <c r="F420" s="162" t="s">
        <v>1229</v>
      </c>
      <c r="G420" s="231">
        <v>45119</v>
      </c>
      <c r="H420" s="198">
        <f>SUMIF(VA!B:B,A420,VA!I:I)</f>
        <v>359.46</v>
      </c>
      <c r="I420" s="32">
        <f>SUMIF(VR!B:B,A420,VR!I:I)</f>
        <v>657.5</v>
      </c>
      <c r="J420" s="4">
        <f t="shared" si="6"/>
        <v>1016.96</v>
      </c>
      <c r="K420" s="179">
        <f>SUMIF(FALTAS!A:A,A420,FALTAS!D:D)</f>
        <v>0</v>
      </c>
    </row>
    <row r="421" spans="1:11" x14ac:dyDescent="0.25">
      <c r="A421" s="235">
        <v>112297</v>
      </c>
      <c r="B421" s="162" t="s">
        <v>95</v>
      </c>
      <c r="C421" s="162" t="s">
        <v>15</v>
      </c>
      <c r="D421" s="162" t="s">
        <v>1578</v>
      </c>
      <c r="E421" s="231">
        <v>43617</v>
      </c>
      <c r="F421" s="162" t="s">
        <v>1229</v>
      </c>
      <c r="G421" s="231">
        <v>44960</v>
      </c>
      <c r="H421" s="198">
        <f>SUMIF(VA!B:B,A421,VA!I:I)</f>
        <v>359.46</v>
      </c>
      <c r="I421" s="32">
        <f>SUMIF(VR!B:B,A421,VR!I:I)</f>
        <v>657.5</v>
      </c>
      <c r="J421" s="4">
        <f t="shared" si="6"/>
        <v>1016.96</v>
      </c>
      <c r="K421" s="179">
        <f>SUMIF(FALTAS!A:A,A421,FALTAS!D:D)</f>
        <v>0</v>
      </c>
    </row>
    <row r="422" spans="1:11" x14ac:dyDescent="0.25">
      <c r="A422" s="235">
        <v>112359</v>
      </c>
      <c r="B422" s="162" t="s">
        <v>130</v>
      </c>
      <c r="C422" s="162" t="s">
        <v>2</v>
      </c>
      <c r="D422" s="162" t="s">
        <v>0</v>
      </c>
      <c r="E422" s="231">
        <v>43617</v>
      </c>
      <c r="F422" s="162" t="s">
        <v>1229</v>
      </c>
      <c r="G422" s="231">
        <v>45023</v>
      </c>
      <c r="H422" s="198">
        <f>SUMIF(VA!B:B,A422,VA!I:I)</f>
        <v>359.46</v>
      </c>
      <c r="I422" s="32">
        <f>SUMIF(VR!B:B,A422,VR!I:I)</f>
        <v>657.5</v>
      </c>
      <c r="J422" s="4">
        <f t="shared" si="6"/>
        <v>1016.96</v>
      </c>
      <c r="K422" s="179">
        <f>SUMIF(FALTAS!A:A,A422,FALTAS!D:D)</f>
        <v>0</v>
      </c>
    </row>
    <row r="423" spans="1:11" x14ac:dyDescent="0.25">
      <c r="A423" s="235">
        <v>112366</v>
      </c>
      <c r="B423" s="162" t="s">
        <v>133</v>
      </c>
      <c r="C423" s="162" t="s">
        <v>15</v>
      </c>
      <c r="D423" s="162" t="s">
        <v>1578</v>
      </c>
      <c r="E423" s="231">
        <v>43617</v>
      </c>
      <c r="F423" s="162" t="s">
        <v>1229</v>
      </c>
      <c r="G423" s="231">
        <v>45149</v>
      </c>
      <c r="H423" s="198">
        <f>SUMIF(VA!B:B,A423,VA!I:I)</f>
        <v>359.46</v>
      </c>
      <c r="I423" s="32">
        <f>SUMIF(VR!B:B,A423,VR!I:I)</f>
        <v>657.5</v>
      </c>
      <c r="J423" s="4">
        <f t="shared" si="6"/>
        <v>1016.96</v>
      </c>
      <c r="K423" s="179">
        <f>SUMIF(FALTAS!A:A,A423,FALTAS!D:D)</f>
        <v>0</v>
      </c>
    </row>
    <row r="424" spans="1:11" x14ac:dyDescent="0.25">
      <c r="A424" s="235">
        <v>112372</v>
      </c>
      <c r="B424" s="162" t="s">
        <v>136</v>
      </c>
      <c r="C424" s="162" t="s">
        <v>2</v>
      </c>
      <c r="D424" s="162" t="s">
        <v>0</v>
      </c>
      <c r="E424" s="231">
        <v>43617</v>
      </c>
      <c r="F424" s="162" t="s">
        <v>1229</v>
      </c>
      <c r="G424" s="231">
        <v>45086</v>
      </c>
      <c r="H424" s="198">
        <f>SUMIF(VA!B:B,A424,VA!I:I)</f>
        <v>359.46</v>
      </c>
      <c r="I424" s="32">
        <f>SUMIF(VR!B:B,A424,VR!I:I)</f>
        <v>657.5</v>
      </c>
      <c r="J424" s="4">
        <f t="shared" si="6"/>
        <v>1016.96</v>
      </c>
      <c r="K424" s="179">
        <f>SUMIF(FALTAS!A:A,A424,FALTAS!D:D)</f>
        <v>0</v>
      </c>
    </row>
    <row r="425" spans="1:11" x14ac:dyDescent="0.25">
      <c r="A425" s="235">
        <v>112378</v>
      </c>
      <c r="B425" s="162" t="s">
        <v>141</v>
      </c>
      <c r="C425" s="162" t="s">
        <v>2</v>
      </c>
      <c r="D425" s="162" t="s">
        <v>0</v>
      </c>
      <c r="E425" s="231">
        <v>43617</v>
      </c>
      <c r="F425" s="162" t="s">
        <v>1229</v>
      </c>
      <c r="G425" s="231">
        <v>44776</v>
      </c>
      <c r="H425" s="198">
        <f>SUMIF(VA!B:B,A425,VA!I:I)</f>
        <v>359.46</v>
      </c>
      <c r="I425" s="32">
        <f>SUMIF(VR!B:B,A425,VR!I:I)</f>
        <v>657.5</v>
      </c>
      <c r="J425" s="4">
        <f t="shared" si="6"/>
        <v>1016.96</v>
      </c>
      <c r="K425" s="179">
        <f>SUMIF(FALTAS!A:A,A425,FALTAS!D:D)</f>
        <v>0</v>
      </c>
    </row>
    <row r="426" spans="1:11" x14ac:dyDescent="0.25">
      <c r="A426" s="235">
        <v>112382</v>
      </c>
      <c r="B426" s="162" t="s">
        <v>145</v>
      </c>
      <c r="C426" s="162" t="s">
        <v>146</v>
      </c>
      <c r="D426" s="162" t="s">
        <v>19</v>
      </c>
      <c r="E426" s="231">
        <v>43617</v>
      </c>
      <c r="F426" s="162" t="s">
        <v>1229</v>
      </c>
      <c r="G426" s="231">
        <v>45149</v>
      </c>
      <c r="H426" s="198">
        <f>SUMIF(VA!B:B,A426,VA!I:I)</f>
        <v>359.46</v>
      </c>
      <c r="I426" s="32">
        <f>SUMIF(VR!B:B,A426,VR!I:I)</f>
        <v>657.5</v>
      </c>
      <c r="J426" s="4">
        <f t="shared" si="6"/>
        <v>1016.96</v>
      </c>
      <c r="K426" s="179">
        <f>SUMIF(FALTAS!A:A,A426,FALTAS!D:D)</f>
        <v>0</v>
      </c>
    </row>
    <row r="427" spans="1:11" x14ac:dyDescent="0.25">
      <c r="A427" s="235">
        <v>114916</v>
      </c>
      <c r="B427" s="162" t="s">
        <v>1106</v>
      </c>
      <c r="C427" s="162" t="s">
        <v>377</v>
      </c>
      <c r="D427" s="162" t="s">
        <v>1578</v>
      </c>
      <c r="E427" s="231">
        <v>43916</v>
      </c>
      <c r="F427" s="162" t="s">
        <v>1229</v>
      </c>
      <c r="G427" s="231">
        <v>44930</v>
      </c>
      <c r="H427" s="198">
        <f>SUMIF(VA!B:B,A427,VA!I:I)</f>
        <v>359.46</v>
      </c>
      <c r="I427" s="32">
        <f>SUMIF(VR!B:B,A427,VR!I:I)</f>
        <v>657.5</v>
      </c>
      <c r="J427" s="4">
        <f t="shared" si="6"/>
        <v>1016.96</v>
      </c>
      <c r="K427" s="179">
        <f>SUMIF(FALTAS!A:A,A427,FALTAS!D:D)</f>
        <v>0</v>
      </c>
    </row>
    <row r="428" spans="1:11" x14ac:dyDescent="0.25">
      <c r="A428" s="235">
        <v>122833</v>
      </c>
      <c r="B428" s="162" t="s">
        <v>1718</v>
      </c>
      <c r="C428" s="162" t="s">
        <v>5</v>
      </c>
      <c r="D428" s="162" t="s">
        <v>0</v>
      </c>
      <c r="E428" s="231">
        <v>45180</v>
      </c>
      <c r="F428" s="162" t="s">
        <v>1229</v>
      </c>
      <c r="G428" s="231">
        <v>45180</v>
      </c>
      <c r="H428" s="198">
        <f>SUMIF(VA!B:B,A428,VA!I:I)</f>
        <v>359.46</v>
      </c>
      <c r="I428" s="32">
        <f>SUMIF(VR!B:B,A428,VR!I:I)</f>
        <v>657.5</v>
      </c>
      <c r="J428" s="4">
        <f t="shared" si="6"/>
        <v>1016.96</v>
      </c>
      <c r="K428" s="179">
        <f>SUMIF(FALTAS!A:A,A428,FALTAS!D:D)</f>
        <v>0</v>
      </c>
    </row>
    <row r="429" spans="1:11" x14ac:dyDescent="0.25">
      <c r="A429" s="235">
        <v>114315</v>
      </c>
      <c r="B429" s="162" t="s">
        <v>1031</v>
      </c>
      <c r="C429" s="162" t="s">
        <v>5</v>
      </c>
      <c r="D429" s="162" t="s">
        <v>0</v>
      </c>
      <c r="E429" s="231">
        <v>43811</v>
      </c>
      <c r="F429" s="162" t="s">
        <v>1229</v>
      </c>
      <c r="G429" s="231">
        <v>45177</v>
      </c>
      <c r="H429" s="198">
        <f>SUMIF(VA!B:B,A429,VA!I:I)</f>
        <v>359.46</v>
      </c>
      <c r="I429" s="32">
        <f>SUMIF(VR!B:B,A429,VR!I:I)</f>
        <v>657.5</v>
      </c>
      <c r="J429" s="4">
        <f t="shared" si="6"/>
        <v>1016.96</v>
      </c>
      <c r="K429" s="179">
        <f>SUMIF(FALTAS!A:A,A429,FALTAS!D:D)</f>
        <v>0</v>
      </c>
    </row>
    <row r="430" spans="1:11" x14ac:dyDescent="0.25">
      <c r="A430" s="235">
        <v>112400</v>
      </c>
      <c r="B430" s="162" t="s">
        <v>156</v>
      </c>
      <c r="C430" s="162" t="s">
        <v>963</v>
      </c>
      <c r="D430" s="162" t="s">
        <v>1578</v>
      </c>
      <c r="E430" s="231">
        <v>43617</v>
      </c>
      <c r="F430" s="162" t="s">
        <v>1229</v>
      </c>
      <c r="G430" s="231">
        <v>45028</v>
      </c>
      <c r="H430" s="198">
        <f>SUMIF(VA!B:B,A430,VA!I:I)</f>
        <v>359.46</v>
      </c>
      <c r="I430" s="32">
        <f>SUMIF(VR!B:B,A430,VR!I:I)</f>
        <v>657.5</v>
      </c>
      <c r="J430" s="4">
        <f t="shared" si="6"/>
        <v>1016.96</v>
      </c>
      <c r="K430" s="179">
        <f>SUMIF(FALTAS!A:A,A430,FALTAS!D:D)</f>
        <v>0</v>
      </c>
    </row>
    <row r="431" spans="1:11" x14ac:dyDescent="0.25">
      <c r="A431" s="235">
        <v>122415</v>
      </c>
      <c r="B431" s="162" t="s">
        <v>1682</v>
      </c>
      <c r="C431" s="162" t="s">
        <v>5</v>
      </c>
      <c r="D431" s="162" t="s">
        <v>1578</v>
      </c>
      <c r="E431" s="231">
        <v>45117</v>
      </c>
      <c r="F431" s="162" t="s">
        <v>1229</v>
      </c>
      <c r="G431" s="231">
        <v>45117</v>
      </c>
      <c r="H431" s="198">
        <f>SUMIF(VA!B:B,A431,VA!I:I)</f>
        <v>359.46</v>
      </c>
      <c r="I431" s="32">
        <f>SUMIF(VR!B:B,A431,VR!I:I)</f>
        <v>657.5</v>
      </c>
      <c r="J431" s="4">
        <f t="shared" si="6"/>
        <v>1016.96</v>
      </c>
      <c r="K431" s="179">
        <f>SUMIF(FALTAS!A:A,A431,FALTAS!D:D)</f>
        <v>0</v>
      </c>
    </row>
    <row r="432" spans="1:11" x14ac:dyDescent="0.25">
      <c r="A432" s="235">
        <v>112410</v>
      </c>
      <c r="B432" s="162" t="s">
        <v>163</v>
      </c>
      <c r="C432" s="162" t="s">
        <v>15</v>
      </c>
      <c r="D432" s="162" t="s">
        <v>1578</v>
      </c>
      <c r="E432" s="231">
        <v>43617</v>
      </c>
      <c r="F432" s="162" t="s">
        <v>1229</v>
      </c>
      <c r="G432" s="231">
        <v>44835</v>
      </c>
      <c r="H432" s="198">
        <f>SUMIF(VA!B:B,A432,VA!I:I)</f>
        <v>359.46</v>
      </c>
      <c r="I432" s="32">
        <f>SUMIF(VR!B:B,A432,VR!I:I)</f>
        <v>657.5</v>
      </c>
      <c r="J432" s="4">
        <f t="shared" si="6"/>
        <v>1016.96</v>
      </c>
      <c r="K432" s="179">
        <f>SUMIF(FALTAS!A:A,A432,FALTAS!D:D)</f>
        <v>0</v>
      </c>
    </row>
    <row r="433" spans="1:11" x14ac:dyDescent="0.25">
      <c r="A433" s="235">
        <v>114548</v>
      </c>
      <c r="B433" s="162" t="s">
        <v>1055</v>
      </c>
      <c r="C433" s="162" t="s">
        <v>2</v>
      </c>
      <c r="D433" s="162" t="s">
        <v>19</v>
      </c>
      <c r="E433" s="231">
        <v>43817</v>
      </c>
      <c r="F433" s="162" t="s">
        <v>1229</v>
      </c>
      <c r="G433" s="231">
        <v>44867</v>
      </c>
      <c r="H433" s="198">
        <f>SUMIF(VA!B:B,A433,VA!I:I)</f>
        <v>359.46</v>
      </c>
      <c r="I433" s="32">
        <f>SUMIF(VR!B:B,A433,VR!I:I)</f>
        <v>657.5</v>
      </c>
      <c r="J433" s="4">
        <f t="shared" si="6"/>
        <v>1016.96</v>
      </c>
      <c r="K433" s="179">
        <f>SUMIF(FALTAS!A:A,A433,FALTAS!D:D)</f>
        <v>0</v>
      </c>
    </row>
    <row r="434" spans="1:11" x14ac:dyDescent="0.25">
      <c r="A434" s="235">
        <v>112413</v>
      </c>
      <c r="B434" s="162" t="s">
        <v>164</v>
      </c>
      <c r="C434" s="162" t="s">
        <v>15</v>
      </c>
      <c r="D434" s="162" t="s">
        <v>1578</v>
      </c>
      <c r="E434" s="231">
        <v>43617</v>
      </c>
      <c r="F434" s="162" t="s">
        <v>1229</v>
      </c>
      <c r="G434" s="231">
        <v>44898</v>
      </c>
      <c r="H434" s="198">
        <f>SUMIF(VA!B:B,A434,VA!I:I)</f>
        <v>359.46</v>
      </c>
      <c r="I434" s="32">
        <f>SUMIF(VR!B:B,A434,VR!I:I)</f>
        <v>657.5</v>
      </c>
      <c r="J434" s="4">
        <f t="shared" si="6"/>
        <v>1016.96</v>
      </c>
      <c r="K434" s="179">
        <f>SUMIF(FALTAS!A:A,A434,FALTAS!D:D)</f>
        <v>0</v>
      </c>
    </row>
    <row r="435" spans="1:11" x14ac:dyDescent="0.25">
      <c r="A435" s="235">
        <v>112417</v>
      </c>
      <c r="B435" s="162" t="s">
        <v>167</v>
      </c>
      <c r="C435" s="162" t="s">
        <v>2</v>
      </c>
      <c r="D435" s="162" t="s">
        <v>0</v>
      </c>
      <c r="E435" s="231">
        <v>43617</v>
      </c>
      <c r="F435" s="162" t="s">
        <v>1229</v>
      </c>
      <c r="G435" s="231">
        <v>44989</v>
      </c>
      <c r="H435" s="198">
        <f>SUMIF(VA!B:B,A435,VA!I:I)</f>
        <v>359.46</v>
      </c>
      <c r="I435" s="32">
        <f>SUMIF(VR!B:B,A435,VR!I:I)</f>
        <v>657.5</v>
      </c>
      <c r="J435" s="4">
        <f t="shared" si="6"/>
        <v>1016.96</v>
      </c>
      <c r="K435" s="179">
        <f>SUMIF(FALTAS!A:A,A435,FALTAS!D:D)</f>
        <v>0</v>
      </c>
    </row>
    <row r="436" spans="1:11" x14ac:dyDescent="0.25">
      <c r="A436" s="235">
        <v>112439</v>
      </c>
      <c r="B436" s="162" t="s">
        <v>180</v>
      </c>
      <c r="C436" s="162" t="s">
        <v>22</v>
      </c>
      <c r="D436" s="162" t="s">
        <v>1578</v>
      </c>
      <c r="E436" s="231">
        <v>43617</v>
      </c>
      <c r="F436" s="162" t="s">
        <v>1229</v>
      </c>
      <c r="G436" s="231">
        <v>44898</v>
      </c>
      <c r="H436" s="198">
        <f>SUMIF(VA!B:B,A436,VA!I:I)</f>
        <v>359.46</v>
      </c>
      <c r="I436" s="32">
        <f>SUMIF(VR!B:B,A436,VR!I:I)</f>
        <v>657.5</v>
      </c>
      <c r="J436" s="4">
        <f t="shared" si="6"/>
        <v>1016.96</v>
      </c>
      <c r="K436" s="179">
        <f>SUMIF(FALTAS!A:A,A436,FALTAS!D:D)</f>
        <v>0</v>
      </c>
    </row>
    <row r="437" spans="1:11" x14ac:dyDescent="0.25">
      <c r="A437" s="235">
        <v>112449</v>
      </c>
      <c r="B437" s="162" t="s">
        <v>188</v>
      </c>
      <c r="C437" s="162" t="s">
        <v>2</v>
      </c>
      <c r="D437" s="162" t="s">
        <v>0</v>
      </c>
      <c r="E437" s="231">
        <v>43617</v>
      </c>
      <c r="F437" s="162" t="s">
        <v>1229</v>
      </c>
      <c r="G437" s="231">
        <v>44930</v>
      </c>
      <c r="H437" s="198">
        <f>SUMIF(VA!B:B,A437,VA!I:I)</f>
        <v>359.46</v>
      </c>
      <c r="I437" s="32">
        <f>SUMIF(VR!B:B,A437,VR!I:I)</f>
        <v>657.5</v>
      </c>
      <c r="J437" s="4">
        <f t="shared" si="6"/>
        <v>1016.96</v>
      </c>
      <c r="K437" s="179">
        <f>SUMIF(FALTAS!A:A,A437,FALTAS!D:D)</f>
        <v>0</v>
      </c>
    </row>
    <row r="438" spans="1:11" x14ac:dyDescent="0.25">
      <c r="A438" s="235">
        <v>112471</v>
      </c>
      <c r="B438" s="162" t="s">
        <v>200</v>
      </c>
      <c r="C438" s="162" t="s">
        <v>5</v>
      </c>
      <c r="D438" s="162" t="s">
        <v>8</v>
      </c>
      <c r="E438" s="231">
        <v>43617</v>
      </c>
      <c r="F438" s="162" t="s">
        <v>1229</v>
      </c>
      <c r="G438" s="231">
        <v>45056</v>
      </c>
      <c r="H438" s="198">
        <f>SUMIF(VA!B:B,A438,VA!I:I)</f>
        <v>359.46</v>
      </c>
      <c r="I438" s="32">
        <f>SUMIF(VR!B:B,A438,VR!I:I)</f>
        <v>657.5</v>
      </c>
      <c r="J438" s="4">
        <f t="shared" si="6"/>
        <v>1016.96</v>
      </c>
      <c r="K438" s="179">
        <f>SUMIF(FALTAS!A:A,A438,FALTAS!D:D)</f>
        <v>0</v>
      </c>
    </row>
    <row r="439" spans="1:11" x14ac:dyDescent="0.25">
      <c r="A439" s="235">
        <v>114255</v>
      </c>
      <c r="B439" s="162" t="s">
        <v>1019</v>
      </c>
      <c r="C439" s="162" t="s">
        <v>5</v>
      </c>
      <c r="D439" s="162" t="s">
        <v>1578</v>
      </c>
      <c r="E439" s="231">
        <v>43804</v>
      </c>
      <c r="F439" s="162" t="s">
        <v>1229</v>
      </c>
      <c r="G439" s="231">
        <v>45149</v>
      </c>
      <c r="H439" s="198">
        <f>SUMIF(VA!B:B,A439,VA!I:I)</f>
        <v>359.46</v>
      </c>
      <c r="I439" s="32">
        <f>SUMIF(VR!B:B,A439,VR!I:I)</f>
        <v>657.5</v>
      </c>
      <c r="J439" s="4">
        <f t="shared" si="6"/>
        <v>1016.96</v>
      </c>
      <c r="K439" s="179">
        <f>SUMIF(FALTAS!A:A,A439,FALTAS!D:D)</f>
        <v>0</v>
      </c>
    </row>
    <row r="440" spans="1:11" x14ac:dyDescent="0.25">
      <c r="A440" s="235">
        <v>116726</v>
      </c>
      <c r="B440" s="162" t="s">
        <v>1218</v>
      </c>
      <c r="C440" s="162" t="s">
        <v>2</v>
      </c>
      <c r="D440" s="162" t="s">
        <v>19</v>
      </c>
      <c r="E440" s="231">
        <v>44368</v>
      </c>
      <c r="F440" s="162" t="s">
        <v>1229</v>
      </c>
      <c r="G440" s="231">
        <v>45177</v>
      </c>
      <c r="H440" s="198">
        <f>SUMIF(VA!B:B,A440,VA!I:I)</f>
        <v>299.55</v>
      </c>
      <c r="I440" s="32">
        <f>SUMIF(VR!B:B,A440,VR!I:I)</f>
        <v>526</v>
      </c>
      <c r="J440" s="4">
        <f t="shared" si="6"/>
        <v>825.55</v>
      </c>
      <c r="K440" s="179">
        <f>SUMIF(FALTAS!A:A,A440,FALTAS!D:D)</f>
        <v>5</v>
      </c>
    </row>
    <row r="441" spans="1:11" x14ac:dyDescent="0.25">
      <c r="A441" s="235">
        <v>112473</v>
      </c>
      <c r="B441" s="162" t="s">
        <v>202</v>
      </c>
      <c r="C441" s="162" t="s">
        <v>963</v>
      </c>
      <c r="D441" s="162" t="s">
        <v>1578</v>
      </c>
      <c r="E441" s="231">
        <v>43617</v>
      </c>
      <c r="F441" s="162" t="s">
        <v>1229</v>
      </c>
      <c r="G441" s="231">
        <v>44898</v>
      </c>
      <c r="H441" s="198">
        <f>SUMIF(VA!B:B,A441,VA!I:I)</f>
        <v>359.46</v>
      </c>
      <c r="I441" s="32">
        <f>SUMIF(VR!B:B,A441,VR!I:I)</f>
        <v>657.5</v>
      </c>
      <c r="J441" s="4">
        <f t="shared" si="6"/>
        <v>1016.96</v>
      </c>
      <c r="K441" s="179">
        <f>SUMIF(FALTAS!A:A,A441,FALTAS!D:D)</f>
        <v>0</v>
      </c>
    </row>
    <row r="442" spans="1:11" x14ac:dyDescent="0.25">
      <c r="A442" s="235">
        <v>114699</v>
      </c>
      <c r="B442" s="162" t="s">
        <v>1073</v>
      </c>
      <c r="C442" s="162" t="s">
        <v>5</v>
      </c>
      <c r="D442" s="162" t="s">
        <v>0</v>
      </c>
      <c r="E442" s="231">
        <v>43874</v>
      </c>
      <c r="F442" s="162" t="s">
        <v>1229</v>
      </c>
      <c r="G442" s="231">
        <v>44898</v>
      </c>
      <c r="H442" s="198">
        <f>SUMIF(VA!B:B,A442,VA!I:I)</f>
        <v>359.46</v>
      </c>
      <c r="I442" s="32">
        <f>SUMIF(VR!B:B,A442,VR!I:I)</f>
        <v>657.5</v>
      </c>
      <c r="J442" s="4">
        <f t="shared" si="6"/>
        <v>1016.96</v>
      </c>
      <c r="K442" s="179">
        <f>SUMIF(FALTAS!A:A,A442,FALTAS!D:D)</f>
        <v>0</v>
      </c>
    </row>
    <row r="443" spans="1:11" x14ac:dyDescent="0.25">
      <c r="A443" s="235">
        <v>119652</v>
      </c>
      <c r="B443" s="162" t="s">
        <v>1460</v>
      </c>
      <c r="C443" s="162" t="s">
        <v>2</v>
      </c>
      <c r="D443" s="162" t="s">
        <v>0</v>
      </c>
      <c r="E443" s="231">
        <v>44725</v>
      </c>
      <c r="F443" s="162" t="s">
        <v>1230</v>
      </c>
      <c r="G443" s="231">
        <v>45180</v>
      </c>
      <c r="H443" s="198">
        <f>SUMIF(VA!B:B,A443,VA!I:I)</f>
        <v>359.46</v>
      </c>
      <c r="I443" s="32">
        <f>SUMIF(VR!B:B,A443,VR!I:I)</f>
        <v>657.5</v>
      </c>
      <c r="J443" s="4">
        <f t="shared" si="6"/>
        <v>1016.96</v>
      </c>
      <c r="K443" s="179">
        <f>SUMIF(FALTAS!A:A,A443,FALTAS!D:D)</f>
        <v>0</v>
      </c>
    </row>
    <row r="444" spans="1:11" x14ac:dyDescent="0.25">
      <c r="A444" s="235">
        <v>112494</v>
      </c>
      <c r="B444" s="162" t="s">
        <v>214</v>
      </c>
      <c r="C444" s="162" t="s">
        <v>39</v>
      </c>
      <c r="D444" s="162" t="s">
        <v>0</v>
      </c>
      <c r="E444" s="231">
        <v>43617</v>
      </c>
      <c r="F444" s="162" t="s">
        <v>1229</v>
      </c>
      <c r="G444" s="231">
        <v>45119</v>
      </c>
      <c r="H444" s="198">
        <f>SUMIF(VA!B:B,A444,VA!I:I)</f>
        <v>359.46</v>
      </c>
      <c r="I444" s="32">
        <f>SUMIF(VR!B:B,A444,VR!I:I)</f>
        <v>657.5</v>
      </c>
      <c r="J444" s="4">
        <f t="shared" si="6"/>
        <v>1016.96</v>
      </c>
      <c r="K444" s="179">
        <f>SUMIF(FALTAS!A:A,A444,FALTAS!D:D)</f>
        <v>0</v>
      </c>
    </row>
    <row r="445" spans="1:11" x14ac:dyDescent="0.25">
      <c r="A445" s="235">
        <v>113776</v>
      </c>
      <c r="B445" s="162" t="s">
        <v>974</v>
      </c>
      <c r="C445" s="162" t="s">
        <v>973</v>
      </c>
      <c r="D445" s="162" t="s">
        <v>1578</v>
      </c>
      <c r="E445" s="231">
        <v>43623</v>
      </c>
      <c r="F445" s="162" t="s">
        <v>1229</v>
      </c>
      <c r="G445" s="231">
        <v>45177</v>
      </c>
      <c r="H445" s="198">
        <f>SUMIF(VA!B:B,A445,VA!I:I)</f>
        <v>359.46</v>
      </c>
      <c r="I445" s="32">
        <f>SUMIF(VR!B:B,A445,VR!I:I)</f>
        <v>657.5</v>
      </c>
      <c r="J445" s="4">
        <f t="shared" si="6"/>
        <v>1016.96</v>
      </c>
      <c r="K445" s="179">
        <f>SUMIF(FALTAS!A:A,A445,FALTAS!D:D)</f>
        <v>0</v>
      </c>
    </row>
    <row r="446" spans="1:11" x14ac:dyDescent="0.25">
      <c r="A446" s="235">
        <v>112500</v>
      </c>
      <c r="B446" s="162" t="s">
        <v>219</v>
      </c>
      <c r="C446" s="162" t="s">
        <v>5</v>
      </c>
      <c r="D446" s="162" t="s">
        <v>19</v>
      </c>
      <c r="E446" s="231">
        <v>43617</v>
      </c>
      <c r="F446" s="162" t="s">
        <v>1229</v>
      </c>
      <c r="G446" s="231">
        <v>44806</v>
      </c>
      <c r="H446" s="198">
        <f>SUMIF(VA!B:B,A446,VA!I:I)</f>
        <v>359.46</v>
      </c>
      <c r="I446" s="32">
        <f>SUMIF(VR!B:B,A446,VR!I:I)</f>
        <v>657.5</v>
      </c>
      <c r="J446" s="4">
        <f t="shared" si="6"/>
        <v>1016.96</v>
      </c>
      <c r="K446" s="179">
        <f>SUMIF(FALTAS!A:A,A446,FALTAS!D:D)</f>
        <v>0</v>
      </c>
    </row>
    <row r="447" spans="1:11" x14ac:dyDescent="0.25">
      <c r="A447" s="235">
        <v>112506</v>
      </c>
      <c r="B447" s="162" t="s">
        <v>224</v>
      </c>
      <c r="C447" s="162" t="s">
        <v>15</v>
      </c>
      <c r="D447" s="162" t="s">
        <v>1578</v>
      </c>
      <c r="E447" s="231">
        <v>43617</v>
      </c>
      <c r="F447" s="162" t="s">
        <v>1229</v>
      </c>
      <c r="G447" s="231">
        <v>44930</v>
      </c>
      <c r="H447" s="198">
        <f>SUMIF(VA!B:B,A447,VA!I:I)</f>
        <v>359.46</v>
      </c>
      <c r="I447" s="32">
        <f>SUMIF(VR!B:B,A447,VR!I:I)</f>
        <v>657.5</v>
      </c>
      <c r="J447" s="4">
        <f t="shared" si="6"/>
        <v>1016.96</v>
      </c>
      <c r="K447" s="179">
        <f>SUMIF(FALTAS!A:A,A447,FALTAS!D:D)</f>
        <v>0</v>
      </c>
    </row>
    <row r="448" spans="1:11" x14ac:dyDescent="0.25">
      <c r="A448" s="235">
        <v>112510</v>
      </c>
      <c r="B448" s="162" t="s">
        <v>227</v>
      </c>
      <c r="C448" s="162" t="s">
        <v>5</v>
      </c>
      <c r="D448" s="162" t="s">
        <v>10</v>
      </c>
      <c r="E448" s="231">
        <v>43617</v>
      </c>
      <c r="F448" s="162" t="s">
        <v>1229</v>
      </c>
      <c r="G448" s="231">
        <v>44835</v>
      </c>
      <c r="H448" s="198">
        <f>SUMIF(VA!B:B,A448,VA!I:I)</f>
        <v>359.46</v>
      </c>
      <c r="I448" s="32">
        <f>SUMIF(VR!B:B,A448,VR!I:I)</f>
        <v>657.5</v>
      </c>
      <c r="J448" s="4">
        <f t="shared" si="6"/>
        <v>1016.96</v>
      </c>
      <c r="K448" s="179">
        <f>SUMIF(FALTAS!A:A,A448,FALTAS!D:D)</f>
        <v>0</v>
      </c>
    </row>
    <row r="449" spans="1:11" x14ac:dyDescent="0.25">
      <c r="A449" s="235">
        <v>112514</v>
      </c>
      <c r="B449" s="162" t="s">
        <v>231</v>
      </c>
      <c r="C449" s="162" t="s">
        <v>39</v>
      </c>
      <c r="D449" s="162" t="s">
        <v>8</v>
      </c>
      <c r="E449" s="231">
        <v>43617</v>
      </c>
      <c r="F449" s="162" t="s">
        <v>1229</v>
      </c>
      <c r="G449" s="231">
        <v>45177</v>
      </c>
      <c r="H449" s="198">
        <f>SUMIF(VA!B:B,A449,VA!I:I)</f>
        <v>359.46</v>
      </c>
      <c r="I449" s="32">
        <f>SUMIF(VR!B:B,A449,VR!I:I)</f>
        <v>657.5</v>
      </c>
      <c r="J449" s="4">
        <f t="shared" si="6"/>
        <v>1016.96</v>
      </c>
      <c r="K449" s="179">
        <f>SUMIF(FALTAS!A:A,A449,FALTAS!D:D)</f>
        <v>0</v>
      </c>
    </row>
    <row r="450" spans="1:11" x14ac:dyDescent="0.25">
      <c r="A450" s="235">
        <v>112518</v>
      </c>
      <c r="B450" s="162" t="s">
        <v>234</v>
      </c>
      <c r="C450" s="162" t="s">
        <v>15</v>
      </c>
      <c r="D450" s="162" t="s">
        <v>1578</v>
      </c>
      <c r="E450" s="231">
        <v>43617</v>
      </c>
      <c r="F450" s="162" t="s">
        <v>1229</v>
      </c>
      <c r="G450" s="231">
        <v>44930</v>
      </c>
      <c r="H450" s="198">
        <f>SUMIF(VA!B:B,A450,VA!I:I)</f>
        <v>359.46</v>
      </c>
      <c r="I450" s="32">
        <f>SUMIF(VR!B:B,A450,VR!I:I)</f>
        <v>657.5</v>
      </c>
      <c r="J450" s="4">
        <f t="shared" ref="J450:J512" si="7">H450+I450</f>
        <v>1016.96</v>
      </c>
      <c r="K450" s="179">
        <f>SUMIF(FALTAS!A:A,A450,FALTAS!D:D)</f>
        <v>0</v>
      </c>
    </row>
    <row r="451" spans="1:11" x14ac:dyDescent="0.25">
      <c r="A451" s="235">
        <v>112520</v>
      </c>
      <c r="B451" s="162" t="s">
        <v>235</v>
      </c>
      <c r="C451" s="162" t="s">
        <v>2</v>
      </c>
      <c r="D451" s="162" t="s">
        <v>0</v>
      </c>
      <c r="E451" s="231">
        <v>43617</v>
      </c>
      <c r="F451" s="162" t="s">
        <v>1229</v>
      </c>
      <c r="G451" s="231">
        <v>45023</v>
      </c>
      <c r="H451" s="198">
        <f>SUMIF(VA!B:B,A451,VA!I:I)</f>
        <v>359.46</v>
      </c>
      <c r="I451" s="32">
        <f>SUMIF(VR!B:B,A451,VR!I:I)</f>
        <v>657.5</v>
      </c>
      <c r="J451" s="4">
        <f t="shared" si="7"/>
        <v>1016.96</v>
      </c>
      <c r="K451" s="179">
        <f>SUMIF(FALTAS!A:A,A451,FALTAS!D:D)</f>
        <v>0</v>
      </c>
    </row>
    <row r="452" spans="1:11" x14ac:dyDescent="0.25">
      <c r="A452" s="235">
        <v>112522</v>
      </c>
      <c r="B452" s="162" t="s">
        <v>237</v>
      </c>
      <c r="C452" s="162" t="s">
        <v>2</v>
      </c>
      <c r="D452" s="162" t="s">
        <v>10</v>
      </c>
      <c r="E452" s="231">
        <v>43617</v>
      </c>
      <c r="F452" s="162" t="s">
        <v>1229</v>
      </c>
      <c r="G452" s="231">
        <v>45086</v>
      </c>
      <c r="H452" s="198">
        <f>SUMIF(VA!B:B,A452,VA!I:I)</f>
        <v>359.46</v>
      </c>
      <c r="I452" s="32">
        <f>SUMIF(VR!B:B,A452,VR!I:I)</f>
        <v>657.5</v>
      </c>
      <c r="J452" s="4">
        <f t="shared" si="7"/>
        <v>1016.96</v>
      </c>
      <c r="K452" s="179">
        <f>SUMIF(FALTAS!A:A,A452,FALTAS!D:D)</f>
        <v>0</v>
      </c>
    </row>
    <row r="453" spans="1:11" x14ac:dyDescent="0.25">
      <c r="A453" s="235">
        <v>112586</v>
      </c>
      <c r="B453" s="162" t="s">
        <v>279</v>
      </c>
      <c r="C453" s="162" t="s">
        <v>2</v>
      </c>
      <c r="D453" s="162" t="s">
        <v>10</v>
      </c>
      <c r="E453" s="231">
        <v>43617</v>
      </c>
      <c r="F453" s="162" t="s">
        <v>1229</v>
      </c>
      <c r="G453" s="231">
        <v>45023</v>
      </c>
      <c r="H453" s="198">
        <f>SUMIF(VA!B:B,A453,VA!I:I)</f>
        <v>359.46</v>
      </c>
      <c r="I453" s="32">
        <f>SUMIF(VR!B:B,A453,VR!I:I)</f>
        <v>657.5</v>
      </c>
      <c r="J453" s="4">
        <f t="shared" si="7"/>
        <v>1016.96</v>
      </c>
      <c r="K453" s="179">
        <f>SUMIF(FALTAS!A:A,A453,FALTAS!D:D)</f>
        <v>0</v>
      </c>
    </row>
    <row r="454" spans="1:11" x14ac:dyDescent="0.25">
      <c r="A454" s="235">
        <v>112590</v>
      </c>
      <c r="B454" s="162" t="s">
        <v>282</v>
      </c>
      <c r="C454" s="162" t="s">
        <v>22</v>
      </c>
      <c r="D454" s="162" t="s">
        <v>1578</v>
      </c>
      <c r="E454" s="231">
        <v>43617</v>
      </c>
      <c r="F454" s="162" t="s">
        <v>1230</v>
      </c>
      <c r="G454" s="231">
        <v>45180</v>
      </c>
      <c r="H454" s="198">
        <f>SUMIF(VA!B:B,A454,VA!I:I)</f>
        <v>359.46</v>
      </c>
      <c r="I454" s="32">
        <f>SUMIF(VR!B:B,A454,VR!I:I)</f>
        <v>657.5</v>
      </c>
      <c r="J454" s="4">
        <f t="shared" si="7"/>
        <v>1016.96</v>
      </c>
      <c r="K454" s="179">
        <f>SUMIF(FALTAS!A:A,A454,FALTAS!D:D)</f>
        <v>0</v>
      </c>
    </row>
    <row r="455" spans="1:11" x14ac:dyDescent="0.25">
      <c r="A455" s="235">
        <v>112598</v>
      </c>
      <c r="B455" s="162" t="s">
        <v>286</v>
      </c>
      <c r="C455" s="162" t="s">
        <v>15</v>
      </c>
      <c r="D455" s="162" t="s">
        <v>1578</v>
      </c>
      <c r="E455" s="231">
        <v>43617</v>
      </c>
      <c r="F455" s="162" t="s">
        <v>1230</v>
      </c>
      <c r="G455" s="231">
        <v>45180</v>
      </c>
      <c r="H455" s="198">
        <f>SUMIF(VA!B:B,A455,VA!I:I)</f>
        <v>359.46</v>
      </c>
      <c r="I455" s="32">
        <f>SUMIF(VR!B:B,A455,VR!I:I)</f>
        <v>657.5</v>
      </c>
      <c r="J455" s="4">
        <f t="shared" si="7"/>
        <v>1016.96</v>
      </c>
      <c r="K455" s="179">
        <f>SUMIF(FALTAS!A:A,A455,FALTAS!D:D)</f>
        <v>0</v>
      </c>
    </row>
    <row r="456" spans="1:11" x14ac:dyDescent="0.25">
      <c r="A456" s="235">
        <v>112602</v>
      </c>
      <c r="B456" s="162" t="s">
        <v>288</v>
      </c>
      <c r="C456" s="162" t="s">
        <v>146</v>
      </c>
      <c r="D456" s="162" t="s">
        <v>8</v>
      </c>
      <c r="E456" s="231">
        <v>43617</v>
      </c>
      <c r="F456" s="162" t="s">
        <v>1229</v>
      </c>
      <c r="G456" s="231">
        <v>44960</v>
      </c>
      <c r="H456" s="198">
        <f>SUMIF(VA!B:B,A456,VA!I:I)</f>
        <v>359.46</v>
      </c>
      <c r="I456" s="32">
        <f>SUMIF(VR!B:B,A456,VR!I:I)</f>
        <v>657.5</v>
      </c>
      <c r="J456" s="4">
        <f t="shared" si="7"/>
        <v>1016.96</v>
      </c>
      <c r="K456" s="179">
        <f>SUMIF(FALTAS!A:A,A456,FALTAS!D:D)</f>
        <v>0</v>
      </c>
    </row>
    <row r="457" spans="1:11" x14ac:dyDescent="0.25">
      <c r="A457" s="235">
        <v>112606</v>
      </c>
      <c r="B457" s="162" t="s">
        <v>290</v>
      </c>
      <c r="C457" s="162" t="s">
        <v>22</v>
      </c>
      <c r="D457" s="162" t="s">
        <v>1578</v>
      </c>
      <c r="E457" s="231">
        <v>43617</v>
      </c>
      <c r="F457" s="162" t="s">
        <v>1229</v>
      </c>
      <c r="G457" s="231">
        <v>45023</v>
      </c>
      <c r="H457" s="198">
        <f>SUMIF(VA!B:B,A457,VA!I:I)</f>
        <v>359.46</v>
      </c>
      <c r="I457" s="32">
        <f>SUMIF(VR!B:B,A457,VR!I:I)</f>
        <v>657.5</v>
      </c>
      <c r="J457" s="4">
        <f t="shared" si="7"/>
        <v>1016.96</v>
      </c>
      <c r="K457" s="179">
        <f>SUMIF(FALTAS!A:A,A457,FALTAS!D:D)</f>
        <v>0</v>
      </c>
    </row>
    <row r="458" spans="1:11" x14ac:dyDescent="0.25">
      <c r="A458" s="235">
        <v>112609</v>
      </c>
      <c r="B458" s="162" t="s">
        <v>293</v>
      </c>
      <c r="C458" s="162" t="s">
        <v>2</v>
      </c>
      <c r="D458" s="162" t="s">
        <v>8</v>
      </c>
      <c r="E458" s="231">
        <v>43617</v>
      </c>
      <c r="F458" s="162" t="s">
        <v>1229</v>
      </c>
      <c r="G458" s="231">
        <v>45119</v>
      </c>
      <c r="H458" s="198">
        <f>SUMIF(VA!B:B,A458,VA!I:I)</f>
        <v>359.46</v>
      </c>
      <c r="I458" s="32">
        <f>SUMIF(VR!B:B,A458,VR!I:I)</f>
        <v>657.5</v>
      </c>
      <c r="J458" s="4">
        <f t="shared" si="7"/>
        <v>1016.96</v>
      </c>
      <c r="K458" s="179">
        <f>SUMIF(FALTAS!A:A,A458,FALTAS!D:D)</f>
        <v>0</v>
      </c>
    </row>
    <row r="459" spans="1:11" x14ac:dyDescent="0.25">
      <c r="A459" s="235">
        <v>112619</v>
      </c>
      <c r="B459" s="162" t="s">
        <v>302</v>
      </c>
      <c r="C459" s="162" t="s">
        <v>5</v>
      </c>
      <c r="D459" s="162" t="s">
        <v>8</v>
      </c>
      <c r="E459" s="231">
        <v>43617</v>
      </c>
      <c r="F459" s="162" t="s">
        <v>1229</v>
      </c>
      <c r="G459" s="231">
        <v>45023</v>
      </c>
      <c r="H459" s="198">
        <f>SUMIF(VA!B:B,A459,VA!I:I)</f>
        <v>359.46</v>
      </c>
      <c r="I459" s="32">
        <f>SUMIF(VR!B:B,A459,VR!I:I)</f>
        <v>657.5</v>
      </c>
      <c r="J459" s="4">
        <f t="shared" si="7"/>
        <v>1016.96</v>
      </c>
      <c r="K459" s="179">
        <f>SUMIF(FALTAS!A:A,A459,FALTAS!D:D)</f>
        <v>0</v>
      </c>
    </row>
    <row r="460" spans="1:11" x14ac:dyDescent="0.25">
      <c r="A460" s="235">
        <v>116027</v>
      </c>
      <c r="B460" s="162" t="s">
        <v>1176</v>
      </c>
      <c r="C460" s="162" t="s">
        <v>5</v>
      </c>
      <c r="D460" s="162" t="s">
        <v>10</v>
      </c>
      <c r="E460" s="231">
        <v>44207</v>
      </c>
      <c r="F460" s="162" t="s">
        <v>1229</v>
      </c>
      <c r="G460" s="231">
        <v>45056</v>
      </c>
      <c r="H460" s="198">
        <f>SUMIF(VA!B:B,A460,VA!I:I)</f>
        <v>335.49</v>
      </c>
      <c r="I460" s="32">
        <f>SUMIF(VR!B:B,A460,VR!I:I)</f>
        <v>604.9</v>
      </c>
      <c r="J460" s="4">
        <f t="shared" si="7"/>
        <v>940.39</v>
      </c>
      <c r="K460" s="179">
        <f>SUMIF(FALTAS!A:A,A460,FALTAS!D:D)</f>
        <v>2</v>
      </c>
    </row>
    <row r="461" spans="1:11" x14ac:dyDescent="0.25">
      <c r="A461" s="235">
        <v>121525</v>
      </c>
      <c r="B461" s="162" t="s">
        <v>1558</v>
      </c>
      <c r="C461" s="162" t="s">
        <v>5</v>
      </c>
      <c r="D461" s="162" t="s">
        <v>19</v>
      </c>
      <c r="E461" s="231">
        <v>44972</v>
      </c>
      <c r="F461" s="162" t="s">
        <v>1229</v>
      </c>
      <c r="G461" s="231">
        <v>44972</v>
      </c>
      <c r="H461" s="198">
        <f>SUMIF(VA!B:B,A461,VA!I:I)</f>
        <v>359.46</v>
      </c>
      <c r="I461" s="32">
        <f>SUMIF(VR!B:B,A461,VR!I:I)</f>
        <v>657.5</v>
      </c>
      <c r="J461" s="4">
        <f t="shared" si="7"/>
        <v>1016.96</v>
      </c>
      <c r="K461" s="179">
        <f>SUMIF(FALTAS!A:A,A461,FALTAS!D:D)</f>
        <v>0</v>
      </c>
    </row>
    <row r="462" spans="1:11" x14ac:dyDescent="0.25">
      <c r="A462" s="235">
        <v>112629</v>
      </c>
      <c r="B462" s="162" t="s">
        <v>308</v>
      </c>
      <c r="C462" s="162" t="s">
        <v>2</v>
      </c>
      <c r="D462" s="162" t="s">
        <v>0</v>
      </c>
      <c r="E462" s="231">
        <v>43617</v>
      </c>
      <c r="F462" s="162" t="s">
        <v>1229</v>
      </c>
      <c r="G462" s="231">
        <v>44806</v>
      </c>
      <c r="H462" s="198">
        <f>SUMIF(VA!B:B,A462,VA!I:I)</f>
        <v>359.46</v>
      </c>
      <c r="I462" s="32">
        <f>SUMIF(VR!B:B,A462,VR!I:I)</f>
        <v>657.5</v>
      </c>
      <c r="J462" s="4">
        <f t="shared" si="7"/>
        <v>1016.96</v>
      </c>
      <c r="K462" s="179">
        <f>SUMIF(FALTAS!A:A,A462,FALTAS!D:D)</f>
        <v>0</v>
      </c>
    </row>
    <row r="463" spans="1:11" x14ac:dyDescent="0.25">
      <c r="A463" s="235">
        <v>117398</v>
      </c>
      <c r="B463" s="162" t="s">
        <v>1267</v>
      </c>
      <c r="C463" s="162" t="s">
        <v>1265</v>
      </c>
      <c r="D463" s="162" t="s">
        <v>1578</v>
      </c>
      <c r="E463" s="231">
        <v>44522</v>
      </c>
      <c r="F463" s="162" t="s">
        <v>1229</v>
      </c>
      <c r="G463" s="231">
        <v>44937</v>
      </c>
      <c r="H463" s="198">
        <f>SUMIF(VA!B:B,A463,VA!I:I)</f>
        <v>359.46</v>
      </c>
      <c r="I463" s="32">
        <f>SUMIF(VR!B:B,A463,VR!I:I)</f>
        <v>657.5</v>
      </c>
      <c r="J463" s="4">
        <f t="shared" si="7"/>
        <v>1016.96</v>
      </c>
      <c r="K463" s="179">
        <f>SUMIF(FALTAS!A:A,A463,FALTAS!D:D)</f>
        <v>0</v>
      </c>
    </row>
    <row r="464" spans="1:11" x14ac:dyDescent="0.25">
      <c r="A464" s="235">
        <v>114538</v>
      </c>
      <c r="B464" s="162" t="s">
        <v>1284</v>
      </c>
      <c r="C464" s="162" t="s">
        <v>182</v>
      </c>
      <c r="D464" s="162" t="s">
        <v>0</v>
      </c>
      <c r="E464" s="231">
        <v>43817</v>
      </c>
      <c r="F464" s="162" t="s">
        <v>1229</v>
      </c>
      <c r="G464" s="231">
        <v>44867</v>
      </c>
      <c r="H464" s="198">
        <f>SUMIF(VA!B:B,A464,VA!I:I)</f>
        <v>359.46</v>
      </c>
      <c r="I464" s="32">
        <f>SUMIF(VR!B:B,A464,VR!I:I)</f>
        <v>657.5</v>
      </c>
      <c r="J464" s="4">
        <f t="shared" si="7"/>
        <v>1016.96</v>
      </c>
      <c r="K464" s="179">
        <f>SUMIF(FALTAS!A:A,A464,FALTAS!D:D)</f>
        <v>0</v>
      </c>
    </row>
    <row r="465" spans="1:11" x14ac:dyDescent="0.25">
      <c r="A465" s="235">
        <v>112638</v>
      </c>
      <c r="B465" s="162" t="s">
        <v>313</v>
      </c>
      <c r="C465" s="162" t="s">
        <v>5</v>
      </c>
      <c r="D465" s="162" t="s">
        <v>8</v>
      </c>
      <c r="E465" s="231">
        <v>43617</v>
      </c>
      <c r="F465" s="162" t="s">
        <v>1229</v>
      </c>
      <c r="G465" s="231">
        <v>44867</v>
      </c>
      <c r="H465" s="198">
        <f>SUMIF(VA!B:B,A465,VA!I:I)</f>
        <v>359.46</v>
      </c>
      <c r="I465" s="32">
        <f>SUMIF(VR!B:B,A465,VR!I:I)</f>
        <v>657.5</v>
      </c>
      <c r="J465" s="4">
        <f t="shared" si="7"/>
        <v>1016.96</v>
      </c>
      <c r="K465" s="179">
        <f>SUMIF(FALTAS!A:A,A465,FALTAS!D:D)</f>
        <v>0</v>
      </c>
    </row>
    <row r="466" spans="1:11" x14ac:dyDescent="0.25">
      <c r="A466" s="235">
        <v>119642</v>
      </c>
      <c r="B466" s="162" t="s">
        <v>1461</v>
      </c>
      <c r="C466" s="162" t="s">
        <v>5</v>
      </c>
      <c r="D466" s="162" t="s">
        <v>19</v>
      </c>
      <c r="E466" s="231">
        <v>44725</v>
      </c>
      <c r="F466" s="162" t="s">
        <v>1229</v>
      </c>
      <c r="G466" s="231">
        <v>44725</v>
      </c>
      <c r="H466" s="198">
        <f>SUMIF(VA!B:B,A466,VA!I:I)</f>
        <v>359.46</v>
      </c>
      <c r="I466" s="32">
        <f>SUMIF(VR!B:B,A466,VR!I:I)</f>
        <v>657.5</v>
      </c>
      <c r="J466" s="4">
        <f t="shared" si="7"/>
        <v>1016.96</v>
      </c>
      <c r="K466" s="179">
        <f>SUMIF(FALTAS!A:A,A466,FALTAS!D:D)</f>
        <v>0</v>
      </c>
    </row>
    <row r="467" spans="1:11" x14ac:dyDescent="0.25">
      <c r="A467" s="235">
        <v>112643</v>
      </c>
      <c r="B467" s="162" t="s">
        <v>316</v>
      </c>
      <c r="C467" s="162" t="s">
        <v>146</v>
      </c>
      <c r="D467" s="162" t="s">
        <v>32</v>
      </c>
      <c r="E467" s="231">
        <v>43617</v>
      </c>
      <c r="F467" s="162" t="s">
        <v>1229</v>
      </c>
      <c r="G467" s="231">
        <v>45056</v>
      </c>
      <c r="H467" s="198">
        <f>SUMIF(VA!B:B,A467,VA!I:I)</f>
        <v>359.46</v>
      </c>
      <c r="I467" s="32">
        <f>SUMIF(VR!B:B,A467,VR!I:I)</f>
        <v>657.5</v>
      </c>
      <c r="J467" s="4">
        <f t="shared" si="7"/>
        <v>1016.96</v>
      </c>
      <c r="K467" s="179">
        <f>SUMIF(FALTAS!A:A,A467,FALTAS!D:D)</f>
        <v>0</v>
      </c>
    </row>
    <row r="468" spans="1:11" x14ac:dyDescent="0.25">
      <c r="A468" s="235">
        <v>112650</v>
      </c>
      <c r="B468" s="162" t="s">
        <v>319</v>
      </c>
      <c r="C468" s="162" t="s">
        <v>2</v>
      </c>
      <c r="D468" s="162" t="s">
        <v>8</v>
      </c>
      <c r="E468" s="231">
        <v>43617</v>
      </c>
      <c r="F468" s="162" t="s">
        <v>1229</v>
      </c>
      <c r="G468" s="231">
        <v>44835</v>
      </c>
      <c r="H468" s="198">
        <f>SUMIF(VA!B:B,A468,VA!I:I)</f>
        <v>359.46</v>
      </c>
      <c r="I468" s="32">
        <f>SUMIF(VR!B:B,A468,VR!I:I)</f>
        <v>657.5</v>
      </c>
      <c r="J468" s="4">
        <f t="shared" si="7"/>
        <v>1016.96</v>
      </c>
      <c r="K468" s="179">
        <f>SUMIF(FALTAS!A:A,A468,FALTAS!D:D)</f>
        <v>0</v>
      </c>
    </row>
    <row r="469" spans="1:11" x14ac:dyDescent="0.25">
      <c r="A469" s="235">
        <v>114702</v>
      </c>
      <c r="B469" s="162" t="s">
        <v>1075</v>
      </c>
      <c r="C469" s="162" t="s">
        <v>2</v>
      </c>
      <c r="D469" s="162" t="s">
        <v>10</v>
      </c>
      <c r="E469" s="231">
        <v>43874</v>
      </c>
      <c r="F469" s="162" t="s">
        <v>1229</v>
      </c>
      <c r="G469" s="231">
        <v>45149</v>
      </c>
      <c r="H469" s="198">
        <f>SUMIF(VA!B:B,A469,VA!I:I)</f>
        <v>311.52999999999997</v>
      </c>
      <c r="I469" s="32">
        <f>SUMIF(VR!B:B,A469,VR!I:I)</f>
        <v>552.30000000000007</v>
      </c>
      <c r="J469" s="4">
        <f t="shared" si="7"/>
        <v>863.83</v>
      </c>
      <c r="K469" s="179">
        <f>SUMIF(FALTAS!A:A,A469,FALTAS!D:D)</f>
        <v>4</v>
      </c>
    </row>
    <row r="470" spans="1:11" x14ac:dyDescent="0.25">
      <c r="A470" s="235">
        <v>114260</v>
      </c>
      <c r="B470" s="162" t="s">
        <v>1023</v>
      </c>
      <c r="C470" s="162" t="s">
        <v>5</v>
      </c>
      <c r="D470" s="162" t="s">
        <v>0</v>
      </c>
      <c r="E470" s="231">
        <v>43804</v>
      </c>
      <c r="F470" s="162" t="s">
        <v>1229</v>
      </c>
      <c r="G470" s="231">
        <v>45119</v>
      </c>
      <c r="H470" s="198">
        <f>SUMIF(VA!B:B,A470,VA!I:I)</f>
        <v>359.46</v>
      </c>
      <c r="I470" s="32">
        <f>SUMIF(VR!B:B,A470,VR!I:I)</f>
        <v>657.5</v>
      </c>
      <c r="J470" s="4">
        <f t="shared" si="7"/>
        <v>1016.96</v>
      </c>
      <c r="K470" s="179">
        <f>SUMIF(FALTAS!A:A,A470,FALTAS!D:D)</f>
        <v>0</v>
      </c>
    </row>
    <row r="471" spans="1:11" x14ac:dyDescent="0.25">
      <c r="A471" s="235">
        <v>112654</v>
      </c>
      <c r="B471" s="162" t="s">
        <v>321</v>
      </c>
      <c r="C471" s="162" t="s">
        <v>15</v>
      </c>
      <c r="D471" s="162" t="s">
        <v>1578</v>
      </c>
      <c r="E471" s="231">
        <v>43620</v>
      </c>
      <c r="F471" s="162" t="s">
        <v>1229</v>
      </c>
      <c r="G471" s="231">
        <v>45177</v>
      </c>
      <c r="H471" s="198">
        <f>SUMIF(VA!B:B,A471,VA!I:I)</f>
        <v>359.46</v>
      </c>
      <c r="I471" s="32">
        <f>SUMIF(VR!B:B,A471,VR!I:I)</f>
        <v>657.5</v>
      </c>
      <c r="J471" s="4">
        <f t="shared" si="7"/>
        <v>1016.96</v>
      </c>
      <c r="K471" s="179">
        <f>SUMIF(FALTAS!A:A,A471,FALTAS!D:D)</f>
        <v>0</v>
      </c>
    </row>
    <row r="472" spans="1:11" x14ac:dyDescent="0.25">
      <c r="A472" s="235">
        <v>113735</v>
      </c>
      <c r="B472" s="162" t="s">
        <v>950</v>
      </c>
      <c r="C472" s="162" t="s">
        <v>951</v>
      </c>
      <c r="D472" s="162" t="s">
        <v>1578</v>
      </c>
      <c r="E472" s="231">
        <v>43619</v>
      </c>
      <c r="F472" s="162" t="s">
        <v>1229</v>
      </c>
      <c r="G472" s="231">
        <v>44901</v>
      </c>
      <c r="H472" s="198">
        <f>SUMIF(VA!B:B,A472,VA!I:I)</f>
        <v>359.46</v>
      </c>
      <c r="I472" s="32">
        <f>SUMIF(VR!B:B,A472,VR!I:I)</f>
        <v>657.5</v>
      </c>
      <c r="J472" s="4">
        <f t="shared" si="7"/>
        <v>1016.96</v>
      </c>
      <c r="K472" s="179">
        <f>SUMIF(FALTAS!A:A,A472,FALTAS!D:D)</f>
        <v>0</v>
      </c>
    </row>
    <row r="473" spans="1:11" x14ac:dyDescent="0.25">
      <c r="A473" s="235">
        <v>112661</v>
      </c>
      <c r="B473" s="162" t="s">
        <v>325</v>
      </c>
      <c r="C473" s="162" t="s">
        <v>15</v>
      </c>
      <c r="D473" s="162" t="s">
        <v>1578</v>
      </c>
      <c r="E473" s="231">
        <v>43617</v>
      </c>
      <c r="F473" s="162" t="s">
        <v>1230</v>
      </c>
      <c r="G473" s="231">
        <v>45180</v>
      </c>
      <c r="H473" s="198">
        <f>SUMIF(VA!B:B,A473,VA!I:I)</f>
        <v>359.46</v>
      </c>
      <c r="I473" s="32">
        <f>SUMIF(VR!B:B,A473,VR!I:I)</f>
        <v>657.5</v>
      </c>
      <c r="J473" s="4">
        <f t="shared" si="7"/>
        <v>1016.96</v>
      </c>
      <c r="K473" s="179">
        <f>SUMIF(FALTAS!A:A,A473,FALTAS!D:D)</f>
        <v>0</v>
      </c>
    </row>
    <row r="474" spans="1:11" x14ac:dyDescent="0.25">
      <c r="A474" s="235">
        <v>112668</v>
      </c>
      <c r="B474" s="162" t="s">
        <v>329</v>
      </c>
      <c r="C474" s="162" t="s">
        <v>2</v>
      </c>
      <c r="D474" s="162" t="s">
        <v>19</v>
      </c>
      <c r="E474" s="231">
        <v>43617</v>
      </c>
      <c r="F474" s="162" t="s">
        <v>1230</v>
      </c>
      <c r="G474" s="231">
        <v>45180</v>
      </c>
      <c r="H474" s="198">
        <f>SUMIF(VA!B:B,A474,VA!I:I)</f>
        <v>359.46</v>
      </c>
      <c r="I474" s="32">
        <f>SUMIF(VR!B:B,A474,VR!I:I)</f>
        <v>657.5</v>
      </c>
      <c r="J474" s="4">
        <f t="shared" si="7"/>
        <v>1016.96</v>
      </c>
      <c r="K474" s="179">
        <f>SUMIF(FALTAS!A:A,A474,FALTAS!D:D)</f>
        <v>0</v>
      </c>
    </row>
    <row r="475" spans="1:11" x14ac:dyDescent="0.25">
      <c r="A475" s="235">
        <v>112680</v>
      </c>
      <c r="B475" s="162" t="s">
        <v>335</v>
      </c>
      <c r="C475" s="162" t="s">
        <v>146</v>
      </c>
      <c r="D475" s="162" t="s">
        <v>0</v>
      </c>
      <c r="E475" s="231">
        <v>43617</v>
      </c>
      <c r="F475" s="162" t="s">
        <v>1229</v>
      </c>
      <c r="G475" s="231">
        <v>45119</v>
      </c>
      <c r="H475" s="198">
        <f>SUMIF(VA!B:B,A475,VA!I:I)</f>
        <v>359.46</v>
      </c>
      <c r="I475" s="32">
        <f>SUMIF(VR!B:B,A475,VR!I:I)</f>
        <v>657.5</v>
      </c>
      <c r="J475" s="4">
        <f t="shared" si="7"/>
        <v>1016.96</v>
      </c>
      <c r="K475" s="179">
        <f>SUMIF(FALTAS!A:A,A475,FALTAS!D:D)</f>
        <v>0</v>
      </c>
    </row>
    <row r="476" spans="1:11" x14ac:dyDescent="0.25">
      <c r="A476" s="235">
        <v>114506</v>
      </c>
      <c r="B476" s="162" t="s">
        <v>1042</v>
      </c>
      <c r="C476" s="162" t="s">
        <v>1043</v>
      </c>
      <c r="D476" s="162" t="s">
        <v>1578</v>
      </c>
      <c r="E476" s="231">
        <v>43811</v>
      </c>
      <c r="F476" s="162" t="s">
        <v>1229</v>
      </c>
      <c r="G476" s="231">
        <v>45086</v>
      </c>
      <c r="H476" s="198">
        <f>SUMIF(VA!B:B,A476,VA!I:I)</f>
        <v>359.46</v>
      </c>
      <c r="I476" s="32">
        <f>SUMIF(VR!B:B,A476,VR!I:I)</f>
        <v>657.5</v>
      </c>
      <c r="J476" s="4">
        <f t="shared" si="7"/>
        <v>1016.96</v>
      </c>
      <c r="K476" s="179">
        <f>SUMIF(FALTAS!A:A,A476,FALTAS!D:D)</f>
        <v>0</v>
      </c>
    </row>
    <row r="477" spans="1:11" x14ac:dyDescent="0.25">
      <c r="A477" s="235">
        <v>112709</v>
      </c>
      <c r="B477" s="162" t="s">
        <v>1525</v>
      </c>
      <c r="C477" s="162" t="s">
        <v>15</v>
      </c>
      <c r="D477" s="162" t="s">
        <v>1578</v>
      </c>
      <c r="E477" s="231">
        <v>43617</v>
      </c>
      <c r="F477" s="162" t="s">
        <v>1229</v>
      </c>
      <c r="G477" s="231">
        <v>44930</v>
      </c>
      <c r="H477" s="198">
        <f>SUMIF(VA!B:B,A477,VA!I:I)</f>
        <v>359.46</v>
      </c>
      <c r="I477" s="32">
        <f>SUMIF(VR!B:B,A477,VR!I:I)</f>
        <v>657.5</v>
      </c>
      <c r="J477" s="4">
        <f t="shared" si="7"/>
        <v>1016.96</v>
      </c>
      <c r="K477" s="179">
        <f>SUMIF(FALTAS!A:A,A477,FALTAS!D:D)</f>
        <v>0</v>
      </c>
    </row>
    <row r="478" spans="1:11" x14ac:dyDescent="0.25">
      <c r="A478" s="235">
        <v>122821</v>
      </c>
      <c r="B478" s="162" t="s">
        <v>1719</v>
      </c>
      <c r="C478" s="162" t="s">
        <v>5</v>
      </c>
      <c r="D478" s="162" t="s">
        <v>32</v>
      </c>
      <c r="E478" s="231">
        <v>45180</v>
      </c>
      <c r="F478" s="162" t="s">
        <v>1229</v>
      </c>
      <c r="G478" s="231">
        <v>45180</v>
      </c>
      <c r="H478" s="198">
        <f>SUMIF(VA!B:B,A478,VA!I:I)</f>
        <v>359.46</v>
      </c>
      <c r="I478" s="32">
        <f>SUMIF(VR!B:B,A478,VR!I:I)</f>
        <v>657.5</v>
      </c>
      <c r="J478" s="4">
        <f t="shared" si="7"/>
        <v>1016.96</v>
      </c>
      <c r="K478" s="179">
        <f>SUMIF(FALTAS!A:A,A478,FALTAS!D:D)</f>
        <v>0</v>
      </c>
    </row>
    <row r="479" spans="1:11" x14ac:dyDescent="0.25">
      <c r="A479" s="235">
        <v>112713</v>
      </c>
      <c r="B479" s="162" t="s">
        <v>357</v>
      </c>
      <c r="C479" s="162" t="s">
        <v>15</v>
      </c>
      <c r="D479" s="162" t="s">
        <v>1578</v>
      </c>
      <c r="E479" s="231">
        <v>43617</v>
      </c>
      <c r="F479" s="162" t="s">
        <v>1229</v>
      </c>
      <c r="G479" s="231">
        <v>44806</v>
      </c>
      <c r="H479" s="198">
        <f>SUMIF(VA!B:B,A479,VA!I:I)</f>
        <v>359.46</v>
      </c>
      <c r="I479" s="32">
        <f>SUMIF(VR!B:B,A479,VR!I:I)</f>
        <v>657.5</v>
      </c>
      <c r="J479" s="4">
        <f t="shared" si="7"/>
        <v>1016.96</v>
      </c>
      <c r="K479" s="179">
        <f>SUMIF(FALTAS!A:A,A479,FALTAS!D:D)</f>
        <v>0</v>
      </c>
    </row>
    <row r="480" spans="1:11" x14ac:dyDescent="0.25">
      <c r="A480" s="235">
        <v>112716</v>
      </c>
      <c r="B480" s="162" t="s">
        <v>359</v>
      </c>
      <c r="C480" s="162" t="s">
        <v>2</v>
      </c>
      <c r="D480" s="162" t="s">
        <v>10</v>
      </c>
      <c r="E480" s="231">
        <v>43617</v>
      </c>
      <c r="F480" s="162" t="s">
        <v>1229</v>
      </c>
      <c r="G480" s="231">
        <v>45023</v>
      </c>
      <c r="H480" s="198">
        <f>SUMIF(VA!B:B,A480,VA!I:I)</f>
        <v>359.46</v>
      </c>
      <c r="I480" s="32">
        <f>SUMIF(VR!B:B,A480,VR!I:I)</f>
        <v>657.5</v>
      </c>
      <c r="J480" s="4">
        <f t="shared" si="7"/>
        <v>1016.96</v>
      </c>
      <c r="K480" s="179">
        <f>SUMIF(FALTAS!A:A,A480,FALTAS!D:D)</f>
        <v>0</v>
      </c>
    </row>
    <row r="481" spans="1:11" x14ac:dyDescent="0.25">
      <c r="A481" s="235">
        <v>112720</v>
      </c>
      <c r="B481" s="162" t="s">
        <v>363</v>
      </c>
      <c r="C481" s="162" t="s">
        <v>2</v>
      </c>
      <c r="D481" s="162" t="s">
        <v>0</v>
      </c>
      <c r="E481" s="231">
        <v>43617</v>
      </c>
      <c r="F481" s="162" t="s">
        <v>1229</v>
      </c>
      <c r="G481" s="231">
        <v>44993</v>
      </c>
      <c r="H481" s="198">
        <f>SUMIF(VA!B:B,A481,VA!I:I)</f>
        <v>359.46</v>
      </c>
      <c r="I481" s="32">
        <f>SUMIF(VR!B:B,A481,VR!I:I)</f>
        <v>657.5</v>
      </c>
      <c r="J481" s="4">
        <f t="shared" si="7"/>
        <v>1016.96</v>
      </c>
      <c r="K481" s="179">
        <f>SUMIF(FALTAS!A:A,A481,FALTAS!D:D)</f>
        <v>0</v>
      </c>
    </row>
    <row r="482" spans="1:11" x14ac:dyDescent="0.25">
      <c r="A482" s="235">
        <v>112724</v>
      </c>
      <c r="B482" s="162" t="s">
        <v>365</v>
      </c>
      <c r="C482" s="162" t="s">
        <v>5</v>
      </c>
      <c r="D482" s="162" t="s">
        <v>32</v>
      </c>
      <c r="E482" s="231">
        <v>43617</v>
      </c>
      <c r="F482" s="162" t="s">
        <v>1229</v>
      </c>
      <c r="G482" s="231">
        <v>45023</v>
      </c>
      <c r="H482" s="198">
        <f>SUMIF(VA!B:B,A482,VA!I:I)</f>
        <v>359.46</v>
      </c>
      <c r="I482" s="32">
        <f>SUMIF(VR!B:B,A482,VR!I:I)</f>
        <v>657.5</v>
      </c>
      <c r="J482" s="4">
        <f t="shared" si="7"/>
        <v>1016.96</v>
      </c>
      <c r="K482" s="179">
        <f>SUMIF(FALTAS!A:A,A482,FALTAS!D:D)</f>
        <v>0</v>
      </c>
    </row>
    <row r="483" spans="1:11" x14ac:dyDescent="0.25">
      <c r="A483" s="235">
        <v>114120</v>
      </c>
      <c r="B483" s="162" t="s">
        <v>1010</v>
      </c>
      <c r="C483" s="162" t="s">
        <v>412</v>
      </c>
      <c r="D483" s="162" t="s">
        <v>1578</v>
      </c>
      <c r="E483" s="231">
        <v>43739</v>
      </c>
      <c r="F483" s="162" t="s">
        <v>1229</v>
      </c>
      <c r="G483" s="231">
        <v>45023</v>
      </c>
      <c r="H483" s="198">
        <f>SUMIF(VA!B:B,A483,VA!I:I)</f>
        <v>359.46</v>
      </c>
      <c r="I483" s="32">
        <f>SUMIF(VR!B:B,A483,VR!I:I)</f>
        <v>657.5</v>
      </c>
      <c r="J483" s="4">
        <f t="shared" si="7"/>
        <v>1016.96</v>
      </c>
      <c r="K483" s="179">
        <f>SUMIF(FALTAS!A:A,A483,FALTAS!D:D)</f>
        <v>0</v>
      </c>
    </row>
    <row r="484" spans="1:11" x14ac:dyDescent="0.25">
      <c r="A484" s="235">
        <v>112737</v>
      </c>
      <c r="B484" s="162" t="s">
        <v>374</v>
      </c>
      <c r="C484" s="162" t="s">
        <v>2</v>
      </c>
      <c r="D484" s="162" t="s">
        <v>0</v>
      </c>
      <c r="E484" s="231">
        <v>43617</v>
      </c>
      <c r="F484" s="162" t="s">
        <v>1230</v>
      </c>
      <c r="G484" s="231">
        <v>45180</v>
      </c>
      <c r="H484" s="198">
        <f>SUMIF(VA!B:B,A484,VA!I:I)</f>
        <v>359.46</v>
      </c>
      <c r="I484" s="32">
        <f>SUMIF(VR!B:B,A484,VR!I:I)</f>
        <v>657.5</v>
      </c>
      <c r="J484" s="4">
        <f t="shared" si="7"/>
        <v>1016.96</v>
      </c>
      <c r="K484" s="179">
        <f>SUMIF(FALTAS!A:A,A484,FALTAS!D:D)</f>
        <v>0</v>
      </c>
    </row>
    <row r="485" spans="1:11" x14ac:dyDescent="0.25">
      <c r="A485" s="235">
        <v>112742</v>
      </c>
      <c r="B485" s="162" t="s">
        <v>376</v>
      </c>
      <c r="C485" s="162" t="s">
        <v>146</v>
      </c>
      <c r="D485" s="162" t="s">
        <v>1578</v>
      </c>
      <c r="E485" s="231">
        <v>43617</v>
      </c>
      <c r="F485" s="162" t="s">
        <v>1229</v>
      </c>
      <c r="G485" s="231">
        <v>44960</v>
      </c>
      <c r="H485" s="198">
        <f>SUMIF(VA!B:B,A485,VA!I:I)</f>
        <v>359.46</v>
      </c>
      <c r="I485" s="32">
        <f>SUMIF(VR!B:B,A485,VR!I:I)</f>
        <v>657.5</v>
      </c>
      <c r="J485" s="4">
        <f t="shared" si="7"/>
        <v>1016.96</v>
      </c>
      <c r="K485" s="179">
        <f>SUMIF(FALTAS!A:A,A485,FALTAS!D:D)</f>
        <v>0</v>
      </c>
    </row>
    <row r="486" spans="1:11" x14ac:dyDescent="0.25">
      <c r="A486" s="235">
        <v>121956</v>
      </c>
      <c r="B486" s="162" t="s">
        <v>1607</v>
      </c>
      <c r="C486" s="162" t="s">
        <v>5</v>
      </c>
      <c r="D486" s="162" t="s">
        <v>8</v>
      </c>
      <c r="E486" s="231">
        <v>45040</v>
      </c>
      <c r="F486" s="162" t="s">
        <v>1229</v>
      </c>
      <c r="G486" s="231">
        <v>45040</v>
      </c>
      <c r="H486" s="198">
        <f>SUMIF(VA!B:B,A486,VA!I:I)</f>
        <v>359.46</v>
      </c>
      <c r="I486" s="32">
        <f>SUMIF(VR!B:B,A486,VR!I:I)</f>
        <v>657.5</v>
      </c>
      <c r="J486" s="4">
        <f t="shared" si="7"/>
        <v>1016.96</v>
      </c>
      <c r="K486" s="179">
        <f>SUMIF(FALTAS!A:A,A486,FALTAS!D:D)</f>
        <v>0</v>
      </c>
    </row>
    <row r="487" spans="1:11" x14ac:dyDescent="0.25">
      <c r="A487" s="235">
        <v>112745</v>
      </c>
      <c r="B487" s="162" t="s">
        <v>379</v>
      </c>
      <c r="C487" s="162" t="s">
        <v>139</v>
      </c>
      <c r="D487" s="162" t="s">
        <v>1578</v>
      </c>
      <c r="E487" s="231">
        <v>43617</v>
      </c>
      <c r="F487" s="162" t="s">
        <v>1229</v>
      </c>
      <c r="G487" s="231">
        <v>45149</v>
      </c>
      <c r="H487" s="198">
        <f>SUMIF(VA!B:B,A487,VA!I:I)</f>
        <v>359.46</v>
      </c>
      <c r="I487" s="32">
        <f>SUMIF(VR!B:B,A487,VR!I:I)</f>
        <v>657.5</v>
      </c>
      <c r="J487" s="4">
        <f t="shared" si="7"/>
        <v>1016.96</v>
      </c>
      <c r="K487" s="179">
        <f>SUMIF(FALTAS!A:A,A487,FALTAS!D:D)</f>
        <v>0</v>
      </c>
    </row>
    <row r="488" spans="1:11" x14ac:dyDescent="0.25">
      <c r="A488" s="235">
        <v>114606</v>
      </c>
      <c r="B488" s="162" t="s">
        <v>1058</v>
      </c>
      <c r="C488" s="162" t="s">
        <v>2</v>
      </c>
      <c r="D488" s="162" t="s">
        <v>0</v>
      </c>
      <c r="E488" s="231">
        <v>43836</v>
      </c>
      <c r="F488" s="162" t="s">
        <v>1229</v>
      </c>
      <c r="G488" s="231">
        <v>45119</v>
      </c>
      <c r="H488" s="198">
        <f>SUMIF(VA!B:B,A488,VA!I:I)</f>
        <v>359.46</v>
      </c>
      <c r="I488" s="32">
        <f>SUMIF(VR!B:B,A488,VR!I:I)</f>
        <v>657.5</v>
      </c>
      <c r="J488" s="4">
        <f t="shared" si="7"/>
        <v>1016.96</v>
      </c>
      <c r="K488" s="179">
        <f>SUMIF(FALTAS!A:A,A488,FALTAS!D:D)</f>
        <v>0</v>
      </c>
    </row>
    <row r="489" spans="1:11" x14ac:dyDescent="0.25">
      <c r="A489" s="235">
        <v>112749</v>
      </c>
      <c r="B489" s="162" t="s">
        <v>382</v>
      </c>
      <c r="C489" s="162" t="s">
        <v>2</v>
      </c>
      <c r="D489" s="162" t="s">
        <v>0</v>
      </c>
      <c r="E489" s="231">
        <v>43617</v>
      </c>
      <c r="F489" s="162" t="s">
        <v>1229</v>
      </c>
      <c r="G489" s="231">
        <v>44806</v>
      </c>
      <c r="H489" s="198">
        <f>SUMIF(VA!B:B,A489,VA!I:I)</f>
        <v>359.46</v>
      </c>
      <c r="I489" s="32">
        <f>SUMIF(VR!B:B,A489,VR!I:I)</f>
        <v>657.5</v>
      </c>
      <c r="J489" s="4">
        <f t="shared" si="7"/>
        <v>1016.96</v>
      </c>
      <c r="K489" s="179">
        <f>SUMIF(FALTAS!A:A,A489,FALTAS!D:D)</f>
        <v>0</v>
      </c>
    </row>
    <row r="490" spans="1:11" x14ac:dyDescent="0.25">
      <c r="A490" s="235">
        <v>112753</v>
      </c>
      <c r="B490" s="162" t="s">
        <v>383</v>
      </c>
      <c r="C490" s="162" t="s">
        <v>384</v>
      </c>
      <c r="D490" s="162" t="s">
        <v>1578</v>
      </c>
      <c r="E490" s="231">
        <v>43617</v>
      </c>
      <c r="F490" s="162" t="s">
        <v>1229</v>
      </c>
      <c r="G490" s="231">
        <v>44898</v>
      </c>
      <c r="H490" s="198">
        <f>SUMIF(VA!B:B,A490,VA!I:I)</f>
        <v>359.46</v>
      </c>
      <c r="I490" s="32">
        <f>SUMIF(VR!B:B,A490,VR!I:I)</f>
        <v>657.5</v>
      </c>
      <c r="J490" s="4">
        <f t="shared" si="7"/>
        <v>1016.96</v>
      </c>
      <c r="K490" s="179">
        <f>SUMIF(FALTAS!A:A,A490,FALTAS!D:D)</f>
        <v>0</v>
      </c>
    </row>
    <row r="491" spans="1:11" x14ac:dyDescent="0.25">
      <c r="A491" s="235">
        <v>112757</v>
      </c>
      <c r="B491" s="162" t="s">
        <v>386</v>
      </c>
      <c r="C491" s="162" t="s">
        <v>15</v>
      </c>
      <c r="D491" s="162" t="s">
        <v>1578</v>
      </c>
      <c r="E491" s="231">
        <v>43617</v>
      </c>
      <c r="F491" s="162" t="s">
        <v>1230</v>
      </c>
      <c r="G491" s="231">
        <v>45180</v>
      </c>
      <c r="H491" s="198">
        <f>SUMIF(VA!B:B,A491,VA!I:I)</f>
        <v>359.46</v>
      </c>
      <c r="I491" s="32">
        <f>SUMIF(VR!B:B,A491,VR!I:I)</f>
        <v>657.5</v>
      </c>
      <c r="J491" s="4">
        <f t="shared" si="7"/>
        <v>1016.96</v>
      </c>
      <c r="K491" s="179">
        <f>SUMIF(FALTAS!A:A,A491,FALTAS!D:D)</f>
        <v>0</v>
      </c>
    </row>
    <row r="492" spans="1:11" x14ac:dyDescent="0.25">
      <c r="A492" s="235">
        <v>114918</v>
      </c>
      <c r="B492" s="162" t="s">
        <v>1107</v>
      </c>
      <c r="C492" s="162" t="s">
        <v>5</v>
      </c>
      <c r="D492" s="162" t="s">
        <v>1578</v>
      </c>
      <c r="E492" s="231">
        <v>43916</v>
      </c>
      <c r="F492" s="162" t="s">
        <v>1229</v>
      </c>
      <c r="G492" s="231">
        <v>45086</v>
      </c>
      <c r="H492" s="198">
        <f>SUMIF(VA!B:B,A492,VA!I:I)</f>
        <v>359.46</v>
      </c>
      <c r="I492" s="32">
        <f>SUMIF(VR!B:B,A492,VR!I:I)</f>
        <v>657.5</v>
      </c>
      <c r="J492" s="4">
        <f t="shared" si="7"/>
        <v>1016.96</v>
      </c>
      <c r="K492" s="179">
        <f>SUMIF(FALTAS!A:A,A492,FALTAS!D:D)</f>
        <v>0</v>
      </c>
    </row>
    <row r="493" spans="1:11" x14ac:dyDescent="0.25">
      <c r="A493" s="235">
        <v>115214</v>
      </c>
      <c r="B493" s="162" t="s">
        <v>1140</v>
      </c>
      <c r="C493" s="162" t="s">
        <v>5</v>
      </c>
      <c r="D493" s="162" t="s">
        <v>8</v>
      </c>
      <c r="E493" s="231">
        <v>44018</v>
      </c>
      <c r="F493" s="162" t="s">
        <v>1229</v>
      </c>
      <c r="G493" s="231">
        <v>45086</v>
      </c>
      <c r="H493" s="198">
        <f>SUMIF(VA!B:B,A493,VA!I:I)</f>
        <v>359.46</v>
      </c>
      <c r="I493" s="32">
        <f>SUMIF(VR!B:B,A493,VR!I:I)</f>
        <v>657.5</v>
      </c>
      <c r="J493" s="4">
        <f t="shared" si="7"/>
        <v>1016.96</v>
      </c>
      <c r="K493" s="179">
        <f>SUMIF(FALTAS!A:A,A493,FALTAS!D:D)</f>
        <v>0</v>
      </c>
    </row>
    <row r="494" spans="1:11" x14ac:dyDescent="0.25">
      <c r="A494" s="235">
        <v>115397</v>
      </c>
      <c r="B494" s="162" t="s">
        <v>1150</v>
      </c>
      <c r="C494" s="162" t="s">
        <v>5</v>
      </c>
      <c r="D494" s="162" t="s">
        <v>1578</v>
      </c>
      <c r="E494" s="231">
        <v>44048</v>
      </c>
      <c r="F494" s="162" t="s">
        <v>1230</v>
      </c>
      <c r="G494" s="231">
        <v>45180</v>
      </c>
      <c r="H494" s="198">
        <f>SUMIF(VA!B:B,A494,VA!I:I)</f>
        <v>311.52999999999997</v>
      </c>
      <c r="I494" s="32">
        <f>SUMIF(VR!B:B,A494,VR!I:I)</f>
        <v>552.30000000000007</v>
      </c>
      <c r="J494" s="4">
        <f t="shared" si="7"/>
        <v>863.83</v>
      </c>
      <c r="K494" s="179">
        <f>SUMIF(FALTAS!A:A,A494,FALTAS!D:D)</f>
        <v>4</v>
      </c>
    </row>
    <row r="495" spans="1:11" x14ac:dyDescent="0.25">
      <c r="A495" s="235">
        <v>115378</v>
      </c>
      <c r="B495" s="162" t="s">
        <v>1149</v>
      </c>
      <c r="C495" s="162" t="s">
        <v>5</v>
      </c>
      <c r="D495" s="162" t="s">
        <v>0</v>
      </c>
      <c r="E495" s="231">
        <v>44046</v>
      </c>
      <c r="F495" s="162" t="s">
        <v>1229</v>
      </c>
      <c r="G495" s="231">
        <v>44867</v>
      </c>
      <c r="H495" s="198">
        <f>SUMIF(VA!B:B,A495,VA!I:I)</f>
        <v>359.46</v>
      </c>
      <c r="I495" s="32">
        <f>SUMIF(VR!B:B,A495,VR!I:I)</f>
        <v>657.5</v>
      </c>
      <c r="J495" s="4">
        <f t="shared" si="7"/>
        <v>1016.96</v>
      </c>
      <c r="K495" s="179">
        <f>SUMIF(FALTAS!A:A,A495,FALTAS!D:D)</f>
        <v>0</v>
      </c>
    </row>
    <row r="496" spans="1:11" x14ac:dyDescent="0.25">
      <c r="A496" s="235">
        <v>114729</v>
      </c>
      <c r="B496" s="162" t="s">
        <v>1080</v>
      </c>
      <c r="C496" s="162" t="s">
        <v>2</v>
      </c>
      <c r="D496" s="162" t="s">
        <v>8</v>
      </c>
      <c r="E496" s="231">
        <v>43874</v>
      </c>
      <c r="F496" s="162" t="s">
        <v>1229</v>
      </c>
      <c r="G496" s="231">
        <v>45086</v>
      </c>
      <c r="H496" s="198">
        <f>SUMIF(VA!B:B,A496,VA!I:I)</f>
        <v>359.46</v>
      </c>
      <c r="I496" s="32">
        <f>SUMIF(VR!B:B,A496,VR!I:I)</f>
        <v>657.5</v>
      </c>
      <c r="J496" s="4">
        <f t="shared" si="7"/>
        <v>1016.96</v>
      </c>
      <c r="K496" s="179">
        <f>SUMIF(FALTAS!A:A,A496,FALTAS!D:D)</f>
        <v>0</v>
      </c>
    </row>
    <row r="497" spans="1:11" x14ac:dyDescent="0.25">
      <c r="A497" s="235">
        <v>119665</v>
      </c>
      <c r="B497" s="162" t="s">
        <v>1462</v>
      </c>
      <c r="C497" s="162" t="s">
        <v>2</v>
      </c>
      <c r="D497" s="162" t="s">
        <v>10</v>
      </c>
      <c r="E497" s="231">
        <v>44725</v>
      </c>
      <c r="F497" s="162" t="s">
        <v>1229</v>
      </c>
      <c r="G497" s="231">
        <v>44725</v>
      </c>
      <c r="H497" s="198">
        <f>SUMIF(VA!B:B,A497,VA!I:I)</f>
        <v>359.46</v>
      </c>
      <c r="I497" s="32">
        <f>SUMIF(VR!B:B,A497,VR!I:I)</f>
        <v>657.5</v>
      </c>
      <c r="J497" s="4">
        <f t="shared" si="7"/>
        <v>1016.96</v>
      </c>
      <c r="K497" s="179">
        <f>SUMIF(FALTAS!A:A,A497,FALTAS!D:D)</f>
        <v>0</v>
      </c>
    </row>
    <row r="498" spans="1:11" x14ac:dyDescent="0.25">
      <c r="A498" s="235">
        <v>112764</v>
      </c>
      <c r="B498" s="162" t="s">
        <v>390</v>
      </c>
      <c r="C498" s="162" t="s">
        <v>146</v>
      </c>
      <c r="D498" s="162" t="s">
        <v>19</v>
      </c>
      <c r="E498" s="231">
        <v>43617</v>
      </c>
      <c r="F498" s="162" t="s">
        <v>1229</v>
      </c>
      <c r="G498" s="231">
        <v>44930</v>
      </c>
      <c r="H498" s="198">
        <f>SUMIF(VA!B:B,A498,VA!I:I)</f>
        <v>359.46</v>
      </c>
      <c r="I498" s="32">
        <f>SUMIF(VR!B:B,A498,VR!I:I)</f>
        <v>657.5</v>
      </c>
      <c r="J498" s="4">
        <f t="shared" si="7"/>
        <v>1016.96</v>
      </c>
      <c r="K498" s="179">
        <f>SUMIF(FALTAS!A:A,A498,FALTAS!D:D)</f>
        <v>0</v>
      </c>
    </row>
    <row r="499" spans="1:11" x14ac:dyDescent="0.25">
      <c r="A499" s="235">
        <v>114316</v>
      </c>
      <c r="B499" s="162" t="s">
        <v>1032</v>
      </c>
      <c r="C499" s="162" t="s">
        <v>5</v>
      </c>
      <c r="D499" s="162" t="s">
        <v>0</v>
      </c>
      <c r="E499" s="231">
        <v>43811</v>
      </c>
      <c r="F499" s="162" t="s">
        <v>1229</v>
      </c>
      <c r="G499" s="231">
        <v>45198</v>
      </c>
      <c r="H499" s="198">
        <f>SUMIF(VA!B:B,A499,VA!I:I)</f>
        <v>335.49</v>
      </c>
      <c r="I499" s="32">
        <f>SUMIF(VR!B:B,A499,VR!I:I)</f>
        <v>604.9</v>
      </c>
      <c r="J499" s="4">
        <f t="shared" si="7"/>
        <v>940.39</v>
      </c>
      <c r="K499" s="179">
        <f>SUMIF(FALTAS!A:A,A499,FALTAS!D:D)</f>
        <v>2</v>
      </c>
    </row>
    <row r="500" spans="1:11" x14ac:dyDescent="0.25">
      <c r="A500" s="235">
        <v>115818</v>
      </c>
      <c r="B500" s="162" t="s">
        <v>1164</v>
      </c>
      <c r="C500" s="162" t="s">
        <v>5</v>
      </c>
      <c r="D500" s="162" t="s">
        <v>0</v>
      </c>
      <c r="E500" s="231">
        <v>44154</v>
      </c>
      <c r="F500" s="162" t="s">
        <v>1229</v>
      </c>
      <c r="G500" s="231">
        <v>45086</v>
      </c>
      <c r="H500" s="198">
        <f>SUMIF(VA!B:B,A500,VA!I:I)</f>
        <v>359.46</v>
      </c>
      <c r="I500" s="32">
        <f>SUMIF(VR!B:B,A500,VR!I:I)</f>
        <v>657.5</v>
      </c>
      <c r="J500" s="4">
        <f t="shared" si="7"/>
        <v>1016.96</v>
      </c>
      <c r="K500" s="179">
        <f>SUMIF(FALTAS!A:A,A500,FALTAS!D:D)</f>
        <v>0</v>
      </c>
    </row>
    <row r="501" spans="1:11" x14ac:dyDescent="0.25">
      <c r="A501" s="235">
        <v>112766</v>
      </c>
      <c r="B501" s="162" t="s">
        <v>392</v>
      </c>
      <c r="C501" s="162" t="s">
        <v>5</v>
      </c>
      <c r="D501" s="162" t="s">
        <v>8</v>
      </c>
      <c r="E501" s="231">
        <v>43617</v>
      </c>
      <c r="F501" s="162" t="s">
        <v>1229</v>
      </c>
      <c r="G501" s="231">
        <v>45056</v>
      </c>
      <c r="H501" s="198">
        <f>SUMIF(VA!B:B,A501,VA!I:I)</f>
        <v>359.46</v>
      </c>
      <c r="I501" s="32">
        <f>SUMIF(VR!B:B,A501,VR!I:I)</f>
        <v>657.5</v>
      </c>
      <c r="J501" s="4">
        <f t="shared" si="7"/>
        <v>1016.96</v>
      </c>
      <c r="K501" s="179">
        <f>SUMIF(FALTAS!A:A,A501,FALTAS!D:D)</f>
        <v>0</v>
      </c>
    </row>
    <row r="502" spans="1:11" x14ac:dyDescent="0.25">
      <c r="A502" s="235">
        <v>112768</v>
      </c>
      <c r="B502" s="162" t="s">
        <v>394</v>
      </c>
      <c r="C502" s="162" t="s">
        <v>22</v>
      </c>
      <c r="D502" s="162" t="s">
        <v>1578</v>
      </c>
      <c r="E502" s="231">
        <v>43617</v>
      </c>
      <c r="F502" s="162" t="s">
        <v>1229</v>
      </c>
      <c r="G502" s="231">
        <v>44960</v>
      </c>
      <c r="H502" s="198">
        <f>SUMIF(VA!B:B,A502,VA!I:I)</f>
        <v>359.46</v>
      </c>
      <c r="I502" s="32">
        <f>SUMIF(VR!B:B,A502,VR!I:I)</f>
        <v>657.5</v>
      </c>
      <c r="J502" s="4">
        <f t="shared" si="7"/>
        <v>1016.96</v>
      </c>
      <c r="K502" s="179">
        <f>SUMIF(FALTAS!A:A,A502,FALTAS!D:D)</f>
        <v>0</v>
      </c>
    </row>
    <row r="503" spans="1:11" x14ac:dyDescent="0.25">
      <c r="A503" s="235">
        <v>112799</v>
      </c>
      <c r="B503" s="162" t="s">
        <v>418</v>
      </c>
      <c r="C503" s="162" t="s">
        <v>5</v>
      </c>
      <c r="D503" s="162" t="s">
        <v>32</v>
      </c>
      <c r="E503" s="231">
        <v>43617</v>
      </c>
      <c r="F503" s="162" t="s">
        <v>1229</v>
      </c>
      <c r="G503" s="231">
        <v>45056</v>
      </c>
      <c r="H503" s="198">
        <f>SUMIF(VA!B:B,A503,VA!I:I)</f>
        <v>359.46</v>
      </c>
      <c r="I503" s="32">
        <f>SUMIF(VR!B:B,A503,VR!I:I)</f>
        <v>657.5</v>
      </c>
      <c r="J503" s="4">
        <f t="shared" si="7"/>
        <v>1016.96</v>
      </c>
      <c r="K503" s="179">
        <f>SUMIF(FALTAS!A:A,A503,FALTAS!D:D)</f>
        <v>0</v>
      </c>
    </row>
    <row r="504" spans="1:11" x14ac:dyDescent="0.25">
      <c r="A504" s="235">
        <v>116738</v>
      </c>
      <c r="B504" s="162" t="s">
        <v>1223</v>
      </c>
      <c r="C504" s="162" t="s">
        <v>1650</v>
      </c>
      <c r="D504" s="162" t="s">
        <v>1578</v>
      </c>
      <c r="E504" s="231">
        <v>44370</v>
      </c>
      <c r="F504" s="162" t="s">
        <v>1229</v>
      </c>
      <c r="G504" s="231">
        <v>44806</v>
      </c>
      <c r="H504" s="198">
        <f>SUMIF(VA!B:B,A504,VA!I:I)</f>
        <v>359.46</v>
      </c>
      <c r="I504" s="32">
        <f>SUMIF(VR!B:B,A504,VR!I:I)</f>
        <v>657.5</v>
      </c>
      <c r="J504" s="4">
        <f t="shared" si="7"/>
        <v>1016.96</v>
      </c>
      <c r="K504" s="179">
        <f>SUMIF(FALTAS!A:A,A504,FALTAS!D:D)</f>
        <v>0</v>
      </c>
    </row>
    <row r="505" spans="1:11" x14ac:dyDescent="0.25">
      <c r="A505" s="235">
        <v>113714</v>
      </c>
      <c r="B505" s="162" t="s">
        <v>930</v>
      </c>
      <c r="C505" s="162" t="s">
        <v>901</v>
      </c>
      <c r="D505" s="162" t="s">
        <v>1578</v>
      </c>
      <c r="E505" s="231">
        <v>43619</v>
      </c>
      <c r="F505" s="162" t="s">
        <v>1229</v>
      </c>
      <c r="G505" s="231">
        <v>44898</v>
      </c>
      <c r="H505" s="198">
        <f>SUMIF(VA!B:B,A505,VA!I:I)</f>
        <v>359.46</v>
      </c>
      <c r="I505" s="32">
        <f>SUMIF(VR!B:B,A505,VR!I:I)</f>
        <v>657.5</v>
      </c>
      <c r="J505" s="4">
        <f t="shared" si="7"/>
        <v>1016.96</v>
      </c>
      <c r="K505" s="179">
        <f>SUMIF(FALTAS!A:A,A505,FALTAS!D:D)</f>
        <v>0</v>
      </c>
    </row>
    <row r="506" spans="1:11" x14ac:dyDescent="0.25">
      <c r="A506" s="235">
        <v>114765</v>
      </c>
      <c r="B506" s="162" t="s">
        <v>1096</v>
      </c>
      <c r="C506" s="162" t="s">
        <v>15</v>
      </c>
      <c r="D506" s="162" t="s">
        <v>1578</v>
      </c>
      <c r="E506" s="231">
        <v>43874</v>
      </c>
      <c r="F506" s="162" t="s">
        <v>1229</v>
      </c>
      <c r="G506" s="231">
        <v>45056</v>
      </c>
      <c r="H506" s="198">
        <f>SUMIF(VA!B:B,A506,VA!I:I)</f>
        <v>359.46</v>
      </c>
      <c r="I506" s="32">
        <f>SUMIF(VR!B:B,A506,VR!I:I)</f>
        <v>657.5</v>
      </c>
      <c r="J506" s="4">
        <f t="shared" si="7"/>
        <v>1016.96</v>
      </c>
      <c r="K506" s="179">
        <f>SUMIF(FALTAS!A:A,A506,FALTAS!D:D)</f>
        <v>0</v>
      </c>
    </row>
    <row r="507" spans="1:11" x14ac:dyDescent="0.25">
      <c r="A507" s="235">
        <v>122822</v>
      </c>
      <c r="B507" s="162" t="s">
        <v>1720</v>
      </c>
      <c r="C507" s="162" t="s">
        <v>5</v>
      </c>
      <c r="D507" s="162" t="s">
        <v>8</v>
      </c>
      <c r="E507" s="231">
        <v>45180</v>
      </c>
      <c r="F507" s="162" t="s">
        <v>1229</v>
      </c>
      <c r="G507" s="231">
        <v>45180</v>
      </c>
      <c r="H507" s="198">
        <f>SUMIF(VA!B:B,A507,VA!I:I)</f>
        <v>359.46</v>
      </c>
      <c r="I507" s="32">
        <f>SUMIF(VR!B:B,A507,VR!I:I)</f>
        <v>657.5</v>
      </c>
      <c r="J507" s="4">
        <f t="shared" si="7"/>
        <v>1016.96</v>
      </c>
      <c r="K507" s="179">
        <f>SUMIF(FALTAS!A:A,A507,FALTAS!D:D)</f>
        <v>0</v>
      </c>
    </row>
    <row r="508" spans="1:11" x14ac:dyDescent="0.25">
      <c r="A508" s="235">
        <v>112818</v>
      </c>
      <c r="B508" s="162" t="s">
        <v>432</v>
      </c>
      <c r="C508" s="162" t="s">
        <v>146</v>
      </c>
      <c r="D508" s="162" t="s">
        <v>10</v>
      </c>
      <c r="E508" s="231">
        <v>43617</v>
      </c>
      <c r="F508" s="162" t="s">
        <v>1229</v>
      </c>
      <c r="G508" s="231">
        <v>45149</v>
      </c>
      <c r="H508" s="198">
        <f>SUMIF(VA!B:B,A508,VA!I:I)</f>
        <v>359.46</v>
      </c>
      <c r="I508" s="32">
        <f>SUMIF(VR!B:B,A508,VR!I:I)</f>
        <v>657.5</v>
      </c>
      <c r="J508" s="4">
        <f t="shared" si="7"/>
        <v>1016.96</v>
      </c>
      <c r="K508" s="179">
        <f>SUMIF(FALTAS!A:A,A508,FALTAS!D:D)</f>
        <v>0</v>
      </c>
    </row>
    <row r="509" spans="1:11" x14ac:dyDescent="0.25">
      <c r="A509" s="235">
        <v>115409</v>
      </c>
      <c r="B509" s="162" t="s">
        <v>1157</v>
      </c>
      <c r="C509" s="162" t="s">
        <v>5</v>
      </c>
      <c r="D509" s="162" t="s">
        <v>19</v>
      </c>
      <c r="E509" s="231">
        <v>44048</v>
      </c>
      <c r="F509" s="162" t="s">
        <v>1229</v>
      </c>
      <c r="G509" s="231">
        <v>45086</v>
      </c>
      <c r="H509" s="198">
        <f>SUMIF(VA!B:B,A509,VA!I:I)</f>
        <v>359.46</v>
      </c>
      <c r="I509" s="32">
        <f>SUMIF(VR!B:B,A509,VR!I:I)</f>
        <v>657.5</v>
      </c>
      <c r="J509" s="4">
        <f t="shared" si="7"/>
        <v>1016.96</v>
      </c>
      <c r="K509" s="179">
        <f>SUMIF(FALTAS!A:A,A509,FALTAS!D:D)</f>
        <v>0</v>
      </c>
    </row>
    <row r="510" spans="1:11" x14ac:dyDescent="0.25">
      <c r="A510" s="235">
        <v>122089</v>
      </c>
      <c r="B510" s="162" t="s">
        <v>1627</v>
      </c>
      <c r="C510" s="162" t="s">
        <v>5</v>
      </c>
      <c r="D510" s="162" t="s">
        <v>0</v>
      </c>
      <c r="E510" s="231">
        <v>45061</v>
      </c>
      <c r="F510" s="162" t="s">
        <v>1229</v>
      </c>
      <c r="G510" s="231">
        <v>45061</v>
      </c>
      <c r="H510" s="198">
        <f>SUMIF(VA!B:B,A510,VA!I:I)</f>
        <v>359.46</v>
      </c>
      <c r="I510" s="32">
        <f>SUMIF(VR!B:B,A510,VR!I:I)</f>
        <v>657.5</v>
      </c>
      <c r="J510" s="4">
        <f t="shared" si="7"/>
        <v>1016.96</v>
      </c>
      <c r="K510" s="179">
        <f>SUMIF(FALTAS!A:A,A510,FALTAS!D:D)</f>
        <v>0</v>
      </c>
    </row>
    <row r="511" spans="1:11" x14ac:dyDescent="0.25">
      <c r="A511" s="235">
        <v>112829</v>
      </c>
      <c r="B511" s="162" t="s">
        <v>440</v>
      </c>
      <c r="C511" s="162" t="s">
        <v>15</v>
      </c>
      <c r="D511" s="162" t="s">
        <v>1578</v>
      </c>
      <c r="E511" s="231">
        <v>43617</v>
      </c>
      <c r="F511" s="162" t="s">
        <v>1229</v>
      </c>
      <c r="G511" s="231">
        <v>45119</v>
      </c>
      <c r="H511" s="198">
        <f>SUMIF(VA!B:B,A511,VA!I:I)</f>
        <v>359.46</v>
      </c>
      <c r="I511" s="32">
        <f>SUMIF(VR!B:B,A511,VR!I:I)</f>
        <v>657.5</v>
      </c>
      <c r="J511" s="4">
        <f t="shared" si="7"/>
        <v>1016.96</v>
      </c>
      <c r="K511" s="179">
        <f>SUMIF(FALTAS!A:A,A511,FALTAS!D:D)</f>
        <v>0</v>
      </c>
    </row>
    <row r="512" spans="1:11" x14ac:dyDescent="0.25">
      <c r="A512" s="235">
        <v>112832</v>
      </c>
      <c r="B512" s="162" t="s">
        <v>442</v>
      </c>
      <c r="C512" s="162" t="s">
        <v>22</v>
      </c>
      <c r="D512" s="162" t="s">
        <v>1578</v>
      </c>
      <c r="E512" s="231">
        <v>43617</v>
      </c>
      <c r="F512" s="162" t="s">
        <v>1229</v>
      </c>
      <c r="G512" s="231">
        <v>44898</v>
      </c>
      <c r="H512" s="198">
        <f>SUMIF(VA!B:B,A512,VA!I:I)</f>
        <v>359.46</v>
      </c>
      <c r="I512" s="32">
        <f>SUMIF(VR!B:B,A512,VR!I:I)</f>
        <v>657.5</v>
      </c>
      <c r="J512" s="4">
        <f t="shared" si="7"/>
        <v>1016.96</v>
      </c>
      <c r="K512" s="179">
        <f>SUMIF(FALTAS!A:A,A512,FALTAS!D:D)</f>
        <v>0</v>
      </c>
    </row>
    <row r="513" spans="1:11" x14ac:dyDescent="0.25">
      <c r="A513" s="235">
        <v>112840</v>
      </c>
      <c r="B513" s="162" t="s">
        <v>447</v>
      </c>
      <c r="C513" s="162" t="s">
        <v>2</v>
      </c>
      <c r="D513" s="162" t="s">
        <v>8</v>
      </c>
      <c r="E513" s="231">
        <v>43617</v>
      </c>
      <c r="F513" s="162" t="s">
        <v>1229</v>
      </c>
      <c r="G513" s="231">
        <v>44993</v>
      </c>
      <c r="H513" s="198">
        <f>SUMIF(VA!B:B,A513,VA!I:I)</f>
        <v>359.46</v>
      </c>
      <c r="I513" s="32">
        <f>SUMIF(VR!B:B,A513,VR!I:I)</f>
        <v>657.5</v>
      </c>
      <c r="J513" s="4">
        <f t="shared" ref="J513:J576" si="8">H513+I513</f>
        <v>1016.96</v>
      </c>
      <c r="K513" s="179">
        <f>SUMIF(FALTAS!A:A,A513,FALTAS!D:D)</f>
        <v>0</v>
      </c>
    </row>
    <row r="514" spans="1:11" x14ac:dyDescent="0.25">
      <c r="A514" s="235">
        <v>112849</v>
      </c>
      <c r="B514" s="162" t="s">
        <v>451</v>
      </c>
      <c r="C514" s="162" t="s">
        <v>2</v>
      </c>
      <c r="D514" s="162" t="s">
        <v>8</v>
      </c>
      <c r="E514" s="231">
        <v>43617</v>
      </c>
      <c r="F514" s="162" t="s">
        <v>1229</v>
      </c>
      <c r="G514" s="231">
        <v>45119</v>
      </c>
      <c r="H514" s="198">
        <f>SUMIF(VA!B:B,A514,VA!I:I)</f>
        <v>359.46</v>
      </c>
      <c r="I514" s="32">
        <f>SUMIF(VR!B:B,A514,VR!I:I)</f>
        <v>657.5</v>
      </c>
      <c r="J514" s="4">
        <f t="shared" si="8"/>
        <v>1016.96</v>
      </c>
      <c r="K514" s="179">
        <f>SUMIF(FALTAS!A:A,A514,FALTAS!D:D)</f>
        <v>0</v>
      </c>
    </row>
    <row r="515" spans="1:11" x14ac:dyDescent="0.25">
      <c r="A515" s="235">
        <v>112864</v>
      </c>
      <c r="B515" s="162" t="s">
        <v>459</v>
      </c>
      <c r="C515" s="162" t="s">
        <v>2</v>
      </c>
      <c r="D515" s="162" t="s">
        <v>0</v>
      </c>
      <c r="E515" s="231">
        <v>43617</v>
      </c>
      <c r="F515" s="162" t="s">
        <v>1229</v>
      </c>
      <c r="G515" s="231">
        <v>44835</v>
      </c>
      <c r="H515" s="198">
        <f>SUMIF(VA!B:B,A515,VA!I:I)</f>
        <v>359.46</v>
      </c>
      <c r="I515" s="32">
        <f>SUMIF(VR!B:B,A515,VR!I:I)</f>
        <v>657.5</v>
      </c>
      <c r="J515" s="4">
        <f t="shared" si="8"/>
        <v>1016.96</v>
      </c>
      <c r="K515" s="179">
        <f>SUMIF(FALTAS!A:A,A515,FALTAS!D:D)</f>
        <v>0</v>
      </c>
    </row>
    <row r="516" spans="1:11" x14ac:dyDescent="0.25">
      <c r="A516" s="235">
        <v>112870</v>
      </c>
      <c r="B516" s="162" t="s">
        <v>463</v>
      </c>
      <c r="C516" s="162" t="s">
        <v>2</v>
      </c>
      <c r="D516" s="162" t="s">
        <v>10</v>
      </c>
      <c r="E516" s="231">
        <v>43617</v>
      </c>
      <c r="F516" s="162" t="s">
        <v>1229</v>
      </c>
      <c r="G516" s="231">
        <v>45119</v>
      </c>
      <c r="H516" s="198">
        <f>SUMIF(VA!B:B,A516,VA!I:I)</f>
        <v>359.46</v>
      </c>
      <c r="I516" s="32">
        <f>SUMIF(VR!B:B,A516,VR!I:I)</f>
        <v>657.5</v>
      </c>
      <c r="J516" s="4">
        <f t="shared" si="8"/>
        <v>1016.96</v>
      </c>
      <c r="K516" s="179">
        <f>SUMIF(FALTAS!A:A,A516,FALTAS!D:D)</f>
        <v>0</v>
      </c>
    </row>
    <row r="517" spans="1:11" x14ac:dyDescent="0.25">
      <c r="A517" s="235">
        <v>112886</v>
      </c>
      <c r="B517" s="162" t="s">
        <v>475</v>
      </c>
      <c r="C517" s="162" t="s">
        <v>2</v>
      </c>
      <c r="D517" s="162" t="s">
        <v>8</v>
      </c>
      <c r="E517" s="231">
        <v>43617</v>
      </c>
      <c r="F517" s="162" t="s">
        <v>1229</v>
      </c>
      <c r="G517" s="231">
        <v>44993</v>
      </c>
      <c r="H517" s="198">
        <f>SUMIF(VA!B:B,A517,VA!I:I)</f>
        <v>359.46</v>
      </c>
      <c r="I517" s="32">
        <f>SUMIF(VR!B:B,A517,VR!I:I)</f>
        <v>657.5</v>
      </c>
      <c r="J517" s="4">
        <f t="shared" si="8"/>
        <v>1016.96</v>
      </c>
      <c r="K517" s="179">
        <f>SUMIF(FALTAS!A:A,A517,FALTAS!D:D)</f>
        <v>0</v>
      </c>
    </row>
    <row r="518" spans="1:11" x14ac:dyDescent="0.25">
      <c r="A518" s="235">
        <v>114954</v>
      </c>
      <c r="B518" s="162" t="s">
        <v>1125</v>
      </c>
      <c r="C518" s="162" t="s">
        <v>15</v>
      </c>
      <c r="D518" s="162" t="s">
        <v>1578</v>
      </c>
      <c r="E518" s="231">
        <v>43916</v>
      </c>
      <c r="F518" s="162" t="s">
        <v>1229</v>
      </c>
      <c r="G518" s="231">
        <v>45086</v>
      </c>
      <c r="H518" s="198">
        <f>SUMIF(VA!B:B,A518,VA!I:I)</f>
        <v>359.46</v>
      </c>
      <c r="I518" s="32">
        <f>SUMIF(VR!B:B,A518,VR!I:I)</f>
        <v>657.5</v>
      </c>
      <c r="J518" s="4">
        <f t="shared" si="8"/>
        <v>1016.96</v>
      </c>
      <c r="K518" s="179">
        <f>SUMIF(FALTAS!A:A,A518,FALTAS!D:D)</f>
        <v>0</v>
      </c>
    </row>
    <row r="519" spans="1:11" x14ac:dyDescent="0.25">
      <c r="A519" s="235">
        <v>112904</v>
      </c>
      <c r="B519" s="162" t="s">
        <v>488</v>
      </c>
      <c r="C519" s="162" t="s">
        <v>15</v>
      </c>
      <c r="D519" s="162" t="s">
        <v>1578</v>
      </c>
      <c r="E519" s="231">
        <v>43620</v>
      </c>
      <c r="F519" s="162" t="s">
        <v>1229</v>
      </c>
      <c r="G519" s="231">
        <v>44867</v>
      </c>
      <c r="H519" s="198">
        <f>SUMIF(VA!B:B,A519,VA!I:I)</f>
        <v>359.46</v>
      </c>
      <c r="I519" s="32">
        <f>SUMIF(VR!B:B,A519,VR!I:I)</f>
        <v>657.5</v>
      </c>
      <c r="J519" s="4">
        <f t="shared" si="8"/>
        <v>1016.96</v>
      </c>
      <c r="K519" s="179">
        <f>SUMIF(FALTAS!A:A,A519,FALTAS!D:D)</f>
        <v>0</v>
      </c>
    </row>
    <row r="520" spans="1:11" x14ac:dyDescent="0.25">
      <c r="A520" s="235">
        <v>112912</v>
      </c>
      <c r="B520" s="162" t="s">
        <v>494</v>
      </c>
      <c r="C520" s="162" t="s">
        <v>2</v>
      </c>
      <c r="D520" s="162" t="s">
        <v>0</v>
      </c>
      <c r="E520" s="231">
        <v>43617</v>
      </c>
      <c r="F520" s="162" t="s">
        <v>1229</v>
      </c>
      <c r="G520" s="231">
        <v>44835</v>
      </c>
      <c r="H520" s="198">
        <f>SUMIF(VA!B:B,A520,VA!I:I)</f>
        <v>359.46</v>
      </c>
      <c r="I520" s="32">
        <f>SUMIF(VR!B:B,A520,VR!I:I)</f>
        <v>657.5</v>
      </c>
      <c r="J520" s="4">
        <f t="shared" si="8"/>
        <v>1016.96</v>
      </c>
      <c r="K520" s="179">
        <f>SUMIF(FALTAS!A:A,A520,FALTAS!D:D)</f>
        <v>0</v>
      </c>
    </row>
    <row r="521" spans="1:11" x14ac:dyDescent="0.25">
      <c r="A521" s="235">
        <v>112974</v>
      </c>
      <c r="B521" s="162" t="s">
        <v>526</v>
      </c>
      <c r="C521" s="162" t="s">
        <v>2</v>
      </c>
      <c r="D521" s="162" t="s">
        <v>0</v>
      </c>
      <c r="E521" s="231">
        <v>43617</v>
      </c>
      <c r="F521" s="162" t="s">
        <v>1229</v>
      </c>
      <c r="G521" s="231">
        <v>45149</v>
      </c>
      <c r="H521" s="198">
        <f>SUMIF(VA!B:B,A521,VA!I:I)</f>
        <v>359.46</v>
      </c>
      <c r="I521" s="32">
        <f>SUMIF(VR!B:B,A521,VR!I:I)</f>
        <v>657.5</v>
      </c>
      <c r="J521" s="4">
        <f t="shared" si="8"/>
        <v>1016.96</v>
      </c>
      <c r="K521" s="179">
        <f>SUMIF(FALTAS!A:A,A521,FALTAS!D:D)</f>
        <v>0</v>
      </c>
    </row>
    <row r="522" spans="1:11" x14ac:dyDescent="0.25">
      <c r="A522" s="235">
        <v>112978</v>
      </c>
      <c r="B522" s="162" t="s">
        <v>528</v>
      </c>
      <c r="C522" s="162" t="s">
        <v>2</v>
      </c>
      <c r="D522" s="162" t="s">
        <v>0</v>
      </c>
      <c r="E522" s="231">
        <v>43617</v>
      </c>
      <c r="F522" s="162" t="s">
        <v>1229</v>
      </c>
      <c r="G522" s="231">
        <v>44867</v>
      </c>
      <c r="H522" s="198">
        <f>SUMIF(VA!B:B,A522,VA!I:I)</f>
        <v>359.46</v>
      </c>
      <c r="I522" s="32">
        <f>SUMIF(VR!B:B,A522,VR!I:I)</f>
        <v>657.5</v>
      </c>
      <c r="J522" s="4">
        <f t="shared" si="8"/>
        <v>1016.96</v>
      </c>
      <c r="K522" s="179">
        <f>SUMIF(FALTAS!A:A,A522,FALTAS!D:D)</f>
        <v>0</v>
      </c>
    </row>
    <row r="523" spans="1:11" x14ac:dyDescent="0.25">
      <c r="A523" s="235">
        <v>119632</v>
      </c>
      <c r="B523" s="162" t="s">
        <v>1463</v>
      </c>
      <c r="C523" s="162" t="s">
        <v>15</v>
      </c>
      <c r="D523" s="162" t="s">
        <v>1578</v>
      </c>
      <c r="E523" s="231">
        <v>44725</v>
      </c>
      <c r="F523" s="162" t="s">
        <v>1229</v>
      </c>
      <c r="G523" s="231">
        <v>44725</v>
      </c>
      <c r="H523" s="198">
        <f>SUMIF(VA!B:B,A523,VA!I:I)</f>
        <v>359.46</v>
      </c>
      <c r="I523" s="32">
        <f>SUMIF(VR!B:B,A523,VR!I:I)</f>
        <v>657.5</v>
      </c>
      <c r="J523" s="4">
        <f t="shared" si="8"/>
        <v>1016.96</v>
      </c>
      <c r="K523" s="179">
        <f>SUMIF(FALTAS!A:A,A523,FALTAS!D:D)</f>
        <v>0</v>
      </c>
    </row>
    <row r="524" spans="1:11" x14ac:dyDescent="0.25">
      <c r="A524" s="235">
        <v>114770</v>
      </c>
      <c r="B524" s="162" t="s">
        <v>1099</v>
      </c>
      <c r="C524" s="162" t="s">
        <v>15</v>
      </c>
      <c r="D524" s="162" t="s">
        <v>1578</v>
      </c>
      <c r="E524" s="231">
        <v>43874</v>
      </c>
      <c r="F524" s="162" t="s">
        <v>1229</v>
      </c>
      <c r="G524" s="231">
        <v>45023</v>
      </c>
      <c r="H524" s="198">
        <f>SUMIF(VA!B:B,A524,VA!I:I)</f>
        <v>359.46</v>
      </c>
      <c r="I524" s="32">
        <f>SUMIF(VR!B:B,A524,VR!I:I)</f>
        <v>657.5</v>
      </c>
      <c r="J524" s="4">
        <f t="shared" si="8"/>
        <v>1016.96</v>
      </c>
      <c r="K524" s="179">
        <f>SUMIF(FALTAS!A:A,A524,FALTAS!D:D)</f>
        <v>0</v>
      </c>
    </row>
    <row r="525" spans="1:11" x14ac:dyDescent="0.25">
      <c r="A525" s="235">
        <v>113029</v>
      </c>
      <c r="B525" s="162" t="s">
        <v>549</v>
      </c>
      <c r="C525" s="162" t="s">
        <v>15</v>
      </c>
      <c r="D525" s="162" t="s">
        <v>1578</v>
      </c>
      <c r="E525" s="231">
        <v>43617</v>
      </c>
      <c r="F525" s="162" t="s">
        <v>1229</v>
      </c>
      <c r="G525" s="231">
        <v>44930</v>
      </c>
      <c r="H525" s="198">
        <f>SUMIF(VA!B:B,A525,VA!I:I)</f>
        <v>359.46</v>
      </c>
      <c r="I525" s="32">
        <f>SUMIF(VR!B:B,A525,VR!I:I)</f>
        <v>657.5</v>
      </c>
      <c r="J525" s="4">
        <f t="shared" si="8"/>
        <v>1016.96</v>
      </c>
      <c r="K525" s="179">
        <f>SUMIF(FALTAS!A:A,A525,FALTAS!D:D)</f>
        <v>0</v>
      </c>
    </row>
    <row r="526" spans="1:11" x14ac:dyDescent="0.25">
      <c r="A526" s="235">
        <v>113035</v>
      </c>
      <c r="B526" s="162" t="s">
        <v>553</v>
      </c>
      <c r="C526" s="162" t="s">
        <v>22</v>
      </c>
      <c r="D526" s="162" t="s">
        <v>1578</v>
      </c>
      <c r="E526" s="231">
        <v>43617</v>
      </c>
      <c r="F526" s="162" t="s">
        <v>1229</v>
      </c>
      <c r="G526" s="231">
        <v>45177</v>
      </c>
      <c r="H526" s="198">
        <f>SUMIF(VA!B:B,A526,VA!I:I)</f>
        <v>359.46</v>
      </c>
      <c r="I526" s="32">
        <f>SUMIF(VR!B:B,A526,VR!I:I)</f>
        <v>657.5</v>
      </c>
      <c r="J526" s="4">
        <f t="shared" si="8"/>
        <v>1016.96</v>
      </c>
      <c r="K526" s="179">
        <f>SUMIF(FALTAS!A:A,A526,FALTAS!D:D)</f>
        <v>0</v>
      </c>
    </row>
    <row r="527" spans="1:11" s="145" customFormat="1" x14ac:dyDescent="0.25">
      <c r="A527" s="235">
        <v>120172</v>
      </c>
      <c r="B527" s="162" t="s">
        <v>1492</v>
      </c>
      <c r="C527" s="162" t="s">
        <v>5</v>
      </c>
      <c r="D527" s="162" t="s">
        <v>19</v>
      </c>
      <c r="E527" s="231">
        <v>44791</v>
      </c>
      <c r="F527" s="162" t="s">
        <v>1229</v>
      </c>
      <c r="G527" s="231">
        <v>44791</v>
      </c>
      <c r="H527" s="198">
        <f>SUMIF(VA!B:B,A527,VA!I:I)</f>
        <v>359.46</v>
      </c>
      <c r="I527" s="32">
        <f>SUMIF(VR!B:B,A527,VR!I:I)</f>
        <v>657.5</v>
      </c>
      <c r="J527" s="4">
        <f t="shared" si="8"/>
        <v>1016.96</v>
      </c>
      <c r="K527" s="179">
        <f>SUMIF(FALTAS!A:A,A527,FALTAS!D:D)</f>
        <v>0</v>
      </c>
    </row>
    <row r="528" spans="1:11" x14ac:dyDescent="0.25">
      <c r="A528" s="235">
        <v>113064</v>
      </c>
      <c r="B528" s="162" t="s">
        <v>566</v>
      </c>
      <c r="C528" s="162" t="s">
        <v>5</v>
      </c>
      <c r="D528" s="162" t="s">
        <v>1578</v>
      </c>
      <c r="E528" s="231">
        <v>43617</v>
      </c>
      <c r="F528" s="162" t="s">
        <v>1229</v>
      </c>
      <c r="G528" s="231">
        <v>45119</v>
      </c>
      <c r="H528" s="198">
        <f>SUMIF(VA!B:B,A528,VA!I:I)</f>
        <v>359.46</v>
      </c>
      <c r="I528" s="32">
        <f>SUMIF(VR!B:B,A528,VR!I:I)</f>
        <v>657.5</v>
      </c>
      <c r="J528" s="4">
        <f t="shared" si="8"/>
        <v>1016.96</v>
      </c>
      <c r="K528" s="179">
        <f>SUMIF(FALTAS!A:A,A528,FALTAS!D:D)</f>
        <v>0</v>
      </c>
    </row>
    <row r="529" spans="1:11" x14ac:dyDescent="0.25">
      <c r="A529" s="235">
        <v>113071</v>
      </c>
      <c r="B529" s="162" t="s">
        <v>568</v>
      </c>
      <c r="C529" s="162" t="s">
        <v>146</v>
      </c>
      <c r="D529" s="162" t="s">
        <v>0</v>
      </c>
      <c r="E529" s="231">
        <v>43617</v>
      </c>
      <c r="F529" s="162" t="s">
        <v>1230</v>
      </c>
      <c r="G529" s="231">
        <v>45173</v>
      </c>
      <c r="H529" s="198">
        <f>SUMIF(VA!B:B,A529,VA!I:I)</f>
        <v>359.46</v>
      </c>
      <c r="I529" s="32">
        <f>SUMIF(VR!B:B,A529,VR!I:I)</f>
        <v>657.5</v>
      </c>
      <c r="J529" s="4">
        <f t="shared" si="8"/>
        <v>1016.96</v>
      </c>
      <c r="K529" s="179">
        <f>SUMIF(FALTAS!A:A,A529,FALTAS!D:D)</f>
        <v>0</v>
      </c>
    </row>
    <row r="530" spans="1:11" x14ac:dyDescent="0.25">
      <c r="A530" s="235">
        <v>113075</v>
      </c>
      <c r="B530" s="162" t="s">
        <v>572</v>
      </c>
      <c r="C530" s="162" t="s">
        <v>2</v>
      </c>
      <c r="D530" s="162" t="s">
        <v>0</v>
      </c>
      <c r="E530" s="231">
        <v>43617</v>
      </c>
      <c r="F530" s="162" t="s">
        <v>1229</v>
      </c>
      <c r="G530" s="231">
        <v>44898</v>
      </c>
      <c r="H530" s="198">
        <f>SUMIF(VA!B:B,A530,VA!I:I)</f>
        <v>359.46</v>
      </c>
      <c r="I530" s="32">
        <f>SUMIF(VR!B:B,A530,VR!I:I)</f>
        <v>657.5</v>
      </c>
      <c r="J530" s="4">
        <f t="shared" si="8"/>
        <v>1016.96</v>
      </c>
      <c r="K530" s="179">
        <f>SUMIF(FALTAS!A:A,A530,FALTAS!D:D)</f>
        <v>0</v>
      </c>
    </row>
    <row r="531" spans="1:11" x14ac:dyDescent="0.25">
      <c r="A531" s="235">
        <v>117407</v>
      </c>
      <c r="B531" s="162" t="s">
        <v>1269</v>
      </c>
      <c r="C531" s="162" t="s">
        <v>2</v>
      </c>
      <c r="D531" s="162" t="s">
        <v>8</v>
      </c>
      <c r="E531" s="231">
        <v>44522</v>
      </c>
      <c r="F531" s="162" t="s">
        <v>1229</v>
      </c>
      <c r="G531" s="231">
        <v>45086</v>
      </c>
      <c r="H531" s="198">
        <f>SUMIF(VA!B:B,A531,VA!I:I)</f>
        <v>359.46</v>
      </c>
      <c r="I531" s="32">
        <f>SUMIF(VR!B:B,A531,VR!I:I)</f>
        <v>657.5</v>
      </c>
      <c r="J531" s="4">
        <f t="shared" si="8"/>
        <v>1016.96</v>
      </c>
      <c r="K531" s="179">
        <f>SUMIF(FALTAS!A:A,A531,FALTAS!D:D)</f>
        <v>0</v>
      </c>
    </row>
    <row r="532" spans="1:11" x14ac:dyDescent="0.25">
      <c r="A532" s="235">
        <v>113079</v>
      </c>
      <c r="B532" s="162" t="s">
        <v>574</v>
      </c>
      <c r="C532" s="162" t="s">
        <v>5</v>
      </c>
      <c r="D532" s="162" t="s">
        <v>8</v>
      </c>
      <c r="E532" s="231">
        <v>43617</v>
      </c>
      <c r="F532" s="162" t="s">
        <v>1229</v>
      </c>
      <c r="G532" s="231">
        <v>45056</v>
      </c>
      <c r="H532" s="198">
        <f>SUMIF(VA!B:B,A532,VA!I:I)</f>
        <v>359.46</v>
      </c>
      <c r="I532" s="32">
        <f>SUMIF(VR!B:B,A532,VR!I:I)</f>
        <v>657.5</v>
      </c>
      <c r="J532" s="4">
        <f t="shared" si="8"/>
        <v>1016.96</v>
      </c>
      <c r="K532" s="179">
        <f>SUMIF(FALTAS!A:A,A532,FALTAS!D:D)</f>
        <v>0</v>
      </c>
    </row>
    <row r="533" spans="1:11" x14ac:dyDescent="0.25">
      <c r="A533" s="235">
        <v>116323</v>
      </c>
      <c r="B533" s="162" t="s">
        <v>1204</v>
      </c>
      <c r="C533" s="162" t="s">
        <v>5</v>
      </c>
      <c r="D533" s="162" t="s">
        <v>0</v>
      </c>
      <c r="E533" s="231">
        <v>44308</v>
      </c>
      <c r="F533" s="162" t="s">
        <v>1229</v>
      </c>
      <c r="G533" s="231">
        <v>44993</v>
      </c>
      <c r="H533" s="198">
        <f>SUMIF(VA!B:B,A533,VA!I:I)</f>
        <v>359.46</v>
      </c>
      <c r="I533" s="32">
        <f>SUMIF(VR!B:B,A533,VR!I:I)</f>
        <v>657.5</v>
      </c>
      <c r="J533" s="4">
        <f t="shared" si="8"/>
        <v>1016.96</v>
      </c>
      <c r="K533" s="179">
        <f>SUMIF(FALTAS!A:A,A533,FALTAS!D:D)</f>
        <v>0</v>
      </c>
    </row>
    <row r="534" spans="1:11" x14ac:dyDescent="0.25">
      <c r="A534" s="235">
        <v>116003</v>
      </c>
      <c r="B534" s="162" t="s">
        <v>1167</v>
      </c>
      <c r="C534" s="162" t="s">
        <v>5</v>
      </c>
      <c r="D534" s="162" t="s">
        <v>0</v>
      </c>
      <c r="E534" s="231">
        <v>44207</v>
      </c>
      <c r="F534" s="162" t="s">
        <v>1229</v>
      </c>
      <c r="G534" s="231">
        <v>44898</v>
      </c>
      <c r="H534" s="198">
        <f>SUMIF(VA!B:B,A534,VA!I:I)</f>
        <v>359.46</v>
      </c>
      <c r="I534" s="32">
        <f>SUMIF(VR!B:B,A534,VR!I:I)</f>
        <v>657.5</v>
      </c>
      <c r="J534" s="4">
        <f t="shared" si="8"/>
        <v>1016.96</v>
      </c>
      <c r="K534" s="179">
        <f>SUMIF(FALTAS!A:A,A534,FALTAS!D:D)</f>
        <v>0</v>
      </c>
    </row>
    <row r="535" spans="1:11" x14ac:dyDescent="0.25">
      <c r="A535" s="235">
        <v>119679</v>
      </c>
      <c r="B535" s="162" t="s">
        <v>1464</v>
      </c>
      <c r="C535" s="162" t="s">
        <v>5</v>
      </c>
      <c r="D535" s="162" t="s">
        <v>0</v>
      </c>
      <c r="E535" s="231">
        <v>44725</v>
      </c>
      <c r="F535" s="162" t="s">
        <v>1229</v>
      </c>
      <c r="G535" s="231">
        <v>44725</v>
      </c>
      <c r="H535" s="198">
        <f>SUMIF(VA!B:B,A535,VA!I:I)</f>
        <v>359.46</v>
      </c>
      <c r="I535" s="32">
        <f>SUMIF(VR!B:B,A535,VR!I:I)</f>
        <v>657.5</v>
      </c>
      <c r="J535" s="4">
        <f t="shared" si="8"/>
        <v>1016.96</v>
      </c>
      <c r="K535" s="179">
        <f>SUMIF(FALTAS!A:A,A535,FALTAS!D:D)</f>
        <v>0</v>
      </c>
    </row>
    <row r="536" spans="1:11" x14ac:dyDescent="0.25">
      <c r="A536" s="235">
        <v>113111</v>
      </c>
      <c r="B536" s="162" t="s">
        <v>590</v>
      </c>
      <c r="C536" s="162" t="s">
        <v>5</v>
      </c>
      <c r="D536" s="162" t="s">
        <v>0</v>
      </c>
      <c r="E536" s="231">
        <v>43617</v>
      </c>
      <c r="F536" s="162" t="s">
        <v>1229</v>
      </c>
      <c r="G536" s="231">
        <v>44930</v>
      </c>
      <c r="H536" s="198">
        <f>SUMIF(VA!B:B,A536,VA!I:I)</f>
        <v>359.46</v>
      </c>
      <c r="I536" s="32">
        <f>SUMIF(VR!B:B,A536,VR!I:I)</f>
        <v>657.5</v>
      </c>
      <c r="J536" s="4">
        <f t="shared" si="8"/>
        <v>1016.96</v>
      </c>
      <c r="K536" s="179">
        <f>SUMIF(FALTAS!A:A,A536,FALTAS!D:D)</f>
        <v>0</v>
      </c>
    </row>
    <row r="537" spans="1:11" x14ac:dyDescent="0.25">
      <c r="A537" s="235">
        <v>117412</v>
      </c>
      <c r="B537" s="162" t="s">
        <v>1273</v>
      </c>
      <c r="C537" s="162" t="s">
        <v>2</v>
      </c>
      <c r="D537" s="162" t="s">
        <v>19</v>
      </c>
      <c r="E537" s="231">
        <v>44522</v>
      </c>
      <c r="F537" s="162" t="s">
        <v>1229</v>
      </c>
      <c r="G537" s="231">
        <v>45086</v>
      </c>
      <c r="H537" s="198">
        <f>SUMIF(VA!B:B,A537,VA!I:I)</f>
        <v>359.46</v>
      </c>
      <c r="I537" s="32">
        <f>SUMIF(VR!B:B,A537,VR!I:I)</f>
        <v>657.5</v>
      </c>
      <c r="J537" s="4">
        <f t="shared" si="8"/>
        <v>1016.96</v>
      </c>
      <c r="K537" s="179">
        <f>SUMIF(FALTAS!A:A,A537,FALTAS!D:D)</f>
        <v>0</v>
      </c>
    </row>
    <row r="538" spans="1:11" x14ac:dyDescent="0.25">
      <c r="A538" s="235">
        <v>114269</v>
      </c>
      <c r="B538" s="162" t="s">
        <v>1510</v>
      </c>
      <c r="C538" s="162" t="s">
        <v>5</v>
      </c>
      <c r="D538" s="162" t="s">
        <v>0</v>
      </c>
      <c r="E538" s="231">
        <v>43804</v>
      </c>
      <c r="F538" s="162" t="s">
        <v>1229</v>
      </c>
      <c r="G538" s="231">
        <v>45149</v>
      </c>
      <c r="H538" s="198">
        <f>SUMIF(VA!B:B,A538,VA!I:I)</f>
        <v>359.46</v>
      </c>
      <c r="I538" s="32">
        <f>SUMIF(VR!B:B,A538,VR!I:I)</f>
        <v>657.5</v>
      </c>
      <c r="J538" s="4">
        <f t="shared" si="8"/>
        <v>1016.96</v>
      </c>
      <c r="K538" s="179">
        <f>SUMIF(FALTAS!A:A,A538,FALTAS!D:D)</f>
        <v>0</v>
      </c>
    </row>
    <row r="539" spans="1:11" x14ac:dyDescent="0.25">
      <c r="A539" s="235">
        <v>113121</v>
      </c>
      <c r="B539" s="162" t="s">
        <v>1285</v>
      </c>
      <c r="C539" s="162" t="s">
        <v>15</v>
      </c>
      <c r="D539" s="162" t="s">
        <v>1578</v>
      </c>
      <c r="E539" s="231">
        <v>43617</v>
      </c>
      <c r="F539" s="162" t="s">
        <v>1229</v>
      </c>
      <c r="G539" s="231">
        <v>44930</v>
      </c>
      <c r="H539" s="198">
        <f>SUMIF(VA!B:B,A539,VA!I:I)</f>
        <v>359.46</v>
      </c>
      <c r="I539" s="32">
        <f>SUMIF(VR!B:B,A539,VR!I:I)</f>
        <v>657.5</v>
      </c>
      <c r="J539" s="4">
        <f t="shared" si="8"/>
        <v>1016.96</v>
      </c>
      <c r="K539" s="179">
        <f>SUMIF(FALTAS!A:A,A539,FALTAS!D:D)</f>
        <v>0</v>
      </c>
    </row>
    <row r="540" spans="1:11" x14ac:dyDescent="0.25">
      <c r="A540" s="235">
        <v>113131</v>
      </c>
      <c r="B540" s="162" t="s">
        <v>600</v>
      </c>
      <c r="C540" s="162" t="s">
        <v>2</v>
      </c>
      <c r="D540" s="162" t="s">
        <v>19</v>
      </c>
      <c r="E540" s="231">
        <v>43617</v>
      </c>
      <c r="F540" s="162" t="s">
        <v>1229</v>
      </c>
      <c r="G540" s="231">
        <v>45119</v>
      </c>
      <c r="H540" s="198">
        <f>SUMIF(VA!B:B,A540,VA!I:I)</f>
        <v>359.46</v>
      </c>
      <c r="I540" s="32">
        <f>SUMIF(VR!B:B,A540,VR!I:I)</f>
        <v>657.5</v>
      </c>
      <c r="J540" s="4">
        <f t="shared" si="8"/>
        <v>1016.96</v>
      </c>
      <c r="K540" s="179">
        <f>SUMIF(FALTAS!A:A,A540,FALTAS!D:D)</f>
        <v>0</v>
      </c>
    </row>
    <row r="541" spans="1:11" x14ac:dyDescent="0.25">
      <c r="A541" s="235">
        <v>113136</v>
      </c>
      <c r="B541" s="162" t="s">
        <v>604</v>
      </c>
      <c r="C541" s="162" t="s">
        <v>22</v>
      </c>
      <c r="D541" s="162" t="s">
        <v>1578</v>
      </c>
      <c r="E541" s="231">
        <v>43617</v>
      </c>
      <c r="F541" s="162" t="s">
        <v>1229</v>
      </c>
      <c r="G541" s="231">
        <v>44776</v>
      </c>
      <c r="H541" s="198">
        <f>SUMIF(VA!B:B,A541,VA!I:I)</f>
        <v>359.46</v>
      </c>
      <c r="I541" s="32">
        <f>SUMIF(VR!B:B,A541,VR!I:I)</f>
        <v>657.5</v>
      </c>
      <c r="J541" s="4">
        <f t="shared" si="8"/>
        <v>1016.96</v>
      </c>
      <c r="K541" s="179">
        <f>SUMIF(FALTAS!A:A,A541,FALTAS!D:D)</f>
        <v>0</v>
      </c>
    </row>
    <row r="542" spans="1:11" x14ac:dyDescent="0.25">
      <c r="A542" s="235">
        <v>113150</v>
      </c>
      <c r="B542" s="162" t="s">
        <v>612</v>
      </c>
      <c r="C542" s="162" t="s">
        <v>22</v>
      </c>
      <c r="D542" s="162" t="s">
        <v>1578</v>
      </c>
      <c r="E542" s="231">
        <v>43617</v>
      </c>
      <c r="F542" s="162" t="s">
        <v>1229</v>
      </c>
      <c r="G542" s="231">
        <v>44930</v>
      </c>
      <c r="H542" s="198">
        <f>SUMIF(VA!B:B,A542,VA!I:I)</f>
        <v>359.46</v>
      </c>
      <c r="I542" s="32">
        <f>SUMIF(VR!B:B,A542,VR!I:I)</f>
        <v>657.5</v>
      </c>
      <c r="J542" s="4">
        <f t="shared" si="8"/>
        <v>1016.96</v>
      </c>
      <c r="K542" s="179">
        <f>SUMIF(FALTAS!A:A,A542,FALTAS!D:D)</f>
        <v>0</v>
      </c>
    </row>
    <row r="543" spans="1:11" x14ac:dyDescent="0.25">
      <c r="A543" s="235">
        <v>113153</v>
      </c>
      <c r="B543" s="162" t="s">
        <v>614</v>
      </c>
      <c r="C543" s="162" t="s">
        <v>5</v>
      </c>
      <c r="D543" s="162" t="s">
        <v>10</v>
      </c>
      <c r="E543" s="231">
        <v>43617</v>
      </c>
      <c r="F543" s="162" t="s">
        <v>1229</v>
      </c>
      <c r="G543" s="231">
        <v>45177</v>
      </c>
      <c r="H543" s="198">
        <f>SUMIF(VA!B:B,A543,VA!I:I)</f>
        <v>359.46</v>
      </c>
      <c r="I543" s="32">
        <f>SUMIF(VR!B:B,A543,VR!I:I)</f>
        <v>657.5</v>
      </c>
      <c r="J543" s="4">
        <f t="shared" si="8"/>
        <v>1016.96</v>
      </c>
      <c r="K543" s="179">
        <f>SUMIF(FALTAS!A:A,A543,FALTAS!D:D)</f>
        <v>0</v>
      </c>
    </row>
    <row r="544" spans="1:11" x14ac:dyDescent="0.25">
      <c r="A544" s="235">
        <v>113179</v>
      </c>
      <c r="B544" s="162" t="s">
        <v>630</v>
      </c>
      <c r="C544" s="162" t="s">
        <v>5</v>
      </c>
      <c r="D544" s="162" t="s">
        <v>0</v>
      </c>
      <c r="E544" s="231">
        <v>43617</v>
      </c>
      <c r="F544" s="162" t="s">
        <v>1229</v>
      </c>
      <c r="G544" s="231">
        <v>44898</v>
      </c>
      <c r="H544" s="198">
        <f>SUMIF(VA!B:B,A544,VA!I:I)</f>
        <v>359.46</v>
      </c>
      <c r="I544" s="32">
        <f>SUMIF(VR!B:B,A544,VR!I:I)</f>
        <v>657.5</v>
      </c>
      <c r="J544" s="4">
        <f t="shared" si="8"/>
        <v>1016.96</v>
      </c>
      <c r="K544" s="179">
        <f>SUMIF(FALTAS!A:A,A544,FALTAS!D:D)</f>
        <v>0</v>
      </c>
    </row>
    <row r="545" spans="1:11" x14ac:dyDescent="0.25">
      <c r="A545" s="235">
        <v>113181</v>
      </c>
      <c r="B545" s="162" t="s">
        <v>631</v>
      </c>
      <c r="C545" s="162" t="s">
        <v>5</v>
      </c>
      <c r="D545" s="162" t="s">
        <v>0</v>
      </c>
      <c r="E545" s="231">
        <v>43617</v>
      </c>
      <c r="F545" s="162" t="s">
        <v>1229</v>
      </c>
      <c r="G545" s="231">
        <v>44867</v>
      </c>
      <c r="H545" s="198">
        <f>SUMIF(VA!B:B,A545,VA!I:I)</f>
        <v>359.46</v>
      </c>
      <c r="I545" s="32">
        <f>SUMIF(VR!B:B,A545,VR!I:I)</f>
        <v>657.5</v>
      </c>
      <c r="J545" s="4">
        <f t="shared" si="8"/>
        <v>1016.96</v>
      </c>
      <c r="K545" s="179">
        <f>SUMIF(FALTAS!A:A,A545,FALTAS!D:D)</f>
        <v>0</v>
      </c>
    </row>
    <row r="546" spans="1:11" x14ac:dyDescent="0.25">
      <c r="A546" s="235">
        <v>116235</v>
      </c>
      <c r="B546" s="162" t="s">
        <v>1195</v>
      </c>
      <c r="C546" s="162" t="s">
        <v>2</v>
      </c>
      <c r="D546" s="162" t="s">
        <v>8</v>
      </c>
      <c r="E546" s="231">
        <v>44273</v>
      </c>
      <c r="F546" s="162" t="s">
        <v>1229</v>
      </c>
      <c r="G546" s="231">
        <v>45086</v>
      </c>
      <c r="H546" s="198">
        <f>SUMIF(VA!B:B,A546,VA!I:I)</f>
        <v>359.46</v>
      </c>
      <c r="I546" s="32">
        <f>SUMIF(VR!B:B,A546,VR!I:I)</f>
        <v>657.5</v>
      </c>
      <c r="J546" s="4">
        <f t="shared" si="8"/>
        <v>1016.96</v>
      </c>
      <c r="K546" s="179">
        <f>SUMIF(FALTAS!A:A,A546,FALTAS!D:D)</f>
        <v>0</v>
      </c>
    </row>
    <row r="547" spans="1:11" x14ac:dyDescent="0.25">
      <c r="A547" s="235">
        <v>113194</v>
      </c>
      <c r="B547" s="162" t="s">
        <v>638</v>
      </c>
      <c r="C547" s="162" t="s">
        <v>2</v>
      </c>
      <c r="D547" s="162" t="s">
        <v>8</v>
      </c>
      <c r="E547" s="231">
        <v>43617</v>
      </c>
      <c r="F547" s="162" t="s">
        <v>1229</v>
      </c>
      <c r="G547" s="231">
        <v>44930</v>
      </c>
      <c r="H547" s="198">
        <f>SUMIF(VA!B:B,A547,VA!I:I)</f>
        <v>359.46</v>
      </c>
      <c r="I547" s="32">
        <f>SUMIF(VR!B:B,A547,VR!I:I)</f>
        <v>657.5</v>
      </c>
      <c r="J547" s="4">
        <f t="shared" si="8"/>
        <v>1016.96</v>
      </c>
      <c r="K547" s="179">
        <f>SUMIF(FALTAS!A:A,A547,FALTAS!D:D)</f>
        <v>0</v>
      </c>
    </row>
    <row r="548" spans="1:11" x14ac:dyDescent="0.25">
      <c r="A548" s="235">
        <v>113199</v>
      </c>
      <c r="B548" s="162" t="s">
        <v>640</v>
      </c>
      <c r="C548" s="162" t="s">
        <v>2</v>
      </c>
      <c r="D548" s="162" t="s">
        <v>8</v>
      </c>
      <c r="E548" s="231">
        <v>43617</v>
      </c>
      <c r="F548" s="162" t="s">
        <v>1229</v>
      </c>
      <c r="G548" s="231">
        <v>44898</v>
      </c>
      <c r="H548" s="198">
        <f>SUMIF(VA!B:B,A548,VA!I:I)</f>
        <v>359.46</v>
      </c>
      <c r="I548" s="32">
        <f>SUMIF(VR!B:B,A548,VR!I:I)</f>
        <v>657.5</v>
      </c>
      <c r="J548" s="4">
        <f t="shared" si="8"/>
        <v>1016.96</v>
      </c>
      <c r="K548" s="179">
        <f>SUMIF(FALTAS!A:A,A548,FALTAS!D:D)</f>
        <v>0</v>
      </c>
    </row>
    <row r="549" spans="1:11" x14ac:dyDescent="0.25">
      <c r="A549" s="235">
        <v>113202</v>
      </c>
      <c r="B549" s="162" t="s">
        <v>642</v>
      </c>
      <c r="C549" s="162" t="s">
        <v>5</v>
      </c>
      <c r="D549" s="162" t="s">
        <v>32</v>
      </c>
      <c r="E549" s="231">
        <v>43617</v>
      </c>
      <c r="F549" s="162" t="s">
        <v>1229</v>
      </c>
      <c r="G549" s="231">
        <v>44867</v>
      </c>
      <c r="H549" s="198">
        <f>SUMIF(VA!B:B,A549,VA!I:I)</f>
        <v>359.46</v>
      </c>
      <c r="I549" s="32">
        <f>SUMIF(VR!B:B,A549,VR!I:I)</f>
        <v>657.5</v>
      </c>
      <c r="J549" s="4">
        <f t="shared" si="8"/>
        <v>1016.96</v>
      </c>
      <c r="K549" s="179">
        <f>SUMIF(FALTAS!A:A,A549,FALTAS!D:D)</f>
        <v>0</v>
      </c>
    </row>
    <row r="550" spans="1:11" x14ac:dyDescent="0.25">
      <c r="A550" s="235">
        <v>113206</v>
      </c>
      <c r="B550" s="162" t="s">
        <v>647</v>
      </c>
      <c r="C550" s="162" t="s">
        <v>2</v>
      </c>
      <c r="D550" s="162" t="s">
        <v>10</v>
      </c>
      <c r="E550" s="231">
        <v>43617</v>
      </c>
      <c r="F550" s="162" t="s">
        <v>1229</v>
      </c>
      <c r="G550" s="231">
        <v>45149</v>
      </c>
      <c r="H550" s="198">
        <f>SUMIF(VA!B:B,A550,VA!I:I)</f>
        <v>359.46</v>
      </c>
      <c r="I550" s="32">
        <f>SUMIF(VR!B:B,A550,VR!I:I)</f>
        <v>657.5</v>
      </c>
      <c r="J550" s="4">
        <f t="shared" si="8"/>
        <v>1016.96</v>
      </c>
      <c r="K550" s="179">
        <f>SUMIF(FALTAS!A:A,A550,FALTAS!D:D)</f>
        <v>0</v>
      </c>
    </row>
    <row r="551" spans="1:11" x14ac:dyDescent="0.25">
      <c r="A551" s="235">
        <v>113209</v>
      </c>
      <c r="B551" s="162" t="s">
        <v>649</v>
      </c>
      <c r="C551" s="162" t="s">
        <v>2</v>
      </c>
      <c r="D551" s="162" t="s">
        <v>0</v>
      </c>
      <c r="E551" s="231">
        <v>43617</v>
      </c>
      <c r="F551" s="162" t="s">
        <v>1229</v>
      </c>
      <c r="G551" s="231">
        <v>45149</v>
      </c>
      <c r="H551" s="198">
        <f>SUMIF(VA!B:B,A551,VA!I:I)</f>
        <v>359.46</v>
      </c>
      <c r="I551" s="32">
        <f>SUMIF(VR!B:B,A551,VR!I:I)</f>
        <v>657.5</v>
      </c>
      <c r="J551" s="4">
        <f t="shared" si="8"/>
        <v>1016.96</v>
      </c>
      <c r="K551" s="179">
        <f>SUMIF(FALTAS!A:A,A551,FALTAS!D:D)</f>
        <v>0</v>
      </c>
    </row>
    <row r="552" spans="1:11" x14ac:dyDescent="0.25">
      <c r="A552" s="235">
        <v>116804</v>
      </c>
      <c r="B552" s="162" t="s">
        <v>1224</v>
      </c>
      <c r="C552" s="162" t="s">
        <v>120</v>
      </c>
      <c r="D552" s="162" t="s">
        <v>1578</v>
      </c>
      <c r="E552" s="231">
        <v>44390</v>
      </c>
      <c r="F552" s="162" t="s">
        <v>1230</v>
      </c>
      <c r="G552" s="231">
        <v>45180</v>
      </c>
      <c r="H552" s="198">
        <f>SUMIF(VA!B:B,A552,VA!I:I)</f>
        <v>359.46</v>
      </c>
      <c r="I552" s="32">
        <f>SUMIF(VR!B:B,A552,VR!I:I)</f>
        <v>657.5</v>
      </c>
      <c r="J552" s="4">
        <f t="shared" si="8"/>
        <v>1016.96</v>
      </c>
      <c r="K552" s="179">
        <f>SUMIF(FALTAS!A:A,A552,FALTAS!D:D)</f>
        <v>0</v>
      </c>
    </row>
    <row r="553" spans="1:11" x14ac:dyDescent="0.25">
      <c r="A553" s="235">
        <v>113225</v>
      </c>
      <c r="B553" s="162" t="s">
        <v>656</v>
      </c>
      <c r="C553" s="162" t="s">
        <v>2</v>
      </c>
      <c r="D553" s="162" t="s">
        <v>0</v>
      </c>
      <c r="E553" s="231">
        <v>43617</v>
      </c>
      <c r="F553" s="162" t="s">
        <v>1229</v>
      </c>
      <c r="G553" s="231">
        <v>45177</v>
      </c>
      <c r="H553" s="198">
        <f>SUMIF(VA!B:B,A553,VA!I:I)</f>
        <v>359.46</v>
      </c>
      <c r="I553" s="32">
        <f>SUMIF(VR!B:B,A553,VR!I:I)</f>
        <v>657.5</v>
      </c>
      <c r="J553" s="4">
        <f t="shared" si="8"/>
        <v>1016.96</v>
      </c>
      <c r="K553" s="179">
        <f>SUMIF(FALTAS!A:A,A553,FALTAS!D:D)</f>
        <v>0</v>
      </c>
    </row>
    <row r="554" spans="1:11" x14ac:dyDescent="0.25">
      <c r="A554" s="235">
        <v>113228</v>
      </c>
      <c r="B554" s="162" t="s">
        <v>659</v>
      </c>
      <c r="C554" s="162" t="s">
        <v>22</v>
      </c>
      <c r="D554" s="162" t="s">
        <v>1578</v>
      </c>
      <c r="E554" s="231">
        <v>43617</v>
      </c>
      <c r="F554" s="162" t="s">
        <v>1229</v>
      </c>
      <c r="G554" s="231">
        <v>44744</v>
      </c>
      <c r="H554" s="198">
        <f>SUMIF(VA!B:B,A554,VA!I:I)</f>
        <v>359.46</v>
      </c>
      <c r="I554" s="32">
        <f>SUMIF(VR!B:B,A554,VR!I:I)</f>
        <v>657.5</v>
      </c>
      <c r="J554" s="4">
        <f t="shared" si="8"/>
        <v>1016.96</v>
      </c>
      <c r="K554" s="179">
        <f>SUMIF(FALTAS!A:A,A554,FALTAS!D:D)</f>
        <v>0</v>
      </c>
    </row>
    <row r="555" spans="1:11" x14ac:dyDescent="0.25">
      <c r="A555" s="235">
        <v>113233</v>
      </c>
      <c r="B555" s="162" t="s">
        <v>661</v>
      </c>
      <c r="C555" s="162" t="s">
        <v>5</v>
      </c>
      <c r="D555" s="162" t="s">
        <v>0</v>
      </c>
      <c r="E555" s="231">
        <v>43617</v>
      </c>
      <c r="F555" s="162" t="s">
        <v>1229</v>
      </c>
      <c r="G555" s="231">
        <v>44867</v>
      </c>
      <c r="H555" s="198">
        <f>SUMIF(VA!B:B,A555,VA!I:I)</f>
        <v>359.46</v>
      </c>
      <c r="I555" s="32">
        <f>SUMIF(VR!B:B,A555,VR!I:I)</f>
        <v>657.5</v>
      </c>
      <c r="J555" s="4">
        <f t="shared" si="8"/>
        <v>1016.96</v>
      </c>
      <c r="K555" s="179">
        <f>SUMIF(FALTAS!A:A,A555,FALTAS!D:D)</f>
        <v>0</v>
      </c>
    </row>
    <row r="556" spans="1:11" x14ac:dyDescent="0.25">
      <c r="A556" s="235">
        <v>113246</v>
      </c>
      <c r="B556" s="162" t="s">
        <v>666</v>
      </c>
      <c r="C556" s="162" t="s">
        <v>15</v>
      </c>
      <c r="D556" s="162" t="s">
        <v>1578</v>
      </c>
      <c r="E556" s="231">
        <v>43617</v>
      </c>
      <c r="F556" s="162" t="s">
        <v>1229</v>
      </c>
      <c r="G556" s="231">
        <v>44867</v>
      </c>
      <c r="H556" s="198">
        <f>SUMIF(VA!B:B,A556,VA!I:I)</f>
        <v>359.46</v>
      </c>
      <c r="I556" s="32">
        <f>SUMIF(VR!B:B,A556,VR!I:I)</f>
        <v>657.5</v>
      </c>
      <c r="J556" s="4">
        <f t="shared" si="8"/>
        <v>1016.96</v>
      </c>
      <c r="K556" s="179">
        <f>SUMIF(FALTAS!A:A,A556,FALTAS!D:D)</f>
        <v>0</v>
      </c>
    </row>
    <row r="557" spans="1:11" x14ac:dyDescent="0.25">
      <c r="A557" s="235">
        <v>113249</v>
      </c>
      <c r="B557" s="162" t="s">
        <v>667</v>
      </c>
      <c r="C557" s="162" t="s">
        <v>2</v>
      </c>
      <c r="D557" s="162" t="s">
        <v>19</v>
      </c>
      <c r="E557" s="231">
        <v>43617</v>
      </c>
      <c r="F557" s="162" t="s">
        <v>1229</v>
      </c>
      <c r="G557" s="231">
        <v>44960</v>
      </c>
      <c r="H557" s="198">
        <f>SUMIF(VA!B:B,A557,VA!I:I)</f>
        <v>359.46</v>
      </c>
      <c r="I557" s="32">
        <f>SUMIF(VR!B:B,A557,VR!I:I)</f>
        <v>657.5</v>
      </c>
      <c r="J557" s="4">
        <f t="shared" si="8"/>
        <v>1016.96</v>
      </c>
      <c r="K557" s="179">
        <f>SUMIF(FALTAS!A:A,A557,FALTAS!D:D)</f>
        <v>0</v>
      </c>
    </row>
    <row r="558" spans="1:11" x14ac:dyDescent="0.25">
      <c r="A558" s="235">
        <v>118057</v>
      </c>
      <c r="B558" s="162" t="s">
        <v>1399</v>
      </c>
      <c r="C558" s="162" t="s">
        <v>5</v>
      </c>
      <c r="D558" s="162" t="s">
        <v>0</v>
      </c>
      <c r="E558" s="231">
        <v>44567</v>
      </c>
      <c r="F558" s="162" t="s">
        <v>1229</v>
      </c>
      <c r="G558" s="231">
        <v>44567</v>
      </c>
      <c r="H558" s="198">
        <f>SUMIF(VA!B:B,A558,VA!I:I)</f>
        <v>359.46</v>
      </c>
      <c r="I558" s="32">
        <f>SUMIF(VR!B:B,A558,VR!I:I)</f>
        <v>657.5</v>
      </c>
      <c r="J558" s="4">
        <f t="shared" si="8"/>
        <v>1016.96</v>
      </c>
      <c r="K558" s="179">
        <f>SUMIF(FALTAS!A:A,A558,FALTAS!D:D)</f>
        <v>0</v>
      </c>
    </row>
    <row r="559" spans="1:11" x14ac:dyDescent="0.25">
      <c r="A559" s="235">
        <v>113260</v>
      </c>
      <c r="B559" s="162" t="s">
        <v>673</v>
      </c>
      <c r="C559" s="162" t="s">
        <v>5</v>
      </c>
      <c r="D559" s="162" t="s">
        <v>19</v>
      </c>
      <c r="E559" s="231">
        <v>43617</v>
      </c>
      <c r="F559" s="162" t="s">
        <v>1229</v>
      </c>
      <c r="G559" s="231">
        <v>44930</v>
      </c>
      <c r="H559" s="198">
        <f>SUMIF(VA!B:B,A559,VA!I:I)</f>
        <v>359.46</v>
      </c>
      <c r="I559" s="32">
        <f>SUMIF(VR!B:B,A559,VR!I:I)</f>
        <v>657.5</v>
      </c>
      <c r="J559" s="4">
        <f t="shared" si="8"/>
        <v>1016.96</v>
      </c>
      <c r="K559" s="179">
        <f>SUMIF(FALTAS!A:A,A559,FALTAS!D:D)</f>
        <v>0</v>
      </c>
    </row>
    <row r="560" spans="1:11" x14ac:dyDescent="0.25">
      <c r="A560" s="235">
        <v>113264</v>
      </c>
      <c r="B560" s="162" t="s">
        <v>676</v>
      </c>
      <c r="C560" s="162" t="s">
        <v>2</v>
      </c>
      <c r="D560" s="162" t="s">
        <v>19</v>
      </c>
      <c r="E560" s="231">
        <v>43617</v>
      </c>
      <c r="F560" s="162" t="s">
        <v>1229</v>
      </c>
      <c r="G560" s="231">
        <v>44898</v>
      </c>
      <c r="H560" s="198">
        <f>SUMIF(VA!B:B,A560,VA!I:I)</f>
        <v>359.46</v>
      </c>
      <c r="I560" s="32">
        <f>SUMIF(VR!B:B,A560,VR!I:I)</f>
        <v>657.5</v>
      </c>
      <c r="J560" s="4">
        <f t="shared" si="8"/>
        <v>1016.96</v>
      </c>
      <c r="K560" s="179">
        <f>SUMIF(FALTAS!A:A,A560,FALTAS!D:D)</f>
        <v>0</v>
      </c>
    </row>
    <row r="561" spans="1:11" x14ac:dyDescent="0.25">
      <c r="A561" s="235">
        <v>113268</v>
      </c>
      <c r="B561" s="162" t="s">
        <v>677</v>
      </c>
      <c r="C561" s="162" t="s">
        <v>5</v>
      </c>
      <c r="D561" s="162" t="s">
        <v>8</v>
      </c>
      <c r="E561" s="231">
        <v>43617</v>
      </c>
      <c r="F561" s="162" t="s">
        <v>1229</v>
      </c>
      <c r="G561" s="231">
        <v>45056</v>
      </c>
      <c r="H561" s="198">
        <f>SUMIF(VA!B:B,A561,VA!I:I)</f>
        <v>359.46</v>
      </c>
      <c r="I561" s="32">
        <f>SUMIF(VR!B:B,A561,VR!I:I)</f>
        <v>657.5</v>
      </c>
      <c r="J561" s="4">
        <f t="shared" si="8"/>
        <v>1016.96</v>
      </c>
      <c r="K561" s="179">
        <f>SUMIF(FALTAS!A:A,A561,FALTAS!D:D)</f>
        <v>0</v>
      </c>
    </row>
    <row r="562" spans="1:11" x14ac:dyDescent="0.25">
      <c r="A562" s="235">
        <v>113272</v>
      </c>
      <c r="B562" s="162" t="s">
        <v>679</v>
      </c>
      <c r="C562" s="162" t="s">
        <v>2</v>
      </c>
      <c r="D562" s="162" t="s">
        <v>0</v>
      </c>
      <c r="E562" s="231">
        <v>43617</v>
      </c>
      <c r="F562" s="162" t="s">
        <v>1229</v>
      </c>
      <c r="G562" s="231">
        <v>44898</v>
      </c>
      <c r="H562" s="198">
        <f>SUMIF(VA!B:B,A562,VA!I:I)</f>
        <v>359.46</v>
      </c>
      <c r="I562" s="32">
        <f>SUMIF(VR!B:B,A562,VR!I:I)</f>
        <v>657.5</v>
      </c>
      <c r="J562" s="4">
        <f t="shared" si="8"/>
        <v>1016.96</v>
      </c>
      <c r="K562" s="179">
        <f>SUMIF(FALTAS!A:A,A562,FALTAS!D:D)</f>
        <v>0</v>
      </c>
    </row>
    <row r="563" spans="1:11" x14ac:dyDescent="0.25">
      <c r="A563" s="235">
        <v>113274</v>
      </c>
      <c r="B563" s="162" t="s">
        <v>681</v>
      </c>
      <c r="C563" s="162" t="s">
        <v>2</v>
      </c>
      <c r="D563" s="162" t="s">
        <v>8</v>
      </c>
      <c r="E563" s="231">
        <v>43617</v>
      </c>
      <c r="F563" s="162" t="s">
        <v>1229</v>
      </c>
      <c r="G563" s="231">
        <v>44993</v>
      </c>
      <c r="H563" s="198">
        <f>SUMIF(VA!B:B,A563,VA!I:I)</f>
        <v>359.46</v>
      </c>
      <c r="I563" s="32">
        <f>SUMIF(VR!B:B,A563,VR!I:I)</f>
        <v>657.5</v>
      </c>
      <c r="J563" s="4">
        <f t="shared" si="8"/>
        <v>1016.96</v>
      </c>
      <c r="K563" s="179">
        <f>SUMIF(FALTAS!A:A,A563,FALTAS!D:D)</f>
        <v>0</v>
      </c>
    </row>
    <row r="564" spans="1:11" x14ac:dyDescent="0.25">
      <c r="A564" s="235">
        <v>113278</v>
      </c>
      <c r="B564" s="162" t="s">
        <v>683</v>
      </c>
      <c r="C564" s="162" t="s">
        <v>5</v>
      </c>
      <c r="D564" s="162" t="s">
        <v>10</v>
      </c>
      <c r="E564" s="231">
        <v>43617</v>
      </c>
      <c r="F564" s="162" t="s">
        <v>1230</v>
      </c>
      <c r="G564" s="231">
        <v>45180</v>
      </c>
      <c r="H564" s="198">
        <f>SUMIF(VA!B:B,A564,VA!I:I)</f>
        <v>359.46</v>
      </c>
      <c r="I564" s="32">
        <f>SUMIF(VR!B:B,A564,VR!I:I)</f>
        <v>657.5</v>
      </c>
      <c r="J564" s="4">
        <f t="shared" si="8"/>
        <v>1016.96</v>
      </c>
      <c r="K564" s="179">
        <f>SUMIF(FALTAS!A:A,A564,FALTAS!D:D)</f>
        <v>0</v>
      </c>
    </row>
    <row r="565" spans="1:11" x14ac:dyDescent="0.25">
      <c r="A565" s="235">
        <v>113280</v>
      </c>
      <c r="B565" s="162" t="s">
        <v>685</v>
      </c>
      <c r="C565" s="162" t="s">
        <v>5</v>
      </c>
      <c r="D565" s="162" t="s">
        <v>19</v>
      </c>
      <c r="E565" s="231">
        <v>43617</v>
      </c>
      <c r="F565" s="162" t="s">
        <v>1229</v>
      </c>
      <c r="G565" s="231">
        <v>44930</v>
      </c>
      <c r="H565" s="198">
        <f>SUMIF(VA!B:B,A565,VA!I:I)</f>
        <v>359.46</v>
      </c>
      <c r="I565" s="32">
        <f>SUMIF(VR!B:B,A565,VR!I:I)</f>
        <v>657.5</v>
      </c>
      <c r="J565" s="4">
        <f t="shared" si="8"/>
        <v>1016.96</v>
      </c>
      <c r="K565" s="179">
        <f>SUMIF(FALTAS!A:A,A565,FALTAS!D:D)</f>
        <v>0</v>
      </c>
    </row>
    <row r="566" spans="1:11" x14ac:dyDescent="0.25">
      <c r="A566" s="235">
        <v>113287</v>
      </c>
      <c r="B566" s="162" t="s">
        <v>688</v>
      </c>
      <c r="C566" s="162" t="s">
        <v>2</v>
      </c>
      <c r="D566" s="162" t="s">
        <v>8</v>
      </c>
      <c r="E566" s="231">
        <v>43617</v>
      </c>
      <c r="F566" s="162" t="s">
        <v>1229</v>
      </c>
      <c r="G566" s="231">
        <v>44867</v>
      </c>
      <c r="H566" s="198">
        <f>SUMIF(VA!B:B,A566,VA!I:I)</f>
        <v>359.46</v>
      </c>
      <c r="I566" s="32">
        <f>SUMIF(VR!B:B,A566,VR!I:I)</f>
        <v>657.5</v>
      </c>
      <c r="J566" s="4">
        <f t="shared" si="8"/>
        <v>1016.96</v>
      </c>
      <c r="K566" s="179">
        <f>SUMIF(FALTAS!A:A,A566,FALTAS!D:D)</f>
        <v>0</v>
      </c>
    </row>
    <row r="567" spans="1:11" x14ac:dyDescent="0.25">
      <c r="A567" s="235">
        <v>122570</v>
      </c>
      <c r="B567" s="162" t="s">
        <v>1683</v>
      </c>
      <c r="C567" s="162" t="s">
        <v>15</v>
      </c>
      <c r="D567" s="162" t="s">
        <v>1578</v>
      </c>
      <c r="E567" s="231">
        <v>45131</v>
      </c>
      <c r="F567" s="162" t="s">
        <v>1229</v>
      </c>
      <c r="G567" s="231">
        <v>45131</v>
      </c>
      <c r="H567" s="198">
        <f>SUMIF(VA!B:B,A567,VA!I:I)</f>
        <v>359.46</v>
      </c>
      <c r="I567" s="32">
        <f>SUMIF(VR!B:B,A567,VR!I:I)</f>
        <v>657.5</v>
      </c>
      <c r="J567" s="4">
        <f t="shared" si="8"/>
        <v>1016.96</v>
      </c>
      <c r="K567" s="179">
        <f>SUMIF(FALTAS!A:A,A567,FALTAS!D:D)</f>
        <v>0</v>
      </c>
    </row>
    <row r="568" spans="1:11" x14ac:dyDescent="0.25">
      <c r="A568" s="235">
        <v>113289</v>
      </c>
      <c r="B568" s="162" t="s">
        <v>690</v>
      </c>
      <c r="C568" s="162" t="s">
        <v>2</v>
      </c>
      <c r="D568" s="162" t="s">
        <v>10</v>
      </c>
      <c r="E568" s="231">
        <v>43617</v>
      </c>
      <c r="F568" s="162" t="s">
        <v>1229</v>
      </c>
      <c r="G568" s="231">
        <v>44930</v>
      </c>
      <c r="H568" s="198">
        <f>SUMIF(VA!B:B,A568,VA!I:I)</f>
        <v>359.46</v>
      </c>
      <c r="I568" s="32">
        <f>SUMIF(VR!B:B,A568,VR!I:I)</f>
        <v>657.5</v>
      </c>
      <c r="J568" s="4">
        <f t="shared" si="8"/>
        <v>1016.96</v>
      </c>
      <c r="K568" s="179">
        <f>SUMIF(FALTAS!A:A,A568,FALTAS!D:D)</f>
        <v>0</v>
      </c>
    </row>
    <row r="569" spans="1:11" x14ac:dyDescent="0.25">
      <c r="A569" s="235">
        <v>116389</v>
      </c>
      <c r="B569" s="162" t="s">
        <v>1212</v>
      </c>
      <c r="C569" s="162" t="s">
        <v>2</v>
      </c>
      <c r="D569" s="162" t="s">
        <v>0</v>
      </c>
      <c r="E569" s="231">
        <v>44328</v>
      </c>
      <c r="F569" s="162" t="s">
        <v>1279</v>
      </c>
      <c r="G569" s="231">
        <v>45175</v>
      </c>
      <c r="H569" s="198">
        <f>SUMIF(VA!B:B,A569,VA!I:I)</f>
        <v>0</v>
      </c>
      <c r="I569" s="32">
        <f>SUMIF(VR!B:B,A569,VR!I:I)</f>
        <v>0</v>
      </c>
      <c r="J569" s="4">
        <f t="shared" si="8"/>
        <v>0</v>
      </c>
      <c r="K569" s="179">
        <f>SUMIF(FALTAS!A:A,A569,FALTAS!D:D)</f>
        <v>0</v>
      </c>
    </row>
    <row r="570" spans="1:11" x14ac:dyDescent="0.25">
      <c r="A570" s="235">
        <v>122079</v>
      </c>
      <c r="B570" s="162" t="s">
        <v>1628</v>
      </c>
      <c r="C570" s="162" t="s">
        <v>5</v>
      </c>
      <c r="D570" s="162" t="s">
        <v>8</v>
      </c>
      <c r="E570" s="231">
        <v>45061</v>
      </c>
      <c r="F570" s="162" t="s">
        <v>1229</v>
      </c>
      <c r="G570" s="231">
        <v>45061</v>
      </c>
      <c r="H570" s="198">
        <f>SUMIF(VA!B:B,A570,VA!I:I)</f>
        <v>359.46</v>
      </c>
      <c r="I570" s="32">
        <f>SUMIF(VR!B:B,A570,VR!I:I)</f>
        <v>657.5</v>
      </c>
      <c r="J570" s="4">
        <f t="shared" si="8"/>
        <v>1016.96</v>
      </c>
      <c r="K570" s="179">
        <f>SUMIF(FALTAS!A:A,A570,FALTAS!D:D)</f>
        <v>0</v>
      </c>
    </row>
    <row r="571" spans="1:11" x14ac:dyDescent="0.25">
      <c r="A571" s="235">
        <v>113298</v>
      </c>
      <c r="B571" s="162" t="s">
        <v>693</v>
      </c>
      <c r="C571" s="162" t="s">
        <v>22</v>
      </c>
      <c r="D571" s="162" t="s">
        <v>1578</v>
      </c>
      <c r="E571" s="231">
        <v>43617</v>
      </c>
      <c r="F571" s="162" t="s">
        <v>1229</v>
      </c>
      <c r="G571" s="231">
        <v>44867</v>
      </c>
      <c r="H571" s="198">
        <f>SUMIF(VA!B:B,A571,VA!I:I)</f>
        <v>359.46</v>
      </c>
      <c r="I571" s="32">
        <f>SUMIF(VR!B:B,A571,VR!I:I)</f>
        <v>657.5</v>
      </c>
      <c r="J571" s="4">
        <f t="shared" si="8"/>
        <v>1016.96</v>
      </c>
      <c r="K571" s="179">
        <f>SUMIF(FALTAS!A:A,A571,FALTAS!D:D)</f>
        <v>0</v>
      </c>
    </row>
    <row r="572" spans="1:11" x14ac:dyDescent="0.25">
      <c r="A572" s="235">
        <v>113308</v>
      </c>
      <c r="B572" s="162" t="s">
        <v>697</v>
      </c>
      <c r="C572" s="162" t="s">
        <v>698</v>
      </c>
      <c r="D572" s="162" t="s">
        <v>1578</v>
      </c>
      <c r="E572" s="231">
        <v>43617</v>
      </c>
      <c r="F572" s="162" t="s">
        <v>1229</v>
      </c>
      <c r="G572" s="231">
        <v>44960</v>
      </c>
      <c r="H572" s="198">
        <f>SUMIF(VA!B:B,A572,VA!I:I)</f>
        <v>359.46</v>
      </c>
      <c r="I572" s="32">
        <f>SUMIF(VR!B:B,A572,VR!I:I)</f>
        <v>657.5</v>
      </c>
      <c r="J572" s="4">
        <f t="shared" si="8"/>
        <v>1016.96</v>
      </c>
      <c r="K572" s="179">
        <f>SUMIF(FALTAS!A:A,A572,FALTAS!D:D)</f>
        <v>0</v>
      </c>
    </row>
    <row r="573" spans="1:11" x14ac:dyDescent="0.25">
      <c r="A573" s="235">
        <v>113317</v>
      </c>
      <c r="B573" s="162" t="s">
        <v>702</v>
      </c>
      <c r="C573" s="162" t="s">
        <v>2</v>
      </c>
      <c r="D573" s="162" t="s">
        <v>0</v>
      </c>
      <c r="E573" s="231">
        <v>43617</v>
      </c>
      <c r="F573" s="162" t="s">
        <v>1229</v>
      </c>
      <c r="G573" s="231">
        <v>44898</v>
      </c>
      <c r="H573" s="198">
        <f>SUMIF(VA!B:B,A573,VA!I:I)</f>
        <v>359.46</v>
      </c>
      <c r="I573" s="32">
        <f>SUMIF(VR!B:B,A573,VR!I:I)</f>
        <v>657.5</v>
      </c>
      <c r="J573" s="4">
        <f t="shared" si="8"/>
        <v>1016.96</v>
      </c>
      <c r="K573" s="179">
        <f>SUMIF(FALTAS!A:A,A573,FALTAS!D:D)</f>
        <v>0</v>
      </c>
    </row>
    <row r="574" spans="1:11" x14ac:dyDescent="0.25">
      <c r="A574" s="235">
        <v>113323</v>
      </c>
      <c r="B574" s="162" t="s">
        <v>705</v>
      </c>
      <c r="C574" s="162" t="s">
        <v>5</v>
      </c>
      <c r="D574" s="162" t="s">
        <v>10</v>
      </c>
      <c r="E574" s="231">
        <v>43617</v>
      </c>
      <c r="F574" s="162" t="s">
        <v>1229</v>
      </c>
      <c r="G574" s="231">
        <v>44930</v>
      </c>
      <c r="H574" s="198">
        <f>SUMIF(VA!B:B,A574,VA!I:I)</f>
        <v>359.46</v>
      </c>
      <c r="I574" s="32">
        <f>SUMIF(VR!B:B,A574,VR!I:I)</f>
        <v>657.5</v>
      </c>
      <c r="J574" s="4">
        <f t="shared" si="8"/>
        <v>1016.96</v>
      </c>
      <c r="K574" s="179">
        <f>SUMIF(FALTAS!A:A,A574,FALTAS!D:D)</f>
        <v>0</v>
      </c>
    </row>
    <row r="575" spans="1:11" x14ac:dyDescent="0.25">
      <c r="A575" s="235">
        <v>113328</v>
      </c>
      <c r="B575" s="162" t="s">
        <v>709</v>
      </c>
      <c r="C575" s="162" t="s">
        <v>2</v>
      </c>
      <c r="D575" s="162" t="s">
        <v>8</v>
      </c>
      <c r="E575" s="231">
        <v>43617</v>
      </c>
      <c r="F575" s="162" t="s">
        <v>1229</v>
      </c>
      <c r="G575" s="231">
        <v>45023</v>
      </c>
      <c r="H575" s="198">
        <f>SUMIF(VA!B:B,A575,VA!I:I)</f>
        <v>359.46</v>
      </c>
      <c r="I575" s="32">
        <f>SUMIF(VR!B:B,A575,VR!I:I)</f>
        <v>657.5</v>
      </c>
      <c r="J575" s="4">
        <f t="shared" si="8"/>
        <v>1016.96</v>
      </c>
      <c r="K575" s="179">
        <f>SUMIF(FALTAS!A:A,A575,FALTAS!D:D)</f>
        <v>0</v>
      </c>
    </row>
    <row r="576" spans="1:11" x14ac:dyDescent="0.25">
      <c r="A576" s="235">
        <v>113353</v>
      </c>
      <c r="B576" s="162" t="s">
        <v>721</v>
      </c>
      <c r="C576" s="162" t="s">
        <v>15</v>
      </c>
      <c r="D576" s="162" t="s">
        <v>1578</v>
      </c>
      <c r="E576" s="231">
        <v>43617</v>
      </c>
      <c r="F576" s="162" t="s">
        <v>1230</v>
      </c>
      <c r="G576" s="231">
        <v>45180</v>
      </c>
      <c r="H576" s="198">
        <f>SUMIF(VA!B:B,A576,VA!I:I)</f>
        <v>359.46</v>
      </c>
      <c r="I576" s="32">
        <f>SUMIF(VR!B:B,A576,VR!I:I)</f>
        <v>657.5</v>
      </c>
      <c r="J576" s="4">
        <f t="shared" si="8"/>
        <v>1016.96</v>
      </c>
      <c r="K576" s="179">
        <f>SUMIF(FALTAS!A:A,A576,FALTAS!D:D)</f>
        <v>0</v>
      </c>
    </row>
    <row r="577" spans="1:11" s="140" customFormat="1" x14ac:dyDescent="0.25">
      <c r="A577" s="235">
        <v>117235</v>
      </c>
      <c r="B577" s="162" t="s">
        <v>1252</v>
      </c>
      <c r="C577" s="162" t="s">
        <v>5</v>
      </c>
      <c r="D577" s="162" t="s">
        <v>0</v>
      </c>
      <c r="E577" s="231">
        <v>44487</v>
      </c>
      <c r="F577" s="162" t="s">
        <v>1229</v>
      </c>
      <c r="G577" s="231">
        <v>45119</v>
      </c>
      <c r="H577" s="198">
        <f>SUMIF(VA!B:B,A577,VA!I:I)</f>
        <v>335.49</v>
      </c>
      <c r="I577" s="32">
        <f>SUMIF(VR!B:B,A577,VR!I:I)</f>
        <v>604.9</v>
      </c>
      <c r="J577" s="4">
        <f t="shared" ref="J577:J640" si="9">H577+I577</f>
        <v>940.39</v>
      </c>
      <c r="K577" s="179">
        <f>SUMIF(FALTAS!A:A,A577,FALTAS!D:D)</f>
        <v>2</v>
      </c>
    </row>
    <row r="578" spans="1:11" x14ac:dyDescent="0.25">
      <c r="A578" s="235">
        <v>113357</v>
      </c>
      <c r="B578" s="162" t="s">
        <v>724</v>
      </c>
      <c r="C578" s="162" t="s">
        <v>2</v>
      </c>
      <c r="D578" s="162" t="s">
        <v>32</v>
      </c>
      <c r="E578" s="231">
        <v>43617</v>
      </c>
      <c r="F578" s="162" t="s">
        <v>1229</v>
      </c>
      <c r="G578" s="231">
        <v>45119</v>
      </c>
      <c r="H578" s="198">
        <f>SUMIF(VA!B:B,A578,VA!I:I)</f>
        <v>359.46</v>
      </c>
      <c r="I578" s="32">
        <f>SUMIF(VR!B:B,A578,VR!I:I)</f>
        <v>657.5</v>
      </c>
      <c r="J578" s="4">
        <f t="shared" si="9"/>
        <v>1016.96</v>
      </c>
      <c r="K578" s="179">
        <f>SUMIF(FALTAS!A:A,A578,FALTAS!D:D)</f>
        <v>0</v>
      </c>
    </row>
    <row r="579" spans="1:11" x14ac:dyDescent="0.25">
      <c r="A579" s="235">
        <v>113367</v>
      </c>
      <c r="B579" s="162" t="s">
        <v>732</v>
      </c>
      <c r="C579" s="162" t="s">
        <v>22</v>
      </c>
      <c r="D579" s="162" t="s">
        <v>1578</v>
      </c>
      <c r="E579" s="231">
        <v>43617</v>
      </c>
      <c r="F579" s="162" t="s">
        <v>1229</v>
      </c>
      <c r="G579" s="231">
        <v>44867</v>
      </c>
      <c r="H579" s="198">
        <f>SUMIF(VA!B:B,A579,VA!I:I)</f>
        <v>359.46</v>
      </c>
      <c r="I579" s="32">
        <f>SUMIF(VR!B:B,A579,VR!I:I)</f>
        <v>657.5</v>
      </c>
      <c r="J579" s="4">
        <f t="shared" si="9"/>
        <v>1016.96</v>
      </c>
      <c r="K579" s="179">
        <f>SUMIF(FALTAS!A:A,A579,FALTAS!D:D)</f>
        <v>0</v>
      </c>
    </row>
    <row r="580" spans="1:11" x14ac:dyDescent="0.25">
      <c r="A580" s="235">
        <v>114547</v>
      </c>
      <c r="B580" s="162" t="s">
        <v>1054</v>
      </c>
      <c r="C580" s="162" t="s">
        <v>2</v>
      </c>
      <c r="D580" s="162" t="s">
        <v>8</v>
      </c>
      <c r="E580" s="231">
        <v>43817</v>
      </c>
      <c r="F580" s="162" t="s">
        <v>1229</v>
      </c>
      <c r="G580" s="231">
        <v>45086</v>
      </c>
      <c r="H580" s="198">
        <f>SUMIF(VA!B:B,A580,VA!I:I)</f>
        <v>359.46</v>
      </c>
      <c r="I580" s="32">
        <f>SUMIF(VR!B:B,A580,VR!I:I)</f>
        <v>657.5</v>
      </c>
      <c r="J580" s="4">
        <f t="shared" si="9"/>
        <v>1016.96</v>
      </c>
      <c r="K580" s="179">
        <f>SUMIF(FALTAS!A:A,A580,FALTAS!D:D)</f>
        <v>0</v>
      </c>
    </row>
    <row r="581" spans="1:11" x14ac:dyDescent="0.25">
      <c r="A581" s="235">
        <v>113376</v>
      </c>
      <c r="B581" s="162" t="s">
        <v>738</v>
      </c>
      <c r="C581" s="162" t="s">
        <v>2</v>
      </c>
      <c r="D581" s="162" t="s">
        <v>19</v>
      </c>
      <c r="E581" s="231">
        <v>43617</v>
      </c>
      <c r="F581" s="162" t="s">
        <v>1229</v>
      </c>
      <c r="G581" s="231">
        <v>44806</v>
      </c>
      <c r="H581" s="198">
        <f>SUMIF(VA!B:B,A581,VA!I:I)</f>
        <v>359.46</v>
      </c>
      <c r="I581" s="32">
        <f>SUMIF(VR!B:B,A581,VR!I:I)</f>
        <v>657.5</v>
      </c>
      <c r="J581" s="4">
        <f t="shared" si="9"/>
        <v>1016.96</v>
      </c>
      <c r="K581" s="179">
        <f>SUMIF(FALTAS!A:A,A581,FALTAS!D:D)</f>
        <v>0</v>
      </c>
    </row>
    <row r="582" spans="1:11" x14ac:dyDescent="0.25">
      <c r="A582" s="235">
        <v>114107</v>
      </c>
      <c r="B582" s="162" t="s">
        <v>1007</v>
      </c>
      <c r="C582" s="162" t="s">
        <v>2</v>
      </c>
      <c r="D582" s="162" t="s">
        <v>19</v>
      </c>
      <c r="E582" s="231">
        <v>43728</v>
      </c>
      <c r="F582" s="162" t="s">
        <v>1229</v>
      </c>
      <c r="G582" s="231">
        <v>45086</v>
      </c>
      <c r="H582" s="198">
        <f>SUMIF(VA!B:B,A582,VA!I:I)</f>
        <v>359.46</v>
      </c>
      <c r="I582" s="32">
        <f>SUMIF(VR!B:B,A582,VR!I:I)</f>
        <v>657.5</v>
      </c>
      <c r="J582" s="4">
        <f t="shared" si="9"/>
        <v>1016.96</v>
      </c>
      <c r="K582" s="179">
        <f>SUMIF(FALTAS!A:A,A582,FALTAS!D:D)</f>
        <v>0</v>
      </c>
    </row>
    <row r="583" spans="1:11" x14ac:dyDescent="0.25">
      <c r="A583" s="235">
        <v>116316</v>
      </c>
      <c r="B583" s="162" t="s">
        <v>1200</v>
      </c>
      <c r="C583" s="162" t="s">
        <v>5</v>
      </c>
      <c r="D583" s="162" t="s">
        <v>10</v>
      </c>
      <c r="E583" s="231">
        <v>44308</v>
      </c>
      <c r="F583" s="162" t="s">
        <v>1229</v>
      </c>
      <c r="G583" s="231">
        <v>45177</v>
      </c>
      <c r="H583" s="198">
        <f>SUMIF(VA!B:B,A583,VA!I:I)</f>
        <v>359.46</v>
      </c>
      <c r="I583" s="32">
        <f>SUMIF(VR!B:B,A583,VR!I:I)</f>
        <v>657.5</v>
      </c>
      <c r="J583" s="4">
        <f t="shared" si="9"/>
        <v>1016.96</v>
      </c>
      <c r="K583" s="179">
        <f>SUMIF(FALTAS!A:A,A583,FALTAS!D:D)</f>
        <v>0</v>
      </c>
    </row>
    <row r="584" spans="1:11" x14ac:dyDescent="0.25">
      <c r="A584" s="235">
        <v>120357</v>
      </c>
      <c r="B584" s="162" t="s">
        <v>1504</v>
      </c>
      <c r="C584" s="162" t="s">
        <v>5</v>
      </c>
      <c r="D584" s="162" t="s">
        <v>10</v>
      </c>
      <c r="E584" s="231">
        <v>44820</v>
      </c>
      <c r="F584" s="162" t="s">
        <v>1229</v>
      </c>
      <c r="G584" s="231">
        <v>44820</v>
      </c>
      <c r="H584" s="198">
        <f>SUMIF(VA!B:B,A584,VA!I:I)</f>
        <v>359.46</v>
      </c>
      <c r="I584" s="32">
        <f>SUMIF(VR!B:B,A584,VR!I:I)</f>
        <v>657.5</v>
      </c>
      <c r="J584" s="4">
        <f t="shared" si="9"/>
        <v>1016.96</v>
      </c>
      <c r="K584" s="179">
        <f>SUMIF(FALTAS!A:A,A584,FALTAS!D:D)</f>
        <v>0</v>
      </c>
    </row>
    <row r="585" spans="1:11" x14ac:dyDescent="0.25">
      <c r="A585" s="235">
        <v>116728</v>
      </c>
      <c r="B585" s="162" t="s">
        <v>1219</v>
      </c>
      <c r="C585" s="162" t="s">
        <v>5</v>
      </c>
      <c r="D585" s="162" t="s">
        <v>0</v>
      </c>
      <c r="E585" s="231">
        <v>44368</v>
      </c>
      <c r="F585" s="162" t="s">
        <v>1229</v>
      </c>
      <c r="G585" s="231">
        <v>45173</v>
      </c>
      <c r="H585" s="198">
        <f>SUMIF(VA!B:B,A585,VA!I:I)</f>
        <v>359.46</v>
      </c>
      <c r="I585" s="32">
        <f>SUMIF(VR!B:B,A585,VR!I:I)</f>
        <v>657.5</v>
      </c>
      <c r="J585" s="4">
        <f t="shared" si="9"/>
        <v>1016.96</v>
      </c>
      <c r="K585" s="179">
        <f>SUMIF(FALTAS!A:A,A585,FALTAS!D:D)</f>
        <v>0</v>
      </c>
    </row>
    <row r="586" spans="1:11" x14ac:dyDescent="0.25">
      <c r="A586" s="235">
        <v>113391</v>
      </c>
      <c r="B586" s="162" t="s">
        <v>749</v>
      </c>
      <c r="C586" s="162" t="s">
        <v>2</v>
      </c>
      <c r="D586" s="162" t="s">
        <v>19</v>
      </c>
      <c r="E586" s="231">
        <v>43617</v>
      </c>
      <c r="F586" s="162" t="s">
        <v>1229</v>
      </c>
      <c r="G586" s="231">
        <v>44993</v>
      </c>
      <c r="H586" s="198">
        <f>SUMIF(VA!B:B,A586,VA!I:I)</f>
        <v>359.46</v>
      </c>
      <c r="I586" s="32">
        <f>SUMIF(VR!B:B,A586,VR!I:I)</f>
        <v>657.5</v>
      </c>
      <c r="J586" s="4">
        <f t="shared" si="9"/>
        <v>1016.96</v>
      </c>
      <c r="K586" s="179">
        <f>SUMIF(FALTAS!A:A,A586,FALTAS!D:D)</f>
        <v>0</v>
      </c>
    </row>
    <row r="587" spans="1:11" x14ac:dyDescent="0.25">
      <c r="A587" s="235">
        <v>117245</v>
      </c>
      <c r="B587" s="162" t="s">
        <v>1076</v>
      </c>
      <c r="C587" s="162" t="s">
        <v>5</v>
      </c>
      <c r="D587" s="162" t="s">
        <v>1578</v>
      </c>
      <c r="E587" s="231">
        <v>44487</v>
      </c>
      <c r="F587" s="162" t="s">
        <v>1229</v>
      </c>
      <c r="G587" s="231">
        <v>44930</v>
      </c>
      <c r="H587" s="198">
        <f>SUMIF(VA!B:B,A587,VA!I:I)</f>
        <v>359.46</v>
      </c>
      <c r="I587" s="32">
        <f>SUMIF(VR!B:B,A587,VR!I:I)</f>
        <v>657.5</v>
      </c>
      <c r="J587" s="4">
        <f t="shared" si="9"/>
        <v>1016.96</v>
      </c>
      <c r="K587" s="179">
        <f>SUMIF(FALTAS!A:A,A587,FALTAS!D:D)</f>
        <v>0</v>
      </c>
    </row>
    <row r="588" spans="1:11" x14ac:dyDescent="0.25">
      <c r="A588" s="235">
        <v>113394</v>
      </c>
      <c r="B588" s="162" t="s">
        <v>751</v>
      </c>
      <c r="C588" s="162" t="s">
        <v>39</v>
      </c>
      <c r="D588" s="162" t="s">
        <v>8</v>
      </c>
      <c r="E588" s="231">
        <v>43617</v>
      </c>
      <c r="F588" s="162" t="s">
        <v>1229</v>
      </c>
      <c r="G588" s="231">
        <v>45056</v>
      </c>
      <c r="H588" s="198">
        <f>SUMIF(VA!B:B,A588,VA!I:I)</f>
        <v>359.46</v>
      </c>
      <c r="I588" s="32">
        <f>SUMIF(VR!B:B,A588,VR!I:I)</f>
        <v>657.5</v>
      </c>
      <c r="J588" s="4">
        <f t="shared" si="9"/>
        <v>1016.96</v>
      </c>
      <c r="K588" s="179">
        <f>SUMIF(FALTAS!A:A,A588,FALTAS!D:D)</f>
        <v>0</v>
      </c>
    </row>
    <row r="589" spans="1:11" x14ac:dyDescent="0.25">
      <c r="A589" s="235">
        <v>121024</v>
      </c>
      <c r="B589" s="162" t="s">
        <v>1514</v>
      </c>
      <c r="C589" s="162" t="s">
        <v>2</v>
      </c>
      <c r="D589" s="162" t="s">
        <v>19</v>
      </c>
      <c r="E589" s="231">
        <v>44900</v>
      </c>
      <c r="F589" s="162" t="s">
        <v>1229</v>
      </c>
      <c r="G589" s="231">
        <v>44900</v>
      </c>
      <c r="H589" s="198">
        <f>SUMIF(VA!B:B,A589,VA!I:I)</f>
        <v>359.46</v>
      </c>
      <c r="I589" s="32">
        <f>SUMIF(VR!B:B,A589,VR!I:I)</f>
        <v>657.5</v>
      </c>
      <c r="J589" s="4">
        <f t="shared" si="9"/>
        <v>1016.96</v>
      </c>
      <c r="K589" s="179">
        <f>SUMIF(FALTAS!A:A,A589,FALTAS!D:D)</f>
        <v>0</v>
      </c>
    </row>
    <row r="590" spans="1:11" x14ac:dyDescent="0.25">
      <c r="A590" s="235">
        <v>116652</v>
      </c>
      <c r="B590" s="162" t="s">
        <v>952</v>
      </c>
      <c r="C590" s="162" t="s">
        <v>953</v>
      </c>
      <c r="D590" s="162" t="s">
        <v>1246</v>
      </c>
      <c r="E590" s="231">
        <v>44370</v>
      </c>
      <c r="F590" s="162" t="s">
        <v>1229</v>
      </c>
      <c r="G590" s="231">
        <v>44370</v>
      </c>
      <c r="H590" s="198">
        <f>SUMIF(VA!B:B,A590,VA!I:I)</f>
        <v>359.46</v>
      </c>
      <c r="I590" s="32">
        <f>SUMIF(VR!B:B,A590,VR!I:I)</f>
        <v>657.5</v>
      </c>
      <c r="J590" s="4">
        <f t="shared" si="9"/>
        <v>1016.96</v>
      </c>
      <c r="K590" s="179">
        <f>SUMIF(FALTAS!A:A,A590,FALTAS!D:D)</f>
        <v>0</v>
      </c>
    </row>
    <row r="591" spans="1:11" x14ac:dyDescent="0.25">
      <c r="A591" s="235">
        <v>113405</v>
      </c>
      <c r="B591" s="162" t="s">
        <v>757</v>
      </c>
      <c r="C591" s="162" t="s">
        <v>2</v>
      </c>
      <c r="D591" s="162" t="s">
        <v>8</v>
      </c>
      <c r="E591" s="231">
        <v>43617</v>
      </c>
      <c r="F591" s="162" t="s">
        <v>1229</v>
      </c>
      <c r="G591" s="231">
        <v>44930</v>
      </c>
      <c r="H591" s="198">
        <f>SUMIF(VA!B:B,A591,VA!I:I)</f>
        <v>359.46</v>
      </c>
      <c r="I591" s="32">
        <f>SUMIF(VR!B:B,A591,VR!I:I)</f>
        <v>657.5</v>
      </c>
      <c r="J591" s="4">
        <f t="shared" si="9"/>
        <v>1016.96</v>
      </c>
      <c r="K591" s="179">
        <f>SUMIF(FALTAS!A:A,A591,FALTAS!D:D)</f>
        <v>0</v>
      </c>
    </row>
    <row r="592" spans="1:11" x14ac:dyDescent="0.25">
      <c r="A592" s="235">
        <v>113413</v>
      </c>
      <c r="B592" s="162" t="s">
        <v>762</v>
      </c>
      <c r="C592" s="162" t="s">
        <v>2</v>
      </c>
      <c r="D592" s="162" t="s">
        <v>0</v>
      </c>
      <c r="E592" s="231">
        <v>43617</v>
      </c>
      <c r="F592" s="162" t="s">
        <v>1229</v>
      </c>
      <c r="G592" s="231">
        <v>44930</v>
      </c>
      <c r="H592" s="198">
        <f>SUMIF(VA!B:B,A592,VA!I:I)</f>
        <v>359.46</v>
      </c>
      <c r="I592" s="32">
        <f>SUMIF(VR!B:B,A592,VR!I:I)</f>
        <v>657.5</v>
      </c>
      <c r="J592" s="4">
        <f t="shared" si="9"/>
        <v>1016.96</v>
      </c>
      <c r="K592" s="179">
        <f>SUMIF(FALTAS!A:A,A592,FALTAS!D:D)</f>
        <v>0</v>
      </c>
    </row>
    <row r="593" spans="1:11" x14ac:dyDescent="0.25">
      <c r="A593" s="235">
        <v>114948</v>
      </c>
      <c r="B593" s="162" t="s">
        <v>1097</v>
      </c>
      <c r="C593" s="162" t="s">
        <v>15</v>
      </c>
      <c r="D593" s="162" t="s">
        <v>1578</v>
      </c>
      <c r="E593" s="231">
        <v>43916</v>
      </c>
      <c r="F593" s="162" t="s">
        <v>1229</v>
      </c>
      <c r="G593" s="231">
        <v>45086</v>
      </c>
      <c r="H593" s="198">
        <f>SUMIF(VA!B:B,A593,VA!I:I)</f>
        <v>359.46</v>
      </c>
      <c r="I593" s="32">
        <f>SUMIF(VR!B:B,A593,VR!I:I)</f>
        <v>657.5</v>
      </c>
      <c r="J593" s="4">
        <f t="shared" si="9"/>
        <v>1016.96</v>
      </c>
      <c r="K593" s="179">
        <f>SUMIF(FALTAS!A:A,A593,FALTAS!D:D)</f>
        <v>0</v>
      </c>
    </row>
    <row r="594" spans="1:11" x14ac:dyDescent="0.25">
      <c r="A594" s="235">
        <v>113418</v>
      </c>
      <c r="B594" s="162" t="s">
        <v>767</v>
      </c>
      <c r="C594" s="162" t="s">
        <v>2</v>
      </c>
      <c r="D594" s="162" t="s">
        <v>8</v>
      </c>
      <c r="E594" s="231">
        <v>43617</v>
      </c>
      <c r="F594" s="162" t="s">
        <v>1229</v>
      </c>
      <c r="G594" s="231">
        <v>45023</v>
      </c>
      <c r="H594" s="198">
        <f>SUMIF(VA!B:B,A594,VA!I:I)</f>
        <v>359.46</v>
      </c>
      <c r="I594" s="32">
        <f>SUMIF(VR!B:B,A594,VR!I:I)</f>
        <v>657.5</v>
      </c>
      <c r="J594" s="4">
        <f t="shared" si="9"/>
        <v>1016.96</v>
      </c>
      <c r="K594" s="179">
        <f>SUMIF(FALTAS!A:A,A594,FALTAS!D:D)</f>
        <v>0</v>
      </c>
    </row>
    <row r="595" spans="1:11" x14ac:dyDescent="0.25">
      <c r="A595" s="235">
        <v>113421</v>
      </c>
      <c r="B595" s="162" t="s">
        <v>770</v>
      </c>
      <c r="C595" s="162" t="s">
        <v>15</v>
      </c>
      <c r="D595" s="162" t="s">
        <v>1578</v>
      </c>
      <c r="E595" s="231">
        <v>43617</v>
      </c>
      <c r="F595" s="162" t="s">
        <v>1229</v>
      </c>
      <c r="G595" s="231">
        <v>44867</v>
      </c>
      <c r="H595" s="198">
        <f>SUMIF(VA!B:B,A595,VA!I:I)</f>
        <v>359.46</v>
      </c>
      <c r="I595" s="32">
        <f>SUMIF(VR!B:B,A595,VR!I:I)</f>
        <v>657.5</v>
      </c>
      <c r="J595" s="4">
        <f t="shared" si="9"/>
        <v>1016.96</v>
      </c>
      <c r="K595" s="179">
        <f>SUMIF(FALTAS!A:A,A595,FALTAS!D:D)</f>
        <v>0</v>
      </c>
    </row>
    <row r="596" spans="1:11" x14ac:dyDescent="0.25">
      <c r="A596" s="235">
        <v>113433</v>
      </c>
      <c r="B596" s="162" t="s">
        <v>776</v>
      </c>
      <c r="C596" s="162" t="s">
        <v>7</v>
      </c>
      <c r="D596" s="162" t="s">
        <v>1578</v>
      </c>
      <c r="E596" s="231">
        <v>43617</v>
      </c>
      <c r="F596" s="162" t="s">
        <v>1229</v>
      </c>
      <c r="G596" s="231">
        <v>44776</v>
      </c>
      <c r="H596" s="198">
        <f>SUMIF(VA!B:B,A596,VA!I:I)</f>
        <v>359.46</v>
      </c>
      <c r="I596" s="32">
        <f>SUMIF(VR!B:B,A596,VR!I:I)</f>
        <v>657.5</v>
      </c>
      <c r="J596" s="4">
        <f t="shared" si="9"/>
        <v>1016.96</v>
      </c>
      <c r="K596" s="179">
        <f>SUMIF(FALTAS!A:A,A596,FALTAS!D:D)</f>
        <v>0</v>
      </c>
    </row>
    <row r="597" spans="1:11" x14ac:dyDescent="0.25">
      <c r="A597" s="235">
        <v>113441</v>
      </c>
      <c r="B597" s="162" t="s">
        <v>781</v>
      </c>
      <c r="C597" s="162" t="s">
        <v>15</v>
      </c>
      <c r="D597" s="162" t="s">
        <v>1578</v>
      </c>
      <c r="E597" s="231">
        <v>43617</v>
      </c>
      <c r="F597" s="162" t="s">
        <v>1229</v>
      </c>
      <c r="G597" s="231">
        <v>44898</v>
      </c>
      <c r="H597" s="198">
        <f>SUMIF(VA!B:B,A597,VA!I:I)</f>
        <v>359.46</v>
      </c>
      <c r="I597" s="32">
        <f>SUMIF(VR!B:B,A597,VR!I:I)</f>
        <v>657.5</v>
      </c>
      <c r="J597" s="4">
        <f t="shared" si="9"/>
        <v>1016.96</v>
      </c>
      <c r="K597" s="179">
        <f>SUMIF(FALTAS!A:A,A597,FALTAS!D:D)</f>
        <v>0</v>
      </c>
    </row>
    <row r="598" spans="1:11" x14ac:dyDescent="0.25">
      <c r="A598" s="235">
        <v>116238</v>
      </c>
      <c r="B598" s="162" t="s">
        <v>1198</v>
      </c>
      <c r="C598" s="162" t="s">
        <v>2</v>
      </c>
      <c r="D598" s="162" t="s">
        <v>8</v>
      </c>
      <c r="E598" s="231">
        <v>44273</v>
      </c>
      <c r="F598" s="162" t="s">
        <v>1229</v>
      </c>
      <c r="G598" s="231">
        <v>45086</v>
      </c>
      <c r="H598" s="198">
        <f>SUMIF(VA!B:B,A598,VA!I:I)</f>
        <v>359.46</v>
      </c>
      <c r="I598" s="32">
        <f>SUMIF(VR!B:B,A598,VR!I:I)</f>
        <v>657.5</v>
      </c>
      <c r="J598" s="4">
        <f t="shared" si="9"/>
        <v>1016.96</v>
      </c>
      <c r="K598" s="179">
        <f>SUMIF(FALTAS!A:A,A598,FALTAS!D:D)</f>
        <v>0</v>
      </c>
    </row>
    <row r="599" spans="1:11" x14ac:dyDescent="0.25">
      <c r="A599" s="235">
        <v>113455</v>
      </c>
      <c r="B599" s="162" t="s">
        <v>787</v>
      </c>
      <c r="C599" s="162" t="s">
        <v>5</v>
      </c>
      <c r="D599" s="162" t="s">
        <v>8</v>
      </c>
      <c r="E599" s="231">
        <v>43617</v>
      </c>
      <c r="F599" s="162" t="s">
        <v>1229</v>
      </c>
      <c r="G599" s="231">
        <v>44960</v>
      </c>
      <c r="H599" s="198">
        <f>SUMIF(VA!B:B,A599,VA!I:I)</f>
        <v>359.46</v>
      </c>
      <c r="I599" s="32">
        <f>SUMIF(VR!B:B,A599,VR!I:I)</f>
        <v>657.5</v>
      </c>
      <c r="J599" s="4">
        <f t="shared" si="9"/>
        <v>1016.96</v>
      </c>
      <c r="K599" s="179">
        <f>SUMIF(FALTAS!A:A,A599,FALTAS!D:D)</f>
        <v>0</v>
      </c>
    </row>
    <row r="600" spans="1:11" x14ac:dyDescent="0.25">
      <c r="A600" s="235">
        <v>113459</v>
      </c>
      <c r="B600" s="162" t="s">
        <v>790</v>
      </c>
      <c r="C600" s="162" t="s">
        <v>5</v>
      </c>
      <c r="D600" s="162" t="s">
        <v>32</v>
      </c>
      <c r="E600" s="231">
        <v>43617</v>
      </c>
      <c r="F600" s="162" t="s">
        <v>1229</v>
      </c>
      <c r="G600" s="231">
        <v>45023</v>
      </c>
      <c r="H600" s="198">
        <f>SUMIF(VA!B:B,A600,VA!I:I)</f>
        <v>359.46</v>
      </c>
      <c r="I600" s="32">
        <f>SUMIF(VR!B:B,A600,VR!I:I)</f>
        <v>657.5</v>
      </c>
      <c r="J600" s="4">
        <f t="shared" si="9"/>
        <v>1016.96</v>
      </c>
      <c r="K600" s="179">
        <f>SUMIF(FALTAS!A:A,A600,FALTAS!D:D)</f>
        <v>0</v>
      </c>
    </row>
    <row r="601" spans="1:11" x14ac:dyDescent="0.25">
      <c r="A601" s="235">
        <v>113464</v>
      </c>
      <c r="B601" s="162" t="s">
        <v>794</v>
      </c>
      <c r="C601" s="162" t="s">
        <v>39</v>
      </c>
      <c r="D601" s="162" t="s">
        <v>10</v>
      </c>
      <c r="E601" s="231">
        <v>43617</v>
      </c>
      <c r="F601" s="162" t="s">
        <v>1229</v>
      </c>
      <c r="G601" s="231">
        <v>44835</v>
      </c>
      <c r="H601" s="198">
        <f>SUMIF(VA!B:B,A601,VA!I:I)</f>
        <v>359.46</v>
      </c>
      <c r="I601" s="32">
        <f>SUMIF(VR!B:B,A601,VR!I:I)</f>
        <v>657.5</v>
      </c>
      <c r="J601" s="4">
        <f t="shared" si="9"/>
        <v>1016.96</v>
      </c>
      <c r="K601" s="179">
        <f>SUMIF(FALTAS!A:A,A601,FALTAS!D:D)</f>
        <v>0</v>
      </c>
    </row>
    <row r="602" spans="1:11" x14ac:dyDescent="0.25">
      <c r="A602" s="235">
        <v>122425</v>
      </c>
      <c r="B602" s="162" t="s">
        <v>1684</v>
      </c>
      <c r="C602" s="162" t="s">
        <v>5</v>
      </c>
      <c r="D602" s="162" t="s">
        <v>1578</v>
      </c>
      <c r="E602" s="231">
        <v>45117</v>
      </c>
      <c r="F602" s="162" t="s">
        <v>1229</v>
      </c>
      <c r="G602" s="231">
        <v>45117</v>
      </c>
      <c r="H602" s="198">
        <f>SUMIF(VA!B:B,A602,VA!I:I)</f>
        <v>359.46</v>
      </c>
      <c r="I602" s="32">
        <f>SUMIF(VR!B:B,A602,VR!I:I)</f>
        <v>657.5</v>
      </c>
      <c r="J602" s="4">
        <f t="shared" si="9"/>
        <v>1016.96</v>
      </c>
      <c r="K602" s="179">
        <f>SUMIF(FALTAS!A:A,A602,FALTAS!D:D)</f>
        <v>0</v>
      </c>
    </row>
    <row r="603" spans="1:11" x14ac:dyDescent="0.25">
      <c r="A603" s="235">
        <v>113471</v>
      </c>
      <c r="B603" s="162" t="s">
        <v>798</v>
      </c>
      <c r="C603" s="162" t="s">
        <v>5</v>
      </c>
      <c r="D603" s="162" t="s">
        <v>10</v>
      </c>
      <c r="E603" s="231">
        <v>43617</v>
      </c>
      <c r="F603" s="162" t="s">
        <v>1229</v>
      </c>
      <c r="G603" s="231">
        <v>44898</v>
      </c>
      <c r="H603" s="198">
        <f>SUMIF(VA!B:B,A603,VA!I:I)</f>
        <v>359.46</v>
      </c>
      <c r="I603" s="32">
        <f>SUMIF(VR!B:B,A603,VR!I:I)</f>
        <v>657.5</v>
      </c>
      <c r="J603" s="4">
        <f t="shared" si="9"/>
        <v>1016.96</v>
      </c>
      <c r="K603" s="179">
        <f>SUMIF(FALTAS!A:A,A603,FALTAS!D:D)</f>
        <v>0</v>
      </c>
    </row>
    <row r="604" spans="1:11" x14ac:dyDescent="0.25">
      <c r="A604" s="235">
        <v>120191</v>
      </c>
      <c r="B604" s="162" t="s">
        <v>1493</v>
      </c>
      <c r="C604" s="162" t="s">
        <v>15</v>
      </c>
      <c r="D604" s="162" t="s">
        <v>1578</v>
      </c>
      <c r="E604" s="231">
        <v>44791</v>
      </c>
      <c r="F604" s="162" t="s">
        <v>1229</v>
      </c>
      <c r="G604" s="231">
        <v>44791</v>
      </c>
      <c r="H604" s="198">
        <f>SUMIF(VA!B:B,A604,VA!I:I)</f>
        <v>347.47</v>
      </c>
      <c r="I604" s="32">
        <f>SUMIF(VR!B:B,A604,VR!I:I)</f>
        <v>631.20000000000005</v>
      </c>
      <c r="J604" s="4">
        <f t="shared" si="9"/>
        <v>978.67000000000007</v>
      </c>
      <c r="K604" s="179">
        <f>SUMIF(FALTAS!A:A,A604,FALTAS!D:D)</f>
        <v>1</v>
      </c>
    </row>
    <row r="605" spans="1:11" x14ac:dyDescent="0.25">
      <c r="A605" s="235">
        <v>121950</v>
      </c>
      <c r="B605" s="162" t="s">
        <v>1608</v>
      </c>
      <c r="C605" s="162" t="s">
        <v>1456</v>
      </c>
      <c r="D605" s="162" t="s">
        <v>1580</v>
      </c>
      <c r="E605" s="231">
        <v>45040</v>
      </c>
      <c r="F605" s="162" t="s">
        <v>1229</v>
      </c>
      <c r="G605" s="231">
        <v>45040</v>
      </c>
      <c r="H605" s="198">
        <f>SUMIF(VA!B:B,A605,VA!I:I)</f>
        <v>0</v>
      </c>
      <c r="I605" s="32">
        <f>SUMIF(VR!B:B,A605,VR!I:I)</f>
        <v>657.5</v>
      </c>
      <c r="J605" s="4">
        <f t="shared" si="9"/>
        <v>657.5</v>
      </c>
      <c r="K605" s="179">
        <f>SUMIF(FALTAS!A:A,A605,FALTAS!D:D)</f>
        <v>0</v>
      </c>
    </row>
    <row r="606" spans="1:11" x14ac:dyDescent="0.25">
      <c r="A606" s="235">
        <v>121322</v>
      </c>
      <c r="B606" s="162" t="s">
        <v>1526</v>
      </c>
      <c r="C606" s="162" t="s">
        <v>5</v>
      </c>
      <c r="D606" s="162" t="s">
        <v>1578</v>
      </c>
      <c r="E606" s="231">
        <v>44945</v>
      </c>
      <c r="F606" s="162" t="s">
        <v>1229</v>
      </c>
      <c r="G606" s="231">
        <v>44945</v>
      </c>
      <c r="H606" s="198">
        <f>SUMIF(VA!B:B,A606,VA!I:I)</f>
        <v>359.46</v>
      </c>
      <c r="I606" s="32">
        <f>SUMIF(VR!B:B,A606,VR!I:I)</f>
        <v>657.5</v>
      </c>
      <c r="J606" s="4">
        <f t="shared" si="9"/>
        <v>1016.96</v>
      </c>
      <c r="K606" s="179">
        <f>SUMIF(FALTAS!A:A,A606,FALTAS!D:D)</f>
        <v>0</v>
      </c>
    </row>
    <row r="607" spans="1:11" x14ac:dyDescent="0.25">
      <c r="A607" s="235">
        <v>119113</v>
      </c>
      <c r="B607" s="162" t="s">
        <v>1433</v>
      </c>
      <c r="C607" s="162" t="s">
        <v>5</v>
      </c>
      <c r="D607" s="162" t="s">
        <v>1578</v>
      </c>
      <c r="E607" s="231">
        <v>44630</v>
      </c>
      <c r="F607" s="162" t="s">
        <v>1230</v>
      </c>
      <c r="G607" s="231">
        <v>45180</v>
      </c>
      <c r="H607" s="198">
        <f>SUMIF(VA!B:B,A607,VA!I:I)</f>
        <v>359.46</v>
      </c>
      <c r="I607" s="32">
        <f>SUMIF(VR!B:B,A607,VR!I:I)</f>
        <v>657.5</v>
      </c>
      <c r="J607" s="4">
        <f t="shared" si="9"/>
        <v>1016.96</v>
      </c>
      <c r="K607" s="179">
        <f>SUMIF(FALTAS!A:A,A607,FALTAS!D:D)</f>
        <v>0</v>
      </c>
    </row>
    <row r="608" spans="1:11" x14ac:dyDescent="0.25">
      <c r="A608" s="235">
        <v>113474</v>
      </c>
      <c r="B608" s="162" t="s">
        <v>799</v>
      </c>
      <c r="C608" s="162" t="s">
        <v>5</v>
      </c>
      <c r="D608" s="162" t="s">
        <v>8</v>
      </c>
      <c r="E608" s="231">
        <v>43617</v>
      </c>
      <c r="F608" s="162" t="s">
        <v>1229</v>
      </c>
      <c r="G608" s="231">
        <v>44960</v>
      </c>
      <c r="H608" s="198">
        <f>SUMIF(VA!B:B,A608,VA!I:I)</f>
        <v>359.46</v>
      </c>
      <c r="I608" s="32">
        <f>SUMIF(VR!B:B,A608,VR!I:I)</f>
        <v>657.5</v>
      </c>
      <c r="J608" s="4">
        <f t="shared" si="9"/>
        <v>1016.96</v>
      </c>
      <c r="K608" s="179">
        <f>SUMIF(FALTAS!A:A,A608,FALTAS!D:D)</f>
        <v>0</v>
      </c>
    </row>
    <row r="609" spans="1:11" x14ac:dyDescent="0.25">
      <c r="A609" s="235">
        <v>121323</v>
      </c>
      <c r="B609" s="162" t="s">
        <v>1527</v>
      </c>
      <c r="C609" s="162" t="s">
        <v>5</v>
      </c>
      <c r="D609" s="162" t="s">
        <v>1578</v>
      </c>
      <c r="E609" s="231">
        <v>44945</v>
      </c>
      <c r="F609" s="162" t="s">
        <v>1229</v>
      </c>
      <c r="G609" s="231">
        <v>44945</v>
      </c>
      <c r="H609" s="198">
        <f>SUMIF(VA!B:B,A609,VA!I:I)</f>
        <v>359.46</v>
      </c>
      <c r="I609" s="32">
        <f>SUMIF(VR!B:B,A609,VR!I:I)</f>
        <v>657.5</v>
      </c>
      <c r="J609" s="4">
        <f t="shared" si="9"/>
        <v>1016.96</v>
      </c>
      <c r="K609" s="179">
        <f>SUMIF(FALTAS!A:A,A609,FALTAS!D:D)</f>
        <v>0</v>
      </c>
    </row>
    <row r="610" spans="1:11" x14ac:dyDescent="0.25">
      <c r="A610" s="235">
        <v>113478</v>
      </c>
      <c r="B610" s="162" t="s">
        <v>801</v>
      </c>
      <c r="C610" s="162" t="s">
        <v>406</v>
      </c>
      <c r="D610" s="162" t="s">
        <v>1578</v>
      </c>
      <c r="E610" s="231">
        <v>43617</v>
      </c>
      <c r="F610" s="162" t="s">
        <v>1229</v>
      </c>
      <c r="G610" s="231">
        <v>45149</v>
      </c>
      <c r="H610" s="198">
        <f>SUMIF(VA!B:B,A610,VA!I:I)</f>
        <v>359.46</v>
      </c>
      <c r="I610" s="32">
        <f>SUMIF(VR!B:B,A610,VR!I:I)</f>
        <v>657.5</v>
      </c>
      <c r="J610" s="4">
        <f t="shared" si="9"/>
        <v>1016.96</v>
      </c>
      <c r="K610" s="179">
        <f>SUMIF(FALTAS!A:A,A610,FALTAS!D:D)</f>
        <v>0</v>
      </c>
    </row>
    <row r="611" spans="1:11" x14ac:dyDescent="0.25">
      <c r="A611" s="235">
        <v>114942</v>
      </c>
      <c r="B611" s="162" t="s">
        <v>1121</v>
      </c>
      <c r="C611" s="162" t="s">
        <v>22</v>
      </c>
      <c r="D611" s="162" t="s">
        <v>1578</v>
      </c>
      <c r="E611" s="231">
        <v>43916</v>
      </c>
      <c r="F611" s="162" t="s">
        <v>1229</v>
      </c>
      <c r="G611" s="231">
        <v>45086</v>
      </c>
      <c r="H611" s="198">
        <f>SUMIF(VA!B:B,A611,VA!I:I)</f>
        <v>359.46</v>
      </c>
      <c r="I611" s="32">
        <f>SUMIF(VR!B:B,A611,VR!I:I)</f>
        <v>657.5</v>
      </c>
      <c r="J611" s="4">
        <f t="shared" si="9"/>
        <v>1016.96</v>
      </c>
      <c r="K611" s="179">
        <f>SUMIF(FALTAS!A:A,A611,FALTAS!D:D)</f>
        <v>0</v>
      </c>
    </row>
    <row r="612" spans="1:11" x14ac:dyDescent="0.25">
      <c r="A612" s="235">
        <v>113480</v>
      </c>
      <c r="B612" s="162" t="s">
        <v>802</v>
      </c>
      <c r="C612" s="162" t="s">
        <v>2</v>
      </c>
      <c r="D612" s="162" t="s">
        <v>10</v>
      </c>
      <c r="E612" s="231">
        <v>43617</v>
      </c>
      <c r="F612" s="162" t="s">
        <v>1229</v>
      </c>
      <c r="G612" s="231">
        <v>44960</v>
      </c>
      <c r="H612" s="198">
        <f>SUMIF(VA!B:B,A612,VA!I:I)</f>
        <v>359.46</v>
      </c>
      <c r="I612" s="32">
        <f>SUMIF(VR!B:B,A612,VR!I:I)</f>
        <v>657.5</v>
      </c>
      <c r="J612" s="4">
        <f t="shared" si="9"/>
        <v>1016.96</v>
      </c>
      <c r="K612" s="179">
        <f>SUMIF(FALTAS!A:A,A612,FALTAS!D:D)</f>
        <v>0</v>
      </c>
    </row>
    <row r="613" spans="1:11" x14ac:dyDescent="0.25">
      <c r="A613" s="235">
        <v>114944</v>
      </c>
      <c r="B613" s="162" t="s">
        <v>1123</v>
      </c>
      <c r="C613" s="162" t="s">
        <v>5</v>
      </c>
      <c r="D613" s="162" t="s">
        <v>1578</v>
      </c>
      <c r="E613" s="231">
        <v>43916</v>
      </c>
      <c r="F613" s="162" t="s">
        <v>1229</v>
      </c>
      <c r="G613" s="231">
        <v>45056</v>
      </c>
      <c r="H613" s="198">
        <f>SUMIF(VA!B:B,A613,VA!I:I)</f>
        <v>359.46</v>
      </c>
      <c r="I613" s="32">
        <f>SUMIF(VR!B:B,A613,VR!I:I)</f>
        <v>657.5</v>
      </c>
      <c r="J613" s="4">
        <f t="shared" si="9"/>
        <v>1016.96</v>
      </c>
      <c r="K613" s="179">
        <f>SUMIF(FALTAS!A:A,A613,FALTAS!D:D)</f>
        <v>0</v>
      </c>
    </row>
    <row r="614" spans="1:11" x14ac:dyDescent="0.25">
      <c r="A614" s="235">
        <v>117234</v>
      </c>
      <c r="B614" s="162" t="s">
        <v>1251</v>
      </c>
      <c r="C614" s="162" t="s">
        <v>5</v>
      </c>
      <c r="D614" s="162" t="s">
        <v>8</v>
      </c>
      <c r="E614" s="231">
        <v>44487</v>
      </c>
      <c r="F614" s="162" t="s">
        <v>1229</v>
      </c>
      <c r="G614" s="231">
        <v>44960</v>
      </c>
      <c r="H614" s="198">
        <f>SUMIF(VA!B:B,A614,VA!I:I)</f>
        <v>359.46</v>
      </c>
      <c r="I614" s="32">
        <f>SUMIF(VR!B:B,A614,VR!I:I)</f>
        <v>657.5</v>
      </c>
      <c r="J614" s="4">
        <f t="shared" si="9"/>
        <v>1016.96</v>
      </c>
      <c r="K614" s="179">
        <f>SUMIF(FALTAS!A:A,A614,FALTAS!D:D)</f>
        <v>0</v>
      </c>
    </row>
    <row r="615" spans="1:11" x14ac:dyDescent="0.25">
      <c r="A615" s="235">
        <v>121677</v>
      </c>
      <c r="B615" s="162" t="s">
        <v>1586</v>
      </c>
      <c r="C615" s="162" t="s">
        <v>5</v>
      </c>
      <c r="D615" s="162" t="s">
        <v>0</v>
      </c>
      <c r="E615" s="231">
        <v>44994</v>
      </c>
      <c r="F615" s="162" t="s">
        <v>1229</v>
      </c>
      <c r="G615" s="231">
        <v>44994</v>
      </c>
      <c r="H615" s="198">
        <f>SUMIF(VA!B:B,A615,VA!I:I)</f>
        <v>359.46</v>
      </c>
      <c r="I615" s="32">
        <f>SUMIF(VR!B:B,A615,VR!I:I)</f>
        <v>657.5</v>
      </c>
      <c r="J615" s="4">
        <f t="shared" si="9"/>
        <v>1016.96</v>
      </c>
      <c r="K615" s="179">
        <f>SUMIF(FALTAS!A:A,A615,FALTAS!D:D)</f>
        <v>0</v>
      </c>
    </row>
    <row r="616" spans="1:11" x14ac:dyDescent="0.25">
      <c r="A616" s="235">
        <v>113487</v>
      </c>
      <c r="B616" s="162" t="s">
        <v>805</v>
      </c>
      <c r="C616" s="162" t="s">
        <v>22</v>
      </c>
      <c r="D616" s="162" t="s">
        <v>1578</v>
      </c>
      <c r="E616" s="231">
        <v>43617</v>
      </c>
      <c r="F616" s="162" t="s">
        <v>1279</v>
      </c>
      <c r="G616" s="231">
        <v>45006</v>
      </c>
      <c r="H616" s="198">
        <f>SUMIF(VA!B:B,A616,VA!I:I)</f>
        <v>0</v>
      </c>
      <c r="I616" s="32">
        <f>SUMIF(VR!B:B,A616,VR!I:I)</f>
        <v>0</v>
      </c>
      <c r="J616" s="4">
        <f t="shared" si="9"/>
        <v>0</v>
      </c>
      <c r="K616" s="179">
        <f>SUMIF(FALTAS!A:A,A616,FALTAS!D:D)</f>
        <v>0</v>
      </c>
    </row>
    <row r="617" spans="1:11" x14ac:dyDescent="0.25">
      <c r="A617" s="235">
        <v>113489</v>
      </c>
      <c r="B617" s="162" t="s">
        <v>806</v>
      </c>
      <c r="C617" s="162" t="s">
        <v>2</v>
      </c>
      <c r="D617" s="162" t="s">
        <v>19</v>
      </c>
      <c r="E617" s="231">
        <v>43617</v>
      </c>
      <c r="F617" s="162" t="s">
        <v>1229</v>
      </c>
      <c r="G617" s="231">
        <v>44898</v>
      </c>
      <c r="H617" s="198">
        <f>SUMIF(VA!B:B,A617,VA!I:I)</f>
        <v>359.46</v>
      </c>
      <c r="I617" s="32">
        <f>SUMIF(VR!B:B,A617,VR!I:I)</f>
        <v>657.5</v>
      </c>
      <c r="J617" s="4">
        <f t="shared" si="9"/>
        <v>1016.96</v>
      </c>
      <c r="K617" s="179">
        <f>SUMIF(FALTAS!A:A,A617,FALTAS!D:D)</f>
        <v>0</v>
      </c>
    </row>
    <row r="618" spans="1:11" x14ac:dyDescent="0.25">
      <c r="A618" s="235">
        <v>113499</v>
      </c>
      <c r="B618" s="162" t="s">
        <v>811</v>
      </c>
      <c r="C618" s="162" t="s">
        <v>2</v>
      </c>
      <c r="D618" s="162" t="s">
        <v>0</v>
      </c>
      <c r="E618" s="231">
        <v>43617</v>
      </c>
      <c r="F618" s="162" t="s">
        <v>1229</v>
      </c>
      <c r="G618" s="231">
        <v>44960</v>
      </c>
      <c r="H618" s="198">
        <f>SUMIF(VA!B:B,A618,VA!I:I)</f>
        <v>359.46</v>
      </c>
      <c r="I618" s="32">
        <f>SUMIF(VR!B:B,A618,VR!I:I)</f>
        <v>657.5</v>
      </c>
      <c r="J618" s="4">
        <f t="shared" si="9"/>
        <v>1016.96</v>
      </c>
      <c r="K618" s="179">
        <f>SUMIF(FALTAS!A:A,A618,FALTAS!D:D)</f>
        <v>0</v>
      </c>
    </row>
    <row r="619" spans="1:11" x14ac:dyDescent="0.25">
      <c r="A619" s="235">
        <v>113505</v>
      </c>
      <c r="B619" s="162" t="s">
        <v>814</v>
      </c>
      <c r="C619" s="162" t="s">
        <v>2</v>
      </c>
      <c r="D619" s="162" t="s">
        <v>0</v>
      </c>
      <c r="E619" s="231">
        <v>43617</v>
      </c>
      <c r="F619" s="162" t="s">
        <v>1229</v>
      </c>
      <c r="G619" s="231">
        <v>44989</v>
      </c>
      <c r="H619" s="198">
        <f>SUMIF(VA!B:B,A619,VA!I:I)</f>
        <v>359.46</v>
      </c>
      <c r="I619" s="32">
        <f>SUMIF(VR!B:B,A619,VR!I:I)</f>
        <v>657.5</v>
      </c>
      <c r="J619" s="4">
        <f t="shared" si="9"/>
        <v>1016.96</v>
      </c>
      <c r="K619" s="179">
        <f>SUMIF(FALTAS!A:A,A619,FALTAS!D:D)</f>
        <v>0</v>
      </c>
    </row>
    <row r="620" spans="1:11" x14ac:dyDescent="0.25">
      <c r="A620" s="235">
        <v>116229</v>
      </c>
      <c r="B620" s="162" t="s">
        <v>1192</v>
      </c>
      <c r="C620" s="162" t="s">
        <v>5</v>
      </c>
      <c r="D620" s="162" t="s">
        <v>8</v>
      </c>
      <c r="E620" s="231">
        <v>44273</v>
      </c>
      <c r="F620" s="162" t="s">
        <v>1229</v>
      </c>
      <c r="G620" s="231">
        <v>44744</v>
      </c>
      <c r="H620" s="198">
        <f>SUMIF(VA!B:B,A620,VA!I:I)</f>
        <v>359.46</v>
      </c>
      <c r="I620" s="32">
        <f>SUMIF(VR!B:B,A620,VR!I:I)</f>
        <v>657.5</v>
      </c>
      <c r="J620" s="4">
        <f t="shared" si="9"/>
        <v>1016.96</v>
      </c>
      <c r="K620" s="179">
        <f>SUMIF(FALTAS!A:A,A620,FALTAS!D:D)</f>
        <v>0</v>
      </c>
    </row>
    <row r="621" spans="1:11" x14ac:dyDescent="0.25">
      <c r="A621" s="235">
        <v>113519</v>
      </c>
      <c r="B621" s="162" t="s">
        <v>820</v>
      </c>
      <c r="C621" s="162" t="s">
        <v>39</v>
      </c>
      <c r="D621" s="162" t="s">
        <v>0</v>
      </c>
      <c r="E621" s="231">
        <v>43617</v>
      </c>
      <c r="F621" s="162" t="s">
        <v>1229</v>
      </c>
      <c r="G621" s="231">
        <v>44867</v>
      </c>
      <c r="H621" s="198">
        <f>SUMIF(VA!B:B,A621,VA!I:I)</f>
        <v>359.46</v>
      </c>
      <c r="I621" s="32">
        <f>SUMIF(VR!B:B,A621,VR!I:I)</f>
        <v>657.5</v>
      </c>
      <c r="J621" s="4">
        <f t="shared" si="9"/>
        <v>1016.96</v>
      </c>
      <c r="K621" s="179">
        <f>SUMIF(FALTAS!A:A,A621,FALTAS!D:D)</f>
        <v>0</v>
      </c>
    </row>
    <row r="622" spans="1:11" x14ac:dyDescent="0.25">
      <c r="A622" s="235">
        <v>112529</v>
      </c>
      <c r="B622" s="162" t="s">
        <v>241</v>
      </c>
      <c r="C622" s="162" t="s">
        <v>2</v>
      </c>
      <c r="D622" s="162" t="s">
        <v>8</v>
      </c>
      <c r="E622" s="231">
        <v>43617</v>
      </c>
      <c r="F622" s="162" t="s">
        <v>1229</v>
      </c>
      <c r="G622" s="231">
        <v>44835</v>
      </c>
      <c r="H622" s="198">
        <f>SUMIF(VA!B:B,A622,VA!I:I)</f>
        <v>359.46</v>
      </c>
      <c r="I622" s="32">
        <f>SUMIF(VR!B:B,A622,VR!I:I)</f>
        <v>657.5</v>
      </c>
      <c r="J622" s="4">
        <f t="shared" si="9"/>
        <v>1016.96</v>
      </c>
      <c r="K622" s="179">
        <f>SUMIF(FALTAS!A:A,A622,FALTAS!D:D)</f>
        <v>0</v>
      </c>
    </row>
    <row r="623" spans="1:11" x14ac:dyDescent="0.25">
      <c r="A623" s="235">
        <v>114963</v>
      </c>
      <c r="B623" s="162" t="s">
        <v>1128</v>
      </c>
      <c r="C623" s="162" t="s">
        <v>5</v>
      </c>
      <c r="D623" s="162" t="s">
        <v>1578</v>
      </c>
      <c r="E623" s="231">
        <v>43917</v>
      </c>
      <c r="F623" s="162" t="s">
        <v>1229</v>
      </c>
      <c r="G623" s="231">
        <v>45086</v>
      </c>
      <c r="H623" s="198">
        <f>SUMIF(VA!B:B,A623,VA!I:I)</f>
        <v>359.46</v>
      </c>
      <c r="I623" s="32">
        <f>SUMIF(VR!B:B,A623,VR!I:I)</f>
        <v>657.5</v>
      </c>
      <c r="J623" s="4">
        <f t="shared" si="9"/>
        <v>1016.96</v>
      </c>
      <c r="K623" s="179">
        <f>SUMIF(FALTAS!A:A,A623,FALTAS!D:D)</f>
        <v>0</v>
      </c>
    </row>
    <row r="624" spans="1:11" x14ac:dyDescent="0.25">
      <c r="A624" s="235">
        <v>122559</v>
      </c>
      <c r="B624" s="162" t="s">
        <v>1685</v>
      </c>
      <c r="C624" s="162" t="s">
        <v>5</v>
      </c>
      <c r="D624" s="162" t="s">
        <v>32</v>
      </c>
      <c r="E624" s="231">
        <v>45131</v>
      </c>
      <c r="F624" s="162" t="s">
        <v>1229</v>
      </c>
      <c r="G624" s="231">
        <v>45131</v>
      </c>
      <c r="H624" s="198">
        <f>SUMIF(VA!B:B,A624,VA!I:I)</f>
        <v>359.46</v>
      </c>
      <c r="I624" s="32">
        <f>SUMIF(VR!B:B,A624,VR!I:I)</f>
        <v>657.5</v>
      </c>
      <c r="J624" s="4">
        <f t="shared" si="9"/>
        <v>1016.96</v>
      </c>
      <c r="K624" s="179">
        <f>SUMIF(FALTAS!A:A,A624,FALTAS!D:D)</f>
        <v>0</v>
      </c>
    </row>
    <row r="625" spans="1:11" x14ac:dyDescent="0.25">
      <c r="A625" s="235">
        <v>121689</v>
      </c>
      <c r="B625" s="162" t="s">
        <v>1587</v>
      </c>
      <c r="C625" s="162" t="s">
        <v>5</v>
      </c>
      <c r="D625" s="162" t="s">
        <v>32</v>
      </c>
      <c r="E625" s="231">
        <v>44994</v>
      </c>
      <c r="F625" s="162" t="s">
        <v>1229</v>
      </c>
      <c r="G625" s="231">
        <v>44994</v>
      </c>
      <c r="H625" s="198">
        <f>SUMIF(VA!B:B,A625,VA!I:I)</f>
        <v>335.49</v>
      </c>
      <c r="I625" s="32">
        <f>SUMIF(VR!B:B,A625,VR!I:I)</f>
        <v>604.9</v>
      </c>
      <c r="J625" s="4">
        <f t="shared" si="9"/>
        <v>940.39</v>
      </c>
      <c r="K625" s="179">
        <f>SUMIF(FALTAS!A:A,A625,FALTAS!D:D)</f>
        <v>2</v>
      </c>
    </row>
    <row r="626" spans="1:11" x14ac:dyDescent="0.25">
      <c r="A626" s="235">
        <v>121330</v>
      </c>
      <c r="B626" s="162" t="s">
        <v>1528</v>
      </c>
      <c r="C626" s="162" t="s">
        <v>2</v>
      </c>
      <c r="D626" s="162" t="s">
        <v>8</v>
      </c>
      <c r="E626" s="231">
        <v>44945</v>
      </c>
      <c r="F626" s="162" t="s">
        <v>1229</v>
      </c>
      <c r="G626" s="231">
        <v>44945</v>
      </c>
      <c r="H626" s="198">
        <f>SUMIF(VA!B:B,A626,VA!I:I)</f>
        <v>359.46</v>
      </c>
      <c r="I626" s="32">
        <f>SUMIF(VR!B:B,A626,VR!I:I)</f>
        <v>657.5</v>
      </c>
      <c r="J626" s="4">
        <f t="shared" si="9"/>
        <v>1016.96</v>
      </c>
      <c r="K626" s="179">
        <f>SUMIF(FALTAS!A:A,A626,FALTAS!D:D)</f>
        <v>0</v>
      </c>
    </row>
    <row r="627" spans="1:11" x14ac:dyDescent="0.25">
      <c r="A627" s="235">
        <v>112531</v>
      </c>
      <c r="B627" s="162" t="s">
        <v>243</v>
      </c>
      <c r="C627" s="162" t="s">
        <v>2</v>
      </c>
      <c r="D627" s="162" t="s">
        <v>32</v>
      </c>
      <c r="E627" s="231">
        <v>43617</v>
      </c>
      <c r="F627" s="162" t="s">
        <v>1229</v>
      </c>
      <c r="G627" s="231">
        <v>44911</v>
      </c>
      <c r="H627" s="198">
        <f>SUMIF(VA!B:B,A627,VA!I:I)</f>
        <v>359.46</v>
      </c>
      <c r="I627" s="32">
        <f>SUMIF(VR!B:B,A627,VR!I:I)</f>
        <v>657.5</v>
      </c>
      <c r="J627" s="4">
        <f t="shared" si="9"/>
        <v>1016.96</v>
      </c>
      <c r="K627" s="179">
        <f>SUMIF(FALTAS!A:A,A627,FALTAS!D:D)</f>
        <v>0</v>
      </c>
    </row>
    <row r="628" spans="1:11" x14ac:dyDescent="0.25">
      <c r="A628" s="235">
        <v>113426</v>
      </c>
      <c r="B628" s="162" t="s">
        <v>772</v>
      </c>
      <c r="C628" s="162" t="s">
        <v>2</v>
      </c>
      <c r="D628" s="162" t="s">
        <v>0</v>
      </c>
      <c r="E628" s="231">
        <v>43617</v>
      </c>
      <c r="F628" s="162" t="s">
        <v>1229</v>
      </c>
      <c r="G628" s="231">
        <v>44960</v>
      </c>
      <c r="H628" s="198">
        <f>SUMIF(VA!B:B,A628,VA!I:I)</f>
        <v>359.46</v>
      </c>
      <c r="I628" s="32">
        <f>SUMIF(VR!B:B,A628,VR!I:I)</f>
        <v>657.5</v>
      </c>
      <c r="J628" s="4">
        <f t="shared" si="9"/>
        <v>1016.96</v>
      </c>
      <c r="K628" s="179">
        <f>SUMIF(FALTAS!A:A,A628,FALTAS!D:D)</f>
        <v>0</v>
      </c>
    </row>
    <row r="629" spans="1:11" x14ac:dyDescent="0.25">
      <c r="A629" s="235">
        <v>113050</v>
      </c>
      <c r="B629" s="162" t="s">
        <v>560</v>
      </c>
      <c r="C629" s="162" t="s">
        <v>2</v>
      </c>
      <c r="D629" s="162" t="s">
        <v>19</v>
      </c>
      <c r="E629" s="231">
        <v>43617</v>
      </c>
      <c r="F629" s="162" t="s">
        <v>1229</v>
      </c>
      <c r="G629" s="231">
        <v>44960</v>
      </c>
      <c r="H629" s="198">
        <f>SUMIF(VA!B:B,A629,VA!I:I)</f>
        <v>359.46</v>
      </c>
      <c r="I629" s="32">
        <f>SUMIF(VR!B:B,A629,VR!I:I)</f>
        <v>657.5</v>
      </c>
      <c r="J629" s="4">
        <f t="shared" si="9"/>
        <v>1016.96</v>
      </c>
      <c r="K629" s="179">
        <f>SUMIF(FALTAS!A:A,A629,FALTAS!D:D)</f>
        <v>0</v>
      </c>
    </row>
    <row r="630" spans="1:11" x14ac:dyDescent="0.25">
      <c r="A630" s="235">
        <v>113093</v>
      </c>
      <c r="B630" s="162" t="s">
        <v>581</v>
      </c>
      <c r="C630" s="162" t="s">
        <v>5</v>
      </c>
      <c r="D630" s="162" t="s">
        <v>0</v>
      </c>
      <c r="E630" s="231">
        <v>43617</v>
      </c>
      <c r="F630" s="162" t="s">
        <v>1229</v>
      </c>
      <c r="G630" s="231">
        <v>44960</v>
      </c>
      <c r="H630" s="198">
        <f>SUMIF(VA!B:B,A630,VA!I:I)</f>
        <v>359.46</v>
      </c>
      <c r="I630" s="32">
        <f>SUMIF(VR!B:B,A630,VR!I:I)</f>
        <v>657.5</v>
      </c>
      <c r="J630" s="4">
        <f t="shared" si="9"/>
        <v>1016.96</v>
      </c>
      <c r="K630" s="179">
        <f>SUMIF(FALTAS!A:A,A630,FALTAS!D:D)</f>
        <v>0</v>
      </c>
    </row>
    <row r="631" spans="1:11" x14ac:dyDescent="0.25">
      <c r="A631" s="235">
        <v>113094</v>
      </c>
      <c r="B631" s="162" t="s">
        <v>582</v>
      </c>
      <c r="C631" s="162" t="s">
        <v>5</v>
      </c>
      <c r="D631" s="162" t="s">
        <v>1578</v>
      </c>
      <c r="E631" s="231">
        <v>43617</v>
      </c>
      <c r="F631" s="162" t="s">
        <v>1229</v>
      </c>
      <c r="G631" s="231">
        <v>44776</v>
      </c>
      <c r="H631" s="198">
        <f>SUMIF(VA!B:B,A631,VA!I:I)</f>
        <v>359.46</v>
      </c>
      <c r="I631" s="32">
        <f>SUMIF(VR!B:B,A631,VR!I:I)</f>
        <v>657.5</v>
      </c>
      <c r="J631" s="4">
        <f t="shared" si="9"/>
        <v>1016.96</v>
      </c>
      <c r="K631" s="179">
        <f>SUMIF(FALTAS!A:A,A631,FALTAS!D:D)</f>
        <v>0</v>
      </c>
    </row>
    <row r="632" spans="1:11" x14ac:dyDescent="0.25">
      <c r="A632" s="235">
        <v>112178</v>
      </c>
      <c r="B632" s="162" t="s">
        <v>16</v>
      </c>
      <c r="C632" s="162" t="s">
        <v>5</v>
      </c>
      <c r="D632" s="162" t="s">
        <v>10</v>
      </c>
      <c r="E632" s="231">
        <v>43617</v>
      </c>
      <c r="F632" s="162" t="s">
        <v>1229</v>
      </c>
      <c r="G632" s="231">
        <v>44806</v>
      </c>
      <c r="H632" s="198">
        <f>SUMIF(VA!B:B,A632,VA!I:I)</f>
        <v>359.46</v>
      </c>
      <c r="I632" s="32">
        <f>SUMIF(VR!B:B,A632,VR!I:I)</f>
        <v>657.5</v>
      </c>
      <c r="J632" s="4">
        <f t="shared" si="9"/>
        <v>1016.96</v>
      </c>
      <c r="K632" s="179">
        <f>SUMIF(FALTAS!A:A,A632,FALTAS!D:D)</f>
        <v>0</v>
      </c>
    </row>
    <row r="633" spans="1:11" x14ac:dyDescent="0.25">
      <c r="A633" s="235">
        <v>113098</v>
      </c>
      <c r="B633" s="162" t="s">
        <v>584</v>
      </c>
      <c r="C633" s="162" t="s">
        <v>22</v>
      </c>
      <c r="D633" s="162" t="s">
        <v>1578</v>
      </c>
      <c r="E633" s="231">
        <v>43617</v>
      </c>
      <c r="F633" s="162" t="s">
        <v>1230</v>
      </c>
      <c r="G633" s="231">
        <v>45180</v>
      </c>
      <c r="H633" s="198">
        <f>SUMIF(VA!B:B,A633,VA!I:I)</f>
        <v>359.46</v>
      </c>
      <c r="I633" s="32">
        <f>SUMIF(VR!B:B,A633,VR!I:I)</f>
        <v>657.5</v>
      </c>
      <c r="J633" s="4">
        <f t="shared" si="9"/>
        <v>1016.96</v>
      </c>
      <c r="K633" s="179">
        <f>SUMIF(FALTAS!A:A,A633,FALTAS!D:D)</f>
        <v>0</v>
      </c>
    </row>
    <row r="634" spans="1:11" x14ac:dyDescent="0.25">
      <c r="A634" s="235">
        <v>116236</v>
      </c>
      <c r="B634" s="162" t="s">
        <v>1196</v>
      </c>
      <c r="C634" s="162" t="s">
        <v>2</v>
      </c>
      <c r="D634" s="162" t="s">
        <v>8</v>
      </c>
      <c r="E634" s="231">
        <v>44273</v>
      </c>
      <c r="F634" s="162" t="s">
        <v>1229</v>
      </c>
      <c r="G634" s="231">
        <v>45086</v>
      </c>
      <c r="H634" s="198">
        <f>SUMIF(VA!B:B,A634,VA!I:I)</f>
        <v>359.46</v>
      </c>
      <c r="I634" s="32">
        <f>SUMIF(VR!B:B,A634,VR!I:I)</f>
        <v>657.5</v>
      </c>
      <c r="J634" s="4">
        <f t="shared" si="9"/>
        <v>1016.96</v>
      </c>
      <c r="K634" s="179">
        <f>SUMIF(FALTAS!A:A,A634,FALTAS!D:D)</f>
        <v>0</v>
      </c>
    </row>
    <row r="635" spans="1:11" x14ac:dyDescent="0.25">
      <c r="A635" s="235">
        <v>113072</v>
      </c>
      <c r="B635" s="162" t="s">
        <v>569</v>
      </c>
      <c r="C635" s="162" t="s">
        <v>5</v>
      </c>
      <c r="D635" s="162" t="s">
        <v>0</v>
      </c>
      <c r="E635" s="231">
        <v>43617</v>
      </c>
      <c r="F635" s="162" t="s">
        <v>1229</v>
      </c>
      <c r="G635" s="231">
        <v>44930</v>
      </c>
      <c r="H635" s="198">
        <f>SUMIF(VA!B:B,A635,VA!I:I)</f>
        <v>359.46</v>
      </c>
      <c r="I635" s="32">
        <f>SUMIF(VR!B:B,A635,VR!I:I)</f>
        <v>657.5</v>
      </c>
      <c r="J635" s="4">
        <f t="shared" si="9"/>
        <v>1016.96</v>
      </c>
      <c r="K635" s="179">
        <f>SUMIF(FALTAS!A:A,A635,FALTAS!D:D)</f>
        <v>0</v>
      </c>
    </row>
    <row r="636" spans="1:11" x14ac:dyDescent="0.25">
      <c r="A636" s="235">
        <v>112774</v>
      </c>
      <c r="B636" s="162" t="s">
        <v>398</v>
      </c>
      <c r="C636" s="162" t="s">
        <v>2</v>
      </c>
      <c r="D636" s="162" t="s">
        <v>8</v>
      </c>
      <c r="E636" s="231">
        <v>43617</v>
      </c>
      <c r="F636" s="162" t="s">
        <v>1229</v>
      </c>
      <c r="G636" s="231">
        <v>45023</v>
      </c>
      <c r="H636" s="198">
        <f>SUMIF(VA!B:B,A636,VA!I:I)</f>
        <v>359.46</v>
      </c>
      <c r="I636" s="32">
        <f>SUMIF(VR!B:B,A636,VR!I:I)</f>
        <v>657.5</v>
      </c>
      <c r="J636" s="4">
        <f t="shared" si="9"/>
        <v>1016.96</v>
      </c>
      <c r="K636" s="179">
        <f>SUMIF(FALTAS!A:A,A636,FALTAS!D:D)</f>
        <v>0</v>
      </c>
    </row>
    <row r="637" spans="1:11" x14ac:dyDescent="0.25">
      <c r="A637" s="235">
        <v>113164</v>
      </c>
      <c r="B637" s="162" t="s">
        <v>622</v>
      </c>
      <c r="C637" s="162" t="s">
        <v>22</v>
      </c>
      <c r="D637" s="162" t="s">
        <v>1578</v>
      </c>
      <c r="E637" s="231">
        <v>43617</v>
      </c>
      <c r="F637" s="162" t="s">
        <v>1229</v>
      </c>
      <c r="G637" s="231">
        <v>44960</v>
      </c>
      <c r="H637" s="198">
        <f>SUMIF(VA!B:B,A637,VA!I:I)</f>
        <v>359.46</v>
      </c>
      <c r="I637" s="32">
        <f>SUMIF(VR!B:B,A637,VR!I:I)</f>
        <v>657.5</v>
      </c>
      <c r="J637" s="4">
        <f t="shared" si="9"/>
        <v>1016.96</v>
      </c>
      <c r="K637" s="179">
        <f>SUMIF(FALTAS!A:A,A637,FALTAS!D:D)</f>
        <v>0</v>
      </c>
    </row>
    <row r="638" spans="1:11" x14ac:dyDescent="0.25">
      <c r="A638" s="235">
        <v>112967</v>
      </c>
      <c r="B638" s="162" t="s">
        <v>524</v>
      </c>
      <c r="C638" s="162" t="s">
        <v>5</v>
      </c>
      <c r="D638" s="162" t="s">
        <v>32</v>
      </c>
      <c r="E638" s="231">
        <v>43617</v>
      </c>
      <c r="F638" s="162" t="s">
        <v>1230</v>
      </c>
      <c r="G638" s="231">
        <v>45180</v>
      </c>
      <c r="H638" s="198">
        <f>SUMIF(VA!B:B,A638,VA!I:I)</f>
        <v>359.46</v>
      </c>
      <c r="I638" s="32">
        <f>SUMIF(VR!B:B,A638,VR!I:I)</f>
        <v>657.5</v>
      </c>
      <c r="J638" s="4">
        <f t="shared" si="9"/>
        <v>1016.96</v>
      </c>
      <c r="K638" s="179">
        <f>SUMIF(FALTAS!A:A,A638,FALTAS!D:D)</f>
        <v>0</v>
      </c>
    </row>
    <row r="639" spans="1:11" x14ac:dyDescent="0.25">
      <c r="A639" s="235">
        <v>121953</v>
      </c>
      <c r="B639" s="162" t="s">
        <v>1609</v>
      </c>
      <c r="C639" s="162" t="s">
        <v>5</v>
      </c>
      <c r="D639" s="162" t="s">
        <v>0</v>
      </c>
      <c r="E639" s="231">
        <v>45040</v>
      </c>
      <c r="F639" s="162" t="s">
        <v>1229</v>
      </c>
      <c r="G639" s="231">
        <v>45040</v>
      </c>
      <c r="H639" s="198">
        <f>SUMIF(VA!B:B,A639,VA!I:I)</f>
        <v>359.46</v>
      </c>
      <c r="I639" s="32">
        <f>SUMIF(VR!B:B,A639,VR!I:I)</f>
        <v>657.5</v>
      </c>
      <c r="J639" s="4">
        <f t="shared" si="9"/>
        <v>1016.96</v>
      </c>
      <c r="K639" s="179">
        <f>SUMIF(FALTAS!A:A,A639,FALTAS!D:D)</f>
        <v>0</v>
      </c>
    </row>
    <row r="640" spans="1:11" x14ac:dyDescent="0.25">
      <c r="A640" s="235">
        <v>116010</v>
      </c>
      <c r="B640" s="162" t="s">
        <v>1171</v>
      </c>
      <c r="C640" s="162" t="s">
        <v>5</v>
      </c>
      <c r="D640" s="162" t="s">
        <v>0</v>
      </c>
      <c r="E640" s="231">
        <v>44207</v>
      </c>
      <c r="F640" s="162" t="s">
        <v>1229</v>
      </c>
      <c r="G640" s="231">
        <v>45149</v>
      </c>
      <c r="H640" s="198">
        <f>SUMIF(VA!B:B,A640,VA!I:I)</f>
        <v>359.46</v>
      </c>
      <c r="I640" s="32">
        <f>SUMIF(VR!B:B,A640,VR!I:I)</f>
        <v>657.5</v>
      </c>
      <c r="J640" s="4">
        <f t="shared" si="9"/>
        <v>1016.96</v>
      </c>
      <c r="K640" s="179">
        <f>SUMIF(FALTAS!A:A,A640,FALTAS!D:D)</f>
        <v>0</v>
      </c>
    </row>
    <row r="641" spans="1:11" x14ac:dyDescent="0.25">
      <c r="A641" s="235">
        <v>121414</v>
      </c>
      <c r="B641" s="162" t="s">
        <v>1560</v>
      </c>
      <c r="C641" s="162" t="s">
        <v>5</v>
      </c>
      <c r="D641" s="162" t="s">
        <v>19</v>
      </c>
      <c r="E641" s="231">
        <v>44967</v>
      </c>
      <c r="F641" s="162" t="s">
        <v>1229</v>
      </c>
      <c r="G641" s="231">
        <v>44967</v>
      </c>
      <c r="H641" s="198">
        <f>SUMIF(VA!B:B,A641,VA!I:I)</f>
        <v>359.46</v>
      </c>
      <c r="I641" s="32">
        <f>SUMIF(VR!B:B,A641,VR!I:I)</f>
        <v>657.5</v>
      </c>
      <c r="J641" s="4">
        <f t="shared" ref="J641:J704" si="10">H641+I641</f>
        <v>1016.96</v>
      </c>
      <c r="K641" s="179">
        <f>SUMIF(FALTAS!A:A,A641,FALTAS!D:D)</f>
        <v>0</v>
      </c>
    </row>
    <row r="642" spans="1:11" x14ac:dyDescent="0.25">
      <c r="A642" s="235">
        <v>113406</v>
      </c>
      <c r="B642" s="162" t="s">
        <v>758</v>
      </c>
      <c r="C642" s="162" t="s">
        <v>2</v>
      </c>
      <c r="D642" s="162" t="s">
        <v>0</v>
      </c>
      <c r="E642" s="231">
        <v>43617</v>
      </c>
      <c r="F642" s="162" t="s">
        <v>1229</v>
      </c>
      <c r="G642" s="231">
        <v>44993</v>
      </c>
      <c r="H642" s="198">
        <f>SUMIF(VA!B:B,A642,VA!I:I)</f>
        <v>359.46</v>
      </c>
      <c r="I642" s="32">
        <f>SUMIF(VR!B:B,A642,VR!I:I)</f>
        <v>657.5</v>
      </c>
      <c r="J642" s="4">
        <f t="shared" si="10"/>
        <v>1016.96</v>
      </c>
      <c r="K642" s="179">
        <f>SUMIF(FALTAS!A:A,A642,FALTAS!D:D)</f>
        <v>0</v>
      </c>
    </row>
    <row r="643" spans="1:11" x14ac:dyDescent="0.25">
      <c r="A643" s="235">
        <v>118059</v>
      </c>
      <c r="B643" s="162" t="s">
        <v>1400</v>
      </c>
      <c r="C643" s="162" t="s">
        <v>5</v>
      </c>
      <c r="D643" s="162" t="s">
        <v>0</v>
      </c>
      <c r="E643" s="231">
        <v>44567</v>
      </c>
      <c r="F643" s="162" t="s">
        <v>1229</v>
      </c>
      <c r="G643" s="231">
        <v>44567</v>
      </c>
      <c r="H643" s="198">
        <f>SUMIF(VA!B:B,A643,VA!I:I)</f>
        <v>347.47</v>
      </c>
      <c r="I643" s="32">
        <f>SUMIF(VR!B:B,A643,VR!I:I)</f>
        <v>631.20000000000005</v>
      </c>
      <c r="J643" s="4">
        <f t="shared" si="10"/>
        <v>978.67000000000007</v>
      </c>
      <c r="K643" s="179">
        <f>SUMIF(FALTAS!A:A,A643,FALTAS!D:D)</f>
        <v>1</v>
      </c>
    </row>
    <row r="644" spans="1:11" x14ac:dyDescent="0.25">
      <c r="A644" s="235">
        <v>113599</v>
      </c>
      <c r="B644" s="162" t="s">
        <v>866</v>
      </c>
      <c r="C644" s="162" t="s">
        <v>15</v>
      </c>
      <c r="D644" s="162" t="s">
        <v>1578</v>
      </c>
      <c r="E644" s="231">
        <v>43617</v>
      </c>
      <c r="F644" s="162" t="s">
        <v>1229</v>
      </c>
      <c r="G644" s="231">
        <v>45177</v>
      </c>
      <c r="H644" s="198">
        <f>SUMIF(VA!B:B,A644,VA!I:I)</f>
        <v>359.46</v>
      </c>
      <c r="I644" s="32">
        <f>SUMIF(VR!B:B,A644,VR!I:I)</f>
        <v>657.5</v>
      </c>
      <c r="J644" s="4">
        <f t="shared" si="10"/>
        <v>1016.96</v>
      </c>
      <c r="K644" s="179">
        <f>SUMIF(FALTAS!A:A,A644,FALTAS!D:D)</f>
        <v>0</v>
      </c>
    </row>
    <row r="645" spans="1:11" x14ac:dyDescent="0.25">
      <c r="A645" s="235">
        <v>117409</v>
      </c>
      <c r="B645" s="162" t="s">
        <v>1271</v>
      </c>
      <c r="C645" s="162" t="s">
        <v>2</v>
      </c>
      <c r="D645" s="162" t="s">
        <v>0</v>
      </c>
      <c r="E645" s="231">
        <v>44522</v>
      </c>
      <c r="F645" s="162" t="s">
        <v>1229</v>
      </c>
      <c r="G645" s="231">
        <v>45086</v>
      </c>
      <c r="H645" s="198">
        <f>SUMIF(VA!B:B,A645,VA!I:I)</f>
        <v>359.46</v>
      </c>
      <c r="I645" s="32">
        <f>SUMIF(VR!B:B,A645,VR!I:I)</f>
        <v>657.5</v>
      </c>
      <c r="J645" s="4">
        <f t="shared" si="10"/>
        <v>1016.96</v>
      </c>
      <c r="K645" s="179">
        <f>SUMIF(FALTAS!A:A,A645,FALTAS!D:D)</f>
        <v>0</v>
      </c>
    </row>
    <row r="646" spans="1:11" x14ac:dyDescent="0.25">
      <c r="A646" s="235">
        <v>122835</v>
      </c>
      <c r="B646" s="162" t="s">
        <v>1721</v>
      </c>
      <c r="C646" s="162" t="s">
        <v>5</v>
      </c>
      <c r="D646" s="162" t="s">
        <v>32</v>
      </c>
      <c r="E646" s="231">
        <v>45180</v>
      </c>
      <c r="F646" s="162" t="s">
        <v>1229</v>
      </c>
      <c r="G646" s="231">
        <v>45180</v>
      </c>
      <c r="H646" s="198">
        <f>SUMIF(VA!B:B,A646,VA!I:I)</f>
        <v>359.46</v>
      </c>
      <c r="I646" s="32">
        <f>SUMIF(VR!B:B,A646,VR!I:I)</f>
        <v>657.5</v>
      </c>
      <c r="J646" s="4">
        <f t="shared" si="10"/>
        <v>1016.96</v>
      </c>
      <c r="K646" s="179">
        <f>SUMIF(FALTAS!A:A,A646,FALTAS!D:D)</f>
        <v>0</v>
      </c>
    </row>
    <row r="647" spans="1:11" x14ac:dyDescent="0.25">
      <c r="A647" s="235">
        <v>113132</v>
      </c>
      <c r="B647" s="162" t="s">
        <v>601</v>
      </c>
      <c r="C647" s="162" t="s">
        <v>22</v>
      </c>
      <c r="D647" s="162" t="s">
        <v>1578</v>
      </c>
      <c r="E647" s="231">
        <v>43617</v>
      </c>
      <c r="F647" s="162" t="s">
        <v>1229</v>
      </c>
      <c r="G647" s="231">
        <v>45149</v>
      </c>
      <c r="H647" s="198">
        <f>SUMIF(VA!B:B,A647,VA!I:I)</f>
        <v>359.46</v>
      </c>
      <c r="I647" s="32">
        <f>SUMIF(VR!B:B,A647,VR!I:I)</f>
        <v>657.5</v>
      </c>
      <c r="J647" s="4">
        <f t="shared" si="10"/>
        <v>1016.96</v>
      </c>
      <c r="K647" s="179">
        <f>SUMIF(FALTAS!A:A,A647,FALTAS!D:D)</f>
        <v>0</v>
      </c>
    </row>
    <row r="648" spans="1:11" x14ac:dyDescent="0.25">
      <c r="A648" s="235">
        <v>112957</v>
      </c>
      <c r="B648" s="162" t="s">
        <v>519</v>
      </c>
      <c r="C648" s="162" t="s">
        <v>15</v>
      </c>
      <c r="D648" s="162" t="s">
        <v>1578</v>
      </c>
      <c r="E648" s="231">
        <v>43617</v>
      </c>
      <c r="F648" s="162" t="s">
        <v>1229</v>
      </c>
      <c r="G648" s="231">
        <v>45177</v>
      </c>
      <c r="H648" s="198">
        <f>SUMIF(VA!B:B,A648,VA!I:I)</f>
        <v>359.46</v>
      </c>
      <c r="I648" s="32">
        <f>SUMIF(VR!B:B,A648,VR!I:I)</f>
        <v>657.5</v>
      </c>
      <c r="J648" s="4">
        <f t="shared" si="10"/>
        <v>1016.96</v>
      </c>
      <c r="K648" s="179">
        <f>SUMIF(FALTAS!A:A,A648,FALTAS!D:D)</f>
        <v>0</v>
      </c>
    </row>
    <row r="649" spans="1:11" x14ac:dyDescent="0.25">
      <c r="A649" s="235">
        <v>112226</v>
      </c>
      <c r="B649" s="162" t="s">
        <v>48</v>
      </c>
      <c r="C649" s="162" t="s">
        <v>2</v>
      </c>
      <c r="D649" s="162" t="s">
        <v>10</v>
      </c>
      <c r="E649" s="231">
        <v>43617</v>
      </c>
      <c r="F649" s="162" t="s">
        <v>1230</v>
      </c>
      <c r="G649" s="231">
        <v>45180</v>
      </c>
      <c r="H649" s="198">
        <f>SUMIF(VA!B:B,A649,VA!I:I)</f>
        <v>359.46</v>
      </c>
      <c r="I649" s="32">
        <f>SUMIF(VR!B:B,A649,VR!I:I)</f>
        <v>657.5</v>
      </c>
      <c r="J649" s="4">
        <f t="shared" si="10"/>
        <v>1016.96</v>
      </c>
      <c r="K649" s="179">
        <f>SUMIF(FALTAS!A:A,A649,FALTAS!D:D)</f>
        <v>0</v>
      </c>
    </row>
    <row r="650" spans="1:11" x14ac:dyDescent="0.25">
      <c r="A650" s="235">
        <v>113166</v>
      </c>
      <c r="B650" s="162" t="s">
        <v>623</v>
      </c>
      <c r="C650" s="162" t="s">
        <v>22</v>
      </c>
      <c r="D650" s="162" t="s">
        <v>1578</v>
      </c>
      <c r="E650" s="231">
        <v>43617</v>
      </c>
      <c r="F650" s="162" t="s">
        <v>1229</v>
      </c>
      <c r="G650" s="231">
        <v>45149</v>
      </c>
      <c r="H650" s="198">
        <f>SUMIF(VA!B:B,A650,VA!I:I)</f>
        <v>359.46</v>
      </c>
      <c r="I650" s="32">
        <f>SUMIF(VR!B:B,A650,VR!I:I)</f>
        <v>657.5</v>
      </c>
      <c r="J650" s="4">
        <f t="shared" si="10"/>
        <v>1016.96</v>
      </c>
      <c r="K650" s="179">
        <f>SUMIF(FALTAS!A:A,A650,FALTAS!D:D)</f>
        <v>0</v>
      </c>
    </row>
    <row r="651" spans="1:11" x14ac:dyDescent="0.25">
      <c r="A651" s="235">
        <v>112789</v>
      </c>
      <c r="B651" s="162" t="s">
        <v>411</v>
      </c>
      <c r="C651" s="162" t="s">
        <v>2</v>
      </c>
      <c r="D651" s="162" t="s">
        <v>8</v>
      </c>
      <c r="E651" s="231">
        <v>43617</v>
      </c>
      <c r="F651" s="162" t="s">
        <v>1229</v>
      </c>
      <c r="G651" s="231">
        <v>44867</v>
      </c>
      <c r="H651" s="198">
        <f>SUMIF(VA!B:B,A651,VA!I:I)</f>
        <v>359.46</v>
      </c>
      <c r="I651" s="32">
        <f>SUMIF(VR!B:B,A651,VR!I:I)</f>
        <v>657.5</v>
      </c>
      <c r="J651" s="4">
        <f t="shared" si="10"/>
        <v>1016.96</v>
      </c>
      <c r="K651" s="179">
        <f>SUMIF(FALTAS!A:A,A651,FALTAS!D:D)</f>
        <v>0</v>
      </c>
    </row>
    <row r="652" spans="1:11" x14ac:dyDescent="0.25">
      <c r="A652" s="235">
        <v>113410</v>
      </c>
      <c r="B652" s="162" t="s">
        <v>760</v>
      </c>
      <c r="C652" s="162" t="s">
        <v>2</v>
      </c>
      <c r="D652" s="162" t="s">
        <v>0</v>
      </c>
      <c r="E652" s="231">
        <v>43617</v>
      </c>
      <c r="F652" s="162" t="s">
        <v>1229</v>
      </c>
      <c r="G652" s="231">
        <v>44930</v>
      </c>
      <c r="H652" s="198">
        <f>SUMIF(VA!B:B,A652,VA!I:I)</f>
        <v>359.46</v>
      </c>
      <c r="I652" s="32">
        <f>SUMIF(VR!B:B,A652,VR!I:I)</f>
        <v>657.5</v>
      </c>
      <c r="J652" s="4">
        <f t="shared" si="10"/>
        <v>1016.96</v>
      </c>
      <c r="K652" s="179">
        <f>SUMIF(FALTAS!A:A,A652,FALTAS!D:D)</f>
        <v>0</v>
      </c>
    </row>
    <row r="653" spans="1:11" x14ac:dyDescent="0.25">
      <c r="A653" s="235">
        <v>114800</v>
      </c>
      <c r="B653" s="162" t="s">
        <v>1101</v>
      </c>
      <c r="C653" s="162" t="s">
        <v>15</v>
      </c>
      <c r="D653" s="162" t="s">
        <v>1578</v>
      </c>
      <c r="E653" s="231">
        <v>43880</v>
      </c>
      <c r="F653" s="162" t="s">
        <v>1229</v>
      </c>
      <c r="G653" s="231">
        <v>45086</v>
      </c>
      <c r="H653" s="198">
        <f>SUMIF(VA!B:B,A653,VA!I:I)</f>
        <v>359.46</v>
      </c>
      <c r="I653" s="32">
        <f>SUMIF(VR!B:B,A653,VR!I:I)</f>
        <v>657.5</v>
      </c>
      <c r="J653" s="4">
        <f t="shared" si="10"/>
        <v>1016.96</v>
      </c>
      <c r="K653" s="179">
        <f>SUMIF(FALTAS!A:A,A653,FALTAS!D:D)</f>
        <v>0</v>
      </c>
    </row>
    <row r="654" spans="1:11" x14ac:dyDescent="0.25">
      <c r="A654" s="235">
        <v>115008</v>
      </c>
      <c r="B654" s="162" t="s">
        <v>1138</v>
      </c>
      <c r="C654" s="162" t="s">
        <v>5</v>
      </c>
      <c r="D654" s="162" t="s">
        <v>0</v>
      </c>
      <c r="E654" s="231">
        <v>43930</v>
      </c>
      <c r="F654" s="162" t="s">
        <v>1229</v>
      </c>
      <c r="G654" s="231">
        <v>44954</v>
      </c>
      <c r="H654" s="198">
        <f>SUMIF(VA!B:B,A654,VA!I:I)</f>
        <v>359.46</v>
      </c>
      <c r="I654" s="32">
        <f>SUMIF(VR!B:B,A654,VR!I:I)</f>
        <v>657.5</v>
      </c>
      <c r="J654" s="4">
        <f t="shared" si="10"/>
        <v>1016.96</v>
      </c>
      <c r="K654" s="179">
        <f>SUMIF(FALTAS!A:A,A654,FALTAS!D:D)</f>
        <v>0</v>
      </c>
    </row>
    <row r="655" spans="1:11" x14ac:dyDescent="0.25">
      <c r="A655" s="235">
        <v>114263</v>
      </c>
      <c r="B655" s="162" t="s">
        <v>1025</v>
      </c>
      <c r="C655" s="162" t="s">
        <v>2</v>
      </c>
      <c r="D655" s="162" t="s">
        <v>19</v>
      </c>
      <c r="E655" s="231">
        <v>43804</v>
      </c>
      <c r="F655" s="162" t="s">
        <v>1229</v>
      </c>
      <c r="G655" s="231">
        <v>45086</v>
      </c>
      <c r="H655" s="198">
        <f>SUMIF(VA!B:B,A655,VA!I:I)</f>
        <v>359.46</v>
      </c>
      <c r="I655" s="32">
        <f>SUMIF(VR!B:B,A655,VR!I:I)</f>
        <v>657.5</v>
      </c>
      <c r="J655" s="4">
        <f t="shared" si="10"/>
        <v>1016.96</v>
      </c>
      <c r="K655" s="179">
        <f>SUMIF(FALTAS!A:A,A655,FALTAS!D:D)</f>
        <v>0</v>
      </c>
    </row>
    <row r="656" spans="1:11" x14ac:dyDescent="0.25">
      <c r="A656" s="235">
        <v>116002</v>
      </c>
      <c r="B656" s="162" t="s">
        <v>1166</v>
      </c>
      <c r="C656" s="162" t="s">
        <v>5</v>
      </c>
      <c r="D656" s="162" t="s">
        <v>0</v>
      </c>
      <c r="E656" s="231">
        <v>44207</v>
      </c>
      <c r="F656" s="162" t="s">
        <v>1229</v>
      </c>
      <c r="G656" s="231">
        <v>45149</v>
      </c>
      <c r="H656" s="198">
        <f>SUMIF(VA!B:B,A656,VA!I:I)</f>
        <v>359.46</v>
      </c>
      <c r="I656" s="32">
        <f>SUMIF(VR!B:B,A656,VR!I:I)</f>
        <v>657.5</v>
      </c>
      <c r="J656" s="4">
        <f t="shared" si="10"/>
        <v>1016.96</v>
      </c>
      <c r="K656" s="179">
        <f>SUMIF(FALTAS!A:A,A656,FALTAS!D:D)</f>
        <v>0</v>
      </c>
    </row>
    <row r="657" spans="1:11" x14ac:dyDescent="0.25">
      <c r="A657" s="235">
        <v>121685</v>
      </c>
      <c r="B657" s="162" t="s">
        <v>1588</v>
      </c>
      <c r="C657" s="162" t="s">
        <v>5</v>
      </c>
      <c r="D657" s="162" t="s">
        <v>0</v>
      </c>
      <c r="E657" s="231">
        <v>44994</v>
      </c>
      <c r="F657" s="162" t="s">
        <v>1229</v>
      </c>
      <c r="G657" s="231">
        <v>44994</v>
      </c>
      <c r="H657" s="198">
        <f>SUMIF(VA!B:B,A657,VA!I:I)</f>
        <v>359.46</v>
      </c>
      <c r="I657" s="32">
        <f>SUMIF(VR!B:B,A657,VR!I:I)</f>
        <v>657.5</v>
      </c>
      <c r="J657" s="4">
        <f t="shared" si="10"/>
        <v>1016.96</v>
      </c>
      <c r="K657" s="179">
        <f>SUMIF(FALTAS!A:A,A657,FALTAS!D:D)</f>
        <v>0</v>
      </c>
    </row>
    <row r="658" spans="1:11" x14ac:dyDescent="0.25">
      <c r="A658" s="235">
        <v>113077</v>
      </c>
      <c r="B658" s="162" t="s">
        <v>573</v>
      </c>
      <c r="C658" s="162" t="s">
        <v>5</v>
      </c>
      <c r="D658" s="162" t="s">
        <v>0</v>
      </c>
      <c r="E658" s="231">
        <v>43617</v>
      </c>
      <c r="F658" s="162" t="s">
        <v>1279</v>
      </c>
      <c r="G658" s="231">
        <v>45185</v>
      </c>
      <c r="H658" s="198">
        <f>SUMIF(VA!B:B,A658,VA!I:I)</f>
        <v>0</v>
      </c>
      <c r="I658" s="32">
        <f>SUMIF(VR!B:B,A658,VR!I:I)</f>
        <v>0</v>
      </c>
      <c r="J658" s="4">
        <f t="shared" si="10"/>
        <v>0</v>
      </c>
      <c r="K658" s="179">
        <f>SUMIF(FALTAS!A:A,A658,FALTAS!D:D)</f>
        <v>0</v>
      </c>
    </row>
    <row r="659" spans="1:11" x14ac:dyDescent="0.25">
      <c r="A659" s="235">
        <v>113123</v>
      </c>
      <c r="B659" s="162" t="s">
        <v>597</v>
      </c>
      <c r="C659" s="162" t="s">
        <v>15</v>
      </c>
      <c r="D659" s="162" t="s">
        <v>1578</v>
      </c>
      <c r="E659" s="231">
        <v>43617</v>
      </c>
      <c r="F659" s="162" t="s">
        <v>1230</v>
      </c>
      <c r="G659" s="231">
        <v>45180</v>
      </c>
      <c r="H659" s="198">
        <f>SUMIF(VA!B:B,A659,VA!I:I)</f>
        <v>359.46</v>
      </c>
      <c r="I659" s="32">
        <f>SUMIF(VR!B:B,A659,VR!I:I)</f>
        <v>657.5</v>
      </c>
      <c r="J659" s="4">
        <f t="shared" si="10"/>
        <v>1016.96</v>
      </c>
      <c r="K659" s="179">
        <f>SUMIF(FALTAS!A:A,A659,FALTAS!D:D)</f>
        <v>0</v>
      </c>
    </row>
    <row r="660" spans="1:11" x14ac:dyDescent="0.25">
      <c r="A660" s="235">
        <v>121326</v>
      </c>
      <c r="B660" s="162" t="s">
        <v>1529</v>
      </c>
      <c r="C660" s="162" t="s">
        <v>5</v>
      </c>
      <c r="D660" s="162" t="s">
        <v>32</v>
      </c>
      <c r="E660" s="231">
        <v>44945</v>
      </c>
      <c r="F660" s="162" t="s">
        <v>1229</v>
      </c>
      <c r="G660" s="231">
        <v>44945</v>
      </c>
      <c r="H660" s="198">
        <f>SUMIF(VA!B:B,A660,VA!I:I)</f>
        <v>359.46</v>
      </c>
      <c r="I660" s="32">
        <f>SUMIF(VR!B:B,A660,VR!I:I)</f>
        <v>657.5</v>
      </c>
      <c r="J660" s="4">
        <f t="shared" si="10"/>
        <v>1016.96</v>
      </c>
      <c r="K660" s="179">
        <f>SUMIF(FALTAS!A:A,A660,FALTAS!D:D)</f>
        <v>0</v>
      </c>
    </row>
    <row r="661" spans="1:11" x14ac:dyDescent="0.25">
      <c r="A661" s="235">
        <v>112513</v>
      </c>
      <c r="B661" s="162" t="s">
        <v>230</v>
      </c>
      <c r="C661" s="162" t="s">
        <v>146</v>
      </c>
      <c r="D661" s="162" t="s">
        <v>8</v>
      </c>
      <c r="E661" s="231">
        <v>43617</v>
      </c>
      <c r="F661" s="162" t="s">
        <v>1229</v>
      </c>
      <c r="G661" s="231">
        <v>44993</v>
      </c>
      <c r="H661" s="198">
        <f>SUMIF(VA!B:B,A661,VA!I:I)</f>
        <v>359.46</v>
      </c>
      <c r="I661" s="32">
        <f>SUMIF(VR!B:B,A661,VR!I:I)</f>
        <v>657.5</v>
      </c>
      <c r="J661" s="4">
        <f t="shared" si="10"/>
        <v>1016.96</v>
      </c>
      <c r="K661" s="179">
        <f>SUMIF(FALTAS!A:A,A661,FALTAS!D:D)</f>
        <v>0</v>
      </c>
    </row>
    <row r="662" spans="1:11" x14ac:dyDescent="0.25">
      <c r="A662" s="235">
        <v>122439</v>
      </c>
      <c r="B662" s="162" t="s">
        <v>1686</v>
      </c>
      <c r="C662" s="162" t="s">
        <v>5</v>
      </c>
      <c r="D662" s="162" t="s">
        <v>1578</v>
      </c>
      <c r="E662" s="231">
        <v>45117</v>
      </c>
      <c r="F662" s="162" t="s">
        <v>1229</v>
      </c>
      <c r="G662" s="231">
        <v>45117</v>
      </c>
      <c r="H662" s="198">
        <f>SUMIF(VA!B:B,A662,VA!I:I)</f>
        <v>359.46</v>
      </c>
      <c r="I662" s="32">
        <f>SUMIF(VR!B:B,A662,VR!I:I)</f>
        <v>657.5</v>
      </c>
      <c r="J662" s="4">
        <f t="shared" si="10"/>
        <v>1016.96</v>
      </c>
      <c r="K662" s="179">
        <f>SUMIF(FALTAS!A:A,A662,FALTAS!D:D)</f>
        <v>0</v>
      </c>
    </row>
    <row r="663" spans="1:11" x14ac:dyDescent="0.25">
      <c r="A663" s="235">
        <v>121321</v>
      </c>
      <c r="B663" s="162" t="s">
        <v>1530</v>
      </c>
      <c r="C663" s="162" t="s">
        <v>2</v>
      </c>
      <c r="D663" s="162" t="s">
        <v>19</v>
      </c>
      <c r="E663" s="231">
        <v>44945</v>
      </c>
      <c r="F663" s="162" t="s">
        <v>1229</v>
      </c>
      <c r="G663" s="231">
        <v>44945</v>
      </c>
      <c r="H663" s="198">
        <f>SUMIF(VA!B:B,A663,VA!I:I)</f>
        <v>359.46</v>
      </c>
      <c r="I663" s="32">
        <f>SUMIF(VR!B:B,A663,VR!I:I)</f>
        <v>657.5</v>
      </c>
      <c r="J663" s="4">
        <f t="shared" si="10"/>
        <v>1016.96</v>
      </c>
      <c r="K663" s="179">
        <f>SUMIF(FALTAS!A:A,A663,FALTAS!D:D)</f>
        <v>0</v>
      </c>
    </row>
    <row r="664" spans="1:11" x14ac:dyDescent="0.25">
      <c r="A664" s="235">
        <v>112218</v>
      </c>
      <c r="B664" s="162" t="s">
        <v>1531</v>
      </c>
      <c r="C664" s="162" t="s">
        <v>5</v>
      </c>
      <c r="D664" s="162" t="s">
        <v>0</v>
      </c>
      <c r="E664" s="231">
        <v>43617</v>
      </c>
      <c r="F664" s="162" t="s">
        <v>1229</v>
      </c>
      <c r="G664" s="231">
        <v>45050</v>
      </c>
      <c r="H664" s="198">
        <f>SUMIF(VA!B:B,A664,VA!I:I)</f>
        <v>359.46</v>
      </c>
      <c r="I664" s="32">
        <f>SUMIF(VR!B:B,A664,VR!I:I)</f>
        <v>657.5</v>
      </c>
      <c r="J664" s="4">
        <f t="shared" si="10"/>
        <v>1016.96</v>
      </c>
      <c r="K664" s="179">
        <f>SUMIF(FALTAS!A:A,A664,FALTAS!D:D)</f>
        <v>0</v>
      </c>
    </row>
    <row r="665" spans="1:11" x14ac:dyDescent="0.25">
      <c r="A665" s="235">
        <v>112451</v>
      </c>
      <c r="B665" s="162" t="s">
        <v>189</v>
      </c>
      <c r="C665" s="162" t="s">
        <v>5</v>
      </c>
      <c r="D665" s="162" t="s">
        <v>8</v>
      </c>
      <c r="E665" s="231">
        <v>43617</v>
      </c>
      <c r="F665" s="162" t="s">
        <v>1229</v>
      </c>
      <c r="G665" s="231">
        <v>45056</v>
      </c>
      <c r="H665" s="198">
        <f>SUMIF(VA!B:B,A665,VA!I:I)</f>
        <v>359.46</v>
      </c>
      <c r="I665" s="32">
        <f>SUMIF(VR!B:B,A665,VR!I:I)</f>
        <v>657.5</v>
      </c>
      <c r="J665" s="4">
        <f t="shared" si="10"/>
        <v>1016.96</v>
      </c>
      <c r="K665" s="179">
        <f>SUMIF(FALTAS!A:A,A665,FALTAS!D:D)</f>
        <v>0</v>
      </c>
    </row>
    <row r="666" spans="1:11" x14ac:dyDescent="0.25">
      <c r="A666" s="235">
        <v>113303</v>
      </c>
      <c r="B666" s="162" t="s">
        <v>695</v>
      </c>
      <c r="C666" s="162" t="s">
        <v>22</v>
      </c>
      <c r="D666" s="162" t="s">
        <v>1578</v>
      </c>
      <c r="E666" s="231">
        <v>43617</v>
      </c>
      <c r="F666" s="162" t="s">
        <v>1229</v>
      </c>
      <c r="G666" s="231">
        <v>44993</v>
      </c>
      <c r="H666" s="198">
        <f>SUMIF(VA!B:B,A666,VA!I:I)</f>
        <v>359.46</v>
      </c>
      <c r="I666" s="32">
        <f>SUMIF(VR!B:B,A666,VR!I:I)</f>
        <v>657.5</v>
      </c>
      <c r="J666" s="4">
        <f t="shared" si="10"/>
        <v>1016.96</v>
      </c>
      <c r="K666" s="179">
        <f>SUMIF(FALTAS!A:A,A666,FALTAS!D:D)</f>
        <v>0</v>
      </c>
    </row>
    <row r="667" spans="1:11" x14ac:dyDescent="0.25">
      <c r="A667" s="235">
        <v>113080</v>
      </c>
      <c r="B667" s="162" t="s">
        <v>575</v>
      </c>
      <c r="C667" s="162" t="s">
        <v>22</v>
      </c>
      <c r="D667" s="162" t="s">
        <v>1578</v>
      </c>
      <c r="E667" s="231">
        <v>43617</v>
      </c>
      <c r="F667" s="162" t="s">
        <v>1229</v>
      </c>
      <c r="G667" s="231">
        <v>44930</v>
      </c>
      <c r="H667" s="198">
        <f>SUMIF(VA!B:B,A667,VA!I:I)</f>
        <v>359.46</v>
      </c>
      <c r="I667" s="32">
        <f>SUMIF(VR!B:B,A667,VR!I:I)</f>
        <v>657.5</v>
      </c>
      <c r="J667" s="4">
        <f t="shared" si="10"/>
        <v>1016.96</v>
      </c>
      <c r="K667" s="179">
        <f>SUMIF(FALTAS!A:A,A667,FALTAS!D:D)</f>
        <v>0</v>
      </c>
    </row>
    <row r="668" spans="1:11" x14ac:dyDescent="0.25">
      <c r="A668" s="235">
        <v>122575</v>
      </c>
      <c r="B668" s="162" t="s">
        <v>1687</v>
      </c>
      <c r="C668" s="162" t="s">
        <v>5</v>
      </c>
      <c r="D668" s="162" t="s">
        <v>8</v>
      </c>
      <c r="E668" s="231">
        <v>45131</v>
      </c>
      <c r="F668" s="162" t="s">
        <v>1229</v>
      </c>
      <c r="G668" s="231">
        <v>45131</v>
      </c>
      <c r="H668" s="198">
        <f>SUMIF(VA!B:B,A668,VA!I:I)</f>
        <v>359.46</v>
      </c>
      <c r="I668" s="32">
        <f>SUMIF(VR!B:B,A668,VR!I:I)</f>
        <v>657.5</v>
      </c>
      <c r="J668" s="4">
        <f t="shared" si="10"/>
        <v>1016.96</v>
      </c>
      <c r="K668" s="179">
        <f>SUMIF(FALTAS!A:A,A668,FALTAS!D:D)</f>
        <v>0</v>
      </c>
    </row>
    <row r="669" spans="1:11" x14ac:dyDescent="0.25">
      <c r="A669" s="235">
        <v>113602</v>
      </c>
      <c r="B669" s="162" t="s">
        <v>867</v>
      </c>
      <c r="C669" s="162" t="s">
        <v>15</v>
      </c>
      <c r="D669" s="162" t="s">
        <v>1578</v>
      </c>
      <c r="E669" s="231">
        <v>43617</v>
      </c>
      <c r="F669" s="162" t="s">
        <v>1229</v>
      </c>
      <c r="G669" s="231">
        <v>45119</v>
      </c>
      <c r="H669" s="198">
        <f>SUMIF(VA!B:B,A669,VA!I:I)</f>
        <v>359.46</v>
      </c>
      <c r="I669" s="32">
        <f>SUMIF(VR!B:B,A669,VR!I:I)</f>
        <v>657.5</v>
      </c>
      <c r="J669" s="4">
        <f t="shared" si="10"/>
        <v>1016.96</v>
      </c>
      <c r="K669" s="179">
        <f>SUMIF(FALTAS!A:A,A669,FALTAS!D:D)</f>
        <v>0</v>
      </c>
    </row>
    <row r="670" spans="1:11" x14ac:dyDescent="0.25">
      <c r="A670" s="235">
        <v>113432</v>
      </c>
      <c r="B670" s="162" t="s">
        <v>775</v>
      </c>
      <c r="C670" s="162" t="s">
        <v>2</v>
      </c>
      <c r="D670" s="162" t="s">
        <v>0</v>
      </c>
      <c r="E670" s="231">
        <v>43617</v>
      </c>
      <c r="F670" s="162" t="s">
        <v>1229</v>
      </c>
      <c r="G670" s="231">
        <v>45177</v>
      </c>
      <c r="H670" s="198">
        <f>SUMIF(VA!B:B,A670,VA!I:I)</f>
        <v>359.46</v>
      </c>
      <c r="I670" s="32">
        <f>SUMIF(VR!B:B,A670,VR!I:I)</f>
        <v>657.5</v>
      </c>
      <c r="J670" s="4">
        <f t="shared" si="10"/>
        <v>1016.96</v>
      </c>
      <c r="K670" s="179">
        <f>SUMIF(FALTAS!A:A,A670,FALTAS!D:D)</f>
        <v>0</v>
      </c>
    </row>
    <row r="671" spans="1:11" x14ac:dyDescent="0.25">
      <c r="A671" s="235">
        <v>112303</v>
      </c>
      <c r="B671" s="162" t="s">
        <v>99</v>
      </c>
      <c r="C671" s="162" t="s">
        <v>2</v>
      </c>
      <c r="D671" s="162" t="s">
        <v>10</v>
      </c>
      <c r="E671" s="231">
        <v>43617</v>
      </c>
      <c r="F671" s="162" t="s">
        <v>1229</v>
      </c>
      <c r="G671" s="231">
        <v>44806</v>
      </c>
      <c r="H671" s="198">
        <f>SUMIF(VA!B:B,A671,VA!I:I)</f>
        <v>347.47</v>
      </c>
      <c r="I671" s="32">
        <f>SUMIF(VR!B:B,A671,VR!I:I)</f>
        <v>631.20000000000005</v>
      </c>
      <c r="J671" s="4">
        <f t="shared" si="10"/>
        <v>978.67000000000007</v>
      </c>
      <c r="K671" s="179">
        <f>SUMIF(FALTAS!A:A,A671,FALTAS!D:D)</f>
        <v>1</v>
      </c>
    </row>
    <row r="672" spans="1:11" x14ac:dyDescent="0.25">
      <c r="A672" s="235">
        <v>112180</v>
      </c>
      <c r="B672" s="162" t="s">
        <v>1561</v>
      </c>
      <c r="C672" s="162" t="s">
        <v>5</v>
      </c>
      <c r="D672" s="162" t="s">
        <v>0</v>
      </c>
      <c r="E672" s="231">
        <v>43617</v>
      </c>
      <c r="F672" s="162" t="s">
        <v>1572</v>
      </c>
      <c r="G672" s="231">
        <v>44575</v>
      </c>
      <c r="H672" s="198">
        <f>SUMIF(VA!B:B,A672,VA!I:I)</f>
        <v>0</v>
      </c>
      <c r="I672" s="32">
        <f>SUMIF(VR!B:B,A672,VR!I:I)</f>
        <v>0</v>
      </c>
      <c r="J672" s="4">
        <f t="shared" si="10"/>
        <v>0</v>
      </c>
      <c r="K672" s="179">
        <f>SUMIF(FALTAS!A:A,A672,FALTAS!D:D)</f>
        <v>0</v>
      </c>
    </row>
    <row r="673" spans="1:11" x14ac:dyDescent="0.25">
      <c r="A673" s="235">
        <v>113081</v>
      </c>
      <c r="B673" s="162" t="s">
        <v>576</v>
      </c>
      <c r="C673" s="162" t="s">
        <v>5</v>
      </c>
      <c r="D673" s="162" t="s">
        <v>0</v>
      </c>
      <c r="E673" s="231">
        <v>43617</v>
      </c>
      <c r="F673" s="162" t="s">
        <v>1229</v>
      </c>
      <c r="G673" s="231">
        <v>44898</v>
      </c>
      <c r="H673" s="198">
        <f>SUMIF(VA!B:B,A673,VA!I:I)</f>
        <v>347.47</v>
      </c>
      <c r="I673" s="32">
        <f>SUMIF(VR!B:B,A673,VR!I:I)</f>
        <v>631.20000000000005</v>
      </c>
      <c r="J673" s="4">
        <f t="shared" si="10"/>
        <v>978.67000000000007</v>
      </c>
      <c r="K673" s="179">
        <f>SUMIF(FALTAS!A:A,A673,FALTAS!D:D)</f>
        <v>1</v>
      </c>
    </row>
    <row r="674" spans="1:11" x14ac:dyDescent="0.25">
      <c r="A674" s="235">
        <v>114925</v>
      </c>
      <c r="B674" s="162" t="s">
        <v>1110</v>
      </c>
      <c r="C674" s="162" t="s">
        <v>480</v>
      </c>
      <c r="D674" s="162" t="s">
        <v>1578</v>
      </c>
      <c r="E674" s="231">
        <v>43916</v>
      </c>
      <c r="F674" s="162" t="s">
        <v>1229</v>
      </c>
      <c r="G674" s="231">
        <v>45119</v>
      </c>
      <c r="H674" s="198">
        <f>SUMIF(VA!B:B,A674,VA!I:I)</f>
        <v>359.46</v>
      </c>
      <c r="I674" s="32">
        <f>SUMIF(VR!B:B,A674,VR!I:I)</f>
        <v>657.5</v>
      </c>
      <c r="J674" s="4">
        <f t="shared" si="10"/>
        <v>1016.96</v>
      </c>
      <c r="K674" s="179">
        <f>SUMIF(FALTAS!A:A,A674,FALTAS!D:D)</f>
        <v>0</v>
      </c>
    </row>
    <row r="675" spans="1:11" x14ac:dyDescent="0.25">
      <c r="A675" s="235">
        <v>112338</v>
      </c>
      <c r="B675" s="162" t="s">
        <v>118</v>
      </c>
      <c r="C675" s="162" t="s">
        <v>5</v>
      </c>
      <c r="D675" s="162" t="s">
        <v>8</v>
      </c>
      <c r="E675" s="231">
        <v>43617</v>
      </c>
      <c r="F675" s="162" t="s">
        <v>1229</v>
      </c>
      <c r="G675" s="231">
        <v>44960</v>
      </c>
      <c r="H675" s="198">
        <f>SUMIF(VA!B:B,A675,VA!I:I)</f>
        <v>359.46</v>
      </c>
      <c r="I675" s="32">
        <f>SUMIF(VR!B:B,A675,VR!I:I)</f>
        <v>657.5</v>
      </c>
      <c r="J675" s="4">
        <f t="shared" si="10"/>
        <v>1016.96</v>
      </c>
      <c r="K675" s="179">
        <f>SUMIF(FALTAS!A:A,A675,FALTAS!D:D)</f>
        <v>0</v>
      </c>
    </row>
    <row r="676" spans="1:11" x14ac:dyDescent="0.25">
      <c r="A676" s="235">
        <v>113370</v>
      </c>
      <c r="B676" s="162" t="s">
        <v>735</v>
      </c>
      <c r="C676" s="162" t="s">
        <v>2</v>
      </c>
      <c r="D676" s="162" t="s">
        <v>0</v>
      </c>
      <c r="E676" s="231">
        <v>43617</v>
      </c>
      <c r="F676" s="162" t="s">
        <v>1230</v>
      </c>
      <c r="G676" s="231">
        <v>45180</v>
      </c>
      <c r="H676" s="198">
        <f>SUMIF(VA!B:B,A676,VA!I:I)</f>
        <v>359.46</v>
      </c>
      <c r="I676" s="32">
        <f>SUMIF(VR!B:B,A676,VR!I:I)</f>
        <v>657.5</v>
      </c>
      <c r="J676" s="4">
        <f t="shared" si="10"/>
        <v>1016.96</v>
      </c>
      <c r="K676" s="179">
        <f>SUMIF(FALTAS!A:A,A676,FALTAS!D:D)</f>
        <v>0</v>
      </c>
    </row>
    <row r="677" spans="1:11" x14ac:dyDescent="0.25">
      <c r="A677" s="235">
        <v>113120</v>
      </c>
      <c r="B677" s="162" t="s">
        <v>596</v>
      </c>
      <c r="C677" s="162" t="s">
        <v>39</v>
      </c>
      <c r="D677" s="162" t="s">
        <v>10</v>
      </c>
      <c r="E677" s="231">
        <v>43617</v>
      </c>
      <c r="F677" s="162" t="s">
        <v>1229</v>
      </c>
      <c r="G677" s="231">
        <v>44776</v>
      </c>
      <c r="H677" s="198">
        <f>SUMIF(VA!B:B,A677,VA!I:I)</f>
        <v>359.46</v>
      </c>
      <c r="I677" s="32">
        <f>SUMIF(VR!B:B,A677,VR!I:I)</f>
        <v>657.5</v>
      </c>
      <c r="J677" s="4">
        <f t="shared" si="10"/>
        <v>1016.96</v>
      </c>
      <c r="K677" s="179">
        <f>SUMIF(FALTAS!A:A,A677,FALTAS!D:D)</f>
        <v>0</v>
      </c>
    </row>
    <row r="678" spans="1:11" x14ac:dyDescent="0.25">
      <c r="A678" s="235">
        <v>112909</v>
      </c>
      <c r="B678" s="162" t="s">
        <v>492</v>
      </c>
      <c r="C678" s="162" t="s">
        <v>2</v>
      </c>
      <c r="D678" s="162" t="s">
        <v>8</v>
      </c>
      <c r="E678" s="231">
        <v>43617</v>
      </c>
      <c r="F678" s="162" t="s">
        <v>1229</v>
      </c>
      <c r="G678" s="231">
        <v>45119</v>
      </c>
      <c r="H678" s="198">
        <f>SUMIF(VA!B:B,A678,VA!I:I)</f>
        <v>359.46</v>
      </c>
      <c r="I678" s="32">
        <f>SUMIF(VR!B:B,A678,VR!I:I)</f>
        <v>657.5</v>
      </c>
      <c r="J678" s="4">
        <f t="shared" si="10"/>
        <v>1016.96</v>
      </c>
      <c r="K678" s="179">
        <f>SUMIF(FALTAS!A:A,A678,FALTAS!D:D)</f>
        <v>0</v>
      </c>
    </row>
    <row r="679" spans="1:11" x14ac:dyDescent="0.25">
      <c r="A679" s="235">
        <v>112204</v>
      </c>
      <c r="B679" s="162" t="s">
        <v>33</v>
      </c>
      <c r="C679" s="162" t="s">
        <v>5</v>
      </c>
      <c r="D679" s="162" t="s">
        <v>10</v>
      </c>
      <c r="E679" s="231">
        <v>43617</v>
      </c>
      <c r="F679" s="162" t="s">
        <v>1230</v>
      </c>
      <c r="G679" s="231">
        <v>45180</v>
      </c>
      <c r="H679" s="198">
        <f>SUMIF(VA!B:B,A679,VA!I:I)</f>
        <v>359.46</v>
      </c>
      <c r="I679" s="32">
        <f>SUMIF(VR!B:B,A679,VR!I:I)</f>
        <v>657.5</v>
      </c>
      <c r="J679" s="4">
        <f t="shared" si="10"/>
        <v>1016.96</v>
      </c>
      <c r="K679" s="179">
        <f>SUMIF(FALTAS!A:A,A679,FALTAS!D:D)</f>
        <v>0</v>
      </c>
    </row>
    <row r="680" spans="1:11" x14ac:dyDescent="0.25">
      <c r="A680" s="235">
        <v>113715</v>
      </c>
      <c r="B680" s="162" t="s">
        <v>931</v>
      </c>
      <c r="C680" s="162" t="s">
        <v>932</v>
      </c>
      <c r="D680" s="162" t="s">
        <v>1578</v>
      </c>
      <c r="E680" s="231">
        <v>43619</v>
      </c>
      <c r="F680" s="162" t="s">
        <v>1229</v>
      </c>
      <c r="G680" s="231">
        <v>44776</v>
      </c>
      <c r="H680" s="198">
        <f>SUMIF(VA!B:B,A680,VA!I:I)</f>
        <v>359.46</v>
      </c>
      <c r="I680" s="32">
        <f>SUMIF(VR!B:B,A680,VR!I:I)</f>
        <v>657.5</v>
      </c>
      <c r="J680" s="4">
        <f t="shared" si="10"/>
        <v>1016.96</v>
      </c>
      <c r="K680" s="179">
        <f>SUMIF(FALTAS!A:A,A680,FALTAS!D:D)</f>
        <v>0</v>
      </c>
    </row>
    <row r="681" spans="1:11" x14ac:dyDescent="0.25">
      <c r="A681" s="235">
        <v>112232</v>
      </c>
      <c r="B681" s="162" t="s">
        <v>53</v>
      </c>
      <c r="C681" s="162" t="s">
        <v>2</v>
      </c>
      <c r="D681" s="162" t="s">
        <v>10</v>
      </c>
      <c r="E681" s="231">
        <v>43617</v>
      </c>
      <c r="F681" s="162" t="s">
        <v>1229</v>
      </c>
      <c r="G681" s="231">
        <v>45119</v>
      </c>
      <c r="H681" s="198">
        <f>SUMIF(VA!B:B,A681,VA!I:I)</f>
        <v>359.46</v>
      </c>
      <c r="I681" s="32">
        <f>SUMIF(VR!B:B,A681,VR!I:I)</f>
        <v>657.5</v>
      </c>
      <c r="J681" s="4">
        <f t="shared" si="10"/>
        <v>1016.96</v>
      </c>
      <c r="K681" s="179">
        <f>SUMIF(FALTAS!A:A,A681,FALTAS!D:D)</f>
        <v>0</v>
      </c>
    </row>
    <row r="682" spans="1:11" x14ac:dyDescent="0.25">
      <c r="A682" s="235">
        <v>113021</v>
      </c>
      <c r="B682" s="162" t="s">
        <v>53</v>
      </c>
      <c r="C682" s="162" t="s">
        <v>2</v>
      </c>
      <c r="D682" s="162" t="s">
        <v>19</v>
      </c>
      <c r="E682" s="231">
        <v>43620</v>
      </c>
      <c r="F682" s="162" t="s">
        <v>1229</v>
      </c>
      <c r="G682" s="231">
        <v>45056</v>
      </c>
      <c r="H682" s="198">
        <f>SUMIF(VA!B:B,A682,VA!I:I)</f>
        <v>359.46</v>
      </c>
      <c r="I682" s="32">
        <f>SUMIF(VR!B:B,A682,VR!I:I)</f>
        <v>657.5</v>
      </c>
      <c r="J682" s="4">
        <f t="shared" si="10"/>
        <v>1016.96</v>
      </c>
      <c r="K682" s="179">
        <f>SUMIF(FALTAS!A:A,A682,FALTAS!D:D)</f>
        <v>0</v>
      </c>
    </row>
    <row r="683" spans="1:11" x14ac:dyDescent="0.25">
      <c r="A683" s="235">
        <v>113373</v>
      </c>
      <c r="B683" s="162" t="s">
        <v>53</v>
      </c>
      <c r="C683" s="162" t="s">
        <v>2</v>
      </c>
      <c r="D683" s="162" t="s">
        <v>0</v>
      </c>
      <c r="E683" s="231">
        <v>43617</v>
      </c>
      <c r="F683" s="162" t="s">
        <v>1229</v>
      </c>
      <c r="G683" s="231">
        <v>44867</v>
      </c>
      <c r="H683" s="198">
        <f>SUMIF(VA!B:B,A683,VA!I:I)</f>
        <v>359.46</v>
      </c>
      <c r="I683" s="32">
        <f>SUMIF(VR!B:B,A683,VR!I:I)</f>
        <v>657.5</v>
      </c>
      <c r="J683" s="4">
        <f t="shared" si="10"/>
        <v>1016.96</v>
      </c>
      <c r="K683" s="179">
        <f>SUMIF(FALTAS!A:A,A683,FALTAS!D:D)</f>
        <v>0</v>
      </c>
    </row>
    <row r="684" spans="1:11" x14ac:dyDescent="0.25">
      <c r="A684" s="235">
        <v>113420</v>
      </c>
      <c r="B684" s="162" t="s">
        <v>53</v>
      </c>
      <c r="C684" s="162" t="s">
        <v>2</v>
      </c>
      <c r="D684" s="162" t="s">
        <v>0</v>
      </c>
      <c r="E684" s="231">
        <v>43617</v>
      </c>
      <c r="F684" s="162" t="s">
        <v>1229</v>
      </c>
      <c r="G684" s="231">
        <v>45056</v>
      </c>
      <c r="H684" s="198">
        <f>SUMIF(VA!B:B,A684,VA!I:I)</f>
        <v>359.46</v>
      </c>
      <c r="I684" s="32">
        <f>SUMIF(VR!B:B,A684,VR!I:I)</f>
        <v>657.5</v>
      </c>
      <c r="J684" s="4">
        <f t="shared" si="10"/>
        <v>1016.96</v>
      </c>
      <c r="K684" s="179">
        <f>SUMIF(FALTAS!A:A,A684,FALTAS!D:D)</f>
        <v>0</v>
      </c>
    </row>
    <row r="685" spans="1:11" x14ac:dyDescent="0.25">
      <c r="A685" s="235">
        <v>112917</v>
      </c>
      <c r="B685" s="162" t="s">
        <v>349</v>
      </c>
      <c r="C685" s="162" t="s">
        <v>2</v>
      </c>
      <c r="D685" s="162" t="s">
        <v>8</v>
      </c>
      <c r="E685" s="231">
        <v>43617</v>
      </c>
      <c r="F685" s="162" t="s">
        <v>1229</v>
      </c>
      <c r="G685" s="231">
        <v>44993</v>
      </c>
      <c r="H685" s="198">
        <f>SUMIF(VA!B:B,A685,VA!I:I)</f>
        <v>359.46</v>
      </c>
      <c r="I685" s="32">
        <f>SUMIF(VR!B:B,A685,VR!I:I)</f>
        <v>657.5</v>
      </c>
      <c r="J685" s="4">
        <f t="shared" si="10"/>
        <v>1016.96</v>
      </c>
      <c r="K685" s="179">
        <f>SUMIF(FALTAS!A:A,A685,FALTAS!D:D)</f>
        <v>0</v>
      </c>
    </row>
    <row r="686" spans="1:11" x14ac:dyDescent="0.25">
      <c r="A686" s="235">
        <v>112341</v>
      </c>
      <c r="B686" s="162" t="s">
        <v>121</v>
      </c>
      <c r="C686" s="162" t="s">
        <v>5</v>
      </c>
      <c r="D686" s="162" t="s">
        <v>8</v>
      </c>
      <c r="E686" s="231">
        <v>43617</v>
      </c>
      <c r="F686" s="162" t="s">
        <v>1230</v>
      </c>
      <c r="G686" s="231">
        <v>45180</v>
      </c>
      <c r="H686" s="198">
        <f>SUMIF(VA!B:B,A686,VA!I:I)</f>
        <v>359.46</v>
      </c>
      <c r="I686" s="32">
        <f>SUMIF(VR!B:B,A686,VR!I:I)</f>
        <v>657.5</v>
      </c>
      <c r="J686" s="4">
        <f t="shared" si="10"/>
        <v>1016.96</v>
      </c>
      <c r="K686" s="179">
        <f>SUMIF(FALTAS!A:A,A686,FALTAS!D:D)</f>
        <v>0</v>
      </c>
    </row>
    <row r="687" spans="1:11" x14ac:dyDescent="0.25">
      <c r="A687" s="235">
        <v>112236</v>
      </c>
      <c r="B687" s="162" t="s">
        <v>55</v>
      </c>
      <c r="C687" s="162" t="s">
        <v>2</v>
      </c>
      <c r="D687" s="162" t="s">
        <v>19</v>
      </c>
      <c r="E687" s="231">
        <v>43617</v>
      </c>
      <c r="F687" s="162" t="s">
        <v>1229</v>
      </c>
      <c r="G687" s="231">
        <v>44806</v>
      </c>
      <c r="H687" s="198">
        <f>SUMIF(VA!B:B,A687,VA!I:I)</f>
        <v>359.46</v>
      </c>
      <c r="I687" s="32">
        <f>SUMIF(VR!B:B,A687,VR!I:I)</f>
        <v>657.5</v>
      </c>
      <c r="J687" s="4">
        <f t="shared" si="10"/>
        <v>1016.96</v>
      </c>
      <c r="K687" s="179">
        <f>SUMIF(FALTAS!A:A,A687,FALTAS!D:D)</f>
        <v>0</v>
      </c>
    </row>
    <row r="688" spans="1:11" x14ac:dyDescent="0.25">
      <c r="A688" s="235">
        <v>112991</v>
      </c>
      <c r="B688" s="162" t="s">
        <v>534</v>
      </c>
      <c r="C688" s="162" t="s">
        <v>146</v>
      </c>
      <c r="D688" s="162" t="s">
        <v>19</v>
      </c>
      <c r="E688" s="231">
        <v>43617</v>
      </c>
      <c r="F688" s="162" t="s">
        <v>1229</v>
      </c>
      <c r="G688" s="231">
        <v>45023</v>
      </c>
      <c r="H688" s="198">
        <f>SUMIF(VA!B:B,A688,VA!I:I)</f>
        <v>359.46</v>
      </c>
      <c r="I688" s="32">
        <f>SUMIF(VR!B:B,A688,VR!I:I)</f>
        <v>657.5</v>
      </c>
      <c r="J688" s="4">
        <f t="shared" si="10"/>
        <v>1016.96</v>
      </c>
      <c r="K688" s="179">
        <f>SUMIF(FALTAS!A:A,A688,FALTAS!D:D)</f>
        <v>0</v>
      </c>
    </row>
    <row r="689" spans="1:11" x14ac:dyDescent="0.25">
      <c r="A689" s="235">
        <v>113422</v>
      </c>
      <c r="B689" s="162" t="s">
        <v>771</v>
      </c>
      <c r="C689" s="162" t="s">
        <v>2</v>
      </c>
      <c r="D689" s="162" t="s">
        <v>0</v>
      </c>
      <c r="E689" s="231">
        <v>43617</v>
      </c>
      <c r="F689" s="162" t="s">
        <v>1229</v>
      </c>
      <c r="G689" s="231">
        <v>44960</v>
      </c>
      <c r="H689" s="198">
        <f>SUMIF(VA!B:B,A689,VA!I:I)</f>
        <v>359.46</v>
      </c>
      <c r="I689" s="32">
        <f>SUMIF(VR!B:B,A689,VR!I:I)</f>
        <v>657.5</v>
      </c>
      <c r="J689" s="4">
        <f t="shared" si="10"/>
        <v>1016.96</v>
      </c>
      <c r="K689" s="179">
        <f>SUMIF(FALTAS!A:A,A689,FALTAS!D:D)</f>
        <v>0</v>
      </c>
    </row>
    <row r="690" spans="1:11" x14ac:dyDescent="0.25">
      <c r="A690" s="235">
        <v>113375</v>
      </c>
      <c r="B690" s="162" t="s">
        <v>737</v>
      </c>
      <c r="C690" s="162" t="s">
        <v>2</v>
      </c>
      <c r="D690" s="162" t="s">
        <v>0</v>
      </c>
      <c r="E690" s="231">
        <v>43617</v>
      </c>
      <c r="F690" s="162" t="s">
        <v>1229</v>
      </c>
      <c r="G690" s="231">
        <v>44776</v>
      </c>
      <c r="H690" s="198">
        <f>SUMIF(VA!B:B,A690,VA!I:I)</f>
        <v>359.46</v>
      </c>
      <c r="I690" s="32">
        <f>SUMIF(VR!B:B,A690,VR!I:I)</f>
        <v>657.5</v>
      </c>
      <c r="J690" s="4">
        <f t="shared" si="10"/>
        <v>1016.96</v>
      </c>
      <c r="K690" s="179">
        <f>SUMIF(FALTAS!A:A,A690,FALTAS!D:D)</f>
        <v>0</v>
      </c>
    </row>
    <row r="691" spans="1:11" x14ac:dyDescent="0.25">
      <c r="A691" s="235">
        <v>112346</v>
      </c>
      <c r="B691" s="162" t="s">
        <v>123</v>
      </c>
      <c r="C691" s="162" t="s">
        <v>5</v>
      </c>
      <c r="D691" s="162" t="s">
        <v>8</v>
      </c>
      <c r="E691" s="231">
        <v>43617</v>
      </c>
      <c r="F691" s="162" t="s">
        <v>1229</v>
      </c>
      <c r="G691" s="231">
        <v>44835</v>
      </c>
      <c r="H691" s="198">
        <f>SUMIF(VA!B:B,A691,VA!I:I)</f>
        <v>359.46</v>
      </c>
      <c r="I691" s="32">
        <f>SUMIF(VR!B:B,A691,VR!I:I)</f>
        <v>657.5</v>
      </c>
      <c r="J691" s="4">
        <f t="shared" si="10"/>
        <v>1016.96</v>
      </c>
      <c r="K691" s="179">
        <f>SUMIF(FALTAS!A:A,A691,FALTAS!D:D)</f>
        <v>0</v>
      </c>
    </row>
    <row r="692" spans="1:11" x14ac:dyDescent="0.25">
      <c r="A692" s="235">
        <v>112208</v>
      </c>
      <c r="B692" s="162" t="s">
        <v>35</v>
      </c>
      <c r="C692" s="162" t="s">
        <v>5</v>
      </c>
      <c r="D692" s="162" t="s">
        <v>10</v>
      </c>
      <c r="E692" s="231">
        <v>43617</v>
      </c>
      <c r="F692" s="162" t="s">
        <v>1230</v>
      </c>
      <c r="G692" s="231">
        <v>45180</v>
      </c>
      <c r="H692" s="198">
        <f>SUMIF(VA!B:B,A692,VA!I:I)</f>
        <v>359.46</v>
      </c>
      <c r="I692" s="32">
        <f>SUMIF(VR!B:B,A692,VR!I:I)</f>
        <v>657.5</v>
      </c>
      <c r="J692" s="4">
        <f t="shared" si="10"/>
        <v>1016.96</v>
      </c>
      <c r="K692" s="179">
        <f>SUMIF(FALTAS!A:A,A692,FALTAS!D:D)</f>
        <v>0</v>
      </c>
    </row>
    <row r="693" spans="1:11" x14ac:dyDescent="0.25">
      <c r="A693" s="235">
        <v>114541</v>
      </c>
      <c r="B693" s="162" t="s">
        <v>1052</v>
      </c>
      <c r="C693" s="162" t="s">
        <v>5</v>
      </c>
      <c r="D693" s="162" t="s">
        <v>10</v>
      </c>
      <c r="E693" s="231">
        <v>43817</v>
      </c>
      <c r="F693" s="162" t="s">
        <v>1229</v>
      </c>
      <c r="G693" s="231">
        <v>45086</v>
      </c>
      <c r="H693" s="198">
        <f>SUMIF(VA!B:B,A693,VA!I:I)</f>
        <v>359.46</v>
      </c>
      <c r="I693" s="32">
        <f>SUMIF(VR!B:B,A693,VR!I:I)</f>
        <v>657.5</v>
      </c>
      <c r="J693" s="4">
        <f t="shared" si="10"/>
        <v>1016.96</v>
      </c>
      <c r="K693" s="179">
        <f>SUMIF(FALTAS!A:A,A693,FALTAS!D:D)</f>
        <v>0</v>
      </c>
    </row>
    <row r="694" spans="1:11" x14ac:dyDescent="0.25">
      <c r="A694" s="235">
        <v>112238</v>
      </c>
      <c r="B694" s="162" t="s">
        <v>44</v>
      </c>
      <c r="C694" s="162" t="s">
        <v>2</v>
      </c>
      <c r="D694" s="162" t="s">
        <v>10</v>
      </c>
      <c r="E694" s="231">
        <v>43617</v>
      </c>
      <c r="F694" s="162" t="s">
        <v>1229</v>
      </c>
      <c r="G694" s="231">
        <v>44993</v>
      </c>
      <c r="H694" s="198">
        <f>SUMIF(VA!B:B,A694,VA!I:I)</f>
        <v>359.46</v>
      </c>
      <c r="I694" s="32">
        <f>SUMIF(VR!B:B,A694,VR!I:I)</f>
        <v>657.5</v>
      </c>
      <c r="J694" s="4">
        <f t="shared" si="10"/>
        <v>1016.96</v>
      </c>
      <c r="K694" s="179">
        <f>SUMIF(FALTAS!A:A,A694,FALTAS!D:D)</f>
        <v>0</v>
      </c>
    </row>
    <row r="695" spans="1:11" x14ac:dyDescent="0.25">
      <c r="A695" s="235">
        <v>112924</v>
      </c>
      <c r="B695" s="162" t="s">
        <v>499</v>
      </c>
      <c r="C695" s="162" t="s">
        <v>2</v>
      </c>
      <c r="D695" s="162" t="s">
        <v>8</v>
      </c>
      <c r="E695" s="231">
        <v>43617</v>
      </c>
      <c r="F695" s="162" t="s">
        <v>1229</v>
      </c>
      <c r="G695" s="231">
        <v>44898</v>
      </c>
      <c r="H695" s="198">
        <f>SUMIF(VA!B:B,A695,VA!I:I)</f>
        <v>359.46</v>
      </c>
      <c r="I695" s="32">
        <f>SUMIF(VR!B:B,A695,VR!I:I)</f>
        <v>657.5</v>
      </c>
      <c r="J695" s="4">
        <f t="shared" si="10"/>
        <v>1016.96</v>
      </c>
      <c r="K695" s="179">
        <f>SUMIF(FALTAS!A:A,A695,FALTAS!D:D)</f>
        <v>0</v>
      </c>
    </row>
    <row r="696" spans="1:11" x14ac:dyDescent="0.25">
      <c r="A696" s="235">
        <v>122251</v>
      </c>
      <c r="B696" s="162" t="s">
        <v>1653</v>
      </c>
      <c r="C696" s="162" t="s">
        <v>5</v>
      </c>
      <c r="D696" s="162" t="s">
        <v>8</v>
      </c>
      <c r="E696" s="231">
        <v>45089</v>
      </c>
      <c r="F696" s="162" t="s">
        <v>1229</v>
      </c>
      <c r="G696" s="231">
        <v>45089</v>
      </c>
      <c r="H696" s="198">
        <f>SUMIF(VA!B:B,A696,VA!I:I)</f>
        <v>359.46</v>
      </c>
      <c r="I696" s="32">
        <f>SUMIF(VR!B:B,A696,VR!I:I)</f>
        <v>657.5</v>
      </c>
      <c r="J696" s="4">
        <f t="shared" si="10"/>
        <v>1016.96</v>
      </c>
      <c r="K696" s="179">
        <f>SUMIF(FALTAS!A:A,A696,FALTAS!D:D)</f>
        <v>0</v>
      </c>
    </row>
    <row r="697" spans="1:11" x14ac:dyDescent="0.25">
      <c r="A697" s="235">
        <v>113363</v>
      </c>
      <c r="B697" s="162" t="s">
        <v>729</v>
      </c>
      <c r="C697" s="162" t="s">
        <v>2</v>
      </c>
      <c r="D697" s="162" t="s">
        <v>0</v>
      </c>
      <c r="E697" s="231">
        <v>43617</v>
      </c>
      <c r="F697" s="162" t="s">
        <v>1229</v>
      </c>
      <c r="G697" s="231">
        <v>44806</v>
      </c>
      <c r="H697" s="198">
        <f>SUMIF(VA!B:B,A697,VA!I:I)</f>
        <v>359.46</v>
      </c>
      <c r="I697" s="32">
        <f>SUMIF(VR!B:B,A697,VR!I:I)</f>
        <v>657.5</v>
      </c>
      <c r="J697" s="4">
        <f t="shared" si="10"/>
        <v>1016.96</v>
      </c>
      <c r="K697" s="179">
        <f>SUMIF(FALTAS!A:A,A697,FALTAS!D:D)</f>
        <v>0</v>
      </c>
    </row>
    <row r="698" spans="1:11" x14ac:dyDescent="0.25">
      <c r="A698" s="235">
        <v>112245</v>
      </c>
      <c r="B698" s="162" t="s">
        <v>60</v>
      </c>
      <c r="C698" s="162" t="s">
        <v>2</v>
      </c>
      <c r="D698" s="162" t="s">
        <v>10</v>
      </c>
      <c r="E698" s="231">
        <v>43617</v>
      </c>
      <c r="F698" s="162" t="s">
        <v>1229</v>
      </c>
      <c r="G698" s="231">
        <v>44776</v>
      </c>
      <c r="H698" s="198">
        <f>SUMIF(VA!B:B,A698,VA!I:I)</f>
        <v>359.46</v>
      </c>
      <c r="I698" s="32">
        <f>SUMIF(VR!B:B,A698,VR!I:I)</f>
        <v>657.5</v>
      </c>
      <c r="J698" s="4">
        <f t="shared" si="10"/>
        <v>1016.96</v>
      </c>
      <c r="K698" s="179">
        <f>SUMIF(FALTAS!A:A,A698,FALTAS!D:D)</f>
        <v>0</v>
      </c>
    </row>
    <row r="699" spans="1:11" x14ac:dyDescent="0.25">
      <c r="A699" s="235">
        <v>116654</v>
      </c>
      <c r="B699" s="162" t="s">
        <v>956</v>
      </c>
      <c r="C699" s="162" t="s">
        <v>957</v>
      </c>
      <c r="D699" s="162" t="s">
        <v>1246</v>
      </c>
      <c r="E699" s="231">
        <v>44370</v>
      </c>
      <c r="F699" s="162" t="s">
        <v>1229</v>
      </c>
      <c r="G699" s="231">
        <v>44370</v>
      </c>
      <c r="H699" s="198">
        <f>SUMIF(VA!B:B,A699,VA!I:I)</f>
        <v>359.46</v>
      </c>
      <c r="I699" s="32">
        <f>SUMIF(VR!B:B,A699,VR!I:I)</f>
        <v>657.5</v>
      </c>
      <c r="J699" s="4">
        <f t="shared" si="10"/>
        <v>1016.96</v>
      </c>
      <c r="K699" s="179">
        <f>SUMIF(FALTAS!A:A,A699,FALTAS!D:D)</f>
        <v>0</v>
      </c>
    </row>
    <row r="700" spans="1:11" x14ac:dyDescent="0.25">
      <c r="A700" s="235">
        <v>112349</v>
      </c>
      <c r="B700" s="162" t="s">
        <v>125</v>
      </c>
      <c r="C700" s="162" t="s">
        <v>5</v>
      </c>
      <c r="D700" s="162" t="s">
        <v>8</v>
      </c>
      <c r="E700" s="231">
        <v>43617</v>
      </c>
      <c r="F700" s="162" t="s">
        <v>1229</v>
      </c>
      <c r="G700" s="231">
        <v>44835</v>
      </c>
      <c r="H700" s="198">
        <f>SUMIF(VA!B:B,A700,VA!I:I)</f>
        <v>359.46</v>
      </c>
      <c r="I700" s="32">
        <f>SUMIF(VR!B:B,A700,VR!I:I)</f>
        <v>657.5</v>
      </c>
      <c r="J700" s="4">
        <f t="shared" si="10"/>
        <v>1016.96</v>
      </c>
      <c r="K700" s="179">
        <f>SUMIF(FALTAS!A:A,A700,FALTAS!D:D)</f>
        <v>0</v>
      </c>
    </row>
    <row r="701" spans="1:11" x14ac:dyDescent="0.25">
      <c r="A701" s="235">
        <v>112926</v>
      </c>
      <c r="B701" s="162" t="s">
        <v>500</v>
      </c>
      <c r="C701" s="162" t="s">
        <v>2</v>
      </c>
      <c r="D701" s="162" t="s">
        <v>8</v>
      </c>
      <c r="E701" s="231">
        <v>43617</v>
      </c>
      <c r="F701" s="162" t="s">
        <v>1229</v>
      </c>
      <c r="G701" s="231">
        <v>45056</v>
      </c>
      <c r="H701" s="198">
        <f>SUMIF(VA!B:B,A701,VA!I:I)</f>
        <v>359.46</v>
      </c>
      <c r="I701" s="32">
        <f>SUMIF(VR!B:B,A701,VR!I:I)</f>
        <v>657.5</v>
      </c>
      <c r="J701" s="4">
        <f t="shared" si="10"/>
        <v>1016.96</v>
      </c>
      <c r="K701" s="179">
        <f>SUMIF(FALTAS!A:A,A701,FALTAS!D:D)</f>
        <v>0</v>
      </c>
    </row>
    <row r="702" spans="1:11" x14ac:dyDescent="0.25">
      <c r="A702" s="235">
        <v>122252</v>
      </c>
      <c r="B702" s="162" t="s">
        <v>1654</v>
      </c>
      <c r="C702" s="162" t="s">
        <v>5</v>
      </c>
      <c r="D702" s="162" t="s">
        <v>1578</v>
      </c>
      <c r="E702" s="231">
        <v>45089</v>
      </c>
      <c r="F702" s="162" t="s">
        <v>1229</v>
      </c>
      <c r="G702" s="231">
        <v>45089</v>
      </c>
      <c r="H702" s="198">
        <f>SUMIF(VA!B:B,A702,VA!I:I)</f>
        <v>359.46</v>
      </c>
      <c r="I702" s="32">
        <f>SUMIF(VR!B:B,A702,VR!I:I)</f>
        <v>657.5</v>
      </c>
      <c r="J702" s="4">
        <f t="shared" si="10"/>
        <v>1016.96</v>
      </c>
      <c r="K702" s="179">
        <f>SUMIF(FALTAS!A:A,A702,FALTAS!D:D)</f>
        <v>0</v>
      </c>
    </row>
    <row r="703" spans="1:11" x14ac:dyDescent="0.25">
      <c r="A703" s="235">
        <v>112248</v>
      </c>
      <c r="B703" s="162" t="s">
        <v>61</v>
      </c>
      <c r="C703" s="162" t="s">
        <v>2</v>
      </c>
      <c r="D703" s="162" t="s">
        <v>10</v>
      </c>
      <c r="E703" s="231">
        <v>43617</v>
      </c>
      <c r="F703" s="162" t="s">
        <v>1229</v>
      </c>
      <c r="G703" s="231">
        <v>45119</v>
      </c>
      <c r="H703" s="198">
        <f>SUMIF(VA!B:B,A703,VA!I:I)</f>
        <v>359.46</v>
      </c>
      <c r="I703" s="32">
        <f>SUMIF(VR!B:B,A703,VR!I:I)</f>
        <v>657.5</v>
      </c>
      <c r="J703" s="4">
        <f t="shared" si="10"/>
        <v>1016.96</v>
      </c>
      <c r="K703" s="179">
        <f>SUMIF(FALTAS!A:A,A703,FALTAS!D:D)</f>
        <v>0</v>
      </c>
    </row>
    <row r="704" spans="1:11" x14ac:dyDescent="0.25">
      <c r="A704" s="235">
        <v>113056</v>
      </c>
      <c r="B704" s="162" t="s">
        <v>562</v>
      </c>
      <c r="C704" s="162" t="s">
        <v>2</v>
      </c>
      <c r="D704" s="162" t="s">
        <v>19</v>
      </c>
      <c r="E704" s="231">
        <v>43617</v>
      </c>
      <c r="F704" s="162" t="s">
        <v>1229</v>
      </c>
      <c r="G704" s="231">
        <v>45119</v>
      </c>
      <c r="H704" s="198">
        <f>SUMIF(VA!B:B,A704,VA!I:I)</f>
        <v>359.46</v>
      </c>
      <c r="I704" s="32">
        <f>SUMIF(VR!B:B,A704,VR!I:I)</f>
        <v>657.5</v>
      </c>
      <c r="J704" s="4">
        <f t="shared" si="10"/>
        <v>1016.96</v>
      </c>
      <c r="K704" s="179">
        <f>SUMIF(FALTAS!A:A,A704,FALTAS!D:D)</f>
        <v>0</v>
      </c>
    </row>
    <row r="705" spans="1:11" x14ac:dyDescent="0.25">
      <c r="A705" s="235">
        <v>112973</v>
      </c>
      <c r="B705" s="162" t="s">
        <v>525</v>
      </c>
      <c r="C705" s="162" t="s">
        <v>5</v>
      </c>
      <c r="D705" s="162" t="s">
        <v>19</v>
      </c>
      <c r="E705" s="231">
        <v>43617</v>
      </c>
      <c r="F705" s="162" t="s">
        <v>1229</v>
      </c>
      <c r="G705" s="231">
        <v>44993</v>
      </c>
      <c r="H705" s="198">
        <f>SUMIF(VA!B:B,A705,VA!I:I)</f>
        <v>359.46</v>
      </c>
      <c r="I705" s="32">
        <f>SUMIF(VR!B:B,A705,VR!I:I)</f>
        <v>657.5</v>
      </c>
      <c r="J705" s="4">
        <f t="shared" ref="J705:J768" si="11">H705+I705</f>
        <v>1016.96</v>
      </c>
      <c r="K705" s="179">
        <f>SUMIF(FALTAS!A:A,A705,FALTAS!D:D)</f>
        <v>0</v>
      </c>
    </row>
    <row r="706" spans="1:11" x14ac:dyDescent="0.25">
      <c r="A706" s="235">
        <v>117239</v>
      </c>
      <c r="B706" s="162" t="s">
        <v>1255</v>
      </c>
      <c r="C706" s="162" t="s">
        <v>5</v>
      </c>
      <c r="D706" s="162" t="s">
        <v>8</v>
      </c>
      <c r="E706" s="231">
        <v>44487</v>
      </c>
      <c r="F706" s="162" t="s">
        <v>1229</v>
      </c>
      <c r="G706" s="231">
        <v>45149</v>
      </c>
      <c r="H706" s="198">
        <f>SUMIF(VA!B:B,A706,VA!I:I)</f>
        <v>359.46</v>
      </c>
      <c r="I706" s="32">
        <f>SUMIF(VR!B:B,A706,VR!I:I)</f>
        <v>657.5</v>
      </c>
      <c r="J706" s="4">
        <f t="shared" si="11"/>
        <v>1016.96</v>
      </c>
      <c r="K706" s="179">
        <f>SUMIF(FALTAS!A:A,A706,FALTAS!D:D)</f>
        <v>0</v>
      </c>
    </row>
    <row r="707" spans="1:11" x14ac:dyDescent="0.25">
      <c r="A707" s="235">
        <v>112459</v>
      </c>
      <c r="B707" s="162" t="s">
        <v>195</v>
      </c>
      <c r="C707" s="162" t="s">
        <v>769</v>
      </c>
      <c r="D707" s="162" t="s">
        <v>1578</v>
      </c>
      <c r="E707" s="231">
        <v>43617</v>
      </c>
      <c r="F707" s="162" t="s">
        <v>1229</v>
      </c>
      <c r="G707" s="231">
        <v>44960</v>
      </c>
      <c r="H707" s="198">
        <f>SUMIF(VA!B:B,A707,VA!I:I)</f>
        <v>359.46</v>
      </c>
      <c r="I707" s="32">
        <f>SUMIF(VR!B:B,A707,VR!I:I)</f>
        <v>657.5</v>
      </c>
      <c r="J707" s="4">
        <f t="shared" si="11"/>
        <v>1016.96</v>
      </c>
      <c r="K707" s="179">
        <f>SUMIF(FALTAS!A:A,A707,FALTAS!D:D)</f>
        <v>0</v>
      </c>
    </row>
    <row r="708" spans="1:11" x14ac:dyDescent="0.25">
      <c r="A708" s="235">
        <v>113377</v>
      </c>
      <c r="B708" s="162" t="s">
        <v>739</v>
      </c>
      <c r="C708" s="162" t="s">
        <v>2</v>
      </c>
      <c r="D708" s="162" t="s">
        <v>0</v>
      </c>
      <c r="E708" s="231">
        <v>43617</v>
      </c>
      <c r="F708" s="162" t="s">
        <v>1229</v>
      </c>
      <c r="G708" s="231">
        <v>45177</v>
      </c>
      <c r="H708" s="198">
        <f>SUMIF(VA!B:B,A708,VA!I:I)</f>
        <v>359.46</v>
      </c>
      <c r="I708" s="32">
        <f>SUMIF(VR!B:B,A708,VR!I:I)</f>
        <v>657.5</v>
      </c>
      <c r="J708" s="4">
        <f t="shared" si="11"/>
        <v>1016.96</v>
      </c>
      <c r="K708" s="179">
        <f>SUMIF(FALTAS!A:A,A708,FALTAS!D:D)</f>
        <v>0</v>
      </c>
    </row>
    <row r="709" spans="1:11" x14ac:dyDescent="0.25">
      <c r="A709" s="235">
        <v>112307</v>
      </c>
      <c r="B709" s="162" t="s">
        <v>101</v>
      </c>
      <c r="C709" s="162" t="s">
        <v>2</v>
      </c>
      <c r="D709" s="162" t="s">
        <v>19</v>
      </c>
      <c r="E709" s="231">
        <v>43617</v>
      </c>
      <c r="F709" s="162" t="s">
        <v>1229</v>
      </c>
      <c r="G709" s="231">
        <v>45149</v>
      </c>
      <c r="H709" s="198">
        <f>SUMIF(VA!B:B,A709,VA!I:I)</f>
        <v>359.46</v>
      </c>
      <c r="I709" s="32">
        <f>SUMIF(VR!B:B,A709,VR!I:I)</f>
        <v>657.5</v>
      </c>
      <c r="J709" s="4">
        <f t="shared" si="11"/>
        <v>1016.96</v>
      </c>
      <c r="K709" s="179">
        <f>SUMIF(FALTAS!A:A,A709,FALTAS!D:D)</f>
        <v>0</v>
      </c>
    </row>
    <row r="710" spans="1:11" x14ac:dyDescent="0.25">
      <c r="A710" s="235">
        <v>112927</v>
      </c>
      <c r="B710" s="162" t="s">
        <v>501</v>
      </c>
      <c r="C710" s="162" t="s">
        <v>2</v>
      </c>
      <c r="D710" s="162" t="s">
        <v>8</v>
      </c>
      <c r="E710" s="231">
        <v>43617</v>
      </c>
      <c r="F710" s="162" t="s">
        <v>1229</v>
      </c>
      <c r="G710" s="231">
        <v>44898</v>
      </c>
      <c r="H710" s="198">
        <f>SUMIF(VA!B:B,A710,VA!I:I)</f>
        <v>359.46</v>
      </c>
      <c r="I710" s="32">
        <f>SUMIF(VR!B:B,A710,VR!I:I)</f>
        <v>657.5</v>
      </c>
      <c r="J710" s="4">
        <f t="shared" si="11"/>
        <v>1016.96</v>
      </c>
      <c r="K710" s="179">
        <f>SUMIF(FALTAS!A:A,A710,FALTAS!D:D)</f>
        <v>0</v>
      </c>
    </row>
    <row r="711" spans="1:11" x14ac:dyDescent="0.25">
      <c r="A711" s="235">
        <v>112959</v>
      </c>
      <c r="B711" s="162" t="s">
        <v>520</v>
      </c>
      <c r="C711" s="162" t="s">
        <v>5</v>
      </c>
      <c r="D711" s="162" t="s">
        <v>19</v>
      </c>
      <c r="E711" s="231">
        <v>43617</v>
      </c>
      <c r="F711" s="162" t="s">
        <v>1229</v>
      </c>
      <c r="G711" s="231">
        <v>44989</v>
      </c>
      <c r="H711" s="198">
        <f>SUMIF(VA!B:B,A711,VA!I:I)</f>
        <v>359.46</v>
      </c>
      <c r="I711" s="32">
        <f>SUMIF(VR!B:B,A711,VR!I:I)</f>
        <v>657.5</v>
      </c>
      <c r="J711" s="4">
        <f t="shared" si="11"/>
        <v>1016.96</v>
      </c>
      <c r="K711" s="179">
        <f>SUMIF(FALTAS!A:A,A711,FALTAS!D:D)</f>
        <v>0</v>
      </c>
    </row>
    <row r="712" spans="1:11" x14ac:dyDescent="0.25">
      <c r="A712" s="235">
        <v>112928</v>
      </c>
      <c r="B712" s="162" t="s">
        <v>502</v>
      </c>
      <c r="C712" s="162" t="s">
        <v>2</v>
      </c>
      <c r="D712" s="162" t="s">
        <v>8</v>
      </c>
      <c r="E712" s="231">
        <v>43617</v>
      </c>
      <c r="F712" s="162" t="s">
        <v>1229</v>
      </c>
      <c r="G712" s="231">
        <v>44898</v>
      </c>
      <c r="H712" s="198">
        <f>SUMIF(VA!B:B,A712,VA!I:I)</f>
        <v>359.46</v>
      </c>
      <c r="I712" s="32">
        <f>SUMIF(VR!B:B,A712,VR!I:I)</f>
        <v>657.5</v>
      </c>
      <c r="J712" s="4">
        <f t="shared" si="11"/>
        <v>1016.96</v>
      </c>
      <c r="K712" s="179">
        <f>SUMIF(FALTAS!A:A,A712,FALTAS!D:D)</f>
        <v>0</v>
      </c>
    </row>
    <row r="713" spans="1:11" x14ac:dyDescent="0.25">
      <c r="A713" s="235">
        <v>114922</v>
      </c>
      <c r="B713" s="162" t="s">
        <v>1108</v>
      </c>
      <c r="C713" s="162" t="s">
        <v>22</v>
      </c>
      <c r="D713" s="162" t="s">
        <v>1578</v>
      </c>
      <c r="E713" s="231">
        <v>43916</v>
      </c>
      <c r="F713" s="162" t="s">
        <v>1229</v>
      </c>
      <c r="G713" s="231">
        <v>45119</v>
      </c>
      <c r="H713" s="198">
        <f>SUMIF(VA!B:B,A713,VA!I:I)</f>
        <v>359.46</v>
      </c>
      <c r="I713" s="32">
        <f>SUMIF(VR!B:B,A713,VR!I:I)</f>
        <v>657.5</v>
      </c>
      <c r="J713" s="4">
        <f t="shared" si="11"/>
        <v>1016.96</v>
      </c>
      <c r="K713" s="179">
        <f>SUMIF(FALTAS!A:A,A713,FALTAS!D:D)</f>
        <v>0</v>
      </c>
    </row>
    <row r="714" spans="1:11" x14ac:dyDescent="0.25">
      <c r="A714" s="235">
        <v>112212</v>
      </c>
      <c r="B714" s="162" t="s">
        <v>37</v>
      </c>
      <c r="C714" s="162" t="s">
        <v>5</v>
      </c>
      <c r="D714" s="162" t="s">
        <v>10</v>
      </c>
      <c r="E714" s="231">
        <v>43617</v>
      </c>
      <c r="F714" s="162" t="s">
        <v>1229</v>
      </c>
      <c r="G714" s="231">
        <v>44776</v>
      </c>
      <c r="H714" s="198">
        <f>SUMIF(VA!B:B,A714,VA!I:I)</f>
        <v>359.46</v>
      </c>
      <c r="I714" s="32">
        <f>SUMIF(VR!B:B,A714,VR!I:I)</f>
        <v>657.5</v>
      </c>
      <c r="J714" s="4">
        <f t="shared" si="11"/>
        <v>1016.96</v>
      </c>
      <c r="K714" s="179">
        <f>SUMIF(FALTAS!A:A,A714,FALTAS!D:D)</f>
        <v>0</v>
      </c>
    </row>
    <row r="715" spans="1:11" x14ac:dyDescent="0.25">
      <c r="A715" s="235">
        <v>118058</v>
      </c>
      <c r="B715" s="162" t="s">
        <v>1401</v>
      </c>
      <c r="C715" s="162" t="s">
        <v>5</v>
      </c>
      <c r="D715" s="162" t="s">
        <v>0</v>
      </c>
      <c r="E715" s="231">
        <v>44567</v>
      </c>
      <c r="F715" s="162" t="s">
        <v>1230</v>
      </c>
      <c r="G715" s="231">
        <v>45180</v>
      </c>
      <c r="H715" s="198">
        <f>SUMIF(VA!B:B,A715,VA!I:I)</f>
        <v>359.46</v>
      </c>
      <c r="I715" s="32">
        <f>SUMIF(VR!B:B,A715,VR!I:I)</f>
        <v>657.5</v>
      </c>
      <c r="J715" s="4">
        <f t="shared" si="11"/>
        <v>1016.96</v>
      </c>
      <c r="K715" s="179">
        <f>SUMIF(FALTAS!A:A,A715,FALTAS!D:D)</f>
        <v>0</v>
      </c>
    </row>
    <row r="716" spans="1:11" x14ac:dyDescent="0.25">
      <c r="A716" s="235">
        <v>113082</v>
      </c>
      <c r="B716" s="162" t="s">
        <v>577</v>
      </c>
      <c r="C716" s="162" t="s">
        <v>2</v>
      </c>
      <c r="D716" s="162" t="s">
        <v>0</v>
      </c>
      <c r="E716" s="231">
        <v>43617</v>
      </c>
      <c r="F716" s="162" t="s">
        <v>1279</v>
      </c>
      <c r="G716" s="231">
        <v>45128</v>
      </c>
      <c r="H716" s="198">
        <f>SUMIF(VA!B:B,A716,VA!I:I)</f>
        <v>0</v>
      </c>
      <c r="I716" s="32">
        <f>SUMIF(VR!B:B,A716,VR!I:I)</f>
        <v>0</v>
      </c>
      <c r="J716" s="4">
        <f t="shared" si="11"/>
        <v>0</v>
      </c>
      <c r="K716" s="179">
        <f>SUMIF(FALTAS!A:A,A716,FALTAS!D:D)</f>
        <v>0</v>
      </c>
    </row>
    <row r="717" spans="1:11" x14ac:dyDescent="0.25">
      <c r="A717" s="235">
        <v>112465</v>
      </c>
      <c r="B717" s="162" t="s">
        <v>197</v>
      </c>
      <c r="C717" s="162" t="s">
        <v>2</v>
      </c>
      <c r="D717" s="162" t="s">
        <v>8</v>
      </c>
      <c r="E717" s="231">
        <v>43617</v>
      </c>
      <c r="F717" s="162" t="s">
        <v>1229</v>
      </c>
      <c r="G717" s="231">
        <v>45056</v>
      </c>
      <c r="H717" s="198">
        <f>SUMIF(VA!B:B,A717,VA!I:I)</f>
        <v>359.46</v>
      </c>
      <c r="I717" s="32">
        <f>SUMIF(VR!B:B,A717,VR!I:I)</f>
        <v>657.5</v>
      </c>
      <c r="J717" s="4">
        <f t="shared" si="11"/>
        <v>1016.96</v>
      </c>
      <c r="K717" s="179">
        <f>SUMIF(FALTAS!A:A,A717,FALTAS!D:D)</f>
        <v>0</v>
      </c>
    </row>
    <row r="718" spans="1:11" x14ac:dyDescent="0.25">
      <c r="A718" s="235">
        <v>113729</v>
      </c>
      <c r="B718" s="162" t="s">
        <v>944</v>
      </c>
      <c r="C718" s="162" t="s">
        <v>698</v>
      </c>
      <c r="D718" s="162" t="s">
        <v>1578</v>
      </c>
      <c r="E718" s="231">
        <v>43619</v>
      </c>
      <c r="F718" s="162" t="s">
        <v>1229</v>
      </c>
      <c r="G718" s="231">
        <v>44898</v>
      </c>
      <c r="H718" s="198">
        <f>SUMIF(VA!B:B,A718,VA!I:I)</f>
        <v>359.46</v>
      </c>
      <c r="I718" s="32">
        <f>SUMIF(VR!B:B,A718,VR!I:I)</f>
        <v>657.5</v>
      </c>
      <c r="J718" s="4">
        <f t="shared" si="11"/>
        <v>1016.96</v>
      </c>
      <c r="K718" s="179">
        <f>SUMIF(FALTAS!A:A,A718,FALTAS!D:D)</f>
        <v>0</v>
      </c>
    </row>
    <row r="719" spans="1:11" x14ac:dyDescent="0.25">
      <c r="A719" s="235">
        <v>113645</v>
      </c>
      <c r="B719" s="162" t="s">
        <v>891</v>
      </c>
      <c r="C719" s="162" t="s">
        <v>15</v>
      </c>
      <c r="D719" s="162" t="s">
        <v>1578</v>
      </c>
      <c r="E719" s="231">
        <v>43617</v>
      </c>
      <c r="F719" s="162" t="s">
        <v>1229</v>
      </c>
      <c r="G719" s="231">
        <v>45177</v>
      </c>
      <c r="H719" s="198">
        <f>SUMIF(VA!B:B,A719,VA!I:I)</f>
        <v>359.46</v>
      </c>
      <c r="I719" s="32">
        <f>SUMIF(VR!B:B,A719,VR!I:I)</f>
        <v>657.5</v>
      </c>
      <c r="J719" s="4">
        <f t="shared" si="11"/>
        <v>1016.96</v>
      </c>
      <c r="K719" s="179">
        <f>SUMIF(FALTAS!A:A,A719,FALTAS!D:D)</f>
        <v>0</v>
      </c>
    </row>
    <row r="720" spans="1:11" x14ac:dyDescent="0.25">
      <c r="A720" s="235">
        <v>122826</v>
      </c>
      <c r="B720" s="162" t="s">
        <v>1722</v>
      </c>
      <c r="C720" s="162" t="s">
        <v>5</v>
      </c>
      <c r="D720" s="162" t="s">
        <v>32</v>
      </c>
      <c r="E720" s="231">
        <v>45180</v>
      </c>
      <c r="F720" s="162" t="s">
        <v>1229</v>
      </c>
      <c r="G720" s="231">
        <v>45180</v>
      </c>
      <c r="H720" s="198">
        <f>SUMIF(VA!B:B,A720,VA!I:I)</f>
        <v>359.46</v>
      </c>
      <c r="I720" s="32">
        <f>SUMIF(VR!B:B,A720,VR!I:I)</f>
        <v>657.5</v>
      </c>
      <c r="J720" s="4">
        <f t="shared" si="11"/>
        <v>1016.96</v>
      </c>
      <c r="K720" s="179">
        <f>SUMIF(FALTAS!A:A,A720,FALTAS!D:D)</f>
        <v>0</v>
      </c>
    </row>
    <row r="721" spans="1:11" x14ac:dyDescent="0.25">
      <c r="A721" s="235">
        <v>113649</v>
      </c>
      <c r="B721" s="162" t="s">
        <v>894</v>
      </c>
      <c r="C721" s="162" t="s">
        <v>412</v>
      </c>
      <c r="D721" s="162" t="s">
        <v>1578</v>
      </c>
      <c r="E721" s="231">
        <v>43617</v>
      </c>
      <c r="F721" s="162" t="s">
        <v>1230</v>
      </c>
      <c r="G721" s="231">
        <v>45180</v>
      </c>
      <c r="H721" s="198">
        <f>SUMIF(VA!B:B,A721,VA!I:I)</f>
        <v>359.46</v>
      </c>
      <c r="I721" s="32">
        <f>SUMIF(VR!B:B,A721,VR!I:I)</f>
        <v>657.5</v>
      </c>
      <c r="J721" s="4">
        <f t="shared" si="11"/>
        <v>1016.96</v>
      </c>
      <c r="K721" s="179">
        <f>SUMIF(FALTAS!A:A,A721,FALTAS!D:D)</f>
        <v>0</v>
      </c>
    </row>
    <row r="722" spans="1:11" x14ac:dyDescent="0.25">
      <c r="A722" s="235">
        <v>119920</v>
      </c>
      <c r="B722" s="162" t="s">
        <v>1477</v>
      </c>
      <c r="C722" s="162" t="s">
        <v>15</v>
      </c>
      <c r="D722" s="162" t="s">
        <v>1578</v>
      </c>
      <c r="E722" s="231">
        <v>44760</v>
      </c>
      <c r="F722" s="162" t="s">
        <v>1229</v>
      </c>
      <c r="G722" s="231">
        <v>45177</v>
      </c>
      <c r="H722" s="198">
        <f>SUMIF(VA!B:B,A722,VA!I:I)</f>
        <v>359.46</v>
      </c>
      <c r="I722" s="32">
        <f>SUMIF(VR!B:B,A722,VR!I:I)</f>
        <v>657.5</v>
      </c>
      <c r="J722" s="4">
        <f t="shared" si="11"/>
        <v>1016.96</v>
      </c>
      <c r="K722" s="179">
        <f>SUMIF(FALTAS!A:A,A722,FALTAS!D:D)</f>
        <v>0</v>
      </c>
    </row>
    <row r="723" spans="1:11" x14ac:dyDescent="0.25">
      <c r="A723" s="235">
        <v>113125</v>
      </c>
      <c r="B723" s="162" t="s">
        <v>599</v>
      </c>
      <c r="C723" s="162" t="s">
        <v>22</v>
      </c>
      <c r="D723" s="162" t="s">
        <v>1578</v>
      </c>
      <c r="E723" s="231">
        <v>43617</v>
      </c>
      <c r="F723" s="162" t="s">
        <v>1229</v>
      </c>
      <c r="G723" s="231">
        <v>44898</v>
      </c>
      <c r="H723" s="198">
        <f>SUMIF(VA!B:B,A723,VA!I:I)</f>
        <v>359.46</v>
      </c>
      <c r="I723" s="32">
        <f>SUMIF(VR!B:B,A723,VR!I:I)</f>
        <v>657.5</v>
      </c>
      <c r="J723" s="4">
        <f t="shared" si="11"/>
        <v>1016.96</v>
      </c>
      <c r="K723" s="179">
        <f>SUMIF(FALTAS!A:A,A723,FALTAS!D:D)</f>
        <v>0</v>
      </c>
    </row>
    <row r="724" spans="1:11" x14ac:dyDescent="0.25">
      <c r="A724" s="235">
        <v>113339</v>
      </c>
      <c r="B724" s="162" t="s">
        <v>715</v>
      </c>
      <c r="C724" s="162" t="s">
        <v>384</v>
      </c>
      <c r="D724" s="162" t="s">
        <v>1578</v>
      </c>
      <c r="E724" s="231">
        <v>43617</v>
      </c>
      <c r="F724" s="162" t="s">
        <v>1229</v>
      </c>
      <c r="G724" s="231">
        <v>44806</v>
      </c>
      <c r="H724" s="198">
        <f>SUMIF(VA!B:B,A724,VA!I:I)</f>
        <v>359.46</v>
      </c>
      <c r="I724" s="32">
        <f>SUMIF(VR!B:B,A724,VR!I:I)</f>
        <v>657.5</v>
      </c>
      <c r="J724" s="4">
        <f t="shared" si="11"/>
        <v>1016.96</v>
      </c>
      <c r="K724" s="179">
        <f>SUMIF(FALTAS!A:A,A724,FALTAS!D:D)</f>
        <v>0</v>
      </c>
    </row>
    <row r="725" spans="1:11" x14ac:dyDescent="0.25">
      <c r="A725" s="235">
        <v>112515</v>
      </c>
      <c r="B725" s="162" t="s">
        <v>232</v>
      </c>
      <c r="C725" s="162" t="s">
        <v>146</v>
      </c>
      <c r="D725" s="162" t="s">
        <v>8</v>
      </c>
      <c r="E725" s="231">
        <v>43617</v>
      </c>
      <c r="F725" s="162" t="s">
        <v>1229</v>
      </c>
      <c r="G725" s="231">
        <v>45149</v>
      </c>
      <c r="H725" s="198">
        <f>SUMIF(VA!B:B,A725,VA!I:I)</f>
        <v>359.46</v>
      </c>
      <c r="I725" s="32">
        <f>SUMIF(VR!B:B,A725,VR!I:I)</f>
        <v>657.5</v>
      </c>
      <c r="J725" s="4">
        <f t="shared" si="11"/>
        <v>1016.96</v>
      </c>
      <c r="K725" s="179">
        <f>SUMIF(FALTAS!A:A,A725,FALTAS!D:D)</f>
        <v>0</v>
      </c>
    </row>
    <row r="726" spans="1:11" x14ac:dyDescent="0.25">
      <c r="A726" s="235">
        <v>122561</v>
      </c>
      <c r="B726" s="162" t="s">
        <v>1688</v>
      </c>
      <c r="C726" s="162" t="s">
        <v>5</v>
      </c>
      <c r="D726" s="162" t="s">
        <v>32</v>
      </c>
      <c r="E726" s="231">
        <v>45131</v>
      </c>
      <c r="F726" s="162" t="s">
        <v>1229</v>
      </c>
      <c r="G726" s="231">
        <v>45131</v>
      </c>
      <c r="H726" s="198">
        <f>SUMIF(VA!B:B,A726,VA!I:I)</f>
        <v>359.46</v>
      </c>
      <c r="I726" s="32">
        <f>SUMIF(VR!B:B,A726,VR!I:I)</f>
        <v>657.5</v>
      </c>
      <c r="J726" s="4">
        <f t="shared" si="11"/>
        <v>1016.96</v>
      </c>
      <c r="K726" s="179">
        <f>SUMIF(FALTAS!A:A,A726,FALTAS!D:D)</f>
        <v>0</v>
      </c>
    </row>
    <row r="727" spans="1:11" x14ac:dyDescent="0.25">
      <c r="A727" s="235">
        <v>113435</v>
      </c>
      <c r="B727" s="162" t="s">
        <v>777</v>
      </c>
      <c r="C727" s="162" t="s">
        <v>2</v>
      </c>
      <c r="D727" s="162" t="s">
        <v>0</v>
      </c>
      <c r="E727" s="231">
        <v>43617</v>
      </c>
      <c r="F727" s="162" t="s">
        <v>1229</v>
      </c>
      <c r="G727" s="231">
        <v>44960</v>
      </c>
      <c r="H727" s="198">
        <f>SUMIF(VA!B:B,A727,VA!I:I)</f>
        <v>359.46</v>
      </c>
      <c r="I727" s="32">
        <f>SUMIF(VR!B:B,A727,VR!I:I)</f>
        <v>657.5</v>
      </c>
      <c r="J727" s="4">
        <f t="shared" si="11"/>
        <v>1016.96</v>
      </c>
      <c r="K727" s="179">
        <f>SUMIF(FALTAS!A:A,A727,FALTAS!D:D)</f>
        <v>0</v>
      </c>
    </row>
    <row r="728" spans="1:11" x14ac:dyDescent="0.25">
      <c r="A728" s="235">
        <v>115408</v>
      </c>
      <c r="B728" s="162" t="s">
        <v>1156</v>
      </c>
      <c r="C728" s="162" t="s">
        <v>5</v>
      </c>
      <c r="D728" s="162" t="s">
        <v>8</v>
      </c>
      <c r="E728" s="231">
        <v>44048</v>
      </c>
      <c r="F728" s="162" t="s">
        <v>1229</v>
      </c>
      <c r="G728" s="231">
        <v>45086</v>
      </c>
      <c r="H728" s="198">
        <f>SUMIF(VA!B:B,A728,VA!I:I)</f>
        <v>359.46</v>
      </c>
      <c r="I728" s="32">
        <f>SUMIF(VR!B:B,A728,VR!I:I)</f>
        <v>657.5</v>
      </c>
      <c r="J728" s="4">
        <f t="shared" si="11"/>
        <v>1016.96</v>
      </c>
      <c r="K728" s="179">
        <f>SUMIF(FALTAS!A:A,A728,FALTAS!D:D)</f>
        <v>0</v>
      </c>
    </row>
    <row r="729" spans="1:11" x14ac:dyDescent="0.25">
      <c r="A729" s="235">
        <v>114744</v>
      </c>
      <c r="B729" s="162" t="s">
        <v>1086</v>
      </c>
      <c r="C729" s="162" t="s">
        <v>5</v>
      </c>
      <c r="D729" s="162" t="s">
        <v>0</v>
      </c>
      <c r="E729" s="231">
        <v>43874</v>
      </c>
      <c r="F729" s="162" t="s">
        <v>1229</v>
      </c>
      <c r="G729" s="231">
        <v>45177</v>
      </c>
      <c r="H729" s="198">
        <f>SUMIF(VA!B:B,A729,VA!I:I)</f>
        <v>359.46</v>
      </c>
      <c r="I729" s="32">
        <f>SUMIF(VR!B:B,A729,VR!I:I)</f>
        <v>657.5</v>
      </c>
      <c r="J729" s="4">
        <f t="shared" si="11"/>
        <v>1016.96</v>
      </c>
      <c r="K729" s="179">
        <f>SUMIF(FALTAS!A:A,A729,FALTAS!D:D)</f>
        <v>0</v>
      </c>
    </row>
    <row r="730" spans="1:11" x14ac:dyDescent="0.25">
      <c r="A730" s="235">
        <v>112315</v>
      </c>
      <c r="B730" s="162" t="s">
        <v>103</v>
      </c>
      <c r="C730" s="162" t="s">
        <v>2</v>
      </c>
      <c r="D730" s="162" t="s">
        <v>19</v>
      </c>
      <c r="E730" s="231">
        <v>43617</v>
      </c>
      <c r="F730" s="162" t="s">
        <v>1229</v>
      </c>
      <c r="G730" s="231">
        <v>45149</v>
      </c>
      <c r="H730" s="198">
        <f>SUMIF(VA!B:B,A730,VA!I:I)</f>
        <v>359.46</v>
      </c>
      <c r="I730" s="32">
        <f>SUMIF(VR!B:B,A730,VR!I:I)</f>
        <v>657.5</v>
      </c>
      <c r="J730" s="4">
        <f t="shared" si="11"/>
        <v>1016.96</v>
      </c>
      <c r="K730" s="179">
        <f>SUMIF(FALTAS!A:A,A730,FALTAS!D:D)</f>
        <v>0</v>
      </c>
    </row>
    <row r="731" spans="1:11" x14ac:dyDescent="0.25">
      <c r="A731" s="235">
        <v>114493</v>
      </c>
      <c r="B731" s="162" t="s">
        <v>1039</v>
      </c>
      <c r="C731" s="162" t="s">
        <v>2</v>
      </c>
      <c r="D731" s="162" t="s">
        <v>0</v>
      </c>
      <c r="E731" s="231">
        <v>43811</v>
      </c>
      <c r="F731" s="162" t="s">
        <v>1229</v>
      </c>
      <c r="G731" s="231">
        <v>45119</v>
      </c>
      <c r="H731" s="198">
        <f>SUMIF(VA!B:B,A731,VA!I:I)</f>
        <v>347.47</v>
      </c>
      <c r="I731" s="32">
        <f>SUMIF(VR!B:B,A731,VR!I:I)</f>
        <v>631.20000000000005</v>
      </c>
      <c r="J731" s="4">
        <f t="shared" si="11"/>
        <v>978.67000000000007</v>
      </c>
      <c r="K731" s="179">
        <f>SUMIF(FALTAS!A:A,A731,FALTAS!D:D)</f>
        <v>1</v>
      </c>
    </row>
    <row r="732" spans="1:11" x14ac:dyDescent="0.25">
      <c r="A732" s="235">
        <v>122080</v>
      </c>
      <c r="B732" s="162" t="s">
        <v>1629</v>
      </c>
      <c r="C732" s="162" t="s">
        <v>5</v>
      </c>
      <c r="D732" s="162" t="s">
        <v>8</v>
      </c>
      <c r="E732" s="231">
        <v>45061</v>
      </c>
      <c r="F732" s="162" t="s">
        <v>1229</v>
      </c>
      <c r="G732" s="231">
        <v>45061</v>
      </c>
      <c r="H732" s="198">
        <f>SUMIF(VA!B:B,A732,VA!I:I)</f>
        <v>359.46</v>
      </c>
      <c r="I732" s="32">
        <f>SUMIF(VR!B:B,A732,VR!I:I)</f>
        <v>657.5</v>
      </c>
      <c r="J732" s="4">
        <f t="shared" si="11"/>
        <v>1016.96</v>
      </c>
      <c r="K732" s="179">
        <f>SUMIF(FALTAS!A:A,A732,FALTAS!D:D)</f>
        <v>0</v>
      </c>
    </row>
    <row r="733" spans="1:11" x14ac:dyDescent="0.25">
      <c r="A733" s="235">
        <v>113381</v>
      </c>
      <c r="B733" s="162" t="s">
        <v>741</v>
      </c>
      <c r="C733" s="162" t="s">
        <v>2</v>
      </c>
      <c r="D733" s="162" t="s">
        <v>0</v>
      </c>
      <c r="E733" s="231">
        <v>43617</v>
      </c>
      <c r="F733" s="162" t="s">
        <v>1229</v>
      </c>
      <c r="G733" s="231">
        <v>44898</v>
      </c>
      <c r="H733" s="198">
        <f>SUMIF(VA!B:B,A733,VA!I:I)</f>
        <v>359.46</v>
      </c>
      <c r="I733" s="32">
        <f>SUMIF(VR!B:B,A733,VR!I:I)</f>
        <v>657.5</v>
      </c>
      <c r="J733" s="4">
        <f t="shared" si="11"/>
        <v>1016.96</v>
      </c>
      <c r="K733" s="179">
        <f>SUMIF(FALTAS!A:A,A733,FALTAS!D:D)</f>
        <v>0</v>
      </c>
    </row>
    <row r="734" spans="1:11" x14ac:dyDescent="0.25">
      <c r="A734" s="235">
        <v>112252</v>
      </c>
      <c r="B734" s="162" t="s">
        <v>63</v>
      </c>
      <c r="C734" s="162" t="s">
        <v>2</v>
      </c>
      <c r="D734" s="162" t="s">
        <v>10</v>
      </c>
      <c r="E734" s="231">
        <v>43617</v>
      </c>
      <c r="F734" s="162" t="s">
        <v>1229</v>
      </c>
      <c r="G734" s="231">
        <v>44776</v>
      </c>
      <c r="H734" s="198">
        <f>SUMIF(VA!B:B,A734,VA!I:I)</f>
        <v>359.46</v>
      </c>
      <c r="I734" s="32">
        <f>SUMIF(VR!B:B,A734,VR!I:I)</f>
        <v>657.5</v>
      </c>
      <c r="J734" s="4">
        <f t="shared" si="11"/>
        <v>1016.96</v>
      </c>
      <c r="K734" s="179">
        <f>SUMIF(FALTAS!A:A,A734,FALTAS!D:D)</f>
        <v>0</v>
      </c>
    </row>
    <row r="735" spans="1:11" x14ac:dyDescent="0.25">
      <c r="A735" s="235">
        <v>113036</v>
      </c>
      <c r="B735" s="162" t="s">
        <v>554</v>
      </c>
      <c r="C735" s="162" t="s">
        <v>2</v>
      </c>
      <c r="D735" s="162" t="s">
        <v>19</v>
      </c>
      <c r="E735" s="231">
        <v>43617</v>
      </c>
      <c r="F735" s="162" t="s">
        <v>1229</v>
      </c>
      <c r="G735" s="231">
        <v>44930</v>
      </c>
      <c r="H735" s="198">
        <f>SUMIF(VA!B:B,A735,VA!I:I)</f>
        <v>359.46</v>
      </c>
      <c r="I735" s="32">
        <f>SUMIF(VR!B:B,A735,VR!I:I)</f>
        <v>657.5</v>
      </c>
      <c r="J735" s="4">
        <f t="shared" si="11"/>
        <v>1016.96</v>
      </c>
      <c r="K735" s="179">
        <f>SUMIF(FALTAS!A:A,A735,FALTAS!D:D)</f>
        <v>0</v>
      </c>
    </row>
    <row r="736" spans="1:11" x14ac:dyDescent="0.25">
      <c r="A736" s="235">
        <v>113358</v>
      </c>
      <c r="B736" s="162" t="s">
        <v>725</v>
      </c>
      <c r="C736" s="162" t="s">
        <v>2</v>
      </c>
      <c r="D736" s="162" t="s">
        <v>0</v>
      </c>
      <c r="E736" s="231">
        <v>43617</v>
      </c>
      <c r="F736" s="162" t="s">
        <v>1229</v>
      </c>
      <c r="G736" s="231">
        <v>45119</v>
      </c>
      <c r="H736" s="198">
        <f>SUMIF(VA!B:B,A736,VA!I:I)</f>
        <v>359.46</v>
      </c>
      <c r="I736" s="32">
        <f>SUMIF(VR!B:B,A736,VR!I:I)</f>
        <v>657.5</v>
      </c>
      <c r="J736" s="4">
        <f t="shared" si="11"/>
        <v>1016.96</v>
      </c>
      <c r="K736" s="179">
        <f>SUMIF(FALTAS!A:A,A736,FALTAS!D:D)</f>
        <v>0</v>
      </c>
    </row>
    <row r="737" spans="1:11" x14ac:dyDescent="0.25">
      <c r="A737" s="235">
        <v>113437</v>
      </c>
      <c r="B737" s="162" t="s">
        <v>779</v>
      </c>
      <c r="C737" s="162" t="s">
        <v>2</v>
      </c>
      <c r="D737" s="162" t="s">
        <v>0</v>
      </c>
      <c r="E737" s="231">
        <v>43617</v>
      </c>
      <c r="F737" s="162" t="s">
        <v>1229</v>
      </c>
      <c r="G737" s="231">
        <v>45056</v>
      </c>
      <c r="H737" s="198">
        <f>SUMIF(VA!B:B,A737,VA!I:I)</f>
        <v>359.46</v>
      </c>
      <c r="I737" s="32">
        <f>SUMIF(VR!B:B,A737,VR!I:I)</f>
        <v>657.5</v>
      </c>
      <c r="J737" s="4">
        <f t="shared" si="11"/>
        <v>1016.96</v>
      </c>
      <c r="K737" s="179">
        <f>SUMIF(FALTAS!A:A,A737,FALTAS!D:D)</f>
        <v>0</v>
      </c>
    </row>
    <row r="738" spans="1:11" x14ac:dyDescent="0.25">
      <c r="A738" s="235">
        <v>113614</v>
      </c>
      <c r="B738" s="162" t="s">
        <v>779</v>
      </c>
      <c r="C738" s="162" t="s">
        <v>15</v>
      </c>
      <c r="D738" s="162" t="s">
        <v>1578</v>
      </c>
      <c r="E738" s="231">
        <v>43617</v>
      </c>
      <c r="F738" s="162" t="s">
        <v>1229</v>
      </c>
      <c r="G738" s="231">
        <v>44898</v>
      </c>
      <c r="H738" s="198">
        <f>SUMIF(VA!B:B,A738,VA!I:I)</f>
        <v>359.46</v>
      </c>
      <c r="I738" s="32">
        <f>SUMIF(VR!B:B,A738,VR!I:I)</f>
        <v>657.5</v>
      </c>
      <c r="J738" s="4">
        <f t="shared" si="11"/>
        <v>1016.96</v>
      </c>
      <c r="K738" s="179">
        <f>SUMIF(FALTAS!A:A,A738,FALTAS!D:D)</f>
        <v>0</v>
      </c>
    </row>
    <row r="739" spans="1:11" x14ac:dyDescent="0.25">
      <c r="A739" s="235">
        <v>113651</v>
      </c>
      <c r="B739" s="162" t="s">
        <v>779</v>
      </c>
      <c r="C739" s="162" t="s">
        <v>15</v>
      </c>
      <c r="D739" s="162" t="s">
        <v>1578</v>
      </c>
      <c r="E739" s="231">
        <v>43617</v>
      </c>
      <c r="F739" s="162" t="s">
        <v>1229</v>
      </c>
      <c r="G739" s="231">
        <v>45177</v>
      </c>
      <c r="H739" s="198">
        <f>SUMIF(VA!B:B,A739,VA!I:I)</f>
        <v>359.46</v>
      </c>
      <c r="I739" s="32">
        <f>SUMIF(VR!B:B,A739,VR!I:I)</f>
        <v>657.5</v>
      </c>
      <c r="J739" s="4">
        <f t="shared" si="11"/>
        <v>1016.96</v>
      </c>
      <c r="K739" s="179">
        <f>SUMIF(FALTAS!A:A,A739,FALTAS!D:D)</f>
        <v>0</v>
      </c>
    </row>
    <row r="740" spans="1:11" x14ac:dyDescent="0.25">
      <c r="A740" s="235">
        <v>113617</v>
      </c>
      <c r="B740" s="162" t="s">
        <v>874</v>
      </c>
      <c r="C740" s="162" t="s">
        <v>15</v>
      </c>
      <c r="D740" s="162" t="s">
        <v>1578</v>
      </c>
      <c r="E740" s="231">
        <v>43617</v>
      </c>
      <c r="F740" s="162" t="s">
        <v>1229</v>
      </c>
      <c r="G740" s="231">
        <v>45023</v>
      </c>
      <c r="H740" s="198">
        <f>SUMIF(VA!B:B,A740,VA!I:I)</f>
        <v>359.46</v>
      </c>
      <c r="I740" s="32">
        <f>SUMIF(VR!B:B,A740,VR!I:I)</f>
        <v>657.5</v>
      </c>
      <c r="J740" s="4">
        <f t="shared" si="11"/>
        <v>1016.96</v>
      </c>
      <c r="K740" s="179">
        <f>SUMIF(FALTAS!A:A,A740,FALTAS!D:D)</f>
        <v>0</v>
      </c>
    </row>
    <row r="741" spans="1:11" x14ac:dyDescent="0.25">
      <c r="A741" s="235">
        <v>113134</v>
      </c>
      <c r="B741" s="162" t="s">
        <v>602</v>
      </c>
      <c r="C741" s="162" t="s">
        <v>22</v>
      </c>
      <c r="D741" s="162" t="s">
        <v>1578</v>
      </c>
      <c r="E741" s="231">
        <v>43617</v>
      </c>
      <c r="F741" s="162" t="s">
        <v>1229</v>
      </c>
      <c r="G741" s="231">
        <v>45149</v>
      </c>
      <c r="H741" s="198">
        <f>SUMIF(VA!B:B,A741,VA!I:I)</f>
        <v>359.46</v>
      </c>
      <c r="I741" s="32">
        <f>SUMIF(VR!B:B,A741,VR!I:I)</f>
        <v>657.5</v>
      </c>
      <c r="J741" s="4">
        <f t="shared" si="11"/>
        <v>1016.96</v>
      </c>
      <c r="K741" s="179">
        <f>SUMIF(FALTAS!A:A,A741,FALTAS!D:D)</f>
        <v>0</v>
      </c>
    </row>
    <row r="742" spans="1:11" x14ac:dyDescent="0.25">
      <c r="A742" s="235">
        <v>112508</v>
      </c>
      <c r="B742" s="162" t="s">
        <v>226</v>
      </c>
      <c r="C742" s="162" t="s">
        <v>39</v>
      </c>
      <c r="D742" s="162" t="s">
        <v>8</v>
      </c>
      <c r="E742" s="231">
        <v>43617</v>
      </c>
      <c r="F742" s="162" t="s">
        <v>1230</v>
      </c>
      <c r="G742" s="231">
        <v>45180</v>
      </c>
      <c r="H742" s="198">
        <f>SUMIF(VA!B:B,A742,VA!I:I)</f>
        <v>359.46</v>
      </c>
      <c r="I742" s="32">
        <f>SUMIF(VR!B:B,A742,VR!I:I)</f>
        <v>657.5</v>
      </c>
      <c r="J742" s="4">
        <f t="shared" si="11"/>
        <v>1016.96</v>
      </c>
      <c r="K742" s="179">
        <f>SUMIF(FALTAS!A:A,A742,FALTAS!D:D)</f>
        <v>0</v>
      </c>
    </row>
    <row r="743" spans="1:11" x14ac:dyDescent="0.25">
      <c r="A743" s="235">
        <v>113335</v>
      </c>
      <c r="B743" s="162" t="s">
        <v>713</v>
      </c>
      <c r="C743" s="162" t="s">
        <v>146</v>
      </c>
      <c r="D743" s="162" t="s">
        <v>1578</v>
      </c>
      <c r="E743" s="231">
        <v>43617</v>
      </c>
      <c r="F743" s="162" t="s">
        <v>1229</v>
      </c>
      <c r="G743" s="231">
        <v>44835</v>
      </c>
      <c r="H743" s="198">
        <f>SUMIF(VA!B:B,A743,VA!I:I)</f>
        <v>359.46</v>
      </c>
      <c r="I743" s="32">
        <f>SUMIF(VR!B:B,A743,VR!I:I)</f>
        <v>657.5</v>
      </c>
      <c r="J743" s="4">
        <f t="shared" si="11"/>
        <v>1016.96</v>
      </c>
      <c r="K743" s="179">
        <f>SUMIF(FALTAS!A:A,A743,FALTAS!D:D)</f>
        <v>0</v>
      </c>
    </row>
    <row r="744" spans="1:11" x14ac:dyDescent="0.25">
      <c r="A744" s="235">
        <v>113618</v>
      </c>
      <c r="B744" s="162" t="s">
        <v>875</v>
      </c>
      <c r="C744" s="162" t="s">
        <v>406</v>
      </c>
      <c r="D744" s="162" t="s">
        <v>1578</v>
      </c>
      <c r="E744" s="231">
        <v>43617</v>
      </c>
      <c r="F744" s="162" t="s">
        <v>1229</v>
      </c>
      <c r="G744" s="231">
        <v>44835</v>
      </c>
      <c r="H744" s="198">
        <f>SUMIF(VA!B:B,A744,VA!I:I)</f>
        <v>359.46</v>
      </c>
      <c r="I744" s="32">
        <f>SUMIF(VR!B:B,A744,VR!I:I)</f>
        <v>657.5</v>
      </c>
      <c r="J744" s="4">
        <f t="shared" si="11"/>
        <v>1016.96</v>
      </c>
      <c r="K744" s="179">
        <f>SUMIF(FALTAS!A:A,A744,FALTAS!D:D)</f>
        <v>0</v>
      </c>
    </row>
    <row r="745" spans="1:11" x14ac:dyDescent="0.25">
      <c r="A745" s="235">
        <v>112935</v>
      </c>
      <c r="B745" s="162" t="s">
        <v>504</v>
      </c>
      <c r="C745" s="162" t="s">
        <v>2</v>
      </c>
      <c r="D745" s="162" t="s">
        <v>8</v>
      </c>
      <c r="E745" s="231">
        <v>43617</v>
      </c>
      <c r="F745" s="162" t="s">
        <v>1229</v>
      </c>
      <c r="G745" s="231">
        <v>44867</v>
      </c>
      <c r="H745" s="198">
        <f>SUMIF(VA!B:B,A745,VA!I:I)</f>
        <v>359.46</v>
      </c>
      <c r="I745" s="32">
        <f>SUMIF(VR!B:B,A745,VR!I:I)</f>
        <v>657.5</v>
      </c>
      <c r="J745" s="4">
        <f t="shared" si="11"/>
        <v>1016.96</v>
      </c>
      <c r="K745" s="179">
        <f>SUMIF(FALTAS!A:A,A745,FALTAS!D:D)</f>
        <v>0</v>
      </c>
    </row>
    <row r="746" spans="1:11" x14ac:dyDescent="0.25">
      <c r="A746" s="235">
        <v>112979</v>
      </c>
      <c r="B746" s="162" t="s">
        <v>529</v>
      </c>
      <c r="C746" s="162" t="s">
        <v>5</v>
      </c>
      <c r="D746" s="162" t="s">
        <v>19</v>
      </c>
      <c r="E746" s="231">
        <v>43617</v>
      </c>
      <c r="F746" s="162" t="s">
        <v>1229</v>
      </c>
      <c r="G746" s="231">
        <v>44744</v>
      </c>
      <c r="H746" s="198">
        <f>SUMIF(VA!B:B,A746,VA!I:I)</f>
        <v>359.46</v>
      </c>
      <c r="I746" s="32">
        <f>SUMIF(VR!B:B,A746,VR!I:I)</f>
        <v>657.5</v>
      </c>
      <c r="J746" s="4">
        <f t="shared" si="11"/>
        <v>1016.96</v>
      </c>
      <c r="K746" s="179">
        <f>SUMIF(FALTAS!A:A,A746,FALTAS!D:D)</f>
        <v>0</v>
      </c>
    </row>
    <row r="747" spans="1:11" x14ac:dyDescent="0.25">
      <c r="A747" s="235">
        <v>112255</v>
      </c>
      <c r="B747" s="162" t="s">
        <v>66</v>
      </c>
      <c r="C747" s="162" t="s">
        <v>2</v>
      </c>
      <c r="D747" s="162" t="s">
        <v>10</v>
      </c>
      <c r="E747" s="231">
        <v>43617</v>
      </c>
      <c r="F747" s="162" t="s">
        <v>1229</v>
      </c>
      <c r="G747" s="231">
        <v>44776</v>
      </c>
      <c r="H747" s="198">
        <f>SUMIF(VA!B:B,A747,VA!I:I)</f>
        <v>359.46</v>
      </c>
      <c r="I747" s="32">
        <f>SUMIF(VR!B:B,A747,VR!I:I)</f>
        <v>657.5</v>
      </c>
      <c r="J747" s="4">
        <f t="shared" si="11"/>
        <v>1016.96</v>
      </c>
      <c r="K747" s="179">
        <f>SUMIF(FALTAS!A:A,A747,FALTAS!D:D)</f>
        <v>0</v>
      </c>
    </row>
    <row r="748" spans="1:11" x14ac:dyDescent="0.25">
      <c r="A748" s="235">
        <v>119111</v>
      </c>
      <c r="B748" s="162" t="s">
        <v>1434</v>
      </c>
      <c r="C748" s="162" t="s">
        <v>146</v>
      </c>
      <c r="D748" s="162" t="s">
        <v>1578</v>
      </c>
      <c r="E748" s="231">
        <v>44630</v>
      </c>
      <c r="F748" s="162" t="s">
        <v>1229</v>
      </c>
      <c r="G748" s="231">
        <v>44630</v>
      </c>
      <c r="H748" s="198">
        <f>SUMIF(VA!B:B,A748,VA!I:I)</f>
        <v>359.46</v>
      </c>
      <c r="I748" s="32">
        <f>SUMIF(VR!B:B,A748,VR!I:I)</f>
        <v>657.5</v>
      </c>
      <c r="J748" s="4">
        <f t="shared" si="11"/>
        <v>1016.96</v>
      </c>
      <c r="K748" s="179">
        <f>SUMIF(FALTAS!A:A,A748,FALTAS!D:D)</f>
        <v>0</v>
      </c>
    </row>
    <row r="749" spans="1:11" x14ac:dyDescent="0.25">
      <c r="A749" s="235">
        <v>112259</v>
      </c>
      <c r="B749" s="162" t="s">
        <v>70</v>
      </c>
      <c r="C749" s="162" t="s">
        <v>2</v>
      </c>
      <c r="D749" s="162" t="s">
        <v>8</v>
      </c>
      <c r="E749" s="231">
        <v>43617</v>
      </c>
      <c r="F749" s="162" t="s">
        <v>1229</v>
      </c>
      <c r="G749" s="231">
        <v>44776</v>
      </c>
      <c r="H749" s="198">
        <f>SUMIF(VA!B:B,A749,VA!I:I)</f>
        <v>359.46</v>
      </c>
      <c r="I749" s="32">
        <f>SUMIF(VR!B:B,A749,VR!I:I)</f>
        <v>657.5</v>
      </c>
      <c r="J749" s="4">
        <f t="shared" si="11"/>
        <v>1016.96</v>
      </c>
      <c r="K749" s="179">
        <f>SUMIF(FALTAS!A:A,A749,FALTAS!D:D)</f>
        <v>0</v>
      </c>
    </row>
    <row r="750" spans="1:11" x14ac:dyDescent="0.25">
      <c r="A750" s="235">
        <v>112989</v>
      </c>
      <c r="B750" s="162" t="s">
        <v>532</v>
      </c>
      <c r="C750" s="162" t="s">
        <v>39</v>
      </c>
      <c r="D750" s="162" t="s">
        <v>19</v>
      </c>
      <c r="E750" s="231">
        <v>43617</v>
      </c>
      <c r="F750" s="162" t="s">
        <v>1229</v>
      </c>
      <c r="G750" s="231">
        <v>44960</v>
      </c>
      <c r="H750" s="198">
        <f>SUMIF(VA!B:B,A750,VA!I:I)</f>
        <v>359.46</v>
      </c>
      <c r="I750" s="32">
        <f>SUMIF(VR!B:B,A750,VR!I:I)</f>
        <v>657.5</v>
      </c>
      <c r="J750" s="4">
        <f t="shared" si="11"/>
        <v>1016.96</v>
      </c>
      <c r="K750" s="179">
        <f>SUMIF(FALTAS!A:A,A750,FALTAS!D:D)</f>
        <v>0</v>
      </c>
    </row>
    <row r="751" spans="1:11" x14ac:dyDescent="0.25">
      <c r="A751" s="235">
        <v>112937</v>
      </c>
      <c r="B751" s="162" t="s">
        <v>506</v>
      </c>
      <c r="C751" s="162" t="s">
        <v>2</v>
      </c>
      <c r="D751" s="162" t="s">
        <v>8</v>
      </c>
      <c r="E751" s="231">
        <v>43617</v>
      </c>
      <c r="F751" s="162" t="s">
        <v>1229</v>
      </c>
      <c r="G751" s="231">
        <v>45119</v>
      </c>
      <c r="H751" s="198">
        <f>SUMIF(VA!B:B,A751,VA!I:I)</f>
        <v>359.46</v>
      </c>
      <c r="I751" s="32">
        <f>SUMIF(VR!B:B,A751,VR!I:I)</f>
        <v>657.5</v>
      </c>
      <c r="J751" s="4">
        <f t="shared" si="11"/>
        <v>1016.96</v>
      </c>
      <c r="K751" s="179">
        <f>SUMIF(FALTAS!A:A,A751,FALTAS!D:D)</f>
        <v>0</v>
      </c>
    </row>
    <row r="752" spans="1:11" x14ac:dyDescent="0.25">
      <c r="A752" s="235">
        <v>119112</v>
      </c>
      <c r="B752" s="162" t="s">
        <v>1435</v>
      </c>
      <c r="C752" s="162" t="s">
        <v>5</v>
      </c>
      <c r="D752" s="162" t="s">
        <v>8</v>
      </c>
      <c r="E752" s="231">
        <v>44630</v>
      </c>
      <c r="F752" s="162" t="s">
        <v>1229</v>
      </c>
      <c r="G752" s="231">
        <v>45086</v>
      </c>
      <c r="H752" s="198">
        <f>SUMIF(VA!B:B,A752,VA!I:I)</f>
        <v>359.46</v>
      </c>
      <c r="I752" s="32">
        <f>SUMIF(VR!B:B,A752,VR!I:I)</f>
        <v>657.5</v>
      </c>
      <c r="J752" s="4">
        <f t="shared" si="11"/>
        <v>1016.96</v>
      </c>
      <c r="K752" s="179">
        <f>SUMIF(FALTAS!A:A,A752,FALTAS!D:D)</f>
        <v>0</v>
      </c>
    </row>
    <row r="753" spans="1:11" x14ac:dyDescent="0.25">
      <c r="A753" s="235">
        <v>113384</v>
      </c>
      <c r="B753" s="162" t="s">
        <v>742</v>
      </c>
      <c r="C753" s="162" t="s">
        <v>2</v>
      </c>
      <c r="D753" s="162" t="s">
        <v>0</v>
      </c>
      <c r="E753" s="231">
        <v>43620</v>
      </c>
      <c r="F753" s="162" t="s">
        <v>1229</v>
      </c>
      <c r="G753" s="231">
        <v>44930</v>
      </c>
      <c r="H753" s="198">
        <f>SUMIF(VA!B:B,A753,VA!I:I)</f>
        <v>359.46</v>
      </c>
      <c r="I753" s="32">
        <f>SUMIF(VR!B:B,A753,VR!I:I)</f>
        <v>657.5</v>
      </c>
      <c r="J753" s="4">
        <f t="shared" si="11"/>
        <v>1016.96</v>
      </c>
      <c r="K753" s="179">
        <f>SUMIF(FALTAS!A:A,A753,FALTAS!D:D)</f>
        <v>0</v>
      </c>
    </row>
    <row r="754" spans="1:11" x14ac:dyDescent="0.25">
      <c r="A754" s="235">
        <v>112983</v>
      </c>
      <c r="B754" s="162" t="s">
        <v>530</v>
      </c>
      <c r="C754" s="162" t="s">
        <v>5</v>
      </c>
      <c r="D754" s="162" t="s">
        <v>19</v>
      </c>
      <c r="E754" s="231">
        <v>43617</v>
      </c>
      <c r="F754" s="162" t="s">
        <v>1229</v>
      </c>
      <c r="G754" s="231">
        <v>45149</v>
      </c>
      <c r="H754" s="198">
        <f>SUMIF(VA!B:B,A754,VA!I:I)</f>
        <v>359.46</v>
      </c>
      <c r="I754" s="32">
        <f>SUMIF(VR!B:B,A754,VR!I:I)</f>
        <v>657.5</v>
      </c>
      <c r="J754" s="4">
        <f t="shared" si="11"/>
        <v>1016.96</v>
      </c>
      <c r="K754" s="179">
        <f>SUMIF(FALTAS!A:A,A754,FALTAS!D:D)</f>
        <v>0</v>
      </c>
    </row>
    <row r="755" spans="1:11" x14ac:dyDescent="0.25">
      <c r="A755" s="235">
        <v>112320</v>
      </c>
      <c r="B755" s="162" t="s">
        <v>105</v>
      </c>
      <c r="C755" s="162" t="s">
        <v>2</v>
      </c>
      <c r="D755" s="162" t="s">
        <v>10</v>
      </c>
      <c r="E755" s="231">
        <v>43617</v>
      </c>
      <c r="F755" s="162" t="s">
        <v>1229</v>
      </c>
      <c r="G755" s="231">
        <v>44806</v>
      </c>
      <c r="H755" s="198">
        <f>SUMIF(VA!B:B,A755,VA!I:I)</f>
        <v>359.46</v>
      </c>
      <c r="I755" s="32">
        <f>SUMIF(VR!B:B,A755,VR!I:I)</f>
        <v>657.5</v>
      </c>
      <c r="J755" s="4">
        <f t="shared" si="11"/>
        <v>1016.96</v>
      </c>
      <c r="K755" s="179">
        <f>SUMIF(FALTAS!A:A,A755,FALTAS!D:D)</f>
        <v>0</v>
      </c>
    </row>
    <row r="756" spans="1:11" x14ac:dyDescent="0.25">
      <c r="A756" s="235">
        <v>112499</v>
      </c>
      <c r="B756" s="162" t="s">
        <v>218</v>
      </c>
      <c r="C756" s="162" t="s">
        <v>39</v>
      </c>
      <c r="D756" s="162" t="s">
        <v>32</v>
      </c>
      <c r="E756" s="231">
        <v>43617</v>
      </c>
      <c r="F756" s="162" t="s">
        <v>1229</v>
      </c>
      <c r="G756" s="231">
        <v>45069</v>
      </c>
      <c r="H756" s="198">
        <f>SUMIF(VA!B:B,A756,VA!I:I)</f>
        <v>359.46</v>
      </c>
      <c r="I756" s="32">
        <f>SUMIF(VR!B:B,A756,VR!I:I)</f>
        <v>657.5</v>
      </c>
      <c r="J756" s="4">
        <f t="shared" si="11"/>
        <v>1016.96</v>
      </c>
      <c r="K756" s="179">
        <f>SUMIF(FALTAS!A:A,A756,FALTAS!D:D)</f>
        <v>0</v>
      </c>
    </row>
    <row r="757" spans="1:11" x14ac:dyDescent="0.25">
      <c r="A757" s="235">
        <v>122834</v>
      </c>
      <c r="B757" s="162" t="s">
        <v>1723</v>
      </c>
      <c r="C757" s="162" t="s">
        <v>5</v>
      </c>
      <c r="D757" s="162" t="s">
        <v>0</v>
      </c>
      <c r="E757" s="231">
        <v>45180</v>
      </c>
      <c r="F757" s="162" t="s">
        <v>1229</v>
      </c>
      <c r="G757" s="231">
        <v>45180</v>
      </c>
      <c r="H757" s="198">
        <f>SUMIF(VA!B:B,A757,VA!I:I)</f>
        <v>359.46</v>
      </c>
      <c r="I757" s="32">
        <f>SUMIF(VR!B:B,A757,VR!I:I)</f>
        <v>657.5</v>
      </c>
      <c r="J757" s="4">
        <f t="shared" si="11"/>
        <v>1016.96</v>
      </c>
      <c r="K757" s="179">
        <f>SUMIF(FALTAS!A:A,A757,FALTAS!D:D)</f>
        <v>0</v>
      </c>
    </row>
    <row r="758" spans="1:11" x14ac:dyDescent="0.25">
      <c r="A758" s="235">
        <v>113039</v>
      </c>
      <c r="B758" s="162" t="s">
        <v>108</v>
      </c>
      <c r="C758" s="162" t="s">
        <v>2</v>
      </c>
      <c r="D758" s="162" t="s">
        <v>19</v>
      </c>
      <c r="E758" s="231">
        <v>43620</v>
      </c>
      <c r="F758" s="162" t="s">
        <v>1229</v>
      </c>
      <c r="G758" s="231">
        <v>45056</v>
      </c>
      <c r="H758" s="198">
        <f>SUMIF(VA!B:B,A758,VA!I:I)</f>
        <v>359.46</v>
      </c>
      <c r="I758" s="32">
        <f>SUMIF(VR!B:B,A758,VR!I:I)</f>
        <v>657.5</v>
      </c>
      <c r="J758" s="4">
        <f t="shared" si="11"/>
        <v>1016.96</v>
      </c>
      <c r="K758" s="179">
        <f>SUMIF(FALTAS!A:A,A758,FALTAS!D:D)</f>
        <v>0</v>
      </c>
    </row>
    <row r="759" spans="1:11" x14ac:dyDescent="0.25">
      <c r="A759" s="235">
        <v>113628</v>
      </c>
      <c r="B759" s="162" t="s">
        <v>881</v>
      </c>
      <c r="C759" s="162" t="s">
        <v>15</v>
      </c>
      <c r="D759" s="162" t="s">
        <v>1578</v>
      </c>
      <c r="E759" s="231">
        <v>43620</v>
      </c>
      <c r="F759" s="162" t="s">
        <v>1229</v>
      </c>
      <c r="G759" s="231">
        <v>44898</v>
      </c>
      <c r="H759" s="198">
        <f>SUMIF(VA!B:B,A759,VA!I:I)</f>
        <v>359.46</v>
      </c>
      <c r="I759" s="32">
        <f>SUMIF(VR!B:B,A759,VR!I:I)</f>
        <v>657.5</v>
      </c>
      <c r="J759" s="4">
        <f t="shared" si="11"/>
        <v>1016.96</v>
      </c>
      <c r="K759" s="179">
        <f>SUMIF(FALTAS!A:A,A759,FALTAS!D:D)</f>
        <v>0</v>
      </c>
    </row>
    <row r="760" spans="1:11" x14ac:dyDescent="0.25">
      <c r="A760" s="235">
        <v>114923</v>
      </c>
      <c r="B760" s="162" t="s">
        <v>1109</v>
      </c>
      <c r="C760" s="162" t="s">
        <v>5</v>
      </c>
      <c r="D760" s="162" t="s">
        <v>1578</v>
      </c>
      <c r="E760" s="231">
        <v>43916</v>
      </c>
      <c r="F760" s="162" t="s">
        <v>1229</v>
      </c>
      <c r="G760" s="231">
        <v>45056</v>
      </c>
      <c r="H760" s="198">
        <f>SUMIF(VA!B:B,A760,VA!I:I)</f>
        <v>359.46</v>
      </c>
      <c r="I760" s="32">
        <f>SUMIF(VR!B:B,A760,VR!I:I)</f>
        <v>657.5</v>
      </c>
      <c r="J760" s="4">
        <f t="shared" si="11"/>
        <v>1016.96</v>
      </c>
      <c r="K760" s="179">
        <f>SUMIF(FALTAS!A:A,A760,FALTAS!D:D)</f>
        <v>0</v>
      </c>
    </row>
    <row r="761" spans="1:11" x14ac:dyDescent="0.25">
      <c r="A761" s="235">
        <v>112352</v>
      </c>
      <c r="B761" s="162" t="s">
        <v>126</v>
      </c>
      <c r="C761" s="162" t="s">
        <v>5</v>
      </c>
      <c r="D761" s="162" t="s">
        <v>8</v>
      </c>
      <c r="E761" s="231">
        <v>43617</v>
      </c>
      <c r="F761" s="162" t="s">
        <v>1229</v>
      </c>
      <c r="G761" s="231">
        <v>44806</v>
      </c>
      <c r="H761" s="198">
        <f>SUMIF(VA!B:B,A761,VA!I:I)</f>
        <v>359.46</v>
      </c>
      <c r="I761" s="32">
        <f>SUMIF(VR!B:B,A761,VR!I:I)</f>
        <v>657.5</v>
      </c>
      <c r="J761" s="4">
        <f t="shared" si="11"/>
        <v>1016.96</v>
      </c>
      <c r="K761" s="179">
        <f>SUMIF(FALTAS!A:A,A761,FALTAS!D:D)</f>
        <v>0</v>
      </c>
    </row>
    <row r="762" spans="1:11" x14ac:dyDescent="0.25">
      <c r="A762" s="235">
        <v>112505</v>
      </c>
      <c r="B762" s="162" t="s">
        <v>223</v>
      </c>
      <c r="C762" s="162" t="s">
        <v>39</v>
      </c>
      <c r="D762" s="162" t="s">
        <v>32</v>
      </c>
      <c r="E762" s="231">
        <v>43621</v>
      </c>
      <c r="F762" s="162" t="s">
        <v>1229</v>
      </c>
      <c r="G762" s="231">
        <v>45056</v>
      </c>
      <c r="H762" s="198">
        <f>SUMIF(VA!B:B,A762,VA!I:I)</f>
        <v>359.46</v>
      </c>
      <c r="I762" s="32">
        <f>SUMIF(VR!B:B,A762,VR!I:I)</f>
        <v>657.5</v>
      </c>
      <c r="J762" s="4">
        <f t="shared" si="11"/>
        <v>1016.96</v>
      </c>
      <c r="K762" s="179">
        <f>SUMIF(FALTAS!A:A,A762,FALTAS!D:D)</f>
        <v>0</v>
      </c>
    </row>
    <row r="763" spans="1:11" x14ac:dyDescent="0.25">
      <c r="A763" s="235">
        <v>112328</v>
      </c>
      <c r="B763" s="162" t="s">
        <v>110</v>
      </c>
      <c r="C763" s="162" t="s">
        <v>2</v>
      </c>
      <c r="D763" s="162" t="s">
        <v>10</v>
      </c>
      <c r="E763" s="231">
        <v>43617</v>
      </c>
      <c r="F763" s="162" t="s">
        <v>1229</v>
      </c>
      <c r="G763" s="231">
        <v>45023</v>
      </c>
      <c r="H763" s="198">
        <f>SUMIF(VA!B:B,A763,VA!I:I)</f>
        <v>359.46</v>
      </c>
      <c r="I763" s="32">
        <f>SUMIF(VR!B:B,A763,VR!I:I)</f>
        <v>657.5</v>
      </c>
      <c r="J763" s="4">
        <f t="shared" si="11"/>
        <v>1016.96</v>
      </c>
      <c r="K763" s="179">
        <f>SUMIF(FALTAS!A:A,A763,FALTAS!D:D)</f>
        <v>0</v>
      </c>
    </row>
    <row r="764" spans="1:11" x14ac:dyDescent="0.25">
      <c r="A764" s="235">
        <v>113412</v>
      </c>
      <c r="B764" s="162" t="s">
        <v>761</v>
      </c>
      <c r="C764" s="162" t="s">
        <v>2</v>
      </c>
      <c r="D764" s="162" t="s">
        <v>0</v>
      </c>
      <c r="E764" s="231">
        <v>43617</v>
      </c>
      <c r="F764" s="162" t="s">
        <v>1229</v>
      </c>
      <c r="G764" s="231">
        <v>44930</v>
      </c>
      <c r="H764" s="198">
        <f>SUMIF(VA!B:B,A764,VA!I:I)</f>
        <v>359.46</v>
      </c>
      <c r="I764" s="32">
        <f>SUMIF(VR!B:B,A764,VR!I:I)</f>
        <v>657.5</v>
      </c>
      <c r="J764" s="4">
        <f t="shared" si="11"/>
        <v>1016.96</v>
      </c>
      <c r="K764" s="179">
        <f>SUMIF(FALTAS!A:A,A764,FALTAS!D:D)</f>
        <v>0</v>
      </c>
    </row>
    <row r="765" spans="1:11" x14ac:dyDescent="0.25">
      <c r="A765" s="235">
        <v>113161</v>
      </c>
      <c r="B765" s="162" t="s">
        <v>620</v>
      </c>
      <c r="C765" s="162" t="s">
        <v>15</v>
      </c>
      <c r="D765" s="162" t="s">
        <v>1578</v>
      </c>
      <c r="E765" s="231">
        <v>43617</v>
      </c>
      <c r="F765" s="162" t="s">
        <v>1230</v>
      </c>
      <c r="G765" s="231">
        <v>45180</v>
      </c>
      <c r="H765" s="198">
        <f>SUMIF(VA!B:B,A765,VA!I:I)</f>
        <v>359.46</v>
      </c>
      <c r="I765" s="32">
        <f>SUMIF(VR!B:B,A765,VR!I:I)</f>
        <v>657.5</v>
      </c>
      <c r="J765" s="4">
        <f t="shared" si="11"/>
        <v>1016.96</v>
      </c>
      <c r="K765" s="179">
        <f>SUMIF(FALTAS!A:A,A765,FALTAS!D:D)</f>
        <v>0</v>
      </c>
    </row>
    <row r="766" spans="1:11" x14ac:dyDescent="0.25">
      <c r="A766" s="235">
        <v>112940</v>
      </c>
      <c r="B766" s="162" t="s">
        <v>507</v>
      </c>
      <c r="C766" s="162" t="s">
        <v>2</v>
      </c>
      <c r="D766" s="162" t="s">
        <v>8</v>
      </c>
      <c r="E766" s="231">
        <v>43617</v>
      </c>
      <c r="F766" s="162" t="s">
        <v>1229</v>
      </c>
      <c r="G766" s="231">
        <v>45119</v>
      </c>
      <c r="H766" s="198">
        <f>SUMIF(VA!B:B,A766,VA!I:I)</f>
        <v>359.46</v>
      </c>
      <c r="I766" s="32">
        <f>SUMIF(VR!B:B,A766,VR!I:I)</f>
        <v>657.5</v>
      </c>
      <c r="J766" s="4">
        <f t="shared" si="11"/>
        <v>1016.96</v>
      </c>
      <c r="K766" s="179">
        <f>SUMIF(FALTAS!A:A,A766,FALTAS!D:D)</f>
        <v>0</v>
      </c>
    </row>
    <row r="767" spans="1:11" x14ac:dyDescent="0.25">
      <c r="A767" s="235">
        <v>112221</v>
      </c>
      <c r="B767" s="162" t="s">
        <v>42</v>
      </c>
      <c r="C767" s="162" t="s">
        <v>5</v>
      </c>
      <c r="D767" s="162" t="s">
        <v>0</v>
      </c>
      <c r="E767" s="231">
        <v>43617</v>
      </c>
      <c r="F767" s="162" t="s">
        <v>1229</v>
      </c>
      <c r="G767" s="231">
        <v>44960</v>
      </c>
      <c r="H767" s="198">
        <f>SUMIF(VA!B:B,A767,VA!I:I)</f>
        <v>359.46</v>
      </c>
      <c r="I767" s="32">
        <f>SUMIF(VR!B:B,A767,VR!I:I)</f>
        <v>657.5</v>
      </c>
      <c r="J767" s="4">
        <f t="shared" si="11"/>
        <v>1016.96</v>
      </c>
      <c r="K767" s="179">
        <f>SUMIF(FALTAS!A:A,A767,FALTAS!D:D)</f>
        <v>0</v>
      </c>
    </row>
    <row r="768" spans="1:11" x14ac:dyDescent="0.25">
      <c r="A768" s="235">
        <v>117244</v>
      </c>
      <c r="B768" s="162" t="s">
        <v>1258</v>
      </c>
      <c r="C768" s="162" t="s">
        <v>5</v>
      </c>
      <c r="D768" s="162" t="s">
        <v>8</v>
      </c>
      <c r="E768" s="231">
        <v>44487</v>
      </c>
      <c r="F768" s="162" t="s">
        <v>1229</v>
      </c>
      <c r="G768" s="231">
        <v>45149</v>
      </c>
      <c r="H768" s="198">
        <f>SUMIF(VA!B:B,A768,VA!I:I)</f>
        <v>359.46</v>
      </c>
      <c r="I768" s="32">
        <f>SUMIF(VR!B:B,A768,VR!I:I)</f>
        <v>657.5</v>
      </c>
      <c r="J768" s="4">
        <f t="shared" si="11"/>
        <v>1016.96</v>
      </c>
      <c r="K768" s="179">
        <f>SUMIF(FALTAS!A:A,A768,FALTAS!D:D)</f>
        <v>0</v>
      </c>
    </row>
    <row r="769" spans="1:11" x14ac:dyDescent="0.25">
      <c r="A769" s="235">
        <v>112517</v>
      </c>
      <c r="B769" s="162" t="s">
        <v>233</v>
      </c>
      <c r="C769" s="162" t="s">
        <v>2</v>
      </c>
      <c r="D769" s="162" t="s">
        <v>8</v>
      </c>
      <c r="E769" s="231">
        <v>43617</v>
      </c>
      <c r="F769" s="162" t="s">
        <v>1229</v>
      </c>
      <c r="G769" s="231">
        <v>44960</v>
      </c>
      <c r="H769" s="198">
        <f>SUMIF(VA!B:B,A769,VA!I:I)</f>
        <v>359.46</v>
      </c>
      <c r="I769" s="32">
        <f>SUMIF(VR!B:B,A769,VR!I:I)</f>
        <v>657.5</v>
      </c>
      <c r="J769" s="4">
        <f t="shared" ref="J769:J832" si="12">H769+I769</f>
        <v>1016.96</v>
      </c>
      <c r="K769" s="179">
        <f>SUMIF(FALTAS!A:A,A769,FALTAS!D:D)</f>
        <v>0</v>
      </c>
    </row>
    <row r="770" spans="1:11" x14ac:dyDescent="0.25">
      <c r="A770" s="235">
        <v>112941</v>
      </c>
      <c r="B770" s="162" t="s">
        <v>508</v>
      </c>
      <c r="C770" s="162" t="s">
        <v>2</v>
      </c>
      <c r="D770" s="162" t="s">
        <v>8</v>
      </c>
      <c r="E770" s="231">
        <v>43617</v>
      </c>
      <c r="F770" s="162" t="s">
        <v>1229</v>
      </c>
      <c r="G770" s="231">
        <v>44898</v>
      </c>
      <c r="H770" s="198">
        <f>SUMIF(VA!B:B,A770,VA!I:I)</f>
        <v>359.46</v>
      </c>
      <c r="I770" s="32">
        <f>SUMIF(VR!B:B,A770,VR!I:I)</f>
        <v>657.5</v>
      </c>
      <c r="J770" s="4">
        <f t="shared" si="12"/>
        <v>1016.96</v>
      </c>
      <c r="K770" s="179">
        <f>SUMIF(FALTAS!A:A,A770,FALTAS!D:D)</f>
        <v>0</v>
      </c>
    </row>
    <row r="771" spans="1:11" x14ac:dyDescent="0.25">
      <c r="A771" s="235">
        <v>112943</v>
      </c>
      <c r="B771" s="162" t="s">
        <v>510</v>
      </c>
      <c r="C771" s="162" t="s">
        <v>2</v>
      </c>
      <c r="D771" s="162" t="s">
        <v>8</v>
      </c>
      <c r="E771" s="231">
        <v>43617</v>
      </c>
      <c r="F771" s="162" t="s">
        <v>1229</v>
      </c>
      <c r="G771" s="231">
        <v>44898</v>
      </c>
      <c r="H771" s="198">
        <f>SUMIF(VA!B:B,A771,VA!I:I)</f>
        <v>359.46</v>
      </c>
      <c r="I771" s="32">
        <f>SUMIF(VR!B:B,A771,VR!I:I)</f>
        <v>657.5</v>
      </c>
      <c r="J771" s="4">
        <f t="shared" si="12"/>
        <v>1016.96</v>
      </c>
      <c r="K771" s="179">
        <f>SUMIF(FALTAS!A:A,A771,FALTAS!D:D)</f>
        <v>0</v>
      </c>
    </row>
    <row r="772" spans="1:11" x14ac:dyDescent="0.25">
      <c r="A772" s="235">
        <v>113114</v>
      </c>
      <c r="B772" s="162" t="s">
        <v>591</v>
      </c>
      <c r="C772" s="162" t="s">
        <v>2</v>
      </c>
      <c r="D772" s="162" t="s">
        <v>0</v>
      </c>
      <c r="E772" s="231">
        <v>43617</v>
      </c>
      <c r="F772" s="162" t="s">
        <v>1229</v>
      </c>
      <c r="G772" s="231">
        <v>44898</v>
      </c>
      <c r="H772" s="198">
        <f>SUMIF(VA!B:B,A772,VA!I:I)</f>
        <v>359.46</v>
      </c>
      <c r="I772" s="32">
        <f>SUMIF(VR!B:B,A772,VR!I:I)</f>
        <v>657.5</v>
      </c>
      <c r="J772" s="4">
        <f t="shared" si="12"/>
        <v>1016.96</v>
      </c>
      <c r="K772" s="179">
        <f>SUMIF(FALTAS!A:A,A772,FALTAS!D:D)</f>
        <v>0</v>
      </c>
    </row>
    <row r="773" spans="1:11" x14ac:dyDescent="0.25">
      <c r="A773" s="235">
        <v>114924</v>
      </c>
      <c r="B773" s="162" t="s">
        <v>591</v>
      </c>
      <c r="C773" s="162" t="s">
        <v>5</v>
      </c>
      <c r="D773" s="162" t="s">
        <v>1578</v>
      </c>
      <c r="E773" s="231">
        <v>43916</v>
      </c>
      <c r="F773" s="162" t="s">
        <v>1229</v>
      </c>
      <c r="G773" s="231">
        <v>45149</v>
      </c>
      <c r="H773" s="198">
        <f>SUMIF(VA!B:B,A773,VA!I:I)</f>
        <v>359.46</v>
      </c>
      <c r="I773" s="32">
        <f>SUMIF(VR!B:B,A773,VR!I:I)</f>
        <v>657.5</v>
      </c>
      <c r="J773" s="4">
        <f t="shared" si="12"/>
        <v>1016.96</v>
      </c>
      <c r="K773" s="179">
        <f>SUMIF(FALTAS!A:A,A773,FALTAS!D:D)</f>
        <v>0</v>
      </c>
    </row>
    <row r="774" spans="1:11" x14ac:dyDescent="0.25">
      <c r="A774" s="235">
        <v>122409</v>
      </c>
      <c r="B774" s="162" t="s">
        <v>1689</v>
      </c>
      <c r="C774" s="162" t="s">
        <v>15</v>
      </c>
      <c r="D774" s="162" t="s">
        <v>1578</v>
      </c>
      <c r="E774" s="231">
        <v>45117</v>
      </c>
      <c r="F774" s="162" t="s">
        <v>1229</v>
      </c>
      <c r="G774" s="231">
        <v>45117</v>
      </c>
      <c r="H774" s="198">
        <f>SUMIF(VA!B:B,A774,VA!I:I)</f>
        <v>359.46</v>
      </c>
      <c r="I774" s="32">
        <f>SUMIF(VR!B:B,A774,VR!I:I)</f>
        <v>657.5</v>
      </c>
      <c r="J774" s="4">
        <f t="shared" si="12"/>
        <v>1016.96</v>
      </c>
      <c r="K774" s="179">
        <f>SUMIF(FALTAS!A:A,A774,FALTAS!D:D)</f>
        <v>0</v>
      </c>
    </row>
    <row r="775" spans="1:11" x14ac:dyDescent="0.25">
      <c r="A775" s="235">
        <v>121316</v>
      </c>
      <c r="B775" s="162" t="s">
        <v>1532</v>
      </c>
      <c r="C775" s="162" t="s">
        <v>5</v>
      </c>
      <c r="D775" s="162" t="s">
        <v>8</v>
      </c>
      <c r="E775" s="231">
        <v>44945</v>
      </c>
      <c r="F775" s="162" t="s">
        <v>1229</v>
      </c>
      <c r="G775" s="231">
        <v>44945</v>
      </c>
      <c r="H775" s="198">
        <f>SUMIF(VA!B:B,A775,VA!I:I)</f>
        <v>359.46</v>
      </c>
      <c r="I775" s="32">
        <f>SUMIF(VR!B:B,A775,VR!I:I)</f>
        <v>657.5</v>
      </c>
      <c r="J775" s="4">
        <f t="shared" si="12"/>
        <v>1016.96</v>
      </c>
      <c r="K775" s="179">
        <f>SUMIF(FALTAS!A:A,A775,FALTAS!D:D)</f>
        <v>0</v>
      </c>
    </row>
    <row r="776" spans="1:11" x14ac:dyDescent="0.25">
      <c r="A776" s="235">
        <v>113344</v>
      </c>
      <c r="B776" s="162" t="s">
        <v>718</v>
      </c>
      <c r="C776" s="162" t="s">
        <v>412</v>
      </c>
      <c r="D776" s="162" t="s">
        <v>1578</v>
      </c>
      <c r="E776" s="231">
        <v>43617</v>
      </c>
      <c r="F776" s="162" t="s">
        <v>1229</v>
      </c>
      <c r="G776" s="231">
        <v>45177</v>
      </c>
      <c r="H776" s="198">
        <f>SUMIF(VA!B:B,A776,VA!I:I)</f>
        <v>359.46</v>
      </c>
      <c r="I776" s="32">
        <f>SUMIF(VR!B:B,A776,VR!I:I)</f>
        <v>657.5</v>
      </c>
      <c r="J776" s="4">
        <f t="shared" si="12"/>
        <v>1016.96</v>
      </c>
      <c r="K776" s="179">
        <f>SUMIF(FALTAS!A:A,A776,FALTAS!D:D)</f>
        <v>0</v>
      </c>
    </row>
    <row r="777" spans="1:11" x14ac:dyDescent="0.25">
      <c r="A777" s="235">
        <v>112264</v>
      </c>
      <c r="B777" s="162" t="s">
        <v>74</v>
      </c>
      <c r="C777" s="162" t="s">
        <v>2</v>
      </c>
      <c r="D777" s="162" t="s">
        <v>10</v>
      </c>
      <c r="E777" s="231">
        <v>43617</v>
      </c>
      <c r="F777" s="162" t="s">
        <v>1229</v>
      </c>
      <c r="G777" s="231">
        <v>45149</v>
      </c>
      <c r="H777" s="198">
        <f>SUMIF(VA!B:B,A777,VA!I:I)</f>
        <v>359.46</v>
      </c>
      <c r="I777" s="32">
        <f>SUMIF(VR!B:B,A777,VR!I:I)</f>
        <v>657.5</v>
      </c>
      <c r="J777" s="4">
        <f t="shared" si="12"/>
        <v>1016.96</v>
      </c>
      <c r="K777" s="179">
        <f>SUMIF(FALTAS!A:A,A777,FALTAS!D:D)</f>
        <v>0</v>
      </c>
    </row>
    <row r="778" spans="1:11" x14ac:dyDescent="0.25">
      <c r="A778" s="235">
        <v>112944</v>
      </c>
      <c r="B778" s="162" t="s">
        <v>511</v>
      </c>
      <c r="C778" s="162" t="s">
        <v>2</v>
      </c>
      <c r="D778" s="162" t="s">
        <v>8</v>
      </c>
      <c r="E778" s="231">
        <v>43617</v>
      </c>
      <c r="F778" s="162" t="s">
        <v>1229</v>
      </c>
      <c r="G778" s="231">
        <v>45119</v>
      </c>
      <c r="H778" s="198">
        <f>SUMIF(VA!B:B,A778,VA!I:I)</f>
        <v>359.46</v>
      </c>
      <c r="I778" s="32">
        <f>SUMIF(VR!B:B,A778,VR!I:I)</f>
        <v>657.5</v>
      </c>
      <c r="J778" s="4">
        <f t="shared" si="12"/>
        <v>1016.96</v>
      </c>
      <c r="K778" s="179">
        <f>SUMIF(FALTAS!A:A,A778,FALTAS!D:D)</f>
        <v>0</v>
      </c>
    </row>
    <row r="779" spans="1:11" x14ac:dyDescent="0.25">
      <c r="A779" s="235">
        <v>113637</v>
      </c>
      <c r="B779" s="162" t="s">
        <v>888</v>
      </c>
      <c r="C779" s="162" t="s">
        <v>15</v>
      </c>
      <c r="D779" s="162" t="s">
        <v>1578</v>
      </c>
      <c r="E779" s="231">
        <v>43617</v>
      </c>
      <c r="F779" s="162" t="s">
        <v>1229</v>
      </c>
      <c r="G779" s="231">
        <v>45149</v>
      </c>
      <c r="H779" s="198">
        <f>SUMIF(VA!B:B,A779,VA!I:I)</f>
        <v>359.46</v>
      </c>
      <c r="I779" s="32">
        <f>SUMIF(VR!B:B,A779,VR!I:I)</f>
        <v>657.5</v>
      </c>
      <c r="J779" s="4">
        <f t="shared" si="12"/>
        <v>1016.96</v>
      </c>
      <c r="K779" s="179">
        <f>SUMIF(FALTAS!A:A,A779,FALTAS!D:D)</f>
        <v>0</v>
      </c>
    </row>
    <row r="780" spans="1:11" x14ac:dyDescent="0.25">
      <c r="A780" s="235">
        <v>113448</v>
      </c>
      <c r="B780" s="162" t="s">
        <v>785</v>
      </c>
      <c r="C780" s="162" t="s">
        <v>2</v>
      </c>
      <c r="D780" s="162" t="s">
        <v>0</v>
      </c>
      <c r="E780" s="231">
        <v>43617</v>
      </c>
      <c r="F780" s="162" t="s">
        <v>1229</v>
      </c>
      <c r="G780" s="231">
        <v>45056</v>
      </c>
      <c r="H780" s="198">
        <f>SUMIF(VA!B:B,A780,VA!I:I)</f>
        <v>359.46</v>
      </c>
      <c r="I780" s="32">
        <f>SUMIF(VR!B:B,A780,VR!I:I)</f>
        <v>657.5</v>
      </c>
      <c r="J780" s="4">
        <f t="shared" si="12"/>
        <v>1016.96</v>
      </c>
      <c r="K780" s="179">
        <f>SUMIF(FALTAS!A:A,A780,FALTAS!D:D)</f>
        <v>0</v>
      </c>
    </row>
    <row r="781" spans="1:11" x14ac:dyDescent="0.25">
      <c r="A781" s="235">
        <v>113320</v>
      </c>
      <c r="B781" s="162" t="s">
        <v>704</v>
      </c>
      <c r="C781" s="162" t="s">
        <v>22</v>
      </c>
      <c r="D781" s="162" t="s">
        <v>1578</v>
      </c>
      <c r="E781" s="231">
        <v>43617</v>
      </c>
      <c r="F781" s="162" t="s">
        <v>1229</v>
      </c>
      <c r="G781" s="231">
        <v>44898</v>
      </c>
      <c r="H781" s="198">
        <f>SUMIF(VA!B:B,A781,VA!I:I)</f>
        <v>359.46</v>
      </c>
      <c r="I781" s="32">
        <f>SUMIF(VR!B:B,A781,VR!I:I)</f>
        <v>657.5</v>
      </c>
      <c r="J781" s="4">
        <f t="shared" si="12"/>
        <v>1016.96</v>
      </c>
      <c r="K781" s="179">
        <f>SUMIF(FALTAS!A:A,A781,FALTAS!D:D)</f>
        <v>0</v>
      </c>
    </row>
    <row r="782" spans="1:11" x14ac:dyDescent="0.25">
      <c r="A782" s="235">
        <v>112946</v>
      </c>
      <c r="B782" s="162" t="s">
        <v>256</v>
      </c>
      <c r="C782" s="162" t="s">
        <v>2</v>
      </c>
      <c r="D782" s="162" t="s">
        <v>8</v>
      </c>
      <c r="E782" s="231">
        <v>43617</v>
      </c>
      <c r="F782" s="162" t="s">
        <v>1229</v>
      </c>
      <c r="G782" s="231">
        <v>45149</v>
      </c>
      <c r="H782" s="198">
        <f>SUMIF(VA!B:B,A782,VA!I:I)</f>
        <v>359.46</v>
      </c>
      <c r="I782" s="32">
        <f>SUMIF(VR!B:B,A782,VR!I:I)</f>
        <v>657.5</v>
      </c>
      <c r="J782" s="4">
        <f t="shared" si="12"/>
        <v>1016.96</v>
      </c>
      <c r="K782" s="179">
        <f>SUMIF(FALTAS!A:A,A782,FALTAS!D:D)</f>
        <v>0</v>
      </c>
    </row>
    <row r="783" spans="1:11" x14ac:dyDescent="0.25">
      <c r="A783" s="235">
        <v>113362</v>
      </c>
      <c r="B783" s="162" t="s">
        <v>728</v>
      </c>
      <c r="C783" s="162" t="s">
        <v>2</v>
      </c>
      <c r="D783" s="162" t="s">
        <v>0</v>
      </c>
      <c r="E783" s="231">
        <v>43617</v>
      </c>
      <c r="F783" s="162" t="s">
        <v>1229</v>
      </c>
      <c r="G783" s="231">
        <v>45119</v>
      </c>
      <c r="H783" s="198">
        <f>SUMIF(VA!B:B,A783,VA!I:I)</f>
        <v>359.46</v>
      </c>
      <c r="I783" s="32">
        <f>SUMIF(VR!B:B,A783,VR!I:I)</f>
        <v>657.5</v>
      </c>
      <c r="J783" s="4">
        <f t="shared" si="12"/>
        <v>1016.96</v>
      </c>
      <c r="K783" s="179">
        <f>SUMIF(FALTAS!A:A,A783,FALTAS!D:D)</f>
        <v>0</v>
      </c>
    </row>
    <row r="784" spans="1:11" x14ac:dyDescent="0.25">
      <c r="A784" s="235">
        <v>113385</v>
      </c>
      <c r="B784" s="162" t="s">
        <v>743</v>
      </c>
      <c r="C784" s="162" t="s">
        <v>2</v>
      </c>
      <c r="D784" s="162" t="s">
        <v>0</v>
      </c>
      <c r="E784" s="231">
        <v>43617</v>
      </c>
      <c r="F784" s="162" t="s">
        <v>1229</v>
      </c>
      <c r="G784" s="231">
        <v>44898</v>
      </c>
      <c r="H784" s="198">
        <f>SUMIF(VA!B:B,A784,VA!I:I)</f>
        <v>359.46</v>
      </c>
      <c r="I784" s="32">
        <f>SUMIF(VR!B:B,A784,VR!I:I)</f>
        <v>657.5</v>
      </c>
      <c r="J784" s="4">
        <f t="shared" si="12"/>
        <v>1016.96</v>
      </c>
      <c r="K784" s="179">
        <f>SUMIF(FALTAS!A:A,A784,FALTAS!D:D)</f>
        <v>0</v>
      </c>
    </row>
    <row r="785" spans="1:11" x14ac:dyDescent="0.25">
      <c r="A785" s="235">
        <v>112353</v>
      </c>
      <c r="B785" s="162" t="s">
        <v>127</v>
      </c>
      <c r="C785" s="162" t="s">
        <v>2</v>
      </c>
      <c r="D785" s="162" t="s">
        <v>32</v>
      </c>
      <c r="E785" s="231">
        <v>43617</v>
      </c>
      <c r="F785" s="162" t="s">
        <v>1229</v>
      </c>
      <c r="G785" s="231">
        <v>45177</v>
      </c>
      <c r="H785" s="198">
        <f>SUMIF(VA!B:B,A785,VA!I:I)</f>
        <v>359.46</v>
      </c>
      <c r="I785" s="32">
        <f>SUMIF(VR!B:B,A785,VR!I:I)</f>
        <v>657.5</v>
      </c>
      <c r="J785" s="4">
        <f t="shared" si="12"/>
        <v>1016.96</v>
      </c>
      <c r="K785" s="179">
        <f>SUMIF(FALTAS!A:A,A785,FALTAS!D:D)</f>
        <v>0</v>
      </c>
    </row>
    <row r="786" spans="1:11" x14ac:dyDescent="0.25">
      <c r="A786" s="235">
        <v>113387</v>
      </c>
      <c r="B786" s="162" t="s">
        <v>744</v>
      </c>
      <c r="C786" s="162" t="s">
        <v>2</v>
      </c>
      <c r="D786" s="162" t="s">
        <v>0</v>
      </c>
      <c r="E786" s="231">
        <v>43617</v>
      </c>
      <c r="F786" s="162" t="s">
        <v>1229</v>
      </c>
      <c r="G786" s="231">
        <v>44930</v>
      </c>
      <c r="H786" s="198">
        <f>SUMIF(VA!B:B,A786,VA!I:I)</f>
        <v>359.46</v>
      </c>
      <c r="I786" s="32">
        <f>SUMIF(VR!B:B,A786,VR!I:I)</f>
        <v>657.5</v>
      </c>
      <c r="J786" s="4">
        <f t="shared" si="12"/>
        <v>1016.96</v>
      </c>
      <c r="K786" s="179">
        <f>SUMIF(FALTAS!A:A,A786,FALTAS!D:D)</f>
        <v>0</v>
      </c>
    </row>
    <row r="787" spans="1:11" x14ac:dyDescent="0.25">
      <c r="A787" s="235">
        <v>113158</v>
      </c>
      <c r="B787" s="162" t="s">
        <v>617</v>
      </c>
      <c r="C787" s="162" t="s">
        <v>22</v>
      </c>
      <c r="D787" s="162" t="s">
        <v>1578</v>
      </c>
      <c r="E787" s="231">
        <v>43617</v>
      </c>
      <c r="F787" s="162" t="s">
        <v>1229</v>
      </c>
      <c r="G787" s="231">
        <v>44898</v>
      </c>
      <c r="H787" s="198">
        <f>SUMIF(VA!B:B,A787,VA!I:I)</f>
        <v>359.46</v>
      </c>
      <c r="I787" s="32">
        <f>SUMIF(VR!B:B,A787,VR!I:I)</f>
        <v>657.5</v>
      </c>
      <c r="J787" s="4">
        <f t="shared" si="12"/>
        <v>1016.96</v>
      </c>
      <c r="K787" s="179">
        <f>SUMIF(FALTAS!A:A,A787,FALTAS!D:D)</f>
        <v>0</v>
      </c>
    </row>
    <row r="788" spans="1:11" x14ac:dyDescent="0.25">
      <c r="A788" s="235">
        <v>112408</v>
      </c>
      <c r="B788" s="162" t="s">
        <v>161</v>
      </c>
      <c r="C788" s="162" t="s">
        <v>5</v>
      </c>
      <c r="D788" s="162" t="s">
        <v>8</v>
      </c>
      <c r="E788" s="231">
        <v>43617</v>
      </c>
      <c r="F788" s="162" t="s">
        <v>1229</v>
      </c>
      <c r="G788" s="231">
        <v>44867</v>
      </c>
      <c r="H788" s="198">
        <f>SUMIF(VA!B:B,A788,VA!I:I)</f>
        <v>359.46</v>
      </c>
      <c r="I788" s="32">
        <f>SUMIF(VR!B:B,A788,VR!I:I)</f>
        <v>657.5</v>
      </c>
      <c r="J788" s="4">
        <f t="shared" si="12"/>
        <v>1016.96</v>
      </c>
      <c r="K788" s="179">
        <f>SUMIF(FALTAS!A:A,A788,FALTAS!D:D)</f>
        <v>0</v>
      </c>
    </row>
    <row r="789" spans="1:11" x14ac:dyDescent="0.25">
      <c r="A789" s="235">
        <v>113417</v>
      </c>
      <c r="B789" s="162" t="s">
        <v>766</v>
      </c>
      <c r="C789" s="162" t="s">
        <v>2</v>
      </c>
      <c r="D789" s="162" t="s">
        <v>0</v>
      </c>
      <c r="E789" s="231">
        <v>43617</v>
      </c>
      <c r="F789" s="162" t="s">
        <v>1229</v>
      </c>
      <c r="G789" s="231">
        <v>44930</v>
      </c>
      <c r="H789" s="198">
        <f>SUMIF(VA!B:B,A789,VA!I:I)</f>
        <v>359.46</v>
      </c>
      <c r="I789" s="32">
        <f>SUMIF(VR!B:B,A789,VR!I:I)</f>
        <v>657.5</v>
      </c>
      <c r="J789" s="4">
        <f t="shared" si="12"/>
        <v>1016.96</v>
      </c>
      <c r="K789" s="179">
        <f>SUMIF(FALTAS!A:A,A789,FALTAS!D:D)</f>
        <v>0</v>
      </c>
    </row>
    <row r="790" spans="1:11" x14ac:dyDescent="0.25">
      <c r="A790" s="235">
        <v>122405</v>
      </c>
      <c r="B790" s="162" t="s">
        <v>1690</v>
      </c>
      <c r="C790" s="162" t="s">
        <v>15</v>
      </c>
      <c r="D790" s="162" t="s">
        <v>1578</v>
      </c>
      <c r="E790" s="231">
        <v>45117</v>
      </c>
      <c r="F790" s="162" t="s">
        <v>1229</v>
      </c>
      <c r="G790" s="231">
        <v>45117</v>
      </c>
      <c r="H790" s="198">
        <f>SUMIF(VA!B:B,A790,VA!I:I)</f>
        <v>359.46</v>
      </c>
      <c r="I790" s="32">
        <f>SUMIF(VR!B:B,A790,VR!I:I)</f>
        <v>657.5</v>
      </c>
      <c r="J790" s="4">
        <f t="shared" si="12"/>
        <v>1016.96</v>
      </c>
      <c r="K790" s="179">
        <f>SUMIF(FALTAS!A:A,A790,FALTAS!D:D)</f>
        <v>0</v>
      </c>
    </row>
    <row r="791" spans="1:11" x14ac:dyDescent="0.25">
      <c r="A791" s="235">
        <v>113366</v>
      </c>
      <c r="B791" s="162" t="s">
        <v>731</v>
      </c>
      <c r="C791" s="162" t="s">
        <v>2</v>
      </c>
      <c r="D791" s="162" t="s">
        <v>0</v>
      </c>
      <c r="E791" s="231">
        <v>43617</v>
      </c>
      <c r="F791" s="162" t="s">
        <v>1229</v>
      </c>
      <c r="G791" s="231">
        <v>45119</v>
      </c>
      <c r="H791" s="198">
        <f>SUMIF(VA!B:B,A791,VA!I:I)</f>
        <v>359.46</v>
      </c>
      <c r="I791" s="32">
        <f>SUMIF(VR!B:B,A791,VR!I:I)</f>
        <v>657.5</v>
      </c>
      <c r="J791" s="4">
        <f t="shared" si="12"/>
        <v>1016.96</v>
      </c>
      <c r="K791" s="179">
        <f>SUMIF(FALTAS!A:A,A791,FALTAS!D:D)</f>
        <v>0</v>
      </c>
    </row>
    <row r="792" spans="1:11" x14ac:dyDescent="0.25">
      <c r="A792" s="235">
        <v>119641</v>
      </c>
      <c r="B792" s="162" t="s">
        <v>1465</v>
      </c>
      <c r="C792" s="162" t="s">
        <v>5</v>
      </c>
      <c r="D792" s="162" t="s">
        <v>8</v>
      </c>
      <c r="E792" s="231">
        <v>44725</v>
      </c>
      <c r="F792" s="162" t="s">
        <v>1229</v>
      </c>
      <c r="G792" s="231">
        <v>44725</v>
      </c>
      <c r="H792" s="198">
        <f>SUMIF(VA!B:B,A792,VA!I:I)</f>
        <v>359.46</v>
      </c>
      <c r="I792" s="32">
        <f>SUMIF(VR!B:B,A792,VR!I:I)</f>
        <v>657.5</v>
      </c>
      <c r="J792" s="4">
        <f t="shared" si="12"/>
        <v>1016.96</v>
      </c>
      <c r="K792" s="179">
        <f>SUMIF(FALTAS!A:A,A792,FALTAS!D:D)</f>
        <v>0</v>
      </c>
    </row>
    <row r="793" spans="1:11" x14ac:dyDescent="0.25">
      <c r="A793" s="235">
        <v>113162</v>
      </c>
      <c r="B793" s="162" t="s">
        <v>512</v>
      </c>
      <c r="C793" s="162" t="s">
        <v>22</v>
      </c>
      <c r="D793" s="162" t="s">
        <v>1578</v>
      </c>
      <c r="E793" s="231">
        <v>43617</v>
      </c>
      <c r="F793" s="162" t="s">
        <v>1230</v>
      </c>
      <c r="G793" s="231">
        <v>45180</v>
      </c>
      <c r="H793" s="198">
        <f>SUMIF(VA!B:B,A793,VA!I:I)</f>
        <v>359.46</v>
      </c>
      <c r="I793" s="32">
        <f>SUMIF(VR!B:B,A793,VR!I:I)</f>
        <v>657.5</v>
      </c>
      <c r="J793" s="4">
        <f t="shared" si="12"/>
        <v>1016.96</v>
      </c>
      <c r="K793" s="179">
        <f>SUMIF(FALTAS!A:A,A793,FALTAS!D:D)</f>
        <v>0</v>
      </c>
    </row>
    <row r="794" spans="1:11" x14ac:dyDescent="0.25">
      <c r="A794" s="235">
        <v>112949</v>
      </c>
      <c r="B794" s="162" t="s">
        <v>513</v>
      </c>
      <c r="C794" s="162" t="s">
        <v>2</v>
      </c>
      <c r="D794" s="162" t="s">
        <v>8</v>
      </c>
      <c r="E794" s="231">
        <v>43617</v>
      </c>
      <c r="F794" s="162" t="s">
        <v>1229</v>
      </c>
      <c r="G794" s="231">
        <v>44867</v>
      </c>
      <c r="H794" s="198">
        <f>SUMIF(VA!B:B,A794,VA!I:I)</f>
        <v>359.46</v>
      </c>
      <c r="I794" s="32">
        <f>SUMIF(VR!B:B,A794,VR!I:I)</f>
        <v>657.5</v>
      </c>
      <c r="J794" s="4">
        <f t="shared" si="12"/>
        <v>1016.96</v>
      </c>
      <c r="K794" s="179">
        <f>SUMIF(FALTAS!A:A,A794,FALTAS!D:D)</f>
        <v>0</v>
      </c>
    </row>
    <row r="795" spans="1:11" x14ac:dyDescent="0.25">
      <c r="A795" s="235">
        <v>112495</v>
      </c>
      <c r="B795" s="162" t="s">
        <v>215</v>
      </c>
      <c r="C795" s="162" t="s">
        <v>5</v>
      </c>
      <c r="D795" s="162" t="s">
        <v>32</v>
      </c>
      <c r="E795" s="231">
        <v>43617</v>
      </c>
      <c r="F795" s="162" t="s">
        <v>1230</v>
      </c>
      <c r="G795" s="231">
        <v>45180</v>
      </c>
      <c r="H795" s="198">
        <f>SUMIF(VA!B:B,A795,VA!I:I)</f>
        <v>359.46</v>
      </c>
      <c r="I795" s="32">
        <f>SUMIF(VR!B:B,A795,VR!I:I)</f>
        <v>657.5</v>
      </c>
      <c r="J795" s="4">
        <f t="shared" si="12"/>
        <v>1016.96</v>
      </c>
      <c r="K795" s="179">
        <f>SUMIF(FALTAS!A:A,A795,FALTAS!D:D)</f>
        <v>0</v>
      </c>
    </row>
    <row r="796" spans="1:11" x14ac:dyDescent="0.25">
      <c r="A796" s="235">
        <v>113118</v>
      </c>
      <c r="B796" s="162" t="s">
        <v>594</v>
      </c>
      <c r="C796" s="162" t="s">
        <v>410</v>
      </c>
      <c r="D796" s="162" t="s">
        <v>1578</v>
      </c>
      <c r="E796" s="231">
        <v>43617</v>
      </c>
      <c r="F796" s="162" t="s">
        <v>1229</v>
      </c>
      <c r="G796" s="231">
        <v>44960</v>
      </c>
      <c r="H796" s="198">
        <f>SUMIF(VA!B:B,A796,VA!I:I)</f>
        <v>359.46</v>
      </c>
      <c r="I796" s="32">
        <f>SUMIF(VR!B:B,A796,VR!I:I)</f>
        <v>657.5</v>
      </c>
      <c r="J796" s="4">
        <f t="shared" si="12"/>
        <v>1016.96</v>
      </c>
      <c r="K796" s="179">
        <f>SUMIF(FALTAS!A:A,A796,FALTAS!D:D)</f>
        <v>0</v>
      </c>
    </row>
    <row r="797" spans="1:11" x14ac:dyDescent="0.25">
      <c r="A797" s="235">
        <v>112409</v>
      </c>
      <c r="B797" s="162" t="s">
        <v>162</v>
      </c>
      <c r="C797" s="162" t="s">
        <v>2</v>
      </c>
      <c r="D797" s="162" t="s">
        <v>8</v>
      </c>
      <c r="E797" s="231">
        <v>43617</v>
      </c>
      <c r="F797" s="162" t="s">
        <v>1229</v>
      </c>
      <c r="G797" s="231">
        <v>44806</v>
      </c>
      <c r="H797" s="198">
        <f>SUMIF(VA!B:B,A797,VA!I:I)</f>
        <v>359.46</v>
      </c>
      <c r="I797" s="32">
        <f>SUMIF(VR!B:B,A797,VR!I:I)</f>
        <v>657.5</v>
      </c>
      <c r="J797" s="4">
        <f t="shared" si="12"/>
        <v>1016.96</v>
      </c>
      <c r="K797" s="179">
        <f>SUMIF(FALTAS!A:A,A797,FALTAS!D:D)</f>
        <v>0</v>
      </c>
    </row>
    <row r="798" spans="1:11" x14ac:dyDescent="0.25">
      <c r="A798" s="235">
        <v>113159</v>
      </c>
      <c r="B798" s="162" t="s">
        <v>618</v>
      </c>
      <c r="C798" s="162" t="s">
        <v>22</v>
      </c>
      <c r="D798" s="162" t="s">
        <v>1578</v>
      </c>
      <c r="E798" s="231">
        <v>43617</v>
      </c>
      <c r="F798" s="162" t="s">
        <v>1229</v>
      </c>
      <c r="G798" s="231">
        <v>45149</v>
      </c>
      <c r="H798" s="198">
        <f>SUMIF(VA!B:B,A798,VA!I:I)</f>
        <v>359.46</v>
      </c>
      <c r="I798" s="32">
        <f>SUMIF(VR!B:B,A798,VR!I:I)</f>
        <v>657.5</v>
      </c>
      <c r="J798" s="4">
        <f t="shared" si="12"/>
        <v>1016.96</v>
      </c>
      <c r="K798" s="179">
        <f>SUMIF(FALTAS!A:A,A798,FALTAS!D:D)</f>
        <v>0</v>
      </c>
    </row>
    <row r="799" spans="1:11" x14ac:dyDescent="0.25">
      <c r="A799" s="235">
        <v>119114</v>
      </c>
      <c r="B799" s="162" t="s">
        <v>1436</v>
      </c>
      <c r="C799" s="162" t="s">
        <v>2</v>
      </c>
      <c r="D799" s="162" t="s">
        <v>0</v>
      </c>
      <c r="E799" s="231">
        <v>44630</v>
      </c>
      <c r="F799" s="162" t="s">
        <v>1229</v>
      </c>
      <c r="G799" s="231">
        <v>45177</v>
      </c>
      <c r="H799" s="198">
        <f>SUMIF(VA!B:B,A799,VA!I:I)</f>
        <v>359.46</v>
      </c>
      <c r="I799" s="32">
        <f>SUMIF(VR!B:B,A799,VR!I:I)</f>
        <v>657.5</v>
      </c>
      <c r="J799" s="4">
        <f t="shared" si="12"/>
        <v>1016.96</v>
      </c>
      <c r="K799" s="179">
        <f>SUMIF(FALTAS!A:A,A799,FALTAS!D:D)</f>
        <v>0</v>
      </c>
    </row>
    <row r="800" spans="1:11" x14ac:dyDescent="0.25">
      <c r="A800" s="235">
        <v>116388</v>
      </c>
      <c r="B800" s="162" t="s">
        <v>1211</v>
      </c>
      <c r="C800" s="162" t="s">
        <v>15</v>
      </c>
      <c r="D800" s="162" t="s">
        <v>1578</v>
      </c>
      <c r="E800" s="231">
        <v>44328</v>
      </c>
      <c r="F800" s="162" t="s">
        <v>1229</v>
      </c>
      <c r="G800" s="231">
        <v>44776</v>
      </c>
      <c r="H800" s="198">
        <f>SUMIF(VA!B:B,A800,VA!I:I)</f>
        <v>359.46</v>
      </c>
      <c r="I800" s="32">
        <f>SUMIF(VR!B:B,A800,VR!I:I)</f>
        <v>657.5</v>
      </c>
      <c r="J800" s="4">
        <f t="shared" si="12"/>
        <v>1016.96</v>
      </c>
      <c r="K800" s="179">
        <f>SUMIF(FALTAS!A:A,A800,FALTAS!D:D)</f>
        <v>0</v>
      </c>
    </row>
    <row r="801" spans="1:11" x14ac:dyDescent="0.25">
      <c r="A801" s="235">
        <v>113655</v>
      </c>
      <c r="B801" s="162" t="s">
        <v>897</v>
      </c>
      <c r="C801" s="162" t="s">
        <v>15</v>
      </c>
      <c r="D801" s="162" t="s">
        <v>1578</v>
      </c>
      <c r="E801" s="231">
        <v>43617</v>
      </c>
      <c r="F801" s="162" t="s">
        <v>1229</v>
      </c>
      <c r="G801" s="231">
        <v>45149</v>
      </c>
      <c r="H801" s="198">
        <f>SUMIF(VA!B:B,A801,VA!I:I)</f>
        <v>359.46</v>
      </c>
      <c r="I801" s="32">
        <f>SUMIF(VR!B:B,A801,VR!I:I)</f>
        <v>657.5</v>
      </c>
      <c r="J801" s="4">
        <f t="shared" si="12"/>
        <v>1016.96</v>
      </c>
      <c r="K801" s="179">
        <f>SUMIF(FALTAS!A:A,A801,FALTAS!D:D)</f>
        <v>0</v>
      </c>
    </row>
    <row r="802" spans="1:11" x14ac:dyDescent="0.25">
      <c r="A802" s="235">
        <v>114490</v>
      </c>
      <c r="B802" s="162" t="s">
        <v>1038</v>
      </c>
      <c r="C802" s="162" t="s">
        <v>5</v>
      </c>
      <c r="D802" s="162" t="s">
        <v>0</v>
      </c>
      <c r="E802" s="231">
        <v>43811</v>
      </c>
      <c r="F802" s="162" t="s">
        <v>1229</v>
      </c>
      <c r="G802" s="231">
        <v>45177</v>
      </c>
      <c r="H802" s="198">
        <f>SUMIF(VA!B:B,A802,VA!I:I)</f>
        <v>359.46</v>
      </c>
      <c r="I802" s="32">
        <f>SUMIF(VR!B:B,A802,VR!I:I)</f>
        <v>657.5</v>
      </c>
      <c r="J802" s="4">
        <f t="shared" si="12"/>
        <v>1016.96</v>
      </c>
      <c r="K802" s="179">
        <f>SUMIF(FALTAS!A:A,A802,FALTAS!D:D)</f>
        <v>0</v>
      </c>
    </row>
    <row r="803" spans="1:11" x14ac:dyDescent="0.25">
      <c r="A803" s="235">
        <v>113395</v>
      </c>
      <c r="B803" s="162" t="s">
        <v>752</v>
      </c>
      <c r="C803" s="162" t="s">
        <v>2</v>
      </c>
      <c r="D803" s="162" t="s">
        <v>0</v>
      </c>
      <c r="E803" s="231">
        <v>43617</v>
      </c>
      <c r="F803" s="162" t="s">
        <v>1229</v>
      </c>
      <c r="G803" s="231">
        <v>45056</v>
      </c>
      <c r="H803" s="198">
        <f>SUMIF(VA!B:B,A803,VA!I:I)</f>
        <v>359.46</v>
      </c>
      <c r="I803" s="32">
        <f>SUMIF(VR!B:B,A803,VR!I:I)</f>
        <v>657.5</v>
      </c>
      <c r="J803" s="4">
        <f t="shared" si="12"/>
        <v>1016.96</v>
      </c>
      <c r="K803" s="179">
        <f>SUMIF(FALTAS!A:A,A803,FALTAS!D:D)</f>
        <v>0</v>
      </c>
    </row>
    <row r="804" spans="1:11" x14ac:dyDescent="0.25">
      <c r="A804" s="235">
        <v>119124</v>
      </c>
      <c r="B804" s="162" t="s">
        <v>1437</v>
      </c>
      <c r="C804" s="162" t="s">
        <v>15</v>
      </c>
      <c r="D804" s="162" t="s">
        <v>1578</v>
      </c>
      <c r="E804" s="231">
        <v>44630</v>
      </c>
      <c r="F804" s="162" t="s">
        <v>1229</v>
      </c>
      <c r="G804" s="231">
        <v>45056</v>
      </c>
      <c r="H804" s="198">
        <f>SUMIF(VA!B:B,A804,VA!I:I)</f>
        <v>359.46</v>
      </c>
      <c r="I804" s="32">
        <f>SUMIF(VR!B:B,A804,VR!I:I)</f>
        <v>657.5</v>
      </c>
      <c r="J804" s="4">
        <f t="shared" si="12"/>
        <v>1016.96</v>
      </c>
      <c r="K804" s="179">
        <f>SUMIF(FALTAS!A:A,A804,FALTAS!D:D)</f>
        <v>0</v>
      </c>
    </row>
    <row r="805" spans="1:11" x14ac:dyDescent="0.25">
      <c r="A805" s="235">
        <v>112962</v>
      </c>
      <c r="B805" s="162" t="s">
        <v>522</v>
      </c>
      <c r="C805" s="162" t="s">
        <v>5</v>
      </c>
      <c r="D805" s="162" t="s">
        <v>19</v>
      </c>
      <c r="E805" s="231">
        <v>43617</v>
      </c>
      <c r="F805" s="162" t="s">
        <v>1229</v>
      </c>
      <c r="G805" s="231">
        <v>44835</v>
      </c>
      <c r="H805" s="198">
        <f>SUMIF(VA!B:B,A805,VA!I:I)</f>
        <v>359.46</v>
      </c>
      <c r="I805" s="32">
        <f>SUMIF(VR!B:B,A805,VR!I:I)</f>
        <v>657.5</v>
      </c>
      <c r="J805" s="4">
        <f t="shared" si="12"/>
        <v>1016.96</v>
      </c>
      <c r="K805" s="179">
        <f>SUMIF(FALTAS!A:A,A805,FALTAS!D:D)</f>
        <v>0</v>
      </c>
    </row>
    <row r="806" spans="1:11" x14ac:dyDescent="0.25">
      <c r="A806" s="235">
        <v>113458</v>
      </c>
      <c r="B806" s="162" t="s">
        <v>789</v>
      </c>
      <c r="C806" s="162" t="s">
        <v>2</v>
      </c>
      <c r="D806" s="162" t="s">
        <v>0</v>
      </c>
      <c r="E806" s="231">
        <v>43617</v>
      </c>
      <c r="F806" s="162" t="s">
        <v>1229</v>
      </c>
      <c r="G806" s="231">
        <v>44960</v>
      </c>
      <c r="H806" s="198">
        <f>SUMIF(VA!B:B,A806,VA!I:I)</f>
        <v>359.46</v>
      </c>
      <c r="I806" s="32">
        <f>SUMIF(VR!B:B,A806,VR!I:I)</f>
        <v>657.5</v>
      </c>
      <c r="J806" s="4">
        <f t="shared" si="12"/>
        <v>1016.96</v>
      </c>
      <c r="K806" s="179">
        <f>SUMIF(FALTAS!A:A,A806,FALTAS!D:D)</f>
        <v>0</v>
      </c>
    </row>
    <row r="807" spans="1:11" x14ac:dyDescent="0.25">
      <c r="A807" s="235">
        <v>113461</v>
      </c>
      <c r="B807" s="162" t="s">
        <v>792</v>
      </c>
      <c r="C807" s="162" t="s">
        <v>2</v>
      </c>
      <c r="D807" s="162" t="s">
        <v>0</v>
      </c>
      <c r="E807" s="231">
        <v>43617</v>
      </c>
      <c r="F807" s="162" t="s">
        <v>1229</v>
      </c>
      <c r="G807" s="231">
        <v>45056</v>
      </c>
      <c r="H807" s="198">
        <f>SUMIF(VA!B:B,A807,VA!I:I)</f>
        <v>359.46</v>
      </c>
      <c r="I807" s="32">
        <f>SUMIF(VR!B:B,A807,VR!I:I)</f>
        <v>657.5</v>
      </c>
      <c r="J807" s="4">
        <f t="shared" si="12"/>
        <v>1016.96</v>
      </c>
      <c r="K807" s="179">
        <f>SUMIF(FALTAS!A:A,A807,FALTAS!D:D)</f>
        <v>0</v>
      </c>
    </row>
    <row r="808" spans="1:11" x14ac:dyDescent="0.25">
      <c r="A808" s="235">
        <v>114991</v>
      </c>
      <c r="B808" s="162" t="s">
        <v>1137</v>
      </c>
      <c r="C808" s="162" t="s">
        <v>5</v>
      </c>
      <c r="D808" s="162" t="s">
        <v>1578</v>
      </c>
      <c r="E808" s="231">
        <v>43918</v>
      </c>
      <c r="F808" s="162" t="s">
        <v>1229</v>
      </c>
      <c r="G808" s="231">
        <v>45149</v>
      </c>
      <c r="H808" s="198">
        <f>SUMIF(VA!B:B,A808,VA!I:I)</f>
        <v>359.46</v>
      </c>
      <c r="I808" s="32">
        <f>SUMIF(VR!B:B,A808,VR!I:I)</f>
        <v>657.5</v>
      </c>
      <c r="J808" s="4">
        <f t="shared" si="12"/>
        <v>1016.96</v>
      </c>
      <c r="K808" s="179">
        <f>SUMIF(FALTAS!A:A,A808,FALTAS!D:D)</f>
        <v>0</v>
      </c>
    </row>
    <row r="809" spans="1:11" x14ac:dyDescent="0.25">
      <c r="A809" s="235">
        <v>120180</v>
      </c>
      <c r="B809" s="162" t="s">
        <v>1494</v>
      </c>
      <c r="C809" s="162" t="s">
        <v>580</v>
      </c>
      <c r="D809" s="162" t="s">
        <v>1578</v>
      </c>
      <c r="E809" s="231">
        <v>44791</v>
      </c>
      <c r="F809" s="162" t="s">
        <v>1230</v>
      </c>
      <c r="G809" s="231">
        <v>45180</v>
      </c>
      <c r="H809" s="198">
        <f>SUMIF(VA!B:B,A809,VA!I:I)</f>
        <v>359.46</v>
      </c>
      <c r="I809" s="32">
        <f>SUMIF(VR!B:B,A809,VR!I:I)</f>
        <v>657.5</v>
      </c>
      <c r="J809" s="4">
        <f t="shared" si="12"/>
        <v>1016.96</v>
      </c>
      <c r="K809" s="179">
        <f>SUMIF(FALTAS!A:A,A809,FALTAS!D:D)</f>
        <v>0</v>
      </c>
    </row>
    <row r="810" spans="1:11" x14ac:dyDescent="0.25">
      <c r="A810" s="235">
        <v>113325</v>
      </c>
      <c r="B810" s="162" t="s">
        <v>707</v>
      </c>
      <c r="C810" s="162" t="s">
        <v>22</v>
      </c>
      <c r="D810" s="162" t="s">
        <v>1578</v>
      </c>
      <c r="E810" s="231">
        <v>43617</v>
      </c>
      <c r="F810" s="162" t="s">
        <v>1229</v>
      </c>
      <c r="G810" s="231">
        <v>44867</v>
      </c>
      <c r="H810" s="198">
        <f>SUMIF(VA!B:B,A810,VA!I:I)</f>
        <v>359.46</v>
      </c>
      <c r="I810" s="32">
        <f>SUMIF(VR!B:B,A810,VR!I:I)</f>
        <v>657.5</v>
      </c>
      <c r="J810" s="4">
        <f t="shared" si="12"/>
        <v>1016.96</v>
      </c>
      <c r="K810" s="179">
        <f>SUMIF(FALTAS!A:A,A810,FALTAS!D:D)</f>
        <v>0</v>
      </c>
    </row>
    <row r="811" spans="1:11" x14ac:dyDescent="0.25">
      <c r="A811" s="235">
        <v>113403</v>
      </c>
      <c r="B811" s="162" t="s">
        <v>756</v>
      </c>
      <c r="C811" s="162" t="s">
        <v>2</v>
      </c>
      <c r="D811" s="162" t="s">
        <v>0</v>
      </c>
      <c r="E811" s="231">
        <v>43617</v>
      </c>
      <c r="F811" s="162" t="s">
        <v>1279</v>
      </c>
      <c r="G811" s="231">
        <v>45141</v>
      </c>
      <c r="H811" s="198">
        <f>SUMIF(VA!B:B,A811,VA!I:I)</f>
        <v>0</v>
      </c>
      <c r="I811" s="32">
        <f>SUMIF(VR!B:B,A811,VR!I:I)</f>
        <v>0</v>
      </c>
      <c r="J811" s="4">
        <f t="shared" si="12"/>
        <v>0</v>
      </c>
      <c r="K811" s="179">
        <f>SUMIF(FALTAS!A:A,A811,FALTAS!D:D)</f>
        <v>0</v>
      </c>
    </row>
    <row r="812" spans="1:11" x14ac:dyDescent="0.25">
      <c r="A812" s="235">
        <v>113160</v>
      </c>
      <c r="B812" s="162" t="s">
        <v>619</v>
      </c>
      <c r="C812" s="162" t="s">
        <v>22</v>
      </c>
      <c r="D812" s="162" t="s">
        <v>1578</v>
      </c>
      <c r="E812" s="231">
        <v>43617</v>
      </c>
      <c r="F812" s="162" t="s">
        <v>1230</v>
      </c>
      <c r="G812" s="231">
        <v>45180</v>
      </c>
      <c r="H812" s="198">
        <f>SUMIF(VA!B:B,A812,VA!I:I)</f>
        <v>359.46</v>
      </c>
      <c r="I812" s="32">
        <f>SUMIF(VR!B:B,A812,VR!I:I)</f>
        <v>657.5</v>
      </c>
      <c r="J812" s="4">
        <f t="shared" si="12"/>
        <v>1016.96</v>
      </c>
      <c r="K812" s="179">
        <f>SUMIF(FALTAS!A:A,A812,FALTAS!D:D)</f>
        <v>0</v>
      </c>
    </row>
    <row r="813" spans="1:11" x14ac:dyDescent="0.25">
      <c r="A813" s="235">
        <v>112442</v>
      </c>
      <c r="B813" s="162" t="s">
        <v>183</v>
      </c>
      <c r="C813" s="162" t="s">
        <v>5</v>
      </c>
      <c r="D813" s="162" t="s">
        <v>8</v>
      </c>
      <c r="E813" s="231">
        <v>43617</v>
      </c>
      <c r="F813" s="162" t="s">
        <v>1229</v>
      </c>
      <c r="G813" s="231">
        <v>44930</v>
      </c>
      <c r="H813" s="198">
        <f>SUMIF(VA!B:B,A813,VA!I:I)</f>
        <v>359.46</v>
      </c>
      <c r="I813" s="32">
        <f>SUMIF(VR!B:B,A813,VR!I:I)</f>
        <v>657.5</v>
      </c>
      <c r="J813" s="4">
        <f t="shared" si="12"/>
        <v>1016.96</v>
      </c>
      <c r="K813" s="179">
        <f>SUMIF(FALTAS!A:A,A813,FALTAS!D:D)</f>
        <v>0</v>
      </c>
    </row>
    <row r="814" spans="1:11" x14ac:dyDescent="0.25">
      <c r="A814" s="235">
        <v>112951</v>
      </c>
      <c r="B814" s="162" t="s">
        <v>515</v>
      </c>
      <c r="C814" s="162" t="s">
        <v>2</v>
      </c>
      <c r="D814" s="162" t="s">
        <v>8</v>
      </c>
      <c r="E814" s="231">
        <v>43617</v>
      </c>
      <c r="F814" s="162" t="s">
        <v>1229</v>
      </c>
      <c r="G814" s="231">
        <v>45149</v>
      </c>
      <c r="H814" s="198">
        <f>SUMIF(VA!B:B,A814,VA!I:I)</f>
        <v>359.46</v>
      </c>
      <c r="I814" s="32">
        <f>SUMIF(VR!B:B,A814,VR!I:I)</f>
        <v>657.5</v>
      </c>
      <c r="J814" s="4">
        <f t="shared" si="12"/>
        <v>1016.96</v>
      </c>
      <c r="K814" s="179">
        <f>SUMIF(FALTAS!A:A,A814,FALTAS!D:D)</f>
        <v>0</v>
      </c>
    </row>
    <row r="815" spans="1:11" x14ac:dyDescent="0.25">
      <c r="A815" s="235">
        <v>112269</v>
      </c>
      <c r="B815" s="162" t="s">
        <v>77</v>
      </c>
      <c r="C815" s="162" t="s">
        <v>2</v>
      </c>
      <c r="D815" s="162" t="s">
        <v>10</v>
      </c>
      <c r="E815" s="231">
        <v>43617</v>
      </c>
      <c r="F815" s="162" t="s">
        <v>1229</v>
      </c>
      <c r="G815" s="231">
        <v>45119</v>
      </c>
      <c r="H815" s="198">
        <f>SUMIF(VA!B:B,A815,VA!I:I)</f>
        <v>359.46</v>
      </c>
      <c r="I815" s="32">
        <f>SUMIF(VR!B:B,A815,VR!I:I)</f>
        <v>657.5</v>
      </c>
      <c r="J815" s="4">
        <f t="shared" si="12"/>
        <v>1016.96</v>
      </c>
      <c r="K815" s="179">
        <f>SUMIF(FALTAS!A:A,A815,FALTAS!D:D)</f>
        <v>0</v>
      </c>
    </row>
    <row r="816" spans="1:11" x14ac:dyDescent="0.25">
      <c r="A816" s="235">
        <v>112337</v>
      </c>
      <c r="B816" s="162" t="s">
        <v>117</v>
      </c>
      <c r="C816" s="162" t="s">
        <v>2</v>
      </c>
      <c r="D816" s="162" t="s">
        <v>10</v>
      </c>
      <c r="E816" s="231">
        <v>43617</v>
      </c>
      <c r="F816" s="162" t="s">
        <v>1229</v>
      </c>
      <c r="G816" s="231">
        <v>45056</v>
      </c>
      <c r="H816" s="198">
        <f>SUMIF(VA!B:B,A816,VA!I:I)</f>
        <v>359.46</v>
      </c>
      <c r="I816" s="32">
        <f>SUMIF(VR!B:B,A816,VR!I:I)</f>
        <v>657.5</v>
      </c>
      <c r="J816" s="4">
        <f t="shared" si="12"/>
        <v>1016.96</v>
      </c>
      <c r="K816" s="179">
        <f>SUMIF(FALTAS!A:A,A816,FALTAS!D:D)</f>
        <v>0</v>
      </c>
    </row>
    <row r="817" spans="1:11" x14ac:dyDescent="0.25">
      <c r="A817" s="235">
        <v>112986</v>
      </c>
      <c r="B817" s="162" t="s">
        <v>531</v>
      </c>
      <c r="C817" s="162" t="s">
        <v>5</v>
      </c>
      <c r="D817" s="162" t="s">
        <v>19</v>
      </c>
      <c r="E817" s="231">
        <v>43617</v>
      </c>
      <c r="F817" s="162" t="s">
        <v>1229</v>
      </c>
      <c r="G817" s="231">
        <v>44986</v>
      </c>
      <c r="H817" s="198">
        <f>SUMIF(VA!B:B,A817,VA!I:I)</f>
        <v>359.46</v>
      </c>
      <c r="I817" s="32">
        <f>SUMIF(VR!B:B,A817,VR!I:I)</f>
        <v>657.5</v>
      </c>
      <c r="J817" s="4">
        <f t="shared" si="12"/>
        <v>1016.96</v>
      </c>
      <c r="K817" s="179">
        <f>SUMIF(FALTAS!A:A,A817,FALTAS!D:D)</f>
        <v>0</v>
      </c>
    </row>
    <row r="818" spans="1:11" x14ac:dyDescent="0.25">
      <c r="A818" s="235">
        <v>113327</v>
      </c>
      <c r="B818" s="162" t="s">
        <v>708</v>
      </c>
      <c r="C818" s="162" t="s">
        <v>22</v>
      </c>
      <c r="D818" s="162" t="s">
        <v>1578</v>
      </c>
      <c r="E818" s="231">
        <v>43617</v>
      </c>
      <c r="F818" s="162" t="s">
        <v>1229</v>
      </c>
      <c r="G818" s="231">
        <v>44930</v>
      </c>
      <c r="H818" s="198">
        <f>SUMIF(VA!B:B,A818,VA!I:I)</f>
        <v>359.46</v>
      </c>
      <c r="I818" s="32">
        <f>SUMIF(VR!B:B,A818,VR!I:I)</f>
        <v>657.5</v>
      </c>
      <c r="J818" s="4">
        <f t="shared" si="12"/>
        <v>1016.96</v>
      </c>
      <c r="K818" s="179">
        <f>SUMIF(FALTAS!A:A,A818,FALTAS!D:D)</f>
        <v>0</v>
      </c>
    </row>
    <row r="819" spans="1:11" x14ac:dyDescent="0.25">
      <c r="A819" s="235">
        <v>112283</v>
      </c>
      <c r="B819" s="162" t="s">
        <v>89</v>
      </c>
      <c r="C819" s="162" t="s">
        <v>2</v>
      </c>
      <c r="D819" s="162" t="s">
        <v>10</v>
      </c>
      <c r="E819" s="231">
        <v>43617</v>
      </c>
      <c r="F819" s="162" t="s">
        <v>1229</v>
      </c>
      <c r="G819" s="231">
        <v>44806</v>
      </c>
      <c r="H819" s="198">
        <f>SUMIF(VA!B:B,A819,VA!I:I)</f>
        <v>359.46</v>
      </c>
      <c r="I819" s="32">
        <f>SUMIF(VR!B:B,A819,VR!I:I)</f>
        <v>657.5</v>
      </c>
      <c r="J819" s="4">
        <f t="shared" si="12"/>
        <v>1016.96</v>
      </c>
      <c r="K819" s="179">
        <f>SUMIF(FALTAS!A:A,A819,FALTAS!D:D)</f>
        <v>0</v>
      </c>
    </row>
    <row r="820" spans="1:11" x14ac:dyDescent="0.25">
      <c r="A820" s="235">
        <v>112223</v>
      </c>
      <c r="B820" s="162" t="s">
        <v>45</v>
      </c>
      <c r="C820" s="162" t="s">
        <v>2</v>
      </c>
      <c r="D820" s="162" t="s">
        <v>0</v>
      </c>
      <c r="E820" s="231">
        <v>43617</v>
      </c>
      <c r="F820" s="162" t="s">
        <v>1229</v>
      </c>
      <c r="G820" s="231">
        <v>44776</v>
      </c>
      <c r="H820" s="198">
        <f>SUMIF(VA!B:B,A820,VA!I:I)</f>
        <v>359.46</v>
      </c>
      <c r="I820" s="32">
        <f>SUMIF(VR!B:B,A820,VR!I:I)</f>
        <v>657.5</v>
      </c>
      <c r="J820" s="4">
        <f t="shared" si="12"/>
        <v>1016.96</v>
      </c>
      <c r="K820" s="179">
        <f>SUMIF(FALTAS!A:A,A820,FALTAS!D:D)</f>
        <v>0</v>
      </c>
    </row>
    <row r="821" spans="1:11" x14ac:dyDescent="0.25">
      <c r="A821" s="235">
        <v>113467</v>
      </c>
      <c r="B821" s="162" t="s">
        <v>795</v>
      </c>
      <c r="C821" s="162" t="s">
        <v>2</v>
      </c>
      <c r="D821" s="162" t="s">
        <v>0</v>
      </c>
      <c r="E821" s="231">
        <v>43617</v>
      </c>
      <c r="F821" s="162" t="s">
        <v>1229</v>
      </c>
      <c r="G821" s="231">
        <v>44960</v>
      </c>
      <c r="H821" s="198">
        <f>SUMIF(VA!B:B,A821,VA!I:I)</f>
        <v>359.46</v>
      </c>
      <c r="I821" s="32">
        <f>SUMIF(VR!B:B,A821,VR!I:I)</f>
        <v>657.5</v>
      </c>
      <c r="J821" s="4">
        <f t="shared" si="12"/>
        <v>1016.96</v>
      </c>
      <c r="K821" s="179">
        <f>SUMIF(FALTAS!A:A,A821,FALTAS!D:D)</f>
        <v>0</v>
      </c>
    </row>
    <row r="822" spans="1:11" x14ac:dyDescent="0.25">
      <c r="A822" s="235">
        <v>112964</v>
      </c>
      <c r="B822" s="162" t="s">
        <v>523</v>
      </c>
      <c r="C822" s="162" t="s">
        <v>5</v>
      </c>
      <c r="D822" s="162" t="s">
        <v>19</v>
      </c>
      <c r="E822" s="231">
        <v>43617</v>
      </c>
      <c r="F822" s="162" t="s">
        <v>1229</v>
      </c>
      <c r="G822" s="231">
        <v>44930</v>
      </c>
      <c r="H822" s="198">
        <f>SUMIF(VA!B:B,A822,VA!I:I)</f>
        <v>359.46</v>
      </c>
      <c r="I822" s="32">
        <f>SUMIF(VR!B:B,A822,VR!I:I)</f>
        <v>657.5</v>
      </c>
      <c r="J822" s="4">
        <f t="shared" si="12"/>
        <v>1016.96</v>
      </c>
      <c r="K822" s="179">
        <f>SUMIF(FALTAS!A:A,A822,FALTAS!D:D)</f>
        <v>0</v>
      </c>
    </row>
    <row r="823" spans="1:11" x14ac:dyDescent="0.25">
      <c r="A823" s="235">
        <v>112952</v>
      </c>
      <c r="B823" s="162" t="s">
        <v>516</v>
      </c>
      <c r="C823" s="162" t="s">
        <v>2</v>
      </c>
      <c r="D823" s="162" t="s">
        <v>8</v>
      </c>
      <c r="E823" s="231">
        <v>43617</v>
      </c>
      <c r="F823" s="162" t="s">
        <v>1229</v>
      </c>
      <c r="G823" s="231">
        <v>44867</v>
      </c>
      <c r="H823" s="198">
        <f>SUMIF(VA!B:B,A823,VA!I:I)</f>
        <v>359.46</v>
      </c>
      <c r="I823" s="32">
        <f>SUMIF(VR!B:B,A823,VR!I:I)</f>
        <v>657.5</v>
      </c>
      <c r="J823" s="4">
        <f t="shared" si="12"/>
        <v>1016.96</v>
      </c>
      <c r="K823" s="179">
        <f>SUMIF(FALTAS!A:A,A823,FALTAS!D:D)</f>
        <v>0</v>
      </c>
    </row>
    <row r="824" spans="1:11" x14ac:dyDescent="0.25">
      <c r="A824" s="235">
        <v>120176</v>
      </c>
      <c r="B824" s="162" t="s">
        <v>1495</v>
      </c>
      <c r="C824" s="162" t="s">
        <v>5</v>
      </c>
      <c r="D824" s="162" t="s">
        <v>32</v>
      </c>
      <c r="E824" s="231">
        <v>44791</v>
      </c>
      <c r="F824" s="162" t="s">
        <v>1229</v>
      </c>
      <c r="G824" s="231">
        <v>44791</v>
      </c>
      <c r="H824" s="198">
        <f>SUMIF(VA!B:B,A824,VA!I:I)</f>
        <v>359.46</v>
      </c>
      <c r="I824" s="32">
        <f>SUMIF(VR!B:B,A824,VR!I:I)</f>
        <v>657.5</v>
      </c>
      <c r="J824" s="4">
        <f t="shared" si="12"/>
        <v>1016.96</v>
      </c>
      <c r="K824" s="179">
        <f>SUMIF(FALTAS!A:A,A824,FALTAS!D:D)</f>
        <v>0</v>
      </c>
    </row>
    <row r="825" spans="1:11" x14ac:dyDescent="0.25">
      <c r="A825" s="235">
        <v>112280</v>
      </c>
      <c r="B825" s="162" t="s">
        <v>86</v>
      </c>
      <c r="C825" s="162" t="s">
        <v>2</v>
      </c>
      <c r="D825" s="162" t="s">
        <v>10</v>
      </c>
      <c r="E825" s="231">
        <v>43617</v>
      </c>
      <c r="F825" s="162" t="s">
        <v>1229</v>
      </c>
      <c r="G825" s="231">
        <v>45149</v>
      </c>
      <c r="H825" s="198">
        <f>SUMIF(VA!B:B,A825,VA!I:I)</f>
        <v>359.46</v>
      </c>
      <c r="I825" s="32">
        <f>SUMIF(VR!B:B,A825,VR!I:I)</f>
        <v>657.5</v>
      </c>
      <c r="J825" s="4">
        <f t="shared" si="12"/>
        <v>1016.96</v>
      </c>
      <c r="K825" s="179">
        <f>SUMIF(FALTAS!A:A,A825,FALTAS!D:D)</f>
        <v>0</v>
      </c>
    </row>
    <row r="826" spans="1:11" x14ac:dyDescent="0.25">
      <c r="A826" s="235">
        <v>113633</v>
      </c>
      <c r="B826" s="162" t="s">
        <v>884</v>
      </c>
      <c r="C826" s="162" t="s">
        <v>15</v>
      </c>
      <c r="D826" s="162" t="s">
        <v>1578</v>
      </c>
      <c r="E826" s="231">
        <v>43617</v>
      </c>
      <c r="F826" s="162" t="s">
        <v>1229</v>
      </c>
      <c r="G826" s="231">
        <v>45149</v>
      </c>
      <c r="H826" s="198">
        <f>SUMIF(VA!B:B,A826,VA!I:I)</f>
        <v>359.46</v>
      </c>
      <c r="I826" s="32">
        <f>SUMIF(VR!B:B,A826,VR!I:I)</f>
        <v>657.5</v>
      </c>
      <c r="J826" s="4">
        <f t="shared" si="12"/>
        <v>1016.96</v>
      </c>
      <c r="K826" s="179">
        <f>SUMIF(FALTAS!A:A,A826,FALTAS!D:D)</f>
        <v>0</v>
      </c>
    </row>
    <row r="827" spans="1:11" x14ac:dyDescent="0.25">
      <c r="A827" s="235">
        <v>113163</v>
      </c>
      <c r="B827" s="162" t="s">
        <v>621</v>
      </c>
      <c r="C827" s="162" t="s">
        <v>22</v>
      </c>
      <c r="D827" s="162" t="s">
        <v>1578</v>
      </c>
      <c r="E827" s="231">
        <v>43617</v>
      </c>
      <c r="F827" s="162" t="s">
        <v>1230</v>
      </c>
      <c r="G827" s="231">
        <v>45180</v>
      </c>
      <c r="H827" s="198">
        <f>SUMIF(VA!B:B,A827,VA!I:I)</f>
        <v>359.46</v>
      </c>
      <c r="I827" s="32">
        <f>SUMIF(VR!B:B,A827,VR!I:I)</f>
        <v>657.5</v>
      </c>
      <c r="J827" s="4">
        <f t="shared" si="12"/>
        <v>1016.96</v>
      </c>
      <c r="K827" s="179">
        <f>SUMIF(FALTAS!A:A,A827,FALTAS!D:D)</f>
        <v>0</v>
      </c>
    </row>
    <row r="828" spans="1:11" x14ac:dyDescent="0.25">
      <c r="A828" s="235">
        <v>114926</v>
      </c>
      <c r="B828" s="162" t="s">
        <v>1111</v>
      </c>
      <c r="C828" s="162" t="s">
        <v>5</v>
      </c>
      <c r="D828" s="162" t="s">
        <v>1578</v>
      </c>
      <c r="E828" s="231">
        <v>43916</v>
      </c>
      <c r="F828" s="162" t="s">
        <v>1229</v>
      </c>
      <c r="G828" s="231">
        <v>45086</v>
      </c>
      <c r="H828" s="198">
        <f>SUMIF(VA!B:B,A828,VA!I:I)</f>
        <v>359.46</v>
      </c>
      <c r="I828" s="32">
        <f>SUMIF(VR!B:B,A828,VR!I:I)</f>
        <v>657.5</v>
      </c>
      <c r="J828" s="4">
        <f t="shared" si="12"/>
        <v>1016.96</v>
      </c>
      <c r="K828" s="179">
        <f>SUMIF(FALTAS!A:A,A828,FALTAS!D:D)</f>
        <v>0</v>
      </c>
    </row>
    <row r="829" spans="1:11" x14ac:dyDescent="0.25">
      <c r="A829" s="235">
        <v>112330</v>
      </c>
      <c r="B829" s="162" t="s">
        <v>112</v>
      </c>
      <c r="C829" s="162" t="s">
        <v>2</v>
      </c>
      <c r="D829" s="162" t="s">
        <v>10</v>
      </c>
      <c r="E829" s="231">
        <v>43617</v>
      </c>
      <c r="F829" s="162" t="s">
        <v>1229</v>
      </c>
      <c r="G829" s="231">
        <v>44806</v>
      </c>
      <c r="H829" s="198">
        <f>SUMIF(VA!B:B,A829,VA!I:I)</f>
        <v>359.46</v>
      </c>
      <c r="I829" s="32">
        <f>SUMIF(VR!B:B,A829,VR!I:I)</f>
        <v>657.5</v>
      </c>
      <c r="J829" s="4">
        <f t="shared" si="12"/>
        <v>1016.96</v>
      </c>
      <c r="K829" s="179">
        <f>SUMIF(FALTAS!A:A,A829,FALTAS!D:D)</f>
        <v>0</v>
      </c>
    </row>
    <row r="830" spans="1:11" x14ac:dyDescent="0.25">
      <c r="A830" s="235">
        <v>113635</v>
      </c>
      <c r="B830" s="162" t="s">
        <v>886</v>
      </c>
      <c r="C830" s="162" t="s">
        <v>15</v>
      </c>
      <c r="D830" s="162" t="s">
        <v>1578</v>
      </c>
      <c r="E830" s="231">
        <v>43617</v>
      </c>
      <c r="F830" s="162" t="s">
        <v>1229</v>
      </c>
      <c r="G830" s="231">
        <v>45119</v>
      </c>
      <c r="H830" s="198">
        <f>SUMIF(VA!B:B,A830,VA!I:I)</f>
        <v>359.46</v>
      </c>
      <c r="I830" s="32">
        <f>SUMIF(VR!B:B,A830,VR!I:I)</f>
        <v>657.5</v>
      </c>
      <c r="J830" s="4">
        <f t="shared" si="12"/>
        <v>1016.96</v>
      </c>
      <c r="K830" s="179">
        <f>SUMIF(FALTAS!A:A,A830,FALTAS!D:D)</f>
        <v>0</v>
      </c>
    </row>
    <row r="831" spans="1:11" x14ac:dyDescent="0.25">
      <c r="A831" s="235">
        <v>112526</v>
      </c>
      <c r="B831" s="162" t="s">
        <v>239</v>
      </c>
      <c r="C831" s="162" t="s">
        <v>2</v>
      </c>
      <c r="D831" s="162" t="s">
        <v>8</v>
      </c>
      <c r="E831" s="231">
        <v>43617</v>
      </c>
      <c r="F831" s="162" t="s">
        <v>1229</v>
      </c>
      <c r="G831" s="231">
        <v>44835</v>
      </c>
      <c r="H831" s="198">
        <f>SUMIF(VA!B:B,A831,VA!I:I)</f>
        <v>359.46</v>
      </c>
      <c r="I831" s="32">
        <f>SUMIF(VR!B:B,A831,VR!I:I)</f>
        <v>657.5</v>
      </c>
      <c r="J831" s="4">
        <f t="shared" si="12"/>
        <v>1016.96</v>
      </c>
      <c r="K831" s="179">
        <f>SUMIF(FALTAS!A:A,A831,FALTAS!D:D)</f>
        <v>0</v>
      </c>
    </row>
    <row r="832" spans="1:11" x14ac:dyDescent="0.25">
      <c r="A832" s="235">
        <v>114712</v>
      </c>
      <c r="B832" s="162" t="s">
        <v>1078</v>
      </c>
      <c r="C832" s="162" t="s">
        <v>2</v>
      </c>
      <c r="D832" s="162" t="s">
        <v>10</v>
      </c>
      <c r="E832" s="231">
        <v>43874</v>
      </c>
      <c r="F832" s="162" t="s">
        <v>1229</v>
      </c>
      <c r="G832" s="231">
        <v>45086</v>
      </c>
      <c r="H832" s="198">
        <f>SUMIF(VA!B:B,A832,VA!I:I)</f>
        <v>359.46</v>
      </c>
      <c r="I832" s="32">
        <f>SUMIF(VR!B:B,A832,VR!I:I)</f>
        <v>657.5</v>
      </c>
      <c r="J832" s="4">
        <f t="shared" si="12"/>
        <v>1016.96</v>
      </c>
      <c r="K832" s="179">
        <f>SUMIF(FALTAS!A:A,A832,FALTAS!D:D)</f>
        <v>0</v>
      </c>
    </row>
    <row r="833" spans="1:11" x14ac:dyDescent="0.25">
      <c r="A833" s="235">
        <v>114110</v>
      </c>
      <c r="B833" s="162" t="s">
        <v>1009</v>
      </c>
      <c r="C833" s="162" t="s">
        <v>5</v>
      </c>
      <c r="D833" s="162" t="s">
        <v>8</v>
      </c>
      <c r="E833" s="231">
        <v>43728</v>
      </c>
      <c r="F833" s="162" t="s">
        <v>1229</v>
      </c>
      <c r="G833" s="231">
        <v>45119</v>
      </c>
      <c r="H833" s="198">
        <f>SUMIF(VA!B:B,A833,VA!I:I)</f>
        <v>359.46</v>
      </c>
      <c r="I833" s="32">
        <f>SUMIF(VR!B:B,A833,VR!I:I)</f>
        <v>657.5</v>
      </c>
      <c r="J833" s="4">
        <f t="shared" ref="J833:J896" si="13">H833+I833</f>
        <v>1016.96</v>
      </c>
      <c r="K833" s="179">
        <f>SUMIF(FALTAS!A:A,A833,FALTAS!D:D)</f>
        <v>0</v>
      </c>
    </row>
    <row r="834" spans="1:11" x14ac:dyDescent="0.25">
      <c r="A834" s="235">
        <v>112188</v>
      </c>
      <c r="B834" s="162" t="s">
        <v>23</v>
      </c>
      <c r="C834" s="162" t="s">
        <v>39</v>
      </c>
      <c r="D834" s="162" t="s">
        <v>19</v>
      </c>
      <c r="E834" s="231">
        <v>43617</v>
      </c>
      <c r="F834" s="162" t="s">
        <v>1229</v>
      </c>
      <c r="G834" s="231">
        <v>45149</v>
      </c>
      <c r="H834" s="198">
        <f>SUMIF(VA!B:B,A834,VA!I:I)</f>
        <v>359.46</v>
      </c>
      <c r="I834" s="32">
        <f>SUMIF(VR!B:B,A834,VR!I:I)</f>
        <v>657.5</v>
      </c>
      <c r="J834" s="4">
        <f t="shared" si="13"/>
        <v>1016.96</v>
      </c>
      <c r="K834" s="179">
        <f>SUMIF(FALTAS!A:A,A834,FALTAS!D:D)</f>
        <v>0</v>
      </c>
    </row>
    <row r="835" spans="1:11" x14ac:dyDescent="0.25">
      <c r="A835" s="235">
        <v>112189</v>
      </c>
      <c r="B835" s="162" t="s">
        <v>24</v>
      </c>
      <c r="C835" s="162" t="s">
        <v>2</v>
      </c>
      <c r="D835" s="162" t="s">
        <v>32</v>
      </c>
      <c r="E835" s="231">
        <v>43617</v>
      </c>
      <c r="F835" s="162" t="s">
        <v>1229</v>
      </c>
      <c r="G835" s="231">
        <v>44776</v>
      </c>
      <c r="H835" s="198">
        <f>SUMIF(VA!B:B,A835,VA!I:I)</f>
        <v>359.46</v>
      </c>
      <c r="I835" s="32">
        <f>SUMIF(VR!B:B,A835,VR!I:I)</f>
        <v>657.5</v>
      </c>
      <c r="J835" s="4">
        <f t="shared" si="13"/>
        <v>1016.96</v>
      </c>
      <c r="K835" s="179">
        <f>SUMIF(FALTAS!A:A,A835,FALTAS!D:D)</f>
        <v>0</v>
      </c>
    </row>
    <row r="836" spans="1:11" x14ac:dyDescent="0.25">
      <c r="A836" s="235">
        <v>116976</v>
      </c>
      <c r="B836" s="162" t="s">
        <v>1238</v>
      </c>
      <c r="C836" s="162" t="s">
        <v>5</v>
      </c>
      <c r="D836" s="162" t="s">
        <v>0</v>
      </c>
      <c r="E836" s="231">
        <v>44419</v>
      </c>
      <c r="F836" s="162" t="s">
        <v>1229</v>
      </c>
      <c r="G836" s="231">
        <v>45119</v>
      </c>
      <c r="H836" s="198">
        <f>SUMIF(VA!B:B,A836,VA!I:I)</f>
        <v>359.46</v>
      </c>
      <c r="I836" s="32">
        <f>SUMIF(VR!B:B,A836,VR!I:I)</f>
        <v>657.5</v>
      </c>
      <c r="J836" s="4">
        <f t="shared" si="13"/>
        <v>1016.96</v>
      </c>
      <c r="K836" s="179">
        <f>SUMIF(FALTAS!A:A,A836,FALTAS!D:D)</f>
        <v>0</v>
      </c>
    </row>
    <row r="837" spans="1:11" x14ac:dyDescent="0.25">
      <c r="A837" s="235">
        <v>113921</v>
      </c>
      <c r="B837" s="162" t="s">
        <v>987</v>
      </c>
      <c r="C837" s="162" t="s">
        <v>146</v>
      </c>
      <c r="D837" s="162" t="s">
        <v>32</v>
      </c>
      <c r="E837" s="231">
        <v>43682</v>
      </c>
      <c r="F837" s="162" t="s">
        <v>1230</v>
      </c>
      <c r="G837" s="231">
        <v>45180</v>
      </c>
      <c r="H837" s="198">
        <f>SUMIF(VA!B:B,A837,VA!I:I)</f>
        <v>359.46</v>
      </c>
      <c r="I837" s="32">
        <f>SUMIF(VR!B:B,A837,VR!I:I)</f>
        <v>657.5</v>
      </c>
      <c r="J837" s="4">
        <f t="shared" si="13"/>
        <v>1016.96</v>
      </c>
      <c r="K837" s="179">
        <f>SUMIF(FALTAS!A:A,A837,FALTAS!D:D)</f>
        <v>0</v>
      </c>
    </row>
    <row r="838" spans="1:11" x14ac:dyDescent="0.25">
      <c r="A838" s="235">
        <v>112205</v>
      </c>
      <c r="B838" s="162" t="s">
        <v>34</v>
      </c>
      <c r="C838" s="162" t="s">
        <v>2</v>
      </c>
      <c r="D838" s="162" t="s">
        <v>0</v>
      </c>
      <c r="E838" s="231">
        <v>43617</v>
      </c>
      <c r="F838" s="162" t="s">
        <v>1229</v>
      </c>
      <c r="G838" s="231">
        <v>44776</v>
      </c>
      <c r="H838" s="198">
        <f>SUMIF(VA!B:B,A838,VA!I:I)</f>
        <v>359.46</v>
      </c>
      <c r="I838" s="32">
        <f>SUMIF(VR!B:B,A838,VR!I:I)</f>
        <v>657.5</v>
      </c>
      <c r="J838" s="4">
        <f t="shared" si="13"/>
        <v>1016.96</v>
      </c>
      <c r="K838" s="179">
        <f>SUMIF(FALTAS!A:A,A838,FALTAS!D:D)</f>
        <v>0</v>
      </c>
    </row>
    <row r="839" spans="1:11" x14ac:dyDescent="0.25">
      <c r="A839" s="235">
        <v>112209</v>
      </c>
      <c r="B839" s="162" t="s">
        <v>36</v>
      </c>
      <c r="C839" s="162" t="s">
        <v>2</v>
      </c>
      <c r="D839" s="162" t="s">
        <v>8</v>
      </c>
      <c r="E839" s="231">
        <v>43617</v>
      </c>
      <c r="F839" s="162" t="s">
        <v>1229</v>
      </c>
      <c r="G839" s="231">
        <v>44776</v>
      </c>
      <c r="H839" s="198">
        <f>SUMIF(VA!B:B,A839,VA!I:I)</f>
        <v>359.46</v>
      </c>
      <c r="I839" s="32">
        <f>SUMIF(VR!B:B,A839,VR!I:I)</f>
        <v>657.5</v>
      </c>
      <c r="J839" s="4">
        <f t="shared" si="13"/>
        <v>1016.96</v>
      </c>
      <c r="K839" s="179">
        <f>SUMIF(FALTAS!A:A,A839,FALTAS!D:D)</f>
        <v>0</v>
      </c>
    </row>
    <row r="840" spans="1:11" x14ac:dyDescent="0.25">
      <c r="A840" s="235">
        <v>116004</v>
      </c>
      <c r="B840" s="162" t="s">
        <v>1168</v>
      </c>
      <c r="C840" s="162" t="s">
        <v>5</v>
      </c>
      <c r="D840" s="162" t="s">
        <v>0</v>
      </c>
      <c r="E840" s="231">
        <v>44207</v>
      </c>
      <c r="F840" s="162" t="s">
        <v>1229</v>
      </c>
      <c r="G840" s="231">
        <v>45086</v>
      </c>
      <c r="H840" s="198">
        <f>SUMIF(VA!B:B,A840,VA!I:I)</f>
        <v>323.51</v>
      </c>
      <c r="I840" s="32">
        <f>SUMIF(VR!B:B,A840,VR!I:I)</f>
        <v>578.6</v>
      </c>
      <c r="J840" s="4">
        <f t="shared" si="13"/>
        <v>902.11</v>
      </c>
      <c r="K840" s="179">
        <f>SUMIF(FALTAS!A:A,A840,FALTAS!D:D)</f>
        <v>3</v>
      </c>
    </row>
    <row r="841" spans="1:11" x14ac:dyDescent="0.25">
      <c r="A841" s="235">
        <v>112213</v>
      </c>
      <c r="B841" s="162" t="s">
        <v>38</v>
      </c>
      <c r="C841" s="162" t="s">
        <v>2</v>
      </c>
      <c r="D841" s="162" t="s">
        <v>19</v>
      </c>
      <c r="E841" s="231">
        <v>43617</v>
      </c>
      <c r="F841" s="162" t="s">
        <v>1229</v>
      </c>
      <c r="G841" s="231">
        <v>44993</v>
      </c>
      <c r="H841" s="198">
        <f>SUMIF(VA!B:B,A841,VA!I:I)</f>
        <v>359.46</v>
      </c>
      <c r="I841" s="32">
        <f>SUMIF(VR!B:B,A841,VR!I:I)</f>
        <v>657.5</v>
      </c>
      <c r="J841" s="4">
        <f t="shared" si="13"/>
        <v>1016.96</v>
      </c>
      <c r="K841" s="179">
        <f>SUMIF(FALTAS!A:A,A841,FALTAS!D:D)</f>
        <v>0</v>
      </c>
    </row>
    <row r="842" spans="1:11" x14ac:dyDescent="0.25">
      <c r="A842" s="235">
        <v>112222</v>
      </c>
      <c r="B842" s="162" t="s">
        <v>43</v>
      </c>
      <c r="C842" s="162" t="s">
        <v>2</v>
      </c>
      <c r="D842" s="162" t="s">
        <v>8</v>
      </c>
      <c r="E842" s="231">
        <v>43617</v>
      </c>
      <c r="F842" s="162" t="s">
        <v>1229</v>
      </c>
      <c r="G842" s="231">
        <v>44776</v>
      </c>
      <c r="H842" s="198">
        <f>SUMIF(VA!B:B,A842,VA!I:I)</f>
        <v>359.46</v>
      </c>
      <c r="I842" s="32">
        <f>SUMIF(VR!B:B,A842,VR!I:I)</f>
        <v>657.5</v>
      </c>
      <c r="J842" s="4">
        <f t="shared" si="13"/>
        <v>1016.96</v>
      </c>
      <c r="K842" s="179">
        <f>SUMIF(FALTAS!A:A,A842,FALTAS!D:D)</f>
        <v>0</v>
      </c>
    </row>
    <row r="843" spans="1:11" x14ac:dyDescent="0.25">
      <c r="A843" s="235">
        <v>112227</v>
      </c>
      <c r="B843" s="162" t="s">
        <v>49</v>
      </c>
      <c r="C843" s="162" t="s">
        <v>5</v>
      </c>
      <c r="D843" s="162" t="s">
        <v>0</v>
      </c>
      <c r="E843" s="231">
        <v>43617</v>
      </c>
      <c r="F843" s="162" t="s">
        <v>1229</v>
      </c>
      <c r="G843" s="231">
        <v>44930</v>
      </c>
      <c r="H843" s="198">
        <f>SUMIF(VA!B:B,A843,VA!I:I)</f>
        <v>359.46</v>
      </c>
      <c r="I843" s="32">
        <f>SUMIF(VR!B:B,A843,VR!I:I)</f>
        <v>657.5</v>
      </c>
      <c r="J843" s="4">
        <f t="shared" si="13"/>
        <v>1016.96</v>
      </c>
      <c r="K843" s="179">
        <f>SUMIF(FALTAS!A:A,A843,FALTAS!D:D)</f>
        <v>0</v>
      </c>
    </row>
    <row r="844" spans="1:11" x14ac:dyDescent="0.25">
      <c r="A844" s="235">
        <v>114953</v>
      </c>
      <c r="B844" s="162" t="s">
        <v>1124</v>
      </c>
      <c r="C844" s="162" t="s">
        <v>15</v>
      </c>
      <c r="D844" s="162" t="s">
        <v>1578</v>
      </c>
      <c r="E844" s="231">
        <v>43916</v>
      </c>
      <c r="F844" s="162" t="s">
        <v>1229</v>
      </c>
      <c r="G844" s="231">
        <v>45086</v>
      </c>
      <c r="H844" s="198">
        <f>SUMIF(VA!B:B,A844,VA!I:I)</f>
        <v>359.46</v>
      </c>
      <c r="I844" s="32">
        <f>SUMIF(VR!B:B,A844,VR!I:I)</f>
        <v>657.5</v>
      </c>
      <c r="J844" s="4">
        <f t="shared" si="13"/>
        <v>1016.96</v>
      </c>
      <c r="K844" s="179">
        <f>SUMIF(FALTAS!A:A,A844,FALTAS!D:D)</f>
        <v>0</v>
      </c>
    </row>
    <row r="845" spans="1:11" x14ac:dyDescent="0.25">
      <c r="A845" s="235">
        <v>112239</v>
      </c>
      <c r="B845" s="162" t="s">
        <v>57</v>
      </c>
      <c r="C845" s="162" t="s">
        <v>2</v>
      </c>
      <c r="D845" s="162" t="s">
        <v>10</v>
      </c>
      <c r="E845" s="231">
        <v>43617</v>
      </c>
      <c r="F845" s="162" t="s">
        <v>1229</v>
      </c>
      <c r="G845" s="231">
        <v>44867</v>
      </c>
      <c r="H845" s="198">
        <f>SUMIF(VA!B:B,A845,VA!I:I)</f>
        <v>359.46</v>
      </c>
      <c r="I845" s="32">
        <f>SUMIF(VR!B:B,A845,VR!I:I)</f>
        <v>657.5</v>
      </c>
      <c r="J845" s="4">
        <f t="shared" si="13"/>
        <v>1016.96</v>
      </c>
      <c r="K845" s="179">
        <f>SUMIF(FALTAS!A:A,A845,FALTAS!D:D)</f>
        <v>0</v>
      </c>
    </row>
    <row r="846" spans="1:11" x14ac:dyDescent="0.25">
      <c r="A846" s="235">
        <v>112253</v>
      </c>
      <c r="B846" s="162" t="s">
        <v>64</v>
      </c>
      <c r="C846" s="162" t="s">
        <v>15</v>
      </c>
      <c r="D846" s="162" t="s">
        <v>1578</v>
      </c>
      <c r="E846" s="231">
        <v>43617</v>
      </c>
      <c r="F846" s="162" t="s">
        <v>1229</v>
      </c>
      <c r="G846" s="231">
        <v>44960</v>
      </c>
      <c r="H846" s="198">
        <f>SUMIF(VA!B:B,A846,VA!I:I)</f>
        <v>359.46</v>
      </c>
      <c r="I846" s="32">
        <f>SUMIF(VR!B:B,A846,VR!I:I)</f>
        <v>657.5</v>
      </c>
      <c r="J846" s="4">
        <f t="shared" si="13"/>
        <v>1016.96</v>
      </c>
      <c r="K846" s="179">
        <f>SUMIF(FALTAS!A:A,A846,FALTAS!D:D)</f>
        <v>0</v>
      </c>
    </row>
    <row r="847" spans="1:11" x14ac:dyDescent="0.25">
      <c r="A847" s="235">
        <v>114940</v>
      </c>
      <c r="B847" s="162" t="s">
        <v>1120</v>
      </c>
      <c r="C847" s="162" t="s">
        <v>5</v>
      </c>
      <c r="D847" s="162" t="s">
        <v>1578</v>
      </c>
      <c r="E847" s="231">
        <v>43916</v>
      </c>
      <c r="F847" s="162" t="s">
        <v>1229</v>
      </c>
      <c r="G847" s="231">
        <v>45119</v>
      </c>
      <c r="H847" s="198">
        <f>SUMIF(VA!B:B,A847,VA!I:I)</f>
        <v>359.46</v>
      </c>
      <c r="I847" s="32">
        <f>SUMIF(VR!B:B,A847,VR!I:I)</f>
        <v>657.5</v>
      </c>
      <c r="J847" s="4">
        <f t="shared" si="13"/>
        <v>1016.96</v>
      </c>
      <c r="K847" s="179">
        <f>SUMIF(FALTAS!A:A,A847,FALTAS!D:D)</f>
        <v>0</v>
      </c>
    </row>
    <row r="848" spans="1:11" x14ac:dyDescent="0.25">
      <c r="A848" s="235">
        <v>112256</v>
      </c>
      <c r="B848" s="162" t="s">
        <v>67</v>
      </c>
      <c r="C848" s="162" t="s">
        <v>5</v>
      </c>
      <c r="D848" s="162" t="s">
        <v>1578</v>
      </c>
      <c r="E848" s="231">
        <v>43617</v>
      </c>
      <c r="F848" s="162" t="s">
        <v>1229</v>
      </c>
      <c r="G848" s="231">
        <v>45177</v>
      </c>
      <c r="H848" s="198">
        <f>SUMIF(VA!B:B,A848,VA!I:I)</f>
        <v>359.46</v>
      </c>
      <c r="I848" s="32">
        <f>SUMIF(VR!B:B,A848,VR!I:I)</f>
        <v>657.5</v>
      </c>
      <c r="J848" s="4">
        <f t="shared" si="13"/>
        <v>1016.96</v>
      </c>
      <c r="K848" s="179">
        <f>SUMIF(FALTAS!A:A,A848,FALTAS!D:D)</f>
        <v>0</v>
      </c>
    </row>
    <row r="849" spans="1:11" x14ac:dyDescent="0.25">
      <c r="A849" s="235">
        <v>112268</v>
      </c>
      <c r="B849" s="162" t="s">
        <v>76</v>
      </c>
      <c r="C849" s="162" t="s">
        <v>2</v>
      </c>
      <c r="D849" s="162" t="s">
        <v>10</v>
      </c>
      <c r="E849" s="231">
        <v>43617</v>
      </c>
      <c r="F849" s="162" t="s">
        <v>1229</v>
      </c>
      <c r="G849" s="231">
        <v>44776</v>
      </c>
      <c r="H849" s="198">
        <f>SUMIF(VA!B:B,A849,VA!I:I)</f>
        <v>359.46</v>
      </c>
      <c r="I849" s="32">
        <f>SUMIF(VR!B:B,A849,VR!I:I)</f>
        <v>657.5</v>
      </c>
      <c r="J849" s="4">
        <f t="shared" si="13"/>
        <v>1016.96</v>
      </c>
      <c r="K849" s="179">
        <f>SUMIF(FALTAS!A:A,A849,FALTAS!D:D)</f>
        <v>0</v>
      </c>
    </row>
    <row r="850" spans="1:11" x14ac:dyDescent="0.25">
      <c r="A850" s="235">
        <v>112273</v>
      </c>
      <c r="B850" s="162" t="s">
        <v>79</v>
      </c>
      <c r="C850" s="162" t="s">
        <v>5</v>
      </c>
      <c r="D850" s="162" t="s">
        <v>32</v>
      </c>
      <c r="E850" s="231">
        <v>43617</v>
      </c>
      <c r="F850" s="162" t="s">
        <v>1229</v>
      </c>
      <c r="G850" s="231">
        <v>45177</v>
      </c>
      <c r="H850" s="198">
        <f>SUMIF(VA!B:B,A850,VA!I:I)</f>
        <v>359.46</v>
      </c>
      <c r="I850" s="32">
        <f>SUMIF(VR!B:B,A850,VR!I:I)</f>
        <v>657.5</v>
      </c>
      <c r="J850" s="4">
        <f t="shared" si="13"/>
        <v>1016.96</v>
      </c>
      <c r="K850" s="179">
        <f>SUMIF(FALTAS!A:A,A850,FALTAS!D:D)</f>
        <v>0</v>
      </c>
    </row>
    <row r="851" spans="1:11" x14ac:dyDescent="0.25">
      <c r="A851" s="235">
        <v>112281</v>
      </c>
      <c r="B851" s="162" t="s">
        <v>87</v>
      </c>
      <c r="C851" s="162" t="s">
        <v>22</v>
      </c>
      <c r="D851" s="162" t="s">
        <v>1578</v>
      </c>
      <c r="E851" s="231">
        <v>43617</v>
      </c>
      <c r="F851" s="162" t="s">
        <v>1229</v>
      </c>
      <c r="G851" s="231">
        <v>45023</v>
      </c>
      <c r="H851" s="198">
        <f>SUMIF(VA!B:B,A851,VA!I:I)</f>
        <v>359.46</v>
      </c>
      <c r="I851" s="32">
        <f>SUMIF(VR!B:B,A851,VR!I:I)</f>
        <v>657.5</v>
      </c>
      <c r="J851" s="4">
        <f t="shared" si="13"/>
        <v>1016.96</v>
      </c>
      <c r="K851" s="179">
        <f>SUMIF(FALTAS!A:A,A851,FALTAS!D:D)</f>
        <v>0</v>
      </c>
    </row>
    <row r="852" spans="1:11" x14ac:dyDescent="0.25">
      <c r="A852" s="235">
        <v>112292</v>
      </c>
      <c r="B852" s="162" t="s">
        <v>92</v>
      </c>
      <c r="C852" s="162" t="s">
        <v>15</v>
      </c>
      <c r="D852" s="162" t="s">
        <v>1578</v>
      </c>
      <c r="E852" s="231">
        <v>43617</v>
      </c>
      <c r="F852" s="162" t="s">
        <v>1229</v>
      </c>
      <c r="G852" s="231">
        <v>45149</v>
      </c>
      <c r="H852" s="198">
        <f>SUMIF(VA!B:B,A852,VA!I:I)</f>
        <v>359.46</v>
      </c>
      <c r="I852" s="32">
        <f>SUMIF(VR!B:B,A852,VR!I:I)</f>
        <v>657.5</v>
      </c>
      <c r="J852" s="4">
        <f t="shared" si="13"/>
        <v>1016.96</v>
      </c>
      <c r="K852" s="179">
        <f>SUMIF(FALTAS!A:A,A852,FALTAS!D:D)</f>
        <v>0</v>
      </c>
    </row>
    <row r="853" spans="1:11" x14ac:dyDescent="0.25">
      <c r="A853" s="235">
        <v>121957</v>
      </c>
      <c r="B853" s="162" t="s">
        <v>1610</v>
      </c>
      <c r="C853" s="162" t="s">
        <v>5</v>
      </c>
      <c r="D853" s="162" t="s">
        <v>0</v>
      </c>
      <c r="E853" s="231">
        <v>45040</v>
      </c>
      <c r="F853" s="162" t="s">
        <v>1229</v>
      </c>
      <c r="G853" s="231">
        <v>45040</v>
      </c>
      <c r="H853" s="198">
        <f>SUMIF(VA!B:B,A853,VA!I:I)</f>
        <v>359.46</v>
      </c>
      <c r="I853" s="32">
        <f>SUMIF(VR!B:B,A853,VR!I:I)</f>
        <v>657.5</v>
      </c>
      <c r="J853" s="4">
        <f t="shared" si="13"/>
        <v>1016.96</v>
      </c>
      <c r="K853" s="179">
        <f>SUMIF(FALTAS!A:A,A853,FALTAS!D:D)</f>
        <v>0</v>
      </c>
    </row>
    <row r="854" spans="1:11" x14ac:dyDescent="0.25">
      <c r="A854" s="235">
        <v>112296</v>
      </c>
      <c r="B854" s="162" t="s">
        <v>94</v>
      </c>
      <c r="C854" s="162" t="s">
        <v>5</v>
      </c>
      <c r="D854" s="162" t="s">
        <v>0</v>
      </c>
      <c r="E854" s="231">
        <v>43617</v>
      </c>
      <c r="F854" s="162" t="s">
        <v>1229</v>
      </c>
      <c r="G854" s="231">
        <v>44867</v>
      </c>
      <c r="H854" s="198">
        <f>SUMIF(VA!B:B,A854,VA!I:I)</f>
        <v>359.46</v>
      </c>
      <c r="I854" s="32">
        <f>SUMIF(VR!B:B,A854,VR!I:I)</f>
        <v>657.5</v>
      </c>
      <c r="J854" s="4">
        <f t="shared" si="13"/>
        <v>1016.96</v>
      </c>
      <c r="K854" s="179">
        <f>SUMIF(FALTAS!A:A,A854,FALTAS!D:D)</f>
        <v>0</v>
      </c>
    </row>
    <row r="855" spans="1:11" x14ac:dyDescent="0.25">
      <c r="A855" s="235">
        <v>112309</v>
      </c>
      <c r="B855" s="162" t="s">
        <v>102</v>
      </c>
      <c r="C855" s="162" t="s">
        <v>5</v>
      </c>
      <c r="D855" s="162" t="s">
        <v>19</v>
      </c>
      <c r="E855" s="231">
        <v>43617</v>
      </c>
      <c r="F855" s="162" t="s">
        <v>1229</v>
      </c>
      <c r="G855" s="231">
        <v>44898</v>
      </c>
      <c r="H855" s="198">
        <f>SUMIF(VA!B:B,A855,VA!I:I)</f>
        <v>359.46</v>
      </c>
      <c r="I855" s="32">
        <f>SUMIF(VR!B:B,A855,VR!I:I)</f>
        <v>657.5</v>
      </c>
      <c r="J855" s="4">
        <f t="shared" si="13"/>
        <v>1016.96</v>
      </c>
      <c r="K855" s="179">
        <f>SUMIF(FALTAS!A:A,A855,FALTAS!D:D)</f>
        <v>0</v>
      </c>
    </row>
    <row r="856" spans="1:11" x14ac:dyDescent="0.25">
      <c r="A856" s="235">
        <v>112364</v>
      </c>
      <c r="B856" s="162" t="s">
        <v>132</v>
      </c>
      <c r="C856" s="162" t="s">
        <v>5</v>
      </c>
      <c r="D856" s="162" t="s">
        <v>0</v>
      </c>
      <c r="E856" s="231">
        <v>43617</v>
      </c>
      <c r="F856" s="162" t="s">
        <v>1229</v>
      </c>
      <c r="G856" s="231">
        <v>44806</v>
      </c>
      <c r="H856" s="198">
        <f>SUMIF(VA!B:B,A856,VA!I:I)</f>
        <v>359.46</v>
      </c>
      <c r="I856" s="32">
        <f>SUMIF(VR!B:B,A856,VR!I:I)</f>
        <v>657.5</v>
      </c>
      <c r="J856" s="4">
        <f t="shared" si="13"/>
        <v>1016.96</v>
      </c>
      <c r="K856" s="179">
        <f>SUMIF(FALTAS!A:A,A856,FALTAS!D:D)</f>
        <v>0</v>
      </c>
    </row>
    <row r="857" spans="1:11" x14ac:dyDescent="0.25">
      <c r="A857" s="235">
        <v>112370</v>
      </c>
      <c r="B857" s="162" t="s">
        <v>135</v>
      </c>
      <c r="C857" s="162" t="s">
        <v>5</v>
      </c>
      <c r="D857" s="162" t="s">
        <v>8</v>
      </c>
      <c r="E857" s="231">
        <v>43617</v>
      </c>
      <c r="F857" s="162" t="s">
        <v>1229</v>
      </c>
      <c r="G857" s="231">
        <v>45170</v>
      </c>
      <c r="H857" s="198">
        <f>SUMIF(VA!B:B,A857,VA!I:I)</f>
        <v>359.46</v>
      </c>
      <c r="I857" s="32">
        <f>SUMIF(VR!B:B,A857,VR!I:I)</f>
        <v>657.5</v>
      </c>
      <c r="J857" s="4">
        <f t="shared" si="13"/>
        <v>1016.96</v>
      </c>
      <c r="K857" s="179">
        <f>SUMIF(FALTAS!A:A,A857,FALTAS!D:D)</f>
        <v>0</v>
      </c>
    </row>
    <row r="858" spans="1:11" x14ac:dyDescent="0.25">
      <c r="A858" s="235">
        <v>114128</v>
      </c>
      <c r="B858" s="162" t="s">
        <v>1014</v>
      </c>
      <c r="C858" s="162" t="s">
        <v>15</v>
      </c>
      <c r="D858" s="162" t="s">
        <v>1578</v>
      </c>
      <c r="E858" s="231">
        <v>43739</v>
      </c>
      <c r="F858" s="162" t="s">
        <v>1229</v>
      </c>
      <c r="G858" s="231">
        <v>44930</v>
      </c>
      <c r="H858" s="198">
        <f>SUMIF(VA!B:B,A858,VA!I:I)</f>
        <v>359.46</v>
      </c>
      <c r="I858" s="32">
        <f>SUMIF(VR!B:B,A858,VR!I:I)</f>
        <v>657.5</v>
      </c>
      <c r="J858" s="4">
        <f t="shared" si="13"/>
        <v>1016.96</v>
      </c>
      <c r="K858" s="179">
        <f>SUMIF(FALTAS!A:A,A858,FALTAS!D:D)</f>
        <v>0</v>
      </c>
    </row>
    <row r="859" spans="1:11" x14ac:dyDescent="0.25">
      <c r="A859" s="235">
        <v>112379</v>
      </c>
      <c r="B859" s="162" t="s">
        <v>142</v>
      </c>
      <c r="C859" s="162" t="s">
        <v>15</v>
      </c>
      <c r="D859" s="162" t="s">
        <v>1578</v>
      </c>
      <c r="E859" s="231">
        <v>43617</v>
      </c>
      <c r="F859" s="162" t="s">
        <v>1230</v>
      </c>
      <c r="G859" s="231">
        <v>45180</v>
      </c>
      <c r="H859" s="198">
        <f>SUMIF(VA!B:B,A859,VA!I:I)</f>
        <v>359.46</v>
      </c>
      <c r="I859" s="32">
        <f>SUMIF(VR!B:B,A859,VR!I:I)</f>
        <v>657.5</v>
      </c>
      <c r="J859" s="4">
        <f t="shared" si="13"/>
        <v>1016.96</v>
      </c>
      <c r="K859" s="179">
        <f>SUMIF(FALTAS!A:A,A859,FALTAS!D:D)</f>
        <v>0</v>
      </c>
    </row>
    <row r="860" spans="1:11" x14ac:dyDescent="0.25">
      <c r="A860" s="235">
        <v>112384</v>
      </c>
      <c r="B860" s="162" t="s">
        <v>148</v>
      </c>
      <c r="C860" s="162" t="s">
        <v>15</v>
      </c>
      <c r="D860" s="162" t="s">
        <v>1578</v>
      </c>
      <c r="E860" s="231">
        <v>43620</v>
      </c>
      <c r="F860" s="162" t="s">
        <v>1229</v>
      </c>
      <c r="G860" s="231">
        <v>45119</v>
      </c>
      <c r="H860" s="198">
        <f>SUMIF(VA!B:B,A860,VA!I:I)</f>
        <v>359.46</v>
      </c>
      <c r="I860" s="32">
        <f>SUMIF(VR!B:B,A860,VR!I:I)</f>
        <v>657.5</v>
      </c>
      <c r="J860" s="4">
        <f t="shared" si="13"/>
        <v>1016.96</v>
      </c>
      <c r="K860" s="179">
        <f>SUMIF(FALTAS!A:A,A860,FALTAS!D:D)</f>
        <v>0</v>
      </c>
    </row>
    <row r="861" spans="1:11" x14ac:dyDescent="0.25">
      <c r="A861" s="235">
        <v>115796</v>
      </c>
      <c r="B861" s="162" t="s">
        <v>1162</v>
      </c>
      <c r="C861" s="162" t="s">
        <v>1655</v>
      </c>
      <c r="D861" s="162" t="s">
        <v>1578</v>
      </c>
      <c r="E861" s="231">
        <v>44145</v>
      </c>
      <c r="F861" s="162" t="s">
        <v>1230</v>
      </c>
      <c r="G861" s="231">
        <v>45187</v>
      </c>
      <c r="H861" s="198">
        <f>SUMIF(VA!B:B,A861,VA!I:I)</f>
        <v>359.46</v>
      </c>
      <c r="I861" s="32">
        <f>SUMIF(VR!B:B,A861,VR!I:I)</f>
        <v>657.5</v>
      </c>
      <c r="J861" s="4">
        <f t="shared" si="13"/>
        <v>1016.96</v>
      </c>
      <c r="K861" s="179">
        <f>SUMIF(FALTAS!A:A,A861,FALTAS!D:D)</f>
        <v>0</v>
      </c>
    </row>
    <row r="862" spans="1:11" x14ac:dyDescent="0.25">
      <c r="A862" s="235">
        <v>112394</v>
      </c>
      <c r="B862" s="162" t="s">
        <v>152</v>
      </c>
      <c r="C862" s="162" t="s">
        <v>2</v>
      </c>
      <c r="D862" s="162" t="s">
        <v>0</v>
      </c>
      <c r="E862" s="231">
        <v>43617</v>
      </c>
      <c r="F862" s="162" t="s">
        <v>1229</v>
      </c>
      <c r="G862" s="231">
        <v>44776</v>
      </c>
      <c r="H862" s="198">
        <f>SUMIF(VA!B:B,A862,VA!I:I)</f>
        <v>359.46</v>
      </c>
      <c r="I862" s="32">
        <f>SUMIF(VR!B:B,A862,VR!I:I)</f>
        <v>657.5</v>
      </c>
      <c r="J862" s="4">
        <f t="shared" si="13"/>
        <v>1016.96</v>
      </c>
      <c r="K862" s="179">
        <f>SUMIF(FALTAS!A:A,A862,FALTAS!D:D)</f>
        <v>0</v>
      </c>
    </row>
    <row r="863" spans="1:11" x14ac:dyDescent="0.25">
      <c r="A863" s="235">
        <v>113762</v>
      </c>
      <c r="B863" s="162" t="s">
        <v>964</v>
      </c>
      <c r="C863" s="162" t="s">
        <v>469</v>
      </c>
      <c r="D863" s="162" t="s">
        <v>0</v>
      </c>
      <c r="E863" s="231">
        <v>43621</v>
      </c>
      <c r="F863" s="162" t="s">
        <v>1229</v>
      </c>
      <c r="G863" s="231">
        <v>44898</v>
      </c>
      <c r="H863" s="198">
        <f>SUMIF(VA!B:B,A863,VA!I:I)</f>
        <v>359.46</v>
      </c>
      <c r="I863" s="32">
        <f>SUMIF(VR!B:B,A863,VR!I:I)</f>
        <v>657.5</v>
      </c>
      <c r="J863" s="4">
        <f t="shared" si="13"/>
        <v>1016.96</v>
      </c>
      <c r="K863" s="179">
        <f>SUMIF(FALTAS!A:A,A863,FALTAS!D:D)</f>
        <v>0</v>
      </c>
    </row>
    <row r="864" spans="1:11" x14ac:dyDescent="0.25">
      <c r="A864" s="235">
        <v>116234</v>
      </c>
      <c r="B864" s="162" t="s">
        <v>1194</v>
      </c>
      <c r="C864" s="162" t="s">
        <v>2</v>
      </c>
      <c r="D864" s="162" t="s">
        <v>8</v>
      </c>
      <c r="E864" s="231">
        <v>44273</v>
      </c>
      <c r="F864" s="162" t="s">
        <v>1229</v>
      </c>
      <c r="G864" s="231">
        <v>45086</v>
      </c>
      <c r="H864" s="198">
        <f>SUMIF(VA!B:B,A864,VA!I:I)</f>
        <v>359.46</v>
      </c>
      <c r="I864" s="32">
        <f>SUMIF(VR!B:B,A864,VR!I:I)</f>
        <v>657.5</v>
      </c>
      <c r="J864" s="4">
        <f t="shared" si="13"/>
        <v>1016.96</v>
      </c>
      <c r="K864" s="179">
        <f>SUMIF(FALTAS!A:A,A864,FALTAS!D:D)</f>
        <v>0</v>
      </c>
    </row>
    <row r="865" spans="1:11" x14ac:dyDescent="0.25">
      <c r="A865" s="235">
        <v>112401</v>
      </c>
      <c r="B865" s="162" t="s">
        <v>157</v>
      </c>
      <c r="C865" s="162" t="s">
        <v>15</v>
      </c>
      <c r="D865" s="162" t="s">
        <v>1578</v>
      </c>
      <c r="E865" s="231">
        <v>43627</v>
      </c>
      <c r="F865" s="162" t="s">
        <v>1229</v>
      </c>
      <c r="G865" s="231">
        <v>44960</v>
      </c>
      <c r="H865" s="198">
        <f>SUMIF(VA!B:B,A865,VA!I:I)</f>
        <v>359.46</v>
      </c>
      <c r="I865" s="32">
        <f>SUMIF(VR!B:B,A865,VR!I:I)</f>
        <v>657.5</v>
      </c>
      <c r="J865" s="4">
        <f t="shared" si="13"/>
        <v>1016.96</v>
      </c>
      <c r="K865" s="179">
        <f>SUMIF(FALTAS!A:A,A865,FALTAS!D:D)</f>
        <v>0</v>
      </c>
    </row>
    <row r="866" spans="1:11" x14ac:dyDescent="0.25">
      <c r="A866" s="235">
        <v>117236</v>
      </c>
      <c r="B866" s="162" t="s">
        <v>1253</v>
      </c>
      <c r="C866" s="162" t="s">
        <v>2</v>
      </c>
      <c r="D866" s="162" t="s">
        <v>0</v>
      </c>
      <c r="E866" s="231">
        <v>44487</v>
      </c>
      <c r="F866" s="162" t="s">
        <v>1229</v>
      </c>
      <c r="G866" s="231">
        <v>45086</v>
      </c>
      <c r="H866" s="198">
        <f>SUMIF(VA!B:B,A866,VA!I:I)</f>
        <v>359.46</v>
      </c>
      <c r="I866" s="32">
        <f>SUMIF(VR!B:B,A866,VR!I:I)</f>
        <v>657.5</v>
      </c>
      <c r="J866" s="4">
        <f t="shared" si="13"/>
        <v>1016.96</v>
      </c>
      <c r="K866" s="179">
        <f>SUMIF(FALTAS!A:A,A866,FALTAS!D:D)</f>
        <v>0</v>
      </c>
    </row>
    <row r="867" spans="1:11" x14ac:dyDescent="0.25">
      <c r="A867" s="235">
        <v>119647</v>
      </c>
      <c r="B867" s="162" t="s">
        <v>1466</v>
      </c>
      <c r="C867" s="162" t="s">
        <v>1650</v>
      </c>
      <c r="D867" s="162" t="s">
        <v>1578</v>
      </c>
      <c r="E867" s="231">
        <v>44725</v>
      </c>
      <c r="F867" s="162" t="s">
        <v>1230</v>
      </c>
      <c r="G867" s="231">
        <v>45180</v>
      </c>
      <c r="H867" s="198">
        <f>SUMIF(VA!B:B,A867,VA!I:I)</f>
        <v>359.46</v>
      </c>
      <c r="I867" s="32">
        <f>SUMIF(VR!B:B,A867,VR!I:I)</f>
        <v>657.5</v>
      </c>
      <c r="J867" s="4">
        <f t="shared" si="13"/>
        <v>1016.96</v>
      </c>
      <c r="K867" s="179">
        <f>SUMIF(FALTAS!A:A,A867,FALTAS!D:D)</f>
        <v>0</v>
      </c>
    </row>
    <row r="868" spans="1:11" x14ac:dyDescent="0.25">
      <c r="A868" s="235">
        <v>112415</v>
      </c>
      <c r="B868" s="162" t="s">
        <v>166</v>
      </c>
      <c r="C868" s="162" t="s">
        <v>22</v>
      </c>
      <c r="D868" s="162" t="s">
        <v>1578</v>
      </c>
      <c r="E868" s="231">
        <v>43617</v>
      </c>
      <c r="F868" s="162" t="s">
        <v>1229</v>
      </c>
      <c r="G868" s="231">
        <v>44993</v>
      </c>
      <c r="H868" s="198">
        <f>SUMIF(VA!B:B,A868,VA!I:I)</f>
        <v>359.46</v>
      </c>
      <c r="I868" s="32">
        <f>SUMIF(VR!B:B,A868,VR!I:I)</f>
        <v>657.5</v>
      </c>
      <c r="J868" s="4">
        <f t="shared" si="13"/>
        <v>1016.96</v>
      </c>
      <c r="K868" s="179">
        <f>SUMIF(FALTAS!A:A,A868,FALTAS!D:D)</f>
        <v>0</v>
      </c>
    </row>
    <row r="869" spans="1:11" x14ac:dyDescent="0.25">
      <c r="A869" s="235">
        <v>112418</v>
      </c>
      <c r="B869" s="162" t="s">
        <v>168</v>
      </c>
      <c r="C869" s="162" t="s">
        <v>2</v>
      </c>
      <c r="D869" s="162" t="s">
        <v>0</v>
      </c>
      <c r="E869" s="231">
        <v>43617</v>
      </c>
      <c r="F869" s="162" t="s">
        <v>1229</v>
      </c>
      <c r="G869" s="231">
        <v>44776</v>
      </c>
      <c r="H869" s="198">
        <f>SUMIF(VA!B:B,A869,VA!I:I)</f>
        <v>359.46</v>
      </c>
      <c r="I869" s="32">
        <f>SUMIF(VR!B:B,A869,VR!I:I)</f>
        <v>657.5</v>
      </c>
      <c r="J869" s="4">
        <f t="shared" si="13"/>
        <v>1016.96</v>
      </c>
      <c r="K869" s="179">
        <f>SUMIF(FALTAS!A:A,A869,FALTAS!D:D)</f>
        <v>0</v>
      </c>
    </row>
    <row r="870" spans="1:11" x14ac:dyDescent="0.25">
      <c r="A870" s="235">
        <v>112421</v>
      </c>
      <c r="B870" s="162" t="s">
        <v>170</v>
      </c>
      <c r="C870" s="162" t="s">
        <v>5</v>
      </c>
      <c r="D870" s="162" t="s">
        <v>8</v>
      </c>
      <c r="E870" s="231">
        <v>43617</v>
      </c>
      <c r="F870" s="162" t="s">
        <v>1229</v>
      </c>
      <c r="G870" s="231">
        <v>44930</v>
      </c>
      <c r="H870" s="198">
        <f>SUMIF(VA!B:B,A870,VA!I:I)</f>
        <v>359.46</v>
      </c>
      <c r="I870" s="32">
        <f>SUMIF(VR!B:B,A870,VR!I:I)</f>
        <v>657.5</v>
      </c>
      <c r="J870" s="4">
        <f t="shared" si="13"/>
        <v>1016.96</v>
      </c>
      <c r="K870" s="179">
        <f>SUMIF(FALTAS!A:A,A870,FALTAS!D:D)</f>
        <v>0</v>
      </c>
    </row>
    <row r="871" spans="1:11" x14ac:dyDescent="0.25">
      <c r="A871" s="235">
        <v>112424</v>
      </c>
      <c r="B871" s="162" t="s">
        <v>1562</v>
      </c>
      <c r="C871" s="162" t="s">
        <v>2</v>
      </c>
      <c r="D871" s="162" t="s">
        <v>8</v>
      </c>
      <c r="E871" s="231">
        <v>43617</v>
      </c>
      <c r="F871" s="162" t="s">
        <v>1572</v>
      </c>
      <c r="G871" s="231">
        <v>43922</v>
      </c>
      <c r="H871" s="198">
        <f>SUMIF(VA!B:B,A871,VA!I:I)</f>
        <v>0</v>
      </c>
      <c r="I871" s="32">
        <f>SUMIF(VR!B:B,A871,VR!I:I)</f>
        <v>0</v>
      </c>
      <c r="J871" s="4">
        <f t="shared" si="13"/>
        <v>0</v>
      </c>
      <c r="K871" s="179">
        <f>SUMIF(FALTAS!A:A,A871,FALTAS!D:D)</f>
        <v>0</v>
      </c>
    </row>
    <row r="872" spans="1:11" x14ac:dyDescent="0.25">
      <c r="A872" s="235">
        <v>112431</v>
      </c>
      <c r="B872" s="162" t="s">
        <v>174</v>
      </c>
      <c r="C872" s="162" t="s">
        <v>5</v>
      </c>
      <c r="D872" s="162" t="s">
        <v>10</v>
      </c>
      <c r="E872" s="231">
        <v>43617</v>
      </c>
      <c r="F872" s="162" t="s">
        <v>1229</v>
      </c>
      <c r="G872" s="231">
        <v>44835</v>
      </c>
      <c r="H872" s="198">
        <f>SUMIF(VA!B:B,A872,VA!I:I)</f>
        <v>359.46</v>
      </c>
      <c r="I872" s="32">
        <f>SUMIF(VR!B:B,A872,VR!I:I)</f>
        <v>657.5</v>
      </c>
      <c r="J872" s="4">
        <f t="shared" si="13"/>
        <v>1016.96</v>
      </c>
      <c r="K872" s="179">
        <f>SUMIF(FALTAS!A:A,A872,FALTAS!D:D)</f>
        <v>0</v>
      </c>
    </row>
    <row r="873" spans="1:11" x14ac:dyDescent="0.25">
      <c r="A873" s="235">
        <v>112437</v>
      </c>
      <c r="B873" s="162" t="s">
        <v>179</v>
      </c>
      <c r="C873" s="162" t="s">
        <v>15</v>
      </c>
      <c r="D873" s="162" t="s">
        <v>1578</v>
      </c>
      <c r="E873" s="231">
        <v>43617</v>
      </c>
      <c r="F873" s="162" t="s">
        <v>1229</v>
      </c>
      <c r="G873" s="231">
        <v>44993</v>
      </c>
      <c r="H873" s="198">
        <f>SUMIF(VA!B:B,A873,VA!I:I)</f>
        <v>359.46</v>
      </c>
      <c r="I873" s="32">
        <f>SUMIF(VR!B:B,A873,VR!I:I)</f>
        <v>657.5</v>
      </c>
      <c r="J873" s="4">
        <f t="shared" si="13"/>
        <v>1016.96</v>
      </c>
      <c r="K873" s="179">
        <f>SUMIF(FALTAS!A:A,A873,FALTAS!D:D)</f>
        <v>0</v>
      </c>
    </row>
    <row r="874" spans="1:11" x14ac:dyDescent="0.25">
      <c r="A874" s="235">
        <v>112470</v>
      </c>
      <c r="B874" s="162" t="s">
        <v>199</v>
      </c>
      <c r="C874" s="162" t="s">
        <v>5</v>
      </c>
      <c r="D874" s="162" t="s">
        <v>0</v>
      </c>
      <c r="E874" s="231">
        <v>43617</v>
      </c>
      <c r="F874" s="162" t="s">
        <v>1229</v>
      </c>
      <c r="G874" s="231">
        <v>45023</v>
      </c>
      <c r="H874" s="198">
        <f>SUMIF(VA!B:B,A874,VA!I:I)</f>
        <v>359.46</v>
      </c>
      <c r="I874" s="32">
        <f>SUMIF(VR!B:B,A874,VR!I:I)</f>
        <v>657.5</v>
      </c>
      <c r="J874" s="4">
        <f t="shared" si="13"/>
        <v>1016.96</v>
      </c>
      <c r="K874" s="179">
        <f>SUMIF(FALTAS!A:A,A874,FALTAS!D:D)</f>
        <v>0</v>
      </c>
    </row>
    <row r="875" spans="1:11" x14ac:dyDescent="0.25">
      <c r="A875" s="235">
        <v>122837</v>
      </c>
      <c r="B875" s="162" t="s">
        <v>1724</v>
      </c>
      <c r="C875" s="162" t="s">
        <v>5</v>
      </c>
      <c r="D875" s="162" t="s">
        <v>1578</v>
      </c>
      <c r="E875" s="231">
        <v>45180</v>
      </c>
      <c r="F875" s="162" t="s">
        <v>1229</v>
      </c>
      <c r="G875" s="231">
        <v>45180</v>
      </c>
      <c r="H875" s="198">
        <f>SUMIF(VA!B:B,A875,VA!I:I)</f>
        <v>359.46</v>
      </c>
      <c r="I875" s="32">
        <f>SUMIF(VR!B:B,A875,VR!I:I)</f>
        <v>657.5</v>
      </c>
      <c r="J875" s="4">
        <f t="shared" si="13"/>
        <v>1016.96</v>
      </c>
      <c r="K875" s="179">
        <f>SUMIF(FALTAS!A:A,A875,FALTAS!D:D)</f>
        <v>0</v>
      </c>
    </row>
    <row r="876" spans="1:11" x14ac:dyDescent="0.25">
      <c r="A876" s="235">
        <v>122560</v>
      </c>
      <c r="B876" s="162" t="s">
        <v>1691</v>
      </c>
      <c r="C876" s="162" t="s">
        <v>5</v>
      </c>
      <c r="D876" s="162" t="s">
        <v>32</v>
      </c>
      <c r="E876" s="231">
        <v>45131</v>
      </c>
      <c r="F876" s="162" t="s">
        <v>1229</v>
      </c>
      <c r="G876" s="231">
        <v>45131</v>
      </c>
      <c r="H876" s="198">
        <f>SUMIF(VA!B:B,A876,VA!I:I)</f>
        <v>359.46</v>
      </c>
      <c r="I876" s="32">
        <f>SUMIF(VR!B:B,A876,VR!I:I)</f>
        <v>657.5</v>
      </c>
      <c r="J876" s="4">
        <f t="shared" si="13"/>
        <v>1016.96</v>
      </c>
      <c r="K876" s="179">
        <f>SUMIF(FALTAS!A:A,A876,FALTAS!D:D)</f>
        <v>0</v>
      </c>
    </row>
    <row r="877" spans="1:11" x14ac:dyDescent="0.25">
      <c r="A877" s="235">
        <v>113782</v>
      </c>
      <c r="B877" s="162" t="s">
        <v>976</v>
      </c>
      <c r="C877" s="162" t="s">
        <v>977</v>
      </c>
      <c r="D877" s="162" t="s">
        <v>1578</v>
      </c>
      <c r="E877" s="231">
        <v>43626</v>
      </c>
      <c r="F877" s="162" t="s">
        <v>1229</v>
      </c>
      <c r="G877" s="231">
        <v>44930</v>
      </c>
      <c r="H877" s="198">
        <f>SUMIF(VA!B:B,A877,VA!I:I)</f>
        <v>359.46</v>
      </c>
      <c r="I877" s="32">
        <f>SUMIF(VR!B:B,A877,VR!I:I)</f>
        <v>657.5</v>
      </c>
      <c r="J877" s="4">
        <f t="shared" si="13"/>
        <v>1016.96</v>
      </c>
      <c r="K877" s="179">
        <f>SUMIF(FALTAS!A:A,A877,FALTAS!D:D)</f>
        <v>0</v>
      </c>
    </row>
    <row r="878" spans="1:11" x14ac:dyDescent="0.25">
      <c r="A878" s="235">
        <v>116978</v>
      </c>
      <c r="B878" s="162" t="s">
        <v>1240</v>
      </c>
      <c r="C878" s="162" t="s">
        <v>5</v>
      </c>
      <c r="D878" s="162" t="s">
        <v>10</v>
      </c>
      <c r="E878" s="231">
        <v>44419</v>
      </c>
      <c r="F878" s="162" t="s">
        <v>1229</v>
      </c>
      <c r="G878" s="231">
        <v>45086</v>
      </c>
      <c r="H878" s="198">
        <f>SUMIF(VA!B:B,A878,VA!I:I)</f>
        <v>359.46</v>
      </c>
      <c r="I878" s="32">
        <f>SUMIF(VR!B:B,A878,VR!I:I)</f>
        <v>657.5</v>
      </c>
      <c r="J878" s="4">
        <f t="shared" si="13"/>
        <v>1016.96</v>
      </c>
      <c r="K878" s="179">
        <f>SUMIF(FALTAS!A:A,A878,FALTAS!D:D)</f>
        <v>0</v>
      </c>
    </row>
    <row r="879" spans="1:11" x14ac:dyDescent="0.25">
      <c r="A879" s="235">
        <v>121939</v>
      </c>
      <c r="B879" s="162" t="s">
        <v>1611</v>
      </c>
      <c r="C879" s="162" t="s">
        <v>1456</v>
      </c>
      <c r="D879" s="162" t="s">
        <v>1580</v>
      </c>
      <c r="E879" s="231">
        <v>45040</v>
      </c>
      <c r="F879" s="162" t="s">
        <v>1229</v>
      </c>
      <c r="G879" s="231">
        <v>45040</v>
      </c>
      <c r="H879" s="198">
        <f>SUMIF(VA!B:B,A879,VA!I:I)</f>
        <v>0</v>
      </c>
      <c r="I879" s="32">
        <f>SUMIF(VR!B:B,A879,VR!I:I)</f>
        <v>657.5</v>
      </c>
      <c r="J879" s="4">
        <f t="shared" si="13"/>
        <v>657.5</v>
      </c>
      <c r="K879" s="179">
        <f>SUMIF(FALTAS!A:A,A879,FALTAS!D:D)</f>
        <v>0</v>
      </c>
    </row>
    <row r="880" spans="1:11" x14ac:dyDescent="0.25">
      <c r="A880" s="235">
        <v>115371</v>
      </c>
      <c r="B880" s="162" t="s">
        <v>1148</v>
      </c>
      <c r="C880" s="162" t="s">
        <v>5</v>
      </c>
      <c r="D880" s="162" t="s">
        <v>0</v>
      </c>
      <c r="E880" s="231">
        <v>44046</v>
      </c>
      <c r="F880" s="162" t="s">
        <v>1229</v>
      </c>
      <c r="G880" s="231">
        <v>45086</v>
      </c>
      <c r="H880" s="198">
        <f>SUMIF(VA!B:B,A880,VA!I:I)</f>
        <v>359.46</v>
      </c>
      <c r="I880" s="32">
        <f>SUMIF(VR!B:B,A880,VR!I:I)</f>
        <v>657.5</v>
      </c>
      <c r="J880" s="4">
        <f t="shared" si="13"/>
        <v>1016.96</v>
      </c>
      <c r="K880" s="179">
        <f>SUMIF(FALTAS!A:A,A880,FALTAS!D:D)</f>
        <v>0</v>
      </c>
    </row>
    <row r="881" spans="1:11" x14ac:dyDescent="0.25">
      <c r="A881" s="235">
        <v>112478</v>
      </c>
      <c r="B881" s="162" t="s">
        <v>206</v>
      </c>
      <c r="C881" s="162" t="s">
        <v>22</v>
      </c>
      <c r="D881" s="162" t="s">
        <v>1578</v>
      </c>
      <c r="E881" s="231">
        <v>43617</v>
      </c>
      <c r="F881" s="162" t="s">
        <v>1229</v>
      </c>
      <c r="G881" s="231">
        <v>44960</v>
      </c>
      <c r="H881" s="198">
        <f>SUMIF(VA!B:B,A881,VA!I:I)</f>
        <v>359.46</v>
      </c>
      <c r="I881" s="32">
        <f>SUMIF(VR!B:B,A881,VR!I:I)</f>
        <v>657.5</v>
      </c>
      <c r="J881" s="4">
        <f t="shared" si="13"/>
        <v>1016.96</v>
      </c>
      <c r="K881" s="179">
        <f>SUMIF(FALTAS!A:A,A881,FALTAS!D:D)</f>
        <v>0</v>
      </c>
    </row>
    <row r="882" spans="1:11" x14ac:dyDescent="0.25">
      <c r="A882" s="235">
        <v>115403</v>
      </c>
      <c r="B882" s="162" t="s">
        <v>1153</v>
      </c>
      <c r="C882" s="162" t="s">
        <v>5</v>
      </c>
      <c r="D882" s="162" t="s">
        <v>8</v>
      </c>
      <c r="E882" s="231">
        <v>44048</v>
      </c>
      <c r="F882" s="162" t="s">
        <v>1279</v>
      </c>
      <c r="G882" s="231">
        <v>44932</v>
      </c>
      <c r="H882" s="198">
        <f>SUMIF(VA!B:B,A882,VA!I:I)</f>
        <v>0</v>
      </c>
      <c r="I882" s="32">
        <f>SUMIF(VR!B:B,A882,VR!I:I)</f>
        <v>0</v>
      </c>
      <c r="J882" s="4">
        <f t="shared" si="13"/>
        <v>0</v>
      </c>
      <c r="K882" s="179">
        <f>SUMIF(FALTAS!A:A,A882,FALTAS!D:D)</f>
        <v>0</v>
      </c>
    </row>
    <row r="883" spans="1:11" x14ac:dyDescent="0.25">
      <c r="A883" s="235">
        <v>114927</v>
      </c>
      <c r="B883" s="162" t="s">
        <v>1112</v>
      </c>
      <c r="C883" s="162" t="s">
        <v>5</v>
      </c>
      <c r="D883" s="162" t="s">
        <v>1578</v>
      </c>
      <c r="E883" s="231">
        <v>43916</v>
      </c>
      <c r="F883" s="162" t="s">
        <v>1229</v>
      </c>
      <c r="G883" s="231">
        <v>44960</v>
      </c>
      <c r="H883" s="198">
        <f>SUMIF(VA!B:B,A883,VA!I:I)</f>
        <v>359.46</v>
      </c>
      <c r="I883" s="32">
        <f>SUMIF(VR!B:B,A883,VR!I:I)</f>
        <v>657.5</v>
      </c>
      <c r="J883" s="4">
        <f t="shared" si="13"/>
        <v>1016.96</v>
      </c>
      <c r="K883" s="179">
        <f>SUMIF(FALTAS!A:A,A883,FALTAS!D:D)</f>
        <v>0</v>
      </c>
    </row>
    <row r="884" spans="1:11" x14ac:dyDescent="0.25">
      <c r="A884" s="235">
        <v>112503</v>
      </c>
      <c r="B884" s="162" t="s">
        <v>221</v>
      </c>
      <c r="C884" s="162" t="s">
        <v>5</v>
      </c>
      <c r="D884" s="162" t="s">
        <v>8</v>
      </c>
      <c r="E884" s="231">
        <v>43617</v>
      </c>
      <c r="F884" s="162" t="s">
        <v>1229</v>
      </c>
      <c r="G884" s="231">
        <v>45023</v>
      </c>
      <c r="H884" s="198">
        <f>SUMIF(VA!B:B,A884,VA!I:I)</f>
        <v>359.46</v>
      </c>
      <c r="I884" s="32">
        <f>SUMIF(VR!B:B,A884,VR!I:I)</f>
        <v>657.5</v>
      </c>
      <c r="J884" s="4">
        <f t="shared" si="13"/>
        <v>1016.96</v>
      </c>
      <c r="K884" s="179">
        <f>SUMIF(FALTAS!A:A,A884,FALTAS!D:D)</f>
        <v>0</v>
      </c>
    </row>
    <row r="885" spans="1:11" x14ac:dyDescent="0.25">
      <c r="A885" s="235">
        <v>116385</v>
      </c>
      <c r="B885" s="162" t="s">
        <v>1209</v>
      </c>
      <c r="C885" s="162" t="s">
        <v>5</v>
      </c>
      <c r="D885" s="162" t="s">
        <v>32</v>
      </c>
      <c r="E885" s="231">
        <v>44328</v>
      </c>
      <c r="F885" s="162" t="s">
        <v>1229</v>
      </c>
      <c r="G885" s="231">
        <v>45177</v>
      </c>
      <c r="H885" s="198">
        <f>SUMIF(VA!B:B,A885,VA!I:I)</f>
        <v>359.46</v>
      </c>
      <c r="I885" s="32">
        <f>SUMIF(VR!B:B,A885,VR!I:I)</f>
        <v>657.5</v>
      </c>
      <c r="J885" s="4">
        <f t="shared" si="13"/>
        <v>1016.96</v>
      </c>
      <c r="K885" s="179">
        <f>SUMIF(FALTAS!A:A,A885,FALTAS!D:D)</f>
        <v>0</v>
      </c>
    </row>
    <row r="886" spans="1:11" x14ac:dyDescent="0.25">
      <c r="A886" s="235">
        <v>112542</v>
      </c>
      <c r="B886" s="162" t="s">
        <v>252</v>
      </c>
      <c r="C886" s="162" t="s">
        <v>5</v>
      </c>
      <c r="D886" s="162" t="s">
        <v>0</v>
      </c>
      <c r="E886" s="231">
        <v>43617</v>
      </c>
      <c r="F886" s="162" t="s">
        <v>1229</v>
      </c>
      <c r="G886" s="231">
        <v>44898</v>
      </c>
      <c r="H886" s="198">
        <f>SUMIF(VA!B:B,A886,VA!I:I)</f>
        <v>359.46</v>
      </c>
      <c r="I886" s="32">
        <f>SUMIF(VR!B:B,A886,VR!I:I)</f>
        <v>657.5</v>
      </c>
      <c r="J886" s="4">
        <f t="shared" si="13"/>
        <v>1016.96</v>
      </c>
      <c r="K886" s="179">
        <f>SUMIF(FALTAS!A:A,A886,FALTAS!D:D)</f>
        <v>0</v>
      </c>
    </row>
    <row r="887" spans="1:11" x14ac:dyDescent="0.25">
      <c r="A887" s="235">
        <v>112545</v>
      </c>
      <c r="B887" s="162" t="s">
        <v>253</v>
      </c>
      <c r="C887" s="162" t="s">
        <v>2</v>
      </c>
      <c r="D887" s="162" t="s">
        <v>0</v>
      </c>
      <c r="E887" s="231">
        <v>43617</v>
      </c>
      <c r="F887" s="162" t="s">
        <v>1229</v>
      </c>
      <c r="G887" s="231">
        <v>45090</v>
      </c>
      <c r="H887" s="198">
        <f>SUMIF(VA!B:B,A887,VA!I:I)</f>
        <v>359.46</v>
      </c>
      <c r="I887" s="32">
        <f>SUMIF(VR!B:B,A887,VR!I:I)</f>
        <v>657.5</v>
      </c>
      <c r="J887" s="4">
        <f t="shared" si="13"/>
        <v>1016.96</v>
      </c>
      <c r="K887" s="179">
        <f>SUMIF(FALTAS!A:A,A887,FALTAS!D:D)</f>
        <v>0</v>
      </c>
    </row>
    <row r="888" spans="1:11" x14ac:dyDescent="0.25">
      <c r="A888" s="235">
        <v>112546</v>
      </c>
      <c r="B888" s="162" t="s">
        <v>254</v>
      </c>
      <c r="C888" s="162" t="s">
        <v>255</v>
      </c>
      <c r="D888" s="162" t="s">
        <v>1578</v>
      </c>
      <c r="E888" s="231">
        <v>43617</v>
      </c>
      <c r="F888" s="162" t="s">
        <v>1229</v>
      </c>
      <c r="G888" s="231">
        <v>44993</v>
      </c>
      <c r="H888" s="198">
        <f>SUMIF(VA!B:B,A888,VA!I:I)</f>
        <v>359.46</v>
      </c>
      <c r="I888" s="32">
        <f>SUMIF(VR!B:B,A888,VR!I:I)</f>
        <v>657.5</v>
      </c>
      <c r="J888" s="4">
        <f t="shared" si="13"/>
        <v>1016.96</v>
      </c>
      <c r="K888" s="179">
        <f>SUMIF(FALTAS!A:A,A888,FALTAS!D:D)</f>
        <v>0</v>
      </c>
    </row>
    <row r="889" spans="1:11" x14ac:dyDescent="0.25">
      <c r="A889" s="235">
        <v>118649</v>
      </c>
      <c r="B889" s="162" t="s">
        <v>1402</v>
      </c>
      <c r="C889" s="162" t="s">
        <v>5</v>
      </c>
      <c r="D889" s="162" t="s">
        <v>1578</v>
      </c>
      <c r="E889" s="231">
        <v>44582</v>
      </c>
      <c r="F889" s="162" t="s">
        <v>1229</v>
      </c>
      <c r="G889" s="231">
        <v>44993</v>
      </c>
      <c r="H889" s="198">
        <f>SUMIF(VA!B:B,A889,VA!I:I)</f>
        <v>359.46</v>
      </c>
      <c r="I889" s="32">
        <f>SUMIF(VR!B:B,A889,VR!I:I)</f>
        <v>657.5</v>
      </c>
      <c r="J889" s="4">
        <f t="shared" si="13"/>
        <v>1016.96</v>
      </c>
      <c r="K889" s="179">
        <f>SUMIF(FALTAS!A:A,A889,FALTAS!D:D)</f>
        <v>0</v>
      </c>
    </row>
    <row r="890" spans="1:11" x14ac:dyDescent="0.25">
      <c r="A890" s="235">
        <v>122571</v>
      </c>
      <c r="B890" s="162" t="s">
        <v>1692</v>
      </c>
      <c r="C890" s="162" t="s">
        <v>15</v>
      </c>
      <c r="D890" s="162" t="s">
        <v>1578</v>
      </c>
      <c r="E890" s="231">
        <v>45131</v>
      </c>
      <c r="F890" s="162" t="s">
        <v>1229</v>
      </c>
      <c r="G890" s="231">
        <v>45131</v>
      </c>
      <c r="H890" s="198">
        <f>SUMIF(VA!B:B,A890,VA!I:I)</f>
        <v>359.46</v>
      </c>
      <c r="I890" s="32">
        <f>SUMIF(VR!B:B,A890,VR!I:I)</f>
        <v>657.5</v>
      </c>
      <c r="J890" s="4">
        <f t="shared" si="13"/>
        <v>1016.96</v>
      </c>
      <c r="K890" s="179">
        <f>SUMIF(FALTAS!A:A,A890,FALTAS!D:D)</f>
        <v>0</v>
      </c>
    </row>
    <row r="891" spans="1:11" x14ac:dyDescent="0.25">
      <c r="A891" s="235">
        <v>121476</v>
      </c>
      <c r="B891" s="162" t="s">
        <v>1563</v>
      </c>
      <c r="C891" s="162" t="s">
        <v>5</v>
      </c>
      <c r="D891" s="162" t="s">
        <v>1578</v>
      </c>
      <c r="E891" s="231">
        <v>44967</v>
      </c>
      <c r="F891" s="162" t="s">
        <v>1229</v>
      </c>
      <c r="G891" s="231">
        <v>44967</v>
      </c>
      <c r="H891" s="198">
        <f>SUMIF(VA!B:B,A891,VA!I:I)</f>
        <v>359.46</v>
      </c>
      <c r="I891" s="32">
        <f>SUMIF(VR!B:B,A891,VR!I:I)</f>
        <v>657.5</v>
      </c>
      <c r="J891" s="4">
        <f t="shared" si="13"/>
        <v>1016.96</v>
      </c>
      <c r="K891" s="179">
        <f>SUMIF(FALTAS!A:A,A891,FALTAS!D:D)</f>
        <v>0</v>
      </c>
    </row>
    <row r="892" spans="1:11" x14ac:dyDescent="0.25">
      <c r="A892" s="235">
        <v>112558</v>
      </c>
      <c r="B892" s="162" t="s">
        <v>264</v>
      </c>
      <c r="C892" s="162" t="s">
        <v>146</v>
      </c>
      <c r="D892" s="162" t="s">
        <v>0</v>
      </c>
      <c r="E892" s="231">
        <v>43617</v>
      </c>
      <c r="F892" s="162" t="s">
        <v>1229</v>
      </c>
      <c r="G892" s="231">
        <v>45023</v>
      </c>
      <c r="H892" s="198">
        <f>SUMIF(VA!B:B,A892,VA!I:I)</f>
        <v>359.46</v>
      </c>
      <c r="I892" s="32">
        <f>SUMIF(VR!B:B,A892,VR!I:I)</f>
        <v>657.5</v>
      </c>
      <c r="J892" s="4">
        <f t="shared" si="13"/>
        <v>1016.96</v>
      </c>
      <c r="K892" s="179">
        <f>SUMIF(FALTAS!A:A,A892,FALTAS!D:D)</f>
        <v>0</v>
      </c>
    </row>
    <row r="893" spans="1:11" x14ac:dyDescent="0.25">
      <c r="A893" s="235">
        <v>112577</v>
      </c>
      <c r="B893" s="162" t="s">
        <v>274</v>
      </c>
      <c r="C893" s="162" t="s">
        <v>2</v>
      </c>
      <c r="D893" s="162" t="s">
        <v>0</v>
      </c>
      <c r="E893" s="231">
        <v>43617</v>
      </c>
      <c r="F893" s="162" t="s">
        <v>1229</v>
      </c>
      <c r="G893" s="231">
        <v>45177</v>
      </c>
      <c r="H893" s="198">
        <f>SUMIF(VA!B:B,A893,VA!I:I)</f>
        <v>359.46</v>
      </c>
      <c r="I893" s="32">
        <f>SUMIF(VR!B:B,A893,VR!I:I)</f>
        <v>657.5</v>
      </c>
      <c r="J893" s="4">
        <f t="shared" si="13"/>
        <v>1016.96</v>
      </c>
      <c r="K893" s="179">
        <f>SUMIF(FALTAS!A:A,A893,FALTAS!D:D)</f>
        <v>0</v>
      </c>
    </row>
    <row r="894" spans="1:11" x14ac:dyDescent="0.25">
      <c r="A894" s="235">
        <v>112583</v>
      </c>
      <c r="B894" s="162" t="s">
        <v>278</v>
      </c>
      <c r="C894" s="162" t="s">
        <v>15</v>
      </c>
      <c r="D894" s="162" t="s">
        <v>1578</v>
      </c>
      <c r="E894" s="231">
        <v>43617</v>
      </c>
      <c r="F894" s="162" t="s">
        <v>1229</v>
      </c>
      <c r="G894" s="231">
        <v>44960</v>
      </c>
      <c r="H894" s="198">
        <f>SUMIF(VA!B:B,A894,VA!I:I)</f>
        <v>359.46</v>
      </c>
      <c r="I894" s="32">
        <f>SUMIF(VR!B:B,A894,VR!I:I)</f>
        <v>657.5</v>
      </c>
      <c r="J894" s="4">
        <f t="shared" si="13"/>
        <v>1016.96</v>
      </c>
      <c r="K894" s="179">
        <f>SUMIF(FALTAS!A:A,A894,FALTAS!D:D)</f>
        <v>0</v>
      </c>
    </row>
    <row r="895" spans="1:11" x14ac:dyDescent="0.25">
      <c r="A895" s="235">
        <v>112589</v>
      </c>
      <c r="B895" s="162" t="s">
        <v>281</v>
      </c>
      <c r="C895" s="162" t="s">
        <v>228</v>
      </c>
      <c r="D895" s="162" t="s">
        <v>1578</v>
      </c>
      <c r="E895" s="231">
        <v>43617</v>
      </c>
      <c r="F895" s="162" t="s">
        <v>1229</v>
      </c>
      <c r="G895" s="231">
        <v>45177</v>
      </c>
      <c r="H895" s="198">
        <f>SUMIF(VA!B:B,A895,VA!I:I)</f>
        <v>359.46</v>
      </c>
      <c r="I895" s="32">
        <f>SUMIF(VR!B:B,A895,VR!I:I)</f>
        <v>657.5</v>
      </c>
      <c r="J895" s="4">
        <f t="shared" si="13"/>
        <v>1016.96</v>
      </c>
      <c r="K895" s="179">
        <f>SUMIF(FALTAS!A:A,A895,FALTAS!D:D)</f>
        <v>0</v>
      </c>
    </row>
    <row r="896" spans="1:11" x14ac:dyDescent="0.25">
      <c r="A896" s="235">
        <v>112596</v>
      </c>
      <c r="B896" s="162" t="s">
        <v>284</v>
      </c>
      <c r="C896" s="162" t="s">
        <v>2</v>
      </c>
      <c r="D896" s="162" t="s">
        <v>0</v>
      </c>
      <c r="E896" s="231">
        <v>43617</v>
      </c>
      <c r="F896" s="162" t="s">
        <v>1229</v>
      </c>
      <c r="G896" s="231">
        <v>44806</v>
      </c>
      <c r="H896" s="198">
        <f>SUMIF(VA!B:B,A896,VA!I:I)</f>
        <v>359.46</v>
      </c>
      <c r="I896" s="32">
        <f>SUMIF(VR!B:B,A896,VR!I:I)</f>
        <v>657.5</v>
      </c>
      <c r="J896" s="4">
        <f t="shared" si="13"/>
        <v>1016.96</v>
      </c>
      <c r="K896" s="179">
        <f>SUMIF(FALTAS!A:A,A896,FALTAS!D:D)</f>
        <v>0</v>
      </c>
    </row>
    <row r="897" spans="1:11" x14ac:dyDescent="0.25">
      <c r="A897" s="235">
        <v>115404</v>
      </c>
      <c r="B897" s="162" t="s">
        <v>1154</v>
      </c>
      <c r="C897" s="162" t="s">
        <v>2</v>
      </c>
      <c r="D897" s="162" t="s">
        <v>0</v>
      </c>
      <c r="E897" s="231">
        <v>44048</v>
      </c>
      <c r="F897" s="162" t="s">
        <v>1229</v>
      </c>
      <c r="G897" s="231">
        <v>45086</v>
      </c>
      <c r="H897" s="198">
        <f>SUMIF(VA!B:B,A897,VA!I:I)</f>
        <v>359.46</v>
      </c>
      <c r="I897" s="32">
        <f>SUMIF(VR!B:B,A897,VR!I:I)</f>
        <v>657.5</v>
      </c>
      <c r="J897" s="4">
        <f t="shared" ref="J897:J960" si="14">H897+I897</f>
        <v>1016.96</v>
      </c>
      <c r="K897" s="179">
        <f>SUMIF(FALTAS!A:A,A897,FALTAS!D:D)</f>
        <v>0</v>
      </c>
    </row>
    <row r="898" spans="1:11" x14ac:dyDescent="0.25">
      <c r="A898" s="235">
        <v>112604</v>
      </c>
      <c r="B898" s="162" t="s">
        <v>289</v>
      </c>
      <c r="C898" s="162" t="s">
        <v>15</v>
      </c>
      <c r="D898" s="162" t="s">
        <v>1578</v>
      </c>
      <c r="E898" s="231">
        <v>43617</v>
      </c>
      <c r="F898" s="162" t="s">
        <v>1229</v>
      </c>
      <c r="G898" s="231">
        <v>45177</v>
      </c>
      <c r="H898" s="198">
        <f>SUMIF(VA!B:B,A898,VA!I:I)</f>
        <v>359.46</v>
      </c>
      <c r="I898" s="32">
        <f>SUMIF(VR!B:B,A898,VR!I:I)</f>
        <v>657.5</v>
      </c>
      <c r="J898" s="4">
        <f t="shared" si="14"/>
        <v>1016.96</v>
      </c>
      <c r="K898" s="179">
        <f>SUMIF(FALTAS!A:A,A898,FALTAS!D:D)</f>
        <v>0</v>
      </c>
    </row>
    <row r="899" spans="1:11" x14ac:dyDescent="0.25">
      <c r="A899" s="235">
        <v>112611</v>
      </c>
      <c r="B899" s="162" t="s">
        <v>295</v>
      </c>
      <c r="C899" s="162" t="s">
        <v>5</v>
      </c>
      <c r="D899" s="162" t="s">
        <v>1578</v>
      </c>
      <c r="E899" s="231">
        <v>43617</v>
      </c>
      <c r="F899" s="162" t="s">
        <v>1229</v>
      </c>
      <c r="G899" s="231">
        <v>44974</v>
      </c>
      <c r="H899" s="198">
        <f>SUMIF(VA!B:B,A899,VA!I:I)</f>
        <v>359.46</v>
      </c>
      <c r="I899" s="32">
        <f>SUMIF(VR!B:B,A899,VR!I:I)</f>
        <v>657.5</v>
      </c>
      <c r="J899" s="4">
        <f t="shared" si="14"/>
        <v>1016.96</v>
      </c>
      <c r="K899" s="179">
        <f>SUMIF(FALTAS!A:A,A899,FALTAS!D:D)</f>
        <v>0</v>
      </c>
    </row>
    <row r="900" spans="1:11" x14ac:dyDescent="0.25">
      <c r="A900" s="235">
        <v>112617</v>
      </c>
      <c r="B900" s="162" t="s">
        <v>300</v>
      </c>
      <c r="C900" s="162" t="s">
        <v>2</v>
      </c>
      <c r="D900" s="162" t="s">
        <v>19</v>
      </c>
      <c r="E900" s="231">
        <v>43617</v>
      </c>
      <c r="F900" s="162" t="s">
        <v>1229</v>
      </c>
      <c r="G900" s="231">
        <v>44835</v>
      </c>
      <c r="H900" s="198">
        <f>SUMIF(VA!B:B,A900,VA!I:I)</f>
        <v>359.46</v>
      </c>
      <c r="I900" s="32">
        <f>SUMIF(VR!B:B,A900,VR!I:I)</f>
        <v>657.5</v>
      </c>
      <c r="J900" s="4">
        <f t="shared" si="14"/>
        <v>1016.96</v>
      </c>
      <c r="K900" s="179">
        <f>SUMIF(FALTAS!A:A,A900,FALTAS!D:D)</f>
        <v>0</v>
      </c>
    </row>
    <row r="901" spans="1:11" x14ac:dyDescent="0.25">
      <c r="A901" s="235">
        <v>112625</v>
      </c>
      <c r="B901" s="162" t="s">
        <v>305</v>
      </c>
      <c r="C901" s="162" t="s">
        <v>15</v>
      </c>
      <c r="D901" s="162" t="s">
        <v>1578</v>
      </c>
      <c r="E901" s="231">
        <v>43617</v>
      </c>
      <c r="F901" s="162" t="s">
        <v>1229</v>
      </c>
      <c r="G901" s="231">
        <v>45149</v>
      </c>
      <c r="H901" s="198">
        <f>SUMIF(VA!B:B,A901,VA!I:I)</f>
        <v>359.46</v>
      </c>
      <c r="I901" s="32">
        <f>SUMIF(VR!B:B,A901,VR!I:I)</f>
        <v>657.5</v>
      </c>
      <c r="J901" s="4">
        <f t="shared" si="14"/>
        <v>1016.96</v>
      </c>
      <c r="K901" s="179">
        <f>SUMIF(FALTAS!A:A,A901,FALTAS!D:D)</f>
        <v>0</v>
      </c>
    </row>
    <row r="902" spans="1:11" x14ac:dyDescent="0.25">
      <c r="A902" s="235">
        <v>112630</v>
      </c>
      <c r="B902" s="162" t="s">
        <v>309</v>
      </c>
      <c r="C902" s="162" t="s">
        <v>5</v>
      </c>
      <c r="D902" s="162" t="s">
        <v>0</v>
      </c>
      <c r="E902" s="231">
        <v>43617</v>
      </c>
      <c r="F902" s="162" t="s">
        <v>1229</v>
      </c>
      <c r="G902" s="231">
        <v>45023</v>
      </c>
      <c r="H902" s="198">
        <f>SUMIF(VA!B:B,A902,VA!I:I)</f>
        <v>359.46</v>
      </c>
      <c r="I902" s="32">
        <f>SUMIF(VR!B:B,A902,VR!I:I)</f>
        <v>657.5</v>
      </c>
      <c r="J902" s="4">
        <f t="shared" si="14"/>
        <v>1016.96</v>
      </c>
      <c r="K902" s="179">
        <f>SUMIF(FALTAS!A:A,A902,FALTAS!D:D)</f>
        <v>0</v>
      </c>
    </row>
    <row r="903" spans="1:11" x14ac:dyDescent="0.25">
      <c r="A903" s="235">
        <v>114736</v>
      </c>
      <c r="B903" s="162" t="s">
        <v>1084</v>
      </c>
      <c r="C903" s="162" t="s">
        <v>5</v>
      </c>
      <c r="D903" s="162" t="s">
        <v>32</v>
      </c>
      <c r="E903" s="231">
        <v>43874</v>
      </c>
      <c r="F903" s="162" t="s">
        <v>1229</v>
      </c>
      <c r="G903" s="231">
        <v>45113</v>
      </c>
      <c r="H903" s="198">
        <f>SUMIF(VA!B:B,A903,VA!I:I)</f>
        <v>359.46</v>
      </c>
      <c r="I903" s="32">
        <f>SUMIF(VR!B:B,A903,VR!I:I)</f>
        <v>657.5</v>
      </c>
      <c r="J903" s="4">
        <f t="shared" si="14"/>
        <v>1016.96</v>
      </c>
      <c r="K903" s="179">
        <f>SUMIF(FALTAS!A:A,A903,FALTAS!D:D)</f>
        <v>0</v>
      </c>
    </row>
    <row r="904" spans="1:11" x14ac:dyDescent="0.25">
      <c r="A904" s="235">
        <v>116024</v>
      </c>
      <c r="B904" s="162" t="s">
        <v>1174</v>
      </c>
      <c r="C904" s="162" t="s">
        <v>5</v>
      </c>
      <c r="D904" s="162" t="s">
        <v>10</v>
      </c>
      <c r="E904" s="231">
        <v>44207</v>
      </c>
      <c r="F904" s="162" t="s">
        <v>1229</v>
      </c>
      <c r="G904" s="231">
        <v>45119</v>
      </c>
      <c r="H904" s="198">
        <f>SUMIF(VA!B:B,A904,VA!I:I)</f>
        <v>359.46</v>
      </c>
      <c r="I904" s="32">
        <f>SUMIF(VR!B:B,A904,VR!I:I)</f>
        <v>657.5</v>
      </c>
      <c r="J904" s="4">
        <f t="shared" si="14"/>
        <v>1016.96</v>
      </c>
      <c r="K904" s="179">
        <f>SUMIF(FALTAS!A:A,A904,FALTAS!D:D)</f>
        <v>0</v>
      </c>
    </row>
    <row r="905" spans="1:11" x14ac:dyDescent="0.25">
      <c r="A905" s="235">
        <v>112640</v>
      </c>
      <c r="B905" s="162" t="s">
        <v>314</v>
      </c>
      <c r="C905" s="162" t="s">
        <v>1441</v>
      </c>
      <c r="D905" s="162" t="s">
        <v>1578</v>
      </c>
      <c r="E905" s="231">
        <v>43617</v>
      </c>
      <c r="F905" s="162" t="s">
        <v>1229</v>
      </c>
      <c r="G905" s="231">
        <v>44930</v>
      </c>
      <c r="H905" s="198">
        <f>SUMIF(VA!B:B,A905,VA!I:I)</f>
        <v>359.46</v>
      </c>
      <c r="I905" s="32">
        <f>SUMIF(VR!B:B,A905,VR!I:I)</f>
        <v>657.5</v>
      </c>
      <c r="J905" s="4">
        <f t="shared" si="14"/>
        <v>1016.96</v>
      </c>
      <c r="K905" s="179">
        <f>SUMIF(FALTAS!A:A,A905,FALTAS!D:D)</f>
        <v>0</v>
      </c>
    </row>
    <row r="906" spans="1:11" x14ac:dyDescent="0.25">
      <c r="A906" s="235">
        <v>112649</v>
      </c>
      <c r="B906" s="162" t="s">
        <v>318</v>
      </c>
      <c r="C906" s="162" t="s">
        <v>2</v>
      </c>
      <c r="D906" s="162" t="s">
        <v>8</v>
      </c>
      <c r="E906" s="231">
        <v>43617</v>
      </c>
      <c r="F906" s="162" t="s">
        <v>1229</v>
      </c>
      <c r="G906" s="231">
        <v>44867</v>
      </c>
      <c r="H906" s="198">
        <f>SUMIF(VA!B:B,A906,VA!I:I)</f>
        <v>359.46</v>
      </c>
      <c r="I906" s="32">
        <f>SUMIF(VR!B:B,A906,VR!I:I)</f>
        <v>657.5</v>
      </c>
      <c r="J906" s="4">
        <f t="shared" si="14"/>
        <v>1016.96</v>
      </c>
      <c r="K906" s="179">
        <f>SUMIF(FALTAS!A:A,A906,FALTAS!D:D)</f>
        <v>0</v>
      </c>
    </row>
    <row r="907" spans="1:11" x14ac:dyDescent="0.25">
      <c r="A907" s="235">
        <v>122088</v>
      </c>
      <c r="B907" s="162" t="s">
        <v>1630</v>
      </c>
      <c r="C907" s="162" t="s">
        <v>5</v>
      </c>
      <c r="D907" s="162" t="s">
        <v>1578</v>
      </c>
      <c r="E907" s="231">
        <v>45061</v>
      </c>
      <c r="F907" s="162" t="s">
        <v>1229</v>
      </c>
      <c r="G907" s="231">
        <v>45061</v>
      </c>
      <c r="H907" s="198">
        <f>SUMIF(VA!B:B,A907,VA!I:I)</f>
        <v>359.46</v>
      </c>
      <c r="I907" s="32">
        <f>SUMIF(VR!B:B,A907,VR!I:I)</f>
        <v>657.5</v>
      </c>
      <c r="J907" s="4">
        <f t="shared" si="14"/>
        <v>1016.96</v>
      </c>
      <c r="K907" s="179">
        <f>SUMIF(FALTAS!A:A,A907,FALTAS!D:D)</f>
        <v>0</v>
      </c>
    </row>
    <row r="908" spans="1:11" x14ac:dyDescent="0.25">
      <c r="A908" s="235">
        <v>119752</v>
      </c>
      <c r="B908" s="162" t="s">
        <v>1467</v>
      </c>
      <c r="C908" s="162" t="s">
        <v>1456</v>
      </c>
      <c r="D908" s="162" t="s">
        <v>1580</v>
      </c>
      <c r="E908" s="231">
        <v>44734</v>
      </c>
      <c r="F908" s="162" t="s">
        <v>1229</v>
      </c>
      <c r="G908" s="231">
        <v>44734</v>
      </c>
      <c r="H908" s="198">
        <f>SUMIF(VA!B:B,A908,VA!I:I)</f>
        <v>0</v>
      </c>
      <c r="I908" s="32">
        <f>SUMIF(VR!B:B,A908,VR!I:I)</f>
        <v>657.5</v>
      </c>
      <c r="J908" s="4">
        <f t="shared" si="14"/>
        <v>657.5</v>
      </c>
      <c r="K908" s="179">
        <f>SUMIF(FALTAS!A:A,A908,FALTAS!D:D)</f>
        <v>0</v>
      </c>
    </row>
    <row r="909" spans="1:11" x14ac:dyDescent="0.25">
      <c r="A909" s="235">
        <v>113768</v>
      </c>
      <c r="B909" s="162" t="s">
        <v>968</v>
      </c>
      <c r="C909" s="162" t="s">
        <v>146</v>
      </c>
      <c r="D909" s="162" t="s">
        <v>0</v>
      </c>
      <c r="E909" s="231">
        <v>43622</v>
      </c>
      <c r="F909" s="162" t="s">
        <v>1229</v>
      </c>
      <c r="G909" s="231">
        <v>44867</v>
      </c>
      <c r="H909" s="198">
        <f>SUMIF(VA!B:B,A909,VA!I:I)</f>
        <v>359.46</v>
      </c>
      <c r="I909" s="32">
        <f>SUMIF(VR!B:B,A909,VR!I:I)</f>
        <v>657.5</v>
      </c>
      <c r="J909" s="4">
        <f t="shared" si="14"/>
        <v>1016.96</v>
      </c>
      <c r="K909" s="179">
        <f>SUMIF(FALTAS!A:A,A909,FALTAS!D:D)</f>
        <v>0</v>
      </c>
    </row>
    <row r="910" spans="1:11" x14ac:dyDescent="0.25">
      <c r="A910" s="235">
        <v>114749</v>
      </c>
      <c r="B910" s="162" t="s">
        <v>1089</v>
      </c>
      <c r="C910" s="162" t="s">
        <v>5</v>
      </c>
      <c r="D910" s="162" t="s">
        <v>10</v>
      </c>
      <c r="E910" s="231">
        <v>43874</v>
      </c>
      <c r="F910" s="162" t="s">
        <v>1229</v>
      </c>
      <c r="G910" s="231">
        <v>45119</v>
      </c>
      <c r="H910" s="198">
        <f>SUMIF(VA!B:B,A910,VA!I:I)</f>
        <v>359.46</v>
      </c>
      <c r="I910" s="32">
        <f>SUMIF(VR!B:B,A910,VR!I:I)</f>
        <v>657.5</v>
      </c>
      <c r="J910" s="4">
        <f t="shared" si="14"/>
        <v>1016.96</v>
      </c>
      <c r="K910" s="179">
        <f>SUMIF(FALTAS!A:A,A910,FALTAS!D:D)</f>
        <v>0</v>
      </c>
    </row>
    <row r="911" spans="1:11" x14ac:dyDescent="0.25">
      <c r="A911" s="235">
        <v>112667</v>
      </c>
      <c r="B911" s="162" t="s">
        <v>328</v>
      </c>
      <c r="C911" s="162" t="s">
        <v>139</v>
      </c>
      <c r="D911" s="162" t="s">
        <v>1578</v>
      </c>
      <c r="E911" s="231">
        <v>43617</v>
      </c>
      <c r="F911" s="162" t="s">
        <v>1229</v>
      </c>
      <c r="G911" s="231">
        <v>45070</v>
      </c>
      <c r="H911" s="198">
        <f>SUMIF(VA!B:B,A911,VA!I:I)</f>
        <v>359.46</v>
      </c>
      <c r="I911" s="32">
        <f>SUMIF(VR!B:B,A911,VR!I:I)</f>
        <v>657.5</v>
      </c>
      <c r="J911" s="4">
        <f t="shared" si="14"/>
        <v>1016.96</v>
      </c>
      <c r="K911" s="179">
        <f>SUMIF(FALTAS!A:A,A911,FALTAS!D:D)</f>
        <v>0</v>
      </c>
    </row>
    <row r="912" spans="1:11" x14ac:dyDescent="0.25">
      <c r="A912" s="235">
        <v>112677</v>
      </c>
      <c r="B912" s="162" t="s">
        <v>333</v>
      </c>
      <c r="C912" s="162" t="s">
        <v>15</v>
      </c>
      <c r="D912" s="162" t="s">
        <v>1578</v>
      </c>
      <c r="E912" s="231">
        <v>43617</v>
      </c>
      <c r="F912" s="162" t="s">
        <v>1229</v>
      </c>
      <c r="G912" s="231">
        <v>44960</v>
      </c>
      <c r="H912" s="198">
        <f>SUMIF(VA!B:B,A912,VA!I:I)</f>
        <v>359.46</v>
      </c>
      <c r="I912" s="32">
        <f>SUMIF(VR!B:B,A912,VR!I:I)</f>
        <v>657.5</v>
      </c>
      <c r="J912" s="4">
        <f t="shared" si="14"/>
        <v>1016.96</v>
      </c>
      <c r="K912" s="179">
        <f>SUMIF(FALTAS!A:A,A912,FALTAS!D:D)</f>
        <v>0</v>
      </c>
    </row>
    <row r="913" spans="1:11" x14ac:dyDescent="0.25">
      <c r="A913" s="235">
        <v>112682</v>
      </c>
      <c r="B913" s="162" t="s">
        <v>337</v>
      </c>
      <c r="C913" s="162" t="s">
        <v>5</v>
      </c>
      <c r="D913" s="162" t="s">
        <v>8</v>
      </c>
      <c r="E913" s="231">
        <v>43617</v>
      </c>
      <c r="F913" s="162" t="s">
        <v>1229</v>
      </c>
      <c r="G913" s="231">
        <v>44930</v>
      </c>
      <c r="H913" s="198">
        <f>SUMIF(VA!B:B,A913,VA!I:I)</f>
        <v>359.46</v>
      </c>
      <c r="I913" s="32">
        <f>SUMIF(VR!B:B,A913,VR!I:I)</f>
        <v>657.5</v>
      </c>
      <c r="J913" s="4">
        <f t="shared" si="14"/>
        <v>1016.96</v>
      </c>
      <c r="K913" s="179">
        <f>SUMIF(FALTAS!A:A,A913,FALTAS!D:D)</f>
        <v>0</v>
      </c>
    </row>
    <row r="914" spans="1:11" x14ac:dyDescent="0.25">
      <c r="A914" s="235">
        <v>112684</v>
      </c>
      <c r="B914" s="162" t="s">
        <v>339</v>
      </c>
      <c r="C914" s="162" t="s">
        <v>2</v>
      </c>
      <c r="D914" s="162" t="s">
        <v>10</v>
      </c>
      <c r="E914" s="231">
        <v>43617</v>
      </c>
      <c r="F914" s="162" t="s">
        <v>1229</v>
      </c>
      <c r="G914" s="231">
        <v>45124</v>
      </c>
      <c r="H914" s="198">
        <f>SUMIF(VA!B:B,A914,VA!I:I)</f>
        <v>359.46</v>
      </c>
      <c r="I914" s="32">
        <f>SUMIF(VR!B:B,A914,VR!I:I)</f>
        <v>657.5</v>
      </c>
      <c r="J914" s="4">
        <f t="shared" si="14"/>
        <v>1016.96</v>
      </c>
      <c r="K914" s="179">
        <f>SUMIF(FALTAS!A:A,A914,FALTAS!D:D)</f>
        <v>0</v>
      </c>
    </row>
    <row r="915" spans="1:11" x14ac:dyDescent="0.25">
      <c r="A915" s="235">
        <v>112687</v>
      </c>
      <c r="B915" s="162" t="s">
        <v>342</v>
      </c>
      <c r="C915" s="162" t="s">
        <v>2</v>
      </c>
      <c r="D915" s="162" t="s">
        <v>0</v>
      </c>
      <c r="E915" s="231">
        <v>43617</v>
      </c>
      <c r="F915" s="162" t="s">
        <v>1229</v>
      </c>
      <c r="G915" s="231">
        <v>44806</v>
      </c>
      <c r="H915" s="198">
        <f>SUMIF(VA!B:B,A915,VA!I:I)</f>
        <v>359.46</v>
      </c>
      <c r="I915" s="32">
        <f>SUMIF(VR!B:B,A915,VR!I:I)</f>
        <v>657.5</v>
      </c>
      <c r="J915" s="4">
        <f t="shared" si="14"/>
        <v>1016.96</v>
      </c>
      <c r="K915" s="179">
        <f>SUMIF(FALTAS!A:A,A915,FALTAS!D:D)</f>
        <v>0</v>
      </c>
    </row>
    <row r="916" spans="1:11" x14ac:dyDescent="0.25">
      <c r="A916" s="235">
        <v>112690</v>
      </c>
      <c r="B916" s="162" t="s">
        <v>1543</v>
      </c>
      <c r="C916" s="162" t="s">
        <v>5</v>
      </c>
      <c r="D916" s="162" t="s">
        <v>10</v>
      </c>
      <c r="E916" s="231">
        <v>43617</v>
      </c>
      <c r="F916" s="162" t="s">
        <v>1230</v>
      </c>
      <c r="G916" s="231">
        <v>45180</v>
      </c>
      <c r="H916" s="198">
        <f>SUMIF(VA!B:B,A916,VA!I:I)</f>
        <v>347.47</v>
      </c>
      <c r="I916" s="32">
        <f>SUMIF(VR!B:B,A916,VR!I:I)</f>
        <v>631.20000000000005</v>
      </c>
      <c r="J916" s="4">
        <f t="shared" si="14"/>
        <v>978.67000000000007</v>
      </c>
      <c r="K916" s="179">
        <f>SUMIF(FALTAS!A:A,A916,FALTAS!D:D)</f>
        <v>1</v>
      </c>
    </row>
    <row r="917" spans="1:11" x14ac:dyDescent="0.25">
      <c r="A917" s="235">
        <v>115814</v>
      </c>
      <c r="B917" s="162" t="s">
        <v>1163</v>
      </c>
      <c r="C917" s="162" t="s">
        <v>120</v>
      </c>
      <c r="D917" s="162" t="s">
        <v>1578</v>
      </c>
      <c r="E917" s="231">
        <v>44154</v>
      </c>
      <c r="F917" s="162" t="s">
        <v>1279</v>
      </c>
      <c r="G917" s="231">
        <v>45146</v>
      </c>
      <c r="H917" s="198">
        <f>SUMIF(VA!B:B,A917,VA!I:I)</f>
        <v>0</v>
      </c>
      <c r="I917" s="32">
        <f>SUMIF(VR!B:B,A917,VR!I:I)</f>
        <v>0</v>
      </c>
      <c r="J917" s="4">
        <f t="shared" si="14"/>
        <v>0</v>
      </c>
      <c r="K917" s="179">
        <f>SUMIF(FALTAS!A:A,A917,FALTAS!D:D)</f>
        <v>0</v>
      </c>
    </row>
    <row r="918" spans="1:11" x14ac:dyDescent="0.25">
      <c r="A918" s="235">
        <v>114030</v>
      </c>
      <c r="B918" s="162" t="s">
        <v>995</v>
      </c>
      <c r="C918" s="162" t="s">
        <v>5</v>
      </c>
      <c r="D918" s="162" t="s">
        <v>8</v>
      </c>
      <c r="E918" s="231">
        <v>43710</v>
      </c>
      <c r="F918" s="162" t="s">
        <v>1229</v>
      </c>
      <c r="G918" s="231">
        <v>45119</v>
      </c>
      <c r="H918" s="198">
        <f>SUMIF(VA!B:B,A918,VA!I:I)</f>
        <v>359.46</v>
      </c>
      <c r="I918" s="32">
        <f>SUMIF(VR!B:B,A918,VR!I:I)</f>
        <v>657.5</v>
      </c>
      <c r="J918" s="4">
        <f t="shared" si="14"/>
        <v>1016.96</v>
      </c>
      <c r="K918" s="179">
        <f>SUMIF(FALTAS!A:A,A918,FALTAS!D:D)</f>
        <v>0</v>
      </c>
    </row>
    <row r="919" spans="1:11" x14ac:dyDescent="0.25">
      <c r="A919" s="235">
        <v>119643</v>
      </c>
      <c r="B919" s="162" t="s">
        <v>1468</v>
      </c>
      <c r="C919" s="162" t="s">
        <v>5</v>
      </c>
      <c r="D919" s="162" t="s">
        <v>0</v>
      </c>
      <c r="E919" s="231">
        <v>44725</v>
      </c>
      <c r="F919" s="162" t="s">
        <v>1229</v>
      </c>
      <c r="G919" s="231">
        <v>44725</v>
      </c>
      <c r="H919" s="198">
        <f>SUMIF(VA!B:B,A919,VA!I:I)</f>
        <v>359.46</v>
      </c>
      <c r="I919" s="32">
        <f>SUMIF(VR!B:B,A919,VR!I:I)</f>
        <v>657.5</v>
      </c>
      <c r="J919" s="4">
        <f t="shared" si="14"/>
        <v>1016.96</v>
      </c>
      <c r="K919" s="179">
        <f>SUMIF(FALTAS!A:A,A919,FALTAS!D:D)</f>
        <v>0</v>
      </c>
    </row>
    <row r="920" spans="1:11" x14ac:dyDescent="0.25">
      <c r="A920" s="235">
        <v>121949</v>
      </c>
      <c r="B920" s="162" t="s">
        <v>1612</v>
      </c>
      <c r="C920" s="162" t="s">
        <v>1456</v>
      </c>
      <c r="D920" s="162" t="s">
        <v>1580</v>
      </c>
      <c r="E920" s="231">
        <v>45040</v>
      </c>
      <c r="F920" s="162" t="s">
        <v>1229</v>
      </c>
      <c r="G920" s="231">
        <v>45040</v>
      </c>
      <c r="H920" s="198">
        <f>SUMIF(VA!B:B,A920,VA!I:I)</f>
        <v>0</v>
      </c>
      <c r="I920" s="32">
        <f>SUMIF(VR!B:B,A920,VR!I:I)</f>
        <v>657.5</v>
      </c>
      <c r="J920" s="4">
        <f t="shared" si="14"/>
        <v>657.5</v>
      </c>
      <c r="K920" s="179">
        <f>SUMIF(FALTAS!A:A,A920,FALTAS!D:D)</f>
        <v>0</v>
      </c>
    </row>
    <row r="921" spans="1:11" x14ac:dyDescent="0.25">
      <c r="A921" s="235">
        <v>116386</v>
      </c>
      <c r="B921" s="162" t="s">
        <v>1210</v>
      </c>
      <c r="C921" s="162" t="s">
        <v>15</v>
      </c>
      <c r="D921" s="162" t="s">
        <v>1578</v>
      </c>
      <c r="E921" s="231">
        <v>44328</v>
      </c>
      <c r="F921" s="162" t="s">
        <v>1229</v>
      </c>
      <c r="G921" s="231">
        <v>45177</v>
      </c>
      <c r="H921" s="198">
        <f>SUMIF(VA!B:B,A921,VA!I:I)</f>
        <v>359.46</v>
      </c>
      <c r="I921" s="32">
        <f>SUMIF(VR!B:B,A921,VR!I:I)</f>
        <v>657.5</v>
      </c>
      <c r="J921" s="4">
        <f t="shared" si="14"/>
        <v>1016.96</v>
      </c>
      <c r="K921" s="179">
        <f>SUMIF(FALTAS!A:A,A921,FALTAS!D:D)</f>
        <v>0</v>
      </c>
    </row>
    <row r="922" spans="1:11" x14ac:dyDescent="0.25">
      <c r="A922" s="235">
        <v>112693</v>
      </c>
      <c r="B922" s="162" t="s">
        <v>345</v>
      </c>
      <c r="C922" s="162" t="s">
        <v>2</v>
      </c>
      <c r="D922" s="162" t="s">
        <v>19</v>
      </c>
      <c r="E922" s="231">
        <v>43617</v>
      </c>
      <c r="F922" s="162" t="s">
        <v>1229</v>
      </c>
      <c r="G922" s="231">
        <v>45023</v>
      </c>
      <c r="H922" s="198">
        <f>SUMIF(VA!B:B,A922,VA!I:I)</f>
        <v>359.46</v>
      </c>
      <c r="I922" s="32">
        <f>SUMIF(VR!B:B,A922,VR!I:I)</f>
        <v>657.5</v>
      </c>
      <c r="J922" s="4">
        <f t="shared" si="14"/>
        <v>1016.96</v>
      </c>
      <c r="K922" s="179">
        <f>SUMIF(FALTAS!A:A,A922,FALTAS!D:D)</f>
        <v>0</v>
      </c>
    </row>
    <row r="923" spans="1:11" x14ac:dyDescent="0.25">
      <c r="A923" s="235">
        <v>112694</v>
      </c>
      <c r="B923" s="162" t="s">
        <v>346</v>
      </c>
      <c r="C923" s="162" t="s">
        <v>39</v>
      </c>
      <c r="D923" s="162" t="s">
        <v>19</v>
      </c>
      <c r="E923" s="231">
        <v>43617</v>
      </c>
      <c r="F923" s="162" t="s">
        <v>1229</v>
      </c>
      <c r="G923" s="231">
        <v>44806</v>
      </c>
      <c r="H923" s="198">
        <f>SUMIF(VA!B:B,A923,VA!I:I)</f>
        <v>359.46</v>
      </c>
      <c r="I923" s="32">
        <f>SUMIF(VR!B:B,A923,VR!I:I)</f>
        <v>657.5</v>
      </c>
      <c r="J923" s="4">
        <f t="shared" si="14"/>
        <v>1016.96</v>
      </c>
      <c r="K923" s="179">
        <f>SUMIF(FALTAS!A:A,A923,FALTAS!D:D)</f>
        <v>0</v>
      </c>
    </row>
    <row r="924" spans="1:11" x14ac:dyDescent="0.25">
      <c r="A924" s="235">
        <v>112699</v>
      </c>
      <c r="B924" s="162" t="s">
        <v>350</v>
      </c>
      <c r="C924" s="162" t="s">
        <v>2</v>
      </c>
      <c r="D924" s="162" t="s">
        <v>0</v>
      </c>
      <c r="E924" s="231">
        <v>43617</v>
      </c>
      <c r="F924" s="162" t="s">
        <v>1229</v>
      </c>
      <c r="G924" s="231">
        <v>45119</v>
      </c>
      <c r="H924" s="198">
        <f>SUMIF(VA!B:B,A924,VA!I:I)</f>
        <v>359.46</v>
      </c>
      <c r="I924" s="32">
        <f>SUMIF(VR!B:B,A924,VR!I:I)</f>
        <v>657.5</v>
      </c>
      <c r="J924" s="4">
        <f t="shared" si="14"/>
        <v>1016.96</v>
      </c>
      <c r="K924" s="179">
        <f>SUMIF(FALTAS!A:A,A924,FALTAS!D:D)</f>
        <v>0</v>
      </c>
    </row>
    <row r="925" spans="1:11" x14ac:dyDescent="0.25">
      <c r="A925" s="235">
        <v>119922</v>
      </c>
      <c r="B925" s="162" t="s">
        <v>1479</v>
      </c>
      <c r="C925" s="162" t="s">
        <v>5</v>
      </c>
      <c r="D925" s="162" t="s">
        <v>1578</v>
      </c>
      <c r="E925" s="231">
        <v>44760</v>
      </c>
      <c r="F925" s="162" t="s">
        <v>1229</v>
      </c>
      <c r="G925" s="231">
        <v>45177</v>
      </c>
      <c r="H925" s="198">
        <f>SUMIF(VA!B:B,A925,VA!I:I)</f>
        <v>359.46</v>
      </c>
      <c r="I925" s="32">
        <f>SUMIF(VR!B:B,A925,VR!I:I)</f>
        <v>657.5</v>
      </c>
      <c r="J925" s="4">
        <f t="shared" si="14"/>
        <v>1016.96</v>
      </c>
      <c r="K925" s="179">
        <f>SUMIF(FALTAS!A:A,A925,FALTAS!D:D)</f>
        <v>0</v>
      </c>
    </row>
    <row r="926" spans="1:11" x14ac:dyDescent="0.25">
      <c r="A926" s="235">
        <v>118060</v>
      </c>
      <c r="B926" s="162" t="s">
        <v>1403</v>
      </c>
      <c r="C926" s="162" t="s">
        <v>5</v>
      </c>
      <c r="D926" s="162" t="s">
        <v>0</v>
      </c>
      <c r="E926" s="231">
        <v>44567</v>
      </c>
      <c r="F926" s="162" t="s">
        <v>1229</v>
      </c>
      <c r="G926" s="231">
        <v>45171</v>
      </c>
      <c r="H926" s="198">
        <f>SUMIF(VA!B:B,A926,VA!I:I)</f>
        <v>359.46</v>
      </c>
      <c r="I926" s="32">
        <f>SUMIF(VR!B:B,A926,VR!I:I)</f>
        <v>657.5</v>
      </c>
      <c r="J926" s="4">
        <f t="shared" si="14"/>
        <v>1016.96</v>
      </c>
      <c r="K926" s="179">
        <f>SUMIF(FALTAS!A:A,A926,FALTAS!D:D)</f>
        <v>0</v>
      </c>
    </row>
    <row r="927" spans="1:11" x14ac:dyDescent="0.25">
      <c r="A927" s="235">
        <v>112732</v>
      </c>
      <c r="B927" s="162" t="s">
        <v>371</v>
      </c>
      <c r="C927" s="162" t="s">
        <v>5</v>
      </c>
      <c r="D927" s="162" t="s">
        <v>0</v>
      </c>
      <c r="E927" s="231">
        <v>43617</v>
      </c>
      <c r="F927" s="162" t="s">
        <v>1229</v>
      </c>
      <c r="G927" s="231">
        <v>44960</v>
      </c>
      <c r="H927" s="198">
        <f>SUMIF(VA!B:B,A927,VA!I:I)</f>
        <v>359.46</v>
      </c>
      <c r="I927" s="32">
        <f>SUMIF(VR!B:B,A927,VR!I:I)</f>
        <v>657.5</v>
      </c>
      <c r="J927" s="4">
        <f t="shared" si="14"/>
        <v>1016.96</v>
      </c>
      <c r="K927" s="179">
        <f>SUMIF(FALTAS!A:A,A927,FALTAS!D:D)</f>
        <v>0</v>
      </c>
    </row>
    <row r="928" spans="1:11" x14ac:dyDescent="0.25">
      <c r="A928" s="235">
        <v>112748</v>
      </c>
      <c r="B928" s="162" t="s">
        <v>381</v>
      </c>
      <c r="C928" s="162" t="s">
        <v>5</v>
      </c>
      <c r="D928" s="162" t="s">
        <v>10</v>
      </c>
      <c r="E928" s="231">
        <v>43617</v>
      </c>
      <c r="F928" s="162" t="s">
        <v>1229</v>
      </c>
      <c r="G928" s="231">
        <v>45023</v>
      </c>
      <c r="H928" s="198">
        <f>SUMIF(VA!B:B,A928,VA!I:I)</f>
        <v>359.46</v>
      </c>
      <c r="I928" s="32">
        <f>SUMIF(VR!B:B,A928,VR!I:I)</f>
        <v>657.5</v>
      </c>
      <c r="J928" s="4">
        <f t="shared" si="14"/>
        <v>1016.96</v>
      </c>
      <c r="K928" s="179">
        <f>SUMIF(FALTAS!A:A,A928,FALTAS!D:D)</f>
        <v>0</v>
      </c>
    </row>
    <row r="929" spans="1:11" x14ac:dyDescent="0.25">
      <c r="A929" s="235">
        <v>112771</v>
      </c>
      <c r="B929" s="162" t="s">
        <v>396</v>
      </c>
      <c r="C929" s="162" t="s">
        <v>15</v>
      </c>
      <c r="D929" s="162" t="s">
        <v>1578</v>
      </c>
      <c r="E929" s="231">
        <v>43617</v>
      </c>
      <c r="F929" s="162" t="s">
        <v>1229</v>
      </c>
      <c r="G929" s="231">
        <v>44867</v>
      </c>
      <c r="H929" s="198">
        <f>SUMIF(VA!B:B,A929,VA!I:I)</f>
        <v>359.46</v>
      </c>
      <c r="I929" s="32">
        <f>SUMIF(VR!B:B,A929,VR!I:I)</f>
        <v>657.5</v>
      </c>
      <c r="J929" s="4">
        <f t="shared" si="14"/>
        <v>1016.96</v>
      </c>
      <c r="K929" s="179">
        <f>SUMIF(FALTAS!A:A,A929,FALTAS!D:D)</f>
        <v>0</v>
      </c>
    </row>
    <row r="930" spans="1:11" x14ac:dyDescent="0.25">
      <c r="A930" s="235">
        <v>112775</v>
      </c>
      <c r="B930" s="162" t="s">
        <v>399</v>
      </c>
      <c r="C930" s="162" t="s">
        <v>5</v>
      </c>
      <c r="D930" s="162" t="s">
        <v>0</v>
      </c>
      <c r="E930" s="231">
        <v>43617</v>
      </c>
      <c r="F930" s="162" t="s">
        <v>1229</v>
      </c>
      <c r="G930" s="231">
        <v>44867</v>
      </c>
      <c r="H930" s="198">
        <f>SUMIF(VA!B:B,A930,VA!I:I)</f>
        <v>359.46</v>
      </c>
      <c r="I930" s="32">
        <f>SUMIF(VR!B:B,A930,VR!I:I)</f>
        <v>657.5</v>
      </c>
      <c r="J930" s="4">
        <f t="shared" si="14"/>
        <v>1016.96</v>
      </c>
      <c r="K930" s="179">
        <f>SUMIF(FALTAS!A:A,A930,FALTAS!D:D)</f>
        <v>0</v>
      </c>
    </row>
    <row r="931" spans="1:11" x14ac:dyDescent="0.25">
      <c r="A931" s="235">
        <v>119242</v>
      </c>
      <c r="B931" s="162" t="s">
        <v>1448</v>
      </c>
      <c r="C931" s="162" t="s">
        <v>1449</v>
      </c>
      <c r="D931" s="162" t="s">
        <v>1580</v>
      </c>
      <c r="E931" s="231">
        <v>44658</v>
      </c>
      <c r="F931" s="162" t="s">
        <v>1230</v>
      </c>
      <c r="G931" s="231">
        <v>45180</v>
      </c>
      <c r="H931" s="198">
        <f>SUMIF(VA!B:B,A931,VA!I:I)</f>
        <v>359.46</v>
      </c>
      <c r="I931" s="32">
        <f>SUMIF(VR!B:B,A931,VR!I:I)</f>
        <v>657.5</v>
      </c>
      <c r="J931" s="4">
        <f t="shared" si="14"/>
        <v>1016.96</v>
      </c>
      <c r="K931" s="179">
        <f>SUMIF(FALTAS!A:A,A931,FALTAS!D:D)</f>
        <v>0</v>
      </c>
    </row>
    <row r="932" spans="1:11" x14ac:dyDescent="0.25">
      <c r="A932" s="235">
        <v>112781</v>
      </c>
      <c r="B932" s="162" t="s">
        <v>404</v>
      </c>
      <c r="C932" s="162" t="s">
        <v>39</v>
      </c>
      <c r="D932" s="162" t="s">
        <v>0</v>
      </c>
      <c r="E932" s="231">
        <v>43617</v>
      </c>
      <c r="F932" s="162" t="s">
        <v>1229</v>
      </c>
      <c r="G932" s="231">
        <v>45093</v>
      </c>
      <c r="H932" s="198">
        <f>SUMIF(VA!B:B,A932,VA!I:I)</f>
        <v>359.46</v>
      </c>
      <c r="I932" s="32">
        <f>SUMIF(VR!B:B,A932,VR!I:I)</f>
        <v>657.5</v>
      </c>
      <c r="J932" s="4">
        <f t="shared" si="14"/>
        <v>1016.96</v>
      </c>
      <c r="K932" s="179">
        <f>SUMIF(FALTAS!A:A,A932,FALTAS!D:D)</f>
        <v>0</v>
      </c>
    </row>
    <row r="933" spans="1:11" x14ac:dyDescent="0.25">
      <c r="A933" s="235">
        <v>122632</v>
      </c>
      <c r="B933" s="162" t="s">
        <v>1705</v>
      </c>
      <c r="C933" s="162" t="s">
        <v>15</v>
      </c>
      <c r="D933" s="162" t="s">
        <v>1578</v>
      </c>
      <c r="E933" s="231">
        <v>45145</v>
      </c>
      <c r="F933" s="162" t="s">
        <v>1229</v>
      </c>
      <c r="G933" s="231">
        <v>45145</v>
      </c>
      <c r="H933" s="198">
        <f>SUMIF(VA!B:B,A933,VA!I:I)</f>
        <v>359.46</v>
      </c>
      <c r="I933" s="32">
        <f>SUMIF(VR!B:B,A933,VR!I:I)</f>
        <v>657.5</v>
      </c>
      <c r="J933" s="4">
        <f t="shared" si="14"/>
        <v>1016.96</v>
      </c>
      <c r="K933" s="179">
        <f>SUMIF(FALTAS!A:A,A933,FALTAS!D:D)</f>
        <v>0</v>
      </c>
    </row>
    <row r="934" spans="1:11" x14ac:dyDescent="0.25">
      <c r="A934" s="235">
        <v>114527</v>
      </c>
      <c r="B934" s="162" t="s">
        <v>1048</v>
      </c>
      <c r="C934" s="162" t="s">
        <v>2</v>
      </c>
      <c r="D934" s="162" t="s">
        <v>0</v>
      </c>
      <c r="E934" s="231">
        <v>43813</v>
      </c>
      <c r="F934" s="162" t="s">
        <v>1229</v>
      </c>
      <c r="G934" s="231">
        <v>45149</v>
      </c>
      <c r="H934" s="198">
        <f>SUMIF(VA!B:B,A934,VA!I:I)</f>
        <v>359.46</v>
      </c>
      <c r="I934" s="32">
        <f>SUMIF(VR!B:B,A934,VR!I:I)</f>
        <v>657.5</v>
      </c>
      <c r="J934" s="4">
        <f t="shared" si="14"/>
        <v>1016.96</v>
      </c>
      <c r="K934" s="179">
        <f>SUMIF(FALTAS!A:A,A934,FALTAS!D:D)</f>
        <v>0</v>
      </c>
    </row>
    <row r="935" spans="1:11" x14ac:dyDescent="0.25">
      <c r="A935" s="235">
        <v>112803</v>
      </c>
      <c r="B935" s="162" t="s">
        <v>421</v>
      </c>
      <c r="C935" s="162" t="s">
        <v>2</v>
      </c>
      <c r="D935" s="162" t="s">
        <v>0</v>
      </c>
      <c r="E935" s="231">
        <v>43617</v>
      </c>
      <c r="F935" s="162" t="s">
        <v>1229</v>
      </c>
      <c r="G935" s="231">
        <v>44835</v>
      </c>
      <c r="H935" s="198">
        <f>SUMIF(VA!B:B,A935,VA!I:I)</f>
        <v>359.46</v>
      </c>
      <c r="I935" s="32">
        <f>SUMIF(VR!B:B,A935,VR!I:I)</f>
        <v>657.5</v>
      </c>
      <c r="J935" s="4">
        <f t="shared" si="14"/>
        <v>1016.96</v>
      </c>
      <c r="K935" s="179">
        <f>SUMIF(FALTAS!A:A,A935,FALTAS!D:D)</f>
        <v>0</v>
      </c>
    </row>
    <row r="936" spans="1:11" x14ac:dyDescent="0.25">
      <c r="A936" s="235">
        <v>112809</v>
      </c>
      <c r="B936" s="162" t="s">
        <v>425</v>
      </c>
      <c r="C936" s="162" t="s">
        <v>5</v>
      </c>
      <c r="D936" s="162" t="s">
        <v>8</v>
      </c>
      <c r="E936" s="231">
        <v>43621</v>
      </c>
      <c r="F936" s="162" t="s">
        <v>1229</v>
      </c>
      <c r="G936" s="231">
        <v>45023</v>
      </c>
      <c r="H936" s="198">
        <f>SUMIF(VA!B:B,A936,VA!I:I)</f>
        <v>359.46</v>
      </c>
      <c r="I936" s="32">
        <f>SUMIF(VR!B:B,A936,VR!I:I)</f>
        <v>657.5</v>
      </c>
      <c r="J936" s="4">
        <f t="shared" si="14"/>
        <v>1016.96</v>
      </c>
      <c r="K936" s="179">
        <f>SUMIF(FALTAS!A:A,A936,FALTAS!D:D)</f>
        <v>0</v>
      </c>
    </row>
    <row r="937" spans="1:11" x14ac:dyDescent="0.25">
      <c r="A937" s="235">
        <v>116980</v>
      </c>
      <c r="B937" s="162" t="s">
        <v>1241</v>
      </c>
      <c r="C937" s="162" t="s">
        <v>15</v>
      </c>
      <c r="D937" s="162" t="s">
        <v>1578</v>
      </c>
      <c r="E937" s="231">
        <v>44419</v>
      </c>
      <c r="F937" s="162" t="s">
        <v>1229</v>
      </c>
      <c r="G937" s="231">
        <v>44835</v>
      </c>
      <c r="H937" s="198">
        <f>SUMIF(VA!B:B,A937,VA!I:I)</f>
        <v>359.46</v>
      </c>
      <c r="I937" s="32">
        <f>SUMIF(VR!B:B,A937,VR!I:I)</f>
        <v>657.5</v>
      </c>
      <c r="J937" s="4">
        <f t="shared" si="14"/>
        <v>1016.96</v>
      </c>
      <c r="K937" s="179">
        <f>SUMIF(FALTAS!A:A,A937,FALTAS!D:D)</f>
        <v>0</v>
      </c>
    </row>
    <row r="938" spans="1:11" x14ac:dyDescent="0.25">
      <c r="A938" s="235">
        <v>121317</v>
      </c>
      <c r="B938" s="162" t="s">
        <v>1533</v>
      </c>
      <c r="C938" s="162" t="s">
        <v>5</v>
      </c>
      <c r="D938" s="162" t="s">
        <v>10</v>
      </c>
      <c r="E938" s="231">
        <v>44945</v>
      </c>
      <c r="F938" s="162" t="s">
        <v>1229</v>
      </c>
      <c r="G938" s="231">
        <v>44945</v>
      </c>
      <c r="H938" s="198">
        <f>SUMIF(VA!B:B,A938,VA!I:I)</f>
        <v>347.47</v>
      </c>
      <c r="I938" s="32">
        <f>SUMIF(VR!B:B,A938,VR!I:I)</f>
        <v>631.20000000000005</v>
      </c>
      <c r="J938" s="4">
        <f t="shared" si="14"/>
        <v>978.67000000000007</v>
      </c>
      <c r="K938" s="179">
        <f>SUMIF(FALTAS!A:A,A938,FALTAS!D:D)</f>
        <v>1</v>
      </c>
    </row>
    <row r="939" spans="1:11" x14ac:dyDescent="0.25">
      <c r="A939" s="235">
        <v>112813</v>
      </c>
      <c r="B939" s="162" t="s">
        <v>393</v>
      </c>
      <c r="C939" s="162" t="s">
        <v>5</v>
      </c>
      <c r="D939" s="162" t="s">
        <v>10</v>
      </c>
      <c r="E939" s="231">
        <v>43617</v>
      </c>
      <c r="F939" s="162" t="s">
        <v>1229</v>
      </c>
      <c r="G939" s="231">
        <v>44960</v>
      </c>
      <c r="H939" s="198">
        <f>SUMIF(VA!B:B,A939,VA!I:I)</f>
        <v>359.46</v>
      </c>
      <c r="I939" s="32">
        <f>SUMIF(VR!B:B,A939,VR!I:I)</f>
        <v>657.5</v>
      </c>
      <c r="J939" s="4">
        <f t="shared" si="14"/>
        <v>1016.96</v>
      </c>
      <c r="K939" s="179">
        <f>SUMIF(FALTAS!A:A,A939,FALTAS!D:D)</f>
        <v>0</v>
      </c>
    </row>
    <row r="940" spans="1:11" x14ac:dyDescent="0.25">
      <c r="A940" s="235">
        <v>112837</v>
      </c>
      <c r="B940" s="162" t="s">
        <v>445</v>
      </c>
      <c r="C940" s="162" t="s">
        <v>15</v>
      </c>
      <c r="D940" s="162" t="s">
        <v>1578</v>
      </c>
      <c r="E940" s="231">
        <v>43617</v>
      </c>
      <c r="F940" s="162" t="s">
        <v>1230</v>
      </c>
      <c r="G940" s="231">
        <v>45180</v>
      </c>
      <c r="H940" s="198">
        <f>SUMIF(VA!B:B,A940,VA!I:I)</f>
        <v>359.46</v>
      </c>
      <c r="I940" s="32">
        <f>SUMIF(VR!B:B,A940,VR!I:I)</f>
        <v>657.5</v>
      </c>
      <c r="J940" s="4">
        <f t="shared" si="14"/>
        <v>1016.96</v>
      </c>
      <c r="K940" s="179">
        <f>SUMIF(FALTAS!A:A,A940,FALTAS!D:D)</f>
        <v>0</v>
      </c>
    </row>
    <row r="941" spans="1:11" x14ac:dyDescent="0.25">
      <c r="A941" s="235">
        <v>122090</v>
      </c>
      <c r="B941" s="162" t="s">
        <v>1631</v>
      </c>
      <c r="C941" s="162" t="s">
        <v>5</v>
      </c>
      <c r="D941" s="162" t="s">
        <v>19</v>
      </c>
      <c r="E941" s="231">
        <v>45061</v>
      </c>
      <c r="F941" s="162" t="s">
        <v>1279</v>
      </c>
      <c r="G941" s="231">
        <v>45101</v>
      </c>
      <c r="H941" s="198">
        <f>SUMIF(VA!B:B,A941,VA!I:I)</f>
        <v>0</v>
      </c>
      <c r="I941" s="32">
        <f>SUMIF(VR!B:B,A941,VR!I:I)</f>
        <v>0</v>
      </c>
      <c r="J941" s="4">
        <f t="shared" si="14"/>
        <v>0</v>
      </c>
      <c r="K941" s="179">
        <f>SUMIF(FALTAS!A:A,A941,FALTAS!D:D)</f>
        <v>0</v>
      </c>
    </row>
    <row r="942" spans="1:11" x14ac:dyDescent="0.25">
      <c r="A942" s="235">
        <v>121687</v>
      </c>
      <c r="B942" s="162" t="s">
        <v>1589</v>
      </c>
      <c r="C942" s="162" t="s">
        <v>5</v>
      </c>
      <c r="D942" s="162" t="s">
        <v>10</v>
      </c>
      <c r="E942" s="231">
        <v>44994</v>
      </c>
      <c r="F942" s="162" t="s">
        <v>1229</v>
      </c>
      <c r="G942" s="231">
        <v>44994</v>
      </c>
      <c r="H942" s="198">
        <f>SUMIF(VA!B:B,A942,VA!I:I)</f>
        <v>359.46</v>
      </c>
      <c r="I942" s="32">
        <f>SUMIF(VR!B:B,A942,VR!I:I)</f>
        <v>657.5</v>
      </c>
      <c r="J942" s="4">
        <f t="shared" si="14"/>
        <v>1016.96</v>
      </c>
      <c r="K942" s="179">
        <f>SUMIF(FALTAS!A:A,A942,FALTAS!D:D)</f>
        <v>0</v>
      </c>
    </row>
    <row r="943" spans="1:11" x14ac:dyDescent="0.25">
      <c r="A943" s="235">
        <v>112892</v>
      </c>
      <c r="B943" s="162" t="s">
        <v>479</v>
      </c>
      <c r="C943" s="162" t="s">
        <v>377</v>
      </c>
      <c r="D943" s="162" t="s">
        <v>1578</v>
      </c>
      <c r="E943" s="231">
        <v>43617</v>
      </c>
      <c r="F943" s="162" t="s">
        <v>1230</v>
      </c>
      <c r="G943" s="231">
        <v>45180</v>
      </c>
      <c r="H943" s="198">
        <f>SUMIF(VA!B:B,A943,VA!I:I)</f>
        <v>359.46</v>
      </c>
      <c r="I943" s="32">
        <f>SUMIF(VR!B:B,A943,VR!I:I)</f>
        <v>657.5</v>
      </c>
      <c r="J943" s="4">
        <f t="shared" si="14"/>
        <v>1016.96</v>
      </c>
      <c r="K943" s="179">
        <f>SUMIF(FALTAS!A:A,A943,FALTAS!D:D)</f>
        <v>0</v>
      </c>
    </row>
    <row r="944" spans="1:11" x14ac:dyDescent="0.25">
      <c r="A944" s="235">
        <v>112897</v>
      </c>
      <c r="B944" s="162" t="s">
        <v>484</v>
      </c>
      <c r="C944" s="162" t="s">
        <v>2</v>
      </c>
      <c r="D944" s="162" t="s">
        <v>8</v>
      </c>
      <c r="E944" s="231">
        <v>43617</v>
      </c>
      <c r="F944" s="162" t="s">
        <v>1229</v>
      </c>
      <c r="G944" s="231">
        <v>45177</v>
      </c>
      <c r="H944" s="198">
        <f>SUMIF(VA!B:B,A944,VA!I:I)</f>
        <v>359.46</v>
      </c>
      <c r="I944" s="32">
        <f>SUMIF(VR!B:B,A944,VR!I:I)</f>
        <v>657.5</v>
      </c>
      <c r="J944" s="4">
        <f t="shared" si="14"/>
        <v>1016.96</v>
      </c>
      <c r="K944" s="179">
        <f>SUMIF(FALTAS!A:A,A944,FALTAS!D:D)</f>
        <v>0</v>
      </c>
    </row>
    <row r="945" spans="1:11" x14ac:dyDescent="0.25">
      <c r="A945" s="235">
        <v>112902</v>
      </c>
      <c r="B945" s="162" t="s">
        <v>487</v>
      </c>
      <c r="C945" s="162" t="s">
        <v>5</v>
      </c>
      <c r="D945" s="162" t="s">
        <v>8</v>
      </c>
      <c r="E945" s="231">
        <v>43617</v>
      </c>
      <c r="F945" s="162" t="s">
        <v>1229</v>
      </c>
      <c r="G945" s="231">
        <v>44924</v>
      </c>
      <c r="H945" s="198">
        <f>SUMIF(VA!B:B,A945,VA!I:I)</f>
        <v>359.46</v>
      </c>
      <c r="I945" s="32">
        <f>SUMIF(VR!B:B,A945,VR!I:I)</f>
        <v>657.5</v>
      </c>
      <c r="J945" s="4">
        <f t="shared" si="14"/>
        <v>1016.96</v>
      </c>
      <c r="K945" s="179">
        <f>SUMIF(FALTAS!A:A,A945,FALTAS!D:D)</f>
        <v>0</v>
      </c>
    </row>
    <row r="946" spans="1:11" x14ac:dyDescent="0.25">
      <c r="A946" s="235">
        <v>121955</v>
      </c>
      <c r="B946" s="162" t="s">
        <v>1613</v>
      </c>
      <c r="C946" s="162" t="s">
        <v>5</v>
      </c>
      <c r="D946" s="162" t="s">
        <v>8</v>
      </c>
      <c r="E946" s="231">
        <v>45040</v>
      </c>
      <c r="F946" s="162" t="s">
        <v>1229</v>
      </c>
      <c r="G946" s="231">
        <v>45040</v>
      </c>
      <c r="H946" s="198">
        <f>SUMIF(VA!B:B,A946,VA!I:I)</f>
        <v>359.46</v>
      </c>
      <c r="I946" s="32">
        <f>SUMIF(VR!B:B,A946,VR!I:I)</f>
        <v>657.5</v>
      </c>
      <c r="J946" s="4">
        <f t="shared" si="14"/>
        <v>1016.96</v>
      </c>
      <c r="K946" s="179">
        <f>SUMIF(FALTAS!A:A,A946,FALTAS!D:D)</f>
        <v>0</v>
      </c>
    </row>
    <row r="947" spans="1:11" x14ac:dyDescent="0.25">
      <c r="A947" s="235">
        <v>112906</v>
      </c>
      <c r="B947" s="162" t="s">
        <v>1564</v>
      </c>
      <c r="C947" s="162" t="s">
        <v>2</v>
      </c>
      <c r="D947" s="162" t="s">
        <v>0</v>
      </c>
      <c r="E947" s="231">
        <v>43617</v>
      </c>
      <c r="F947" s="162" t="s">
        <v>1229</v>
      </c>
      <c r="G947" s="231">
        <v>45056</v>
      </c>
      <c r="H947" s="198">
        <f>SUMIF(VA!B:B,A947,VA!I:I)</f>
        <v>359.46</v>
      </c>
      <c r="I947" s="32">
        <f>SUMIF(VR!B:B,A947,VR!I:I)</f>
        <v>657.5</v>
      </c>
      <c r="J947" s="4">
        <f t="shared" si="14"/>
        <v>1016.96</v>
      </c>
      <c r="K947" s="179">
        <f>SUMIF(FALTAS!A:A,A947,FALTAS!D:D)</f>
        <v>0</v>
      </c>
    </row>
    <row r="948" spans="1:11" x14ac:dyDescent="0.25">
      <c r="A948" s="235">
        <v>112920</v>
      </c>
      <c r="B948" s="162" t="s">
        <v>497</v>
      </c>
      <c r="C948" s="162" t="s">
        <v>15</v>
      </c>
      <c r="D948" s="162" t="s">
        <v>1578</v>
      </c>
      <c r="E948" s="231">
        <v>43627</v>
      </c>
      <c r="F948" s="162" t="s">
        <v>1229</v>
      </c>
      <c r="G948" s="231">
        <v>44960</v>
      </c>
      <c r="H948" s="198">
        <f>SUMIF(VA!B:B,A948,VA!I:I)</f>
        <v>359.46</v>
      </c>
      <c r="I948" s="32">
        <f>SUMIF(VR!B:B,A948,VR!I:I)</f>
        <v>657.5</v>
      </c>
      <c r="J948" s="4">
        <f t="shared" si="14"/>
        <v>1016.96</v>
      </c>
      <c r="K948" s="179">
        <f>SUMIF(FALTAS!A:A,A948,FALTAS!D:D)</f>
        <v>0</v>
      </c>
    </row>
    <row r="949" spans="1:11" x14ac:dyDescent="0.25">
      <c r="A949" s="235">
        <v>112975</v>
      </c>
      <c r="B949" s="162" t="s">
        <v>527</v>
      </c>
      <c r="C949" s="162" t="s">
        <v>415</v>
      </c>
      <c r="D949" s="162" t="s">
        <v>1578</v>
      </c>
      <c r="E949" s="231">
        <v>43617</v>
      </c>
      <c r="F949" s="162" t="s">
        <v>1229</v>
      </c>
      <c r="G949" s="231">
        <v>44945</v>
      </c>
      <c r="H949" s="198">
        <f>SUMIF(VA!B:B,A949,VA!I:I)</f>
        <v>359.46</v>
      </c>
      <c r="I949" s="32">
        <f>SUMIF(VR!B:B,A949,VR!I:I)</f>
        <v>657.5</v>
      </c>
      <c r="J949" s="4">
        <f t="shared" si="14"/>
        <v>1016.96</v>
      </c>
      <c r="K949" s="179">
        <f>SUMIF(FALTAS!A:A,A949,FALTAS!D:D)</f>
        <v>0</v>
      </c>
    </row>
    <row r="950" spans="1:11" x14ac:dyDescent="0.25">
      <c r="A950" s="235">
        <v>122235</v>
      </c>
      <c r="B950" s="162" t="s">
        <v>1656</v>
      </c>
      <c r="C950" s="162" t="s">
        <v>15</v>
      </c>
      <c r="D950" s="162" t="s">
        <v>1578</v>
      </c>
      <c r="E950" s="231">
        <v>45089</v>
      </c>
      <c r="F950" s="162" t="s">
        <v>1229</v>
      </c>
      <c r="G950" s="231">
        <v>45089</v>
      </c>
      <c r="H950" s="198">
        <f>SUMIF(VA!B:B,A950,VA!I:I)</f>
        <v>359.46</v>
      </c>
      <c r="I950" s="32">
        <f>SUMIF(VR!B:B,A950,VR!I:I)</f>
        <v>657.5</v>
      </c>
      <c r="J950" s="4">
        <f t="shared" si="14"/>
        <v>1016.96</v>
      </c>
      <c r="K950" s="179">
        <f>SUMIF(FALTAS!A:A,A950,FALTAS!D:D)</f>
        <v>0</v>
      </c>
    </row>
    <row r="951" spans="1:11" x14ac:dyDescent="0.25">
      <c r="A951" s="235">
        <v>112996</v>
      </c>
      <c r="B951" s="162" t="s">
        <v>537</v>
      </c>
      <c r="C951" s="162" t="s">
        <v>2</v>
      </c>
      <c r="D951" s="162" t="s">
        <v>8</v>
      </c>
      <c r="E951" s="231">
        <v>43617</v>
      </c>
      <c r="F951" s="162" t="s">
        <v>1229</v>
      </c>
      <c r="G951" s="231">
        <v>45056</v>
      </c>
      <c r="H951" s="198">
        <f>SUMIF(VA!B:B,A951,VA!I:I)</f>
        <v>359.46</v>
      </c>
      <c r="I951" s="32">
        <f>SUMIF(VR!B:B,A951,VR!I:I)</f>
        <v>657.5</v>
      </c>
      <c r="J951" s="4">
        <f t="shared" si="14"/>
        <v>1016.96</v>
      </c>
      <c r="K951" s="179">
        <f>SUMIF(FALTAS!A:A,A951,FALTAS!D:D)</f>
        <v>0</v>
      </c>
    </row>
    <row r="952" spans="1:11" x14ac:dyDescent="0.25">
      <c r="A952" s="235">
        <v>113002</v>
      </c>
      <c r="B952" s="162" t="s">
        <v>539</v>
      </c>
      <c r="C952" s="162" t="s">
        <v>2</v>
      </c>
      <c r="D952" s="162" t="s">
        <v>0</v>
      </c>
      <c r="E952" s="231">
        <v>43617</v>
      </c>
      <c r="F952" s="162" t="s">
        <v>1229</v>
      </c>
      <c r="G952" s="231">
        <v>44867</v>
      </c>
      <c r="H952" s="198">
        <f>SUMIF(VA!B:B,A952,VA!I:I)</f>
        <v>359.46</v>
      </c>
      <c r="I952" s="32">
        <f>SUMIF(VR!B:B,A952,VR!I:I)</f>
        <v>657.5</v>
      </c>
      <c r="J952" s="4">
        <f t="shared" si="14"/>
        <v>1016.96</v>
      </c>
      <c r="K952" s="179">
        <f>SUMIF(FALTAS!A:A,A952,FALTAS!D:D)</f>
        <v>0</v>
      </c>
    </row>
    <row r="953" spans="1:11" x14ac:dyDescent="0.25">
      <c r="A953" s="235">
        <v>119924</v>
      </c>
      <c r="B953" s="162" t="s">
        <v>1480</v>
      </c>
      <c r="C953" s="162" t="s">
        <v>5</v>
      </c>
      <c r="D953" s="162" t="s">
        <v>1578</v>
      </c>
      <c r="E953" s="231">
        <v>44760</v>
      </c>
      <c r="F953" s="162" t="s">
        <v>1229</v>
      </c>
      <c r="G953" s="231">
        <v>44760</v>
      </c>
      <c r="H953" s="198">
        <f>SUMIF(VA!B:B,A953,VA!I:I)</f>
        <v>359.46</v>
      </c>
      <c r="I953" s="32">
        <f>SUMIF(VR!B:B,A953,VR!I:I)</f>
        <v>657.5</v>
      </c>
      <c r="J953" s="4">
        <f t="shared" si="14"/>
        <v>1016.96</v>
      </c>
      <c r="K953" s="179">
        <f>SUMIF(FALTAS!A:A,A953,FALTAS!D:D)</f>
        <v>0</v>
      </c>
    </row>
    <row r="954" spans="1:11" x14ac:dyDescent="0.25">
      <c r="A954" s="235">
        <v>113024</v>
      </c>
      <c r="B954" s="162" t="s">
        <v>546</v>
      </c>
      <c r="C954" s="162" t="s">
        <v>39</v>
      </c>
      <c r="D954" s="162" t="s">
        <v>0</v>
      </c>
      <c r="E954" s="231">
        <v>43617</v>
      </c>
      <c r="F954" s="162" t="s">
        <v>1230</v>
      </c>
      <c r="G954" s="231">
        <v>45180</v>
      </c>
      <c r="H954" s="198">
        <f>SUMIF(VA!B:B,A954,VA!I:I)</f>
        <v>359.46</v>
      </c>
      <c r="I954" s="32">
        <f>SUMIF(VR!B:B,A954,VR!I:I)</f>
        <v>657.5</v>
      </c>
      <c r="J954" s="4">
        <f t="shared" si="14"/>
        <v>1016.96</v>
      </c>
      <c r="K954" s="179">
        <f>SUMIF(FALTAS!A:A,A954,FALTAS!D:D)</f>
        <v>0</v>
      </c>
    </row>
    <row r="955" spans="1:11" x14ac:dyDescent="0.25">
      <c r="A955" s="235">
        <v>113033</v>
      </c>
      <c r="B955" s="162" t="s">
        <v>551</v>
      </c>
      <c r="C955" s="162" t="s">
        <v>15</v>
      </c>
      <c r="D955" s="162" t="s">
        <v>1578</v>
      </c>
      <c r="E955" s="231">
        <v>43617</v>
      </c>
      <c r="F955" s="162" t="s">
        <v>1230</v>
      </c>
      <c r="G955" s="231">
        <v>45180</v>
      </c>
      <c r="H955" s="198">
        <f>SUMIF(VA!B:B,A955,VA!I:I)</f>
        <v>359.46</v>
      </c>
      <c r="I955" s="32">
        <f>SUMIF(VR!B:B,A955,VR!I:I)</f>
        <v>657.5</v>
      </c>
      <c r="J955" s="4">
        <f t="shared" si="14"/>
        <v>1016.96</v>
      </c>
      <c r="K955" s="179">
        <f>SUMIF(FALTAS!A:A,A955,FALTAS!D:D)</f>
        <v>0</v>
      </c>
    </row>
    <row r="956" spans="1:11" x14ac:dyDescent="0.25">
      <c r="A956" s="235">
        <v>116006</v>
      </c>
      <c r="B956" s="162" t="s">
        <v>1169</v>
      </c>
      <c r="C956" s="162" t="s">
        <v>5</v>
      </c>
      <c r="D956" s="162" t="s">
        <v>0</v>
      </c>
      <c r="E956" s="231">
        <v>44207</v>
      </c>
      <c r="F956" s="162" t="s">
        <v>1229</v>
      </c>
      <c r="G956" s="231">
        <v>45177</v>
      </c>
      <c r="H956" s="198">
        <f>SUMIF(VA!B:B,A956,VA!I:I)</f>
        <v>359.46</v>
      </c>
      <c r="I956" s="32">
        <f>SUMIF(VR!B:B,A956,VR!I:I)</f>
        <v>657.5</v>
      </c>
      <c r="J956" s="4">
        <f t="shared" si="14"/>
        <v>1016.96</v>
      </c>
      <c r="K956" s="179">
        <f>SUMIF(FALTAS!A:A,A956,FALTAS!D:D)</f>
        <v>0</v>
      </c>
    </row>
    <row r="957" spans="1:11" x14ac:dyDescent="0.25">
      <c r="A957" s="235">
        <v>113042</v>
      </c>
      <c r="B957" s="162" t="s">
        <v>556</v>
      </c>
      <c r="C957" s="162" t="s">
        <v>5</v>
      </c>
      <c r="D957" s="162" t="s">
        <v>0</v>
      </c>
      <c r="E957" s="231">
        <v>43617</v>
      </c>
      <c r="F957" s="162" t="s">
        <v>1229</v>
      </c>
      <c r="G957" s="231">
        <v>45056</v>
      </c>
      <c r="H957" s="198">
        <f>SUMIF(VA!B:B,A957,VA!I:I)</f>
        <v>359.46</v>
      </c>
      <c r="I957" s="32">
        <f>SUMIF(VR!B:B,A957,VR!I:I)</f>
        <v>657.5</v>
      </c>
      <c r="J957" s="4">
        <f t="shared" si="14"/>
        <v>1016.96</v>
      </c>
      <c r="K957" s="179">
        <f>SUMIF(FALTAS!A:A,A957,FALTAS!D:D)</f>
        <v>0</v>
      </c>
    </row>
    <row r="958" spans="1:11" x14ac:dyDescent="0.25">
      <c r="A958" s="235">
        <v>117247</v>
      </c>
      <c r="B958" s="162" t="s">
        <v>1259</v>
      </c>
      <c r="C958" s="162" t="s">
        <v>182</v>
      </c>
      <c r="D958" s="162" t="s">
        <v>10</v>
      </c>
      <c r="E958" s="231">
        <v>44487</v>
      </c>
      <c r="F958" s="162" t="s">
        <v>1229</v>
      </c>
      <c r="G958" s="231">
        <v>45177</v>
      </c>
      <c r="H958" s="198">
        <f>SUMIF(VA!B:B,A958,VA!I:I)</f>
        <v>359.46</v>
      </c>
      <c r="I958" s="32">
        <f>SUMIF(VR!B:B,A958,VR!I:I)</f>
        <v>657.5</v>
      </c>
      <c r="J958" s="4">
        <f t="shared" si="14"/>
        <v>1016.96</v>
      </c>
      <c r="K958" s="179">
        <f>SUMIF(FALTAS!A:A,A958,FALTAS!D:D)</f>
        <v>0</v>
      </c>
    </row>
    <row r="959" spans="1:11" x14ac:dyDescent="0.25">
      <c r="A959" s="235">
        <v>116321</v>
      </c>
      <c r="B959" s="162" t="s">
        <v>1202</v>
      </c>
      <c r="C959" s="162" t="s">
        <v>5</v>
      </c>
      <c r="D959" s="162" t="s">
        <v>0</v>
      </c>
      <c r="E959" s="231">
        <v>44308</v>
      </c>
      <c r="F959" s="162" t="s">
        <v>1229</v>
      </c>
      <c r="G959" s="231">
        <v>44987</v>
      </c>
      <c r="H959" s="198">
        <f>SUMIF(VA!B:B,A959,VA!I:I)</f>
        <v>359.46</v>
      </c>
      <c r="I959" s="32">
        <f>SUMIF(VR!B:B,A959,VR!I:I)</f>
        <v>657.5</v>
      </c>
      <c r="J959" s="4">
        <f t="shared" si="14"/>
        <v>1016.96</v>
      </c>
      <c r="K959" s="179">
        <f>SUMIF(FALTAS!A:A,A959,FALTAS!D:D)</f>
        <v>0</v>
      </c>
    </row>
    <row r="960" spans="1:11" x14ac:dyDescent="0.25">
      <c r="A960" s="235">
        <v>113055</v>
      </c>
      <c r="B960" s="162" t="s">
        <v>561</v>
      </c>
      <c r="C960" s="162" t="s">
        <v>2</v>
      </c>
      <c r="D960" s="162" t="s">
        <v>19</v>
      </c>
      <c r="E960" s="231">
        <v>43617</v>
      </c>
      <c r="F960" s="162" t="s">
        <v>1229</v>
      </c>
      <c r="G960" s="231">
        <v>45023</v>
      </c>
      <c r="H960" s="198">
        <f>SUMIF(VA!B:B,A960,VA!I:I)</f>
        <v>359.46</v>
      </c>
      <c r="I960" s="32">
        <f>SUMIF(VR!B:B,A960,VR!I:I)</f>
        <v>657.5</v>
      </c>
      <c r="J960" s="4">
        <f t="shared" si="14"/>
        <v>1016.96</v>
      </c>
      <c r="K960" s="179">
        <f>SUMIF(FALTAS!A:A,A960,FALTAS!D:D)</f>
        <v>0</v>
      </c>
    </row>
    <row r="961" spans="1:11" x14ac:dyDescent="0.25">
      <c r="A961" s="235">
        <v>113073</v>
      </c>
      <c r="B961" s="162" t="s">
        <v>570</v>
      </c>
      <c r="C961" s="162" t="s">
        <v>2</v>
      </c>
      <c r="D961" s="162" t="s">
        <v>0</v>
      </c>
      <c r="E961" s="231">
        <v>43617</v>
      </c>
      <c r="F961" s="162" t="s">
        <v>1229</v>
      </c>
      <c r="G961" s="231">
        <v>44867</v>
      </c>
      <c r="H961" s="198">
        <f>SUMIF(VA!B:B,A961,VA!I:I)</f>
        <v>359.46</v>
      </c>
      <c r="I961" s="32">
        <f>SUMIF(VR!B:B,A961,VR!I:I)</f>
        <v>657.5</v>
      </c>
      <c r="J961" s="4">
        <f t="shared" ref="J961:J1024" si="15">H961+I961</f>
        <v>1016.96</v>
      </c>
      <c r="K961" s="179">
        <f>SUMIF(FALTAS!A:A,A961,FALTAS!D:D)</f>
        <v>0</v>
      </c>
    </row>
    <row r="962" spans="1:11" x14ac:dyDescent="0.25">
      <c r="A962" s="235">
        <v>121855</v>
      </c>
      <c r="B962" s="162" t="s">
        <v>1614</v>
      </c>
      <c r="C962" s="162" t="s">
        <v>5</v>
      </c>
      <c r="D962" s="162" t="s">
        <v>10</v>
      </c>
      <c r="E962" s="231">
        <v>45022</v>
      </c>
      <c r="F962" s="162" t="s">
        <v>1229</v>
      </c>
      <c r="G962" s="231">
        <v>45022</v>
      </c>
      <c r="H962" s="198">
        <f>SUMIF(VA!B:B,A962,VA!I:I)</f>
        <v>359.46</v>
      </c>
      <c r="I962" s="32">
        <f>SUMIF(VR!B:B,A962,VR!I:I)</f>
        <v>657.5</v>
      </c>
      <c r="J962" s="4">
        <f t="shared" si="15"/>
        <v>1016.96</v>
      </c>
      <c r="K962" s="179">
        <f>SUMIF(FALTAS!A:A,A962,FALTAS!D:D)</f>
        <v>0</v>
      </c>
    </row>
    <row r="963" spans="1:11" x14ac:dyDescent="0.25">
      <c r="A963" s="235">
        <v>113095</v>
      </c>
      <c r="B963" s="162" t="s">
        <v>583</v>
      </c>
      <c r="C963" s="162" t="s">
        <v>146</v>
      </c>
      <c r="D963" s="162" t="s">
        <v>10</v>
      </c>
      <c r="E963" s="231">
        <v>43617</v>
      </c>
      <c r="F963" s="162" t="s">
        <v>1229</v>
      </c>
      <c r="G963" s="231">
        <v>44835</v>
      </c>
      <c r="H963" s="198">
        <f>SUMIF(VA!B:B,A963,VA!I:I)</f>
        <v>359.46</v>
      </c>
      <c r="I963" s="32">
        <f>SUMIF(VR!B:B,A963,VR!I:I)</f>
        <v>657.5</v>
      </c>
      <c r="J963" s="4">
        <f t="shared" si="15"/>
        <v>1016.96</v>
      </c>
      <c r="K963" s="179">
        <f>SUMIF(FALTAS!A:A,A963,FALTAS!D:D)</f>
        <v>0</v>
      </c>
    </row>
    <row r="964" spans="1:11" x14ac:dyDescent="0.25">
      <c r="A964" s="235">
        <v>113101</v>
      </c>
      <c r="B964" s="162" t="s">
        <v>585</v>
      </c>
      <c r="C964" s="162" t="s">
        <v>5</v>
      </c>
      <c r="D964" s="162" t="s">
        <v>8</v>
      </c>
      <c r="E964" s="231">
        <v>43617</v>
      </c>
      <c r="F964" s="162" t="s">
        <v>1229</v>
      </c>
      <c r="G964" s="231">
        <v>44930</v>
      </c>
      <c r="H964" s="198">
        <f>SUMIF(VA!B:B,A964,VA!I:I)</f>
        <v>359.46</v>
      </c>
      <c r="I964" s="32">
        <f>SUMIF(VR!B:B,A964,VR!I:I)</f>
        <v>657.5</v>
      </c>
      <c r="J964" s="4">
        <f t="shared" si="15"/>
        <v>1016.96</v>
      </c>
      <c r="K964" s="179">
        <f>SUMIF(FALTAS!A:A,A964,FALTAS!D:D)</f>
        <v>0</v>
      </c>
    </row>
    <row r="965" spans="1:11" x14ac:dyDescent="0.25">
      <c r="A965" s="235">
        <v>113106</v>
      </c>
      <c r="B965" s="162" t="s">
        <v>85</v>
      </c>
      <c r="C965" s="162" t="s">
        <v>2</v>
      </c>
      <c r="D965" s="162" t="s">
        <v>0</v>
      </c>
      <c r="E965" s="231">
        <v>43617</v>
      </c>
      <c r="F965" s="162" t="s">
        <v>1229</v>
      </c>
      <c r="G965" s="231">
        <v>45177</v>
      </c>
      <c r="H965" s="198">
        <f>SUMIF(VA!B:B,A965,VA!I:I)</f>
        <v>359.46</v>
      </c>
      <c r="I965" s="32">
        <f>SUMIF(VR!B:B,A965,VR!I:I)</f>
        <v>657.5</v>
      </c>
      <c r="J965" s="4">
        <f t="shared" si="15"/>
        <v>1016.96</v>
      </c>
      <c r="K965" s="179">
        <f>SUMIF(FALTAS!A:A,A965,FALTAS!D:D)</f>
        <v>0</v>
      </c>
    </row>
    <row r="966" spans="1:11" x14ac:dyDescent="0.25">
      <c r="A966" s="235">
        <v>113110</v>
      </c>
      <c r="B966" s="162" t="s">
        <v>589</v>
      </c>
      <c r="C966" s="162" t="s">
        <v>2</v>
      </c>
      <c r="D966" s="162" t="s">
        <v>8</v>
      </c>
      <c r="E966" s="231">
        <v>43617</v>
      </c>
      <c r="F966" s="162" t="s">
        <v>1229</v>
      </c>
      <c r="G966" s="231">
        <v>45056</v>
      </c>
      <c r="H966" s="198">
        <f>SUMIF(VA!B:B,A966,VA!I:I)</f>
        <v>359.46</v>
      </c>
      <c r="I966" s="32">
        <f>SUMIF(VR!B:B,A966,VR!I:I)</f>
        <v>657.5</v>
      </c>
      <c r="J966" s="4">
        <f t="shared" si="15"/>
        <v>1016.96</v>
      </c>
      <c r="K966" s="179">
        <f>SUMIF(FALTAS!A:A,A966,FALTAS!D:D)</f>
        <v>0</v>
      </c>
    </row>
    <row r="967" spans="1:11" x14ac:dyDescent="0.25">
      <c r="A967" s="235">
        <v>113116</v>
      </c>
      <c r="B967" s="162" t="s">
        <v>592</v>
      </c>
      <c r="C967" s="162" t="s">
        <v>2</v>
      </c>
      <c r="D967" s="162" t="s">
        <v>10</v>
      </c>
      <c r="E967" s="231">
        <v>43617</v>
      </c>
      <c r="F967" s="162" t="s">
        <v>1229</v>
      </c>
      <c r="G967" s="231">
        <v>45056</v>
      </c>
      <c r="H967" s="198">
        <f>SUMIF(VA!B:B,A967,VA!I:I)</f>
        <v>359.46</v>
      </c>
      <c r="I967" s="32">
        <f>SUMIF(VR!B:B,A967,VR!I:I)</f>
        <v>657.5</v>
      </c>
      <c r="J967" s="4">
        <f t="shared" si="15"/>
        <v>1016.96</v>
      </c>
      <c r="K967" s="179">
        <f>SUMIF(FALTAS!A:A,A967,FALTAS!D:D)</f>
        <v>0</v>
      </c>
    </row>
    <row r="968" spans="1:11" x14ac:dyDescent="0.25">
      <c r="A968" s="235">
        <v>113122</v>
      </c>
      <c r="B968" s="162" t="s">
        <v>1515</v>
      </c>
      <c r="C968" s="162" t="s">
        <v>2</v>
      </c>
      <c r="D968" s="162" t="s">
        <v>0</v>
      </c>
      <c r="E968" s="231">
        <v>43617</v>
      </c>
      <c r="F968" s="162" t="s">
        <v>1229</v>
      </c>
      <c r="G968" s="231">
        <v>45068</v>
      </c>
      <c r="H968" s="198">
        <f>SUMIF(VA!B:B,A968,VA!I:I)</f>
        <v>359.46</v>
      </c>
      <c r="I968" s="32">
        <f>SUMIF(VR!B:B,A968,VR!I:I)</f>
        <v>657.5</v>
      </c>
      <c r="J968" s="4">
        <f t="shared" si="15"/>
        <v>1016.96</v>
      </c>
      <c r="K968" s="179">
        <f>SUMIF(FALTAS!A:A,A968,FALTAS!D:D)</f>
        <v>0</v>
      </c>
    </row>
    <row r="969" spans="1:11" x14ac:dyDescent="0.25">
      <c r="A969" s="235">
        <v>113127</v>
      </c>
      <c r="B969" s="162" t="s">
        <v>1261</v>
      </c>
      <c r="C969" s="162" t="s">
        <v>2</v>
      </c>
      <c r="D969" s="162" t="s">
        <v>10</v>
      </c>
      <c r="E969" s="231">
        <v>43617</v>
      </c>
      <c r="F969" s="162" t="s">
        <v>1230</v>
      </c>
      <c r="G969" s="231">
        <v>45180</v>
      </c>
      <c r="H969" s="198">
        <f>SUMIF(VA!B:B,A969,VA!I:I)</f>
        <v>359.46</v>
      </c>
      <c r="I969" s="32">
        <f>SUMIF(VR!B:B,A969,VR!I:I)</f>
        <v>657.5</v>
      </c>
      <c r="J969" s="4">
        <f t="shared" si="15"/>
        <v>1016.96</v>
      </c>
      <c r="K969" s="179">
        <f>SUMIF(FALTAS!A:A,A969,FALTAS!D:D)</f>
        <v>0</v>
      </c>
    </row>
    <row r="970" spans="1:11" x14ac:dyDescent="0.25">
      <c r="A970" s="235">
        <v>113137</v>
      </c>
      <c r="B970" s="162" t="s">
        <v>605</v>
      </c>
      <c r="C970" s="162" t="s">
        <v>22</v>
      </c>
      <c r="D970" s="162" t="s">
        <v>1578</v>
      </c>
      <c r="E970" s="231">
        <v>43617</v>
      </c>
      <c r="F970" s="162" t="s">
        <v>1229</v>
      </c>
      <c r="G970" s="231">
        <v>45149</v>
      </c>
      <c r="H970" s="198">
        <f>SUMIF(VA!B:B,A970,VA!I:I)</f>
        <v>359.46</v>
      </c>
      <c r="I970" s="32">
        <f>SUMIF(VR!B:B,A970,VR!I:I)</f>
        <v>657.5</v>
      </c>
      <c r="J970" s="4">
        <f t="shared" si="15"/>
        <v>1016.96</v>
      </c>
      <c r="K970" s="179">
        <f>SUMIF(FALTAS!A:A,A970,FALTAS!D:D)</f>
        <v>0</v>
      </c>
    </row>
    <row r="971" spans="1:11" x14ac:dyDescent="0.25">
      <c r="A971" s="235">
        <v>113140</v>
      </c>
      <c r="B971" s="162" t="s">
        <v>607</v>
      </c>
      <c r="C971" s="162" t="s">
        <v>2</v>
      </c>
      <c r="D971" s="162" t="s">
        <v>0</v>
      </c>
      <c r="E971" s="231">
        <v>43617</v>
      </c>
      <c r="F971" s="162" t="s">
        <v>1229</v>
      </c>
      <c r="G971" s="231">
        <v>44867</v>
      </c>
      <c r="H971" s="198">
        <f>SUMIF(VA!B:B,A971,VA!I:I)</f>
        <v>359.46</v>
      </c>
      <c r="I971" s="32">
        <f>SUMIF(VR!B:B,A971,VR!I:I)</f>
        <v>657.5</v>
      </c>
      <c r="J971" s="4">
        <f t="shared" si="15"/>
        <v>1016.96</v>
      </c>
      <c r="K971" s="179">
        <f>SUMIF(FALTAS!A:A,A971,FALTAS!D:D)</f>
        <v>0</v>
      </c>
    </row>
    <row r="972" spans="1:11" x14ac:dyDescent="0.25">
      <c r="A972" s="235">
        <v>113142</v>
      </c>
      <c r="B972" s="162" t="s">
        <v>609</v>
      </c>
      <c r="C972" s="162" t="s">
        <v>22</v>
      </c>
      <c r="D972" s="162" t="s">
        <v>1578</v>
      </c>
      <c r="E972" s="231">
        <v>43617</v>
      </c>
      <c r="F972" s="162" t="s">
        <v>1229</v>
      </c>
      <c r="G972" s="231">
        <v>45177</v>
      </c>
      <c r="H972" s="198">
        <f>SUMIF(VA!B:B,A972,VA!I:I)</f>
        <v>359.46</v>
      </c>
      <c r="I972" s="32">
        <f>SUMIF(VR!B:B,A972,VR!I:I)</f>
        <v>657.5</v>
      </c>
      <c r="J972" s="4">
        <f t="shared" si="15"/>
        <v>1016.96</v>
      </c>
      <c r="K972" s="179">
        <f>SUMIF(FALTAS!A:A,A972,FALTAS!D:D)</f>
        <v>0</v>
      </c>
    </row>
    <row r="973" spans="1:11" x14ac:dyDescent="0.25">
      <c r="A973" s="235">
        <v>113146</v>
      </c>
      <c r="B973" s="162" t="s">
        <v>610</v>
      </c>
      <c r="C973" s="162" t="s">
        <v>2</v>
      </c>
      <c r="D973" s="162" t="s">
        <v>10</v>
      </c>
      <c r="E973" s="231">
        <v>43617</v>
      </c>
      <c r="F973" s="162" t="s">
        <v>1229</v>
      </c>
      <c r="G973" s="231">
        <v>44930</v>
      </c>
      <c r="H973" s="198">
        <f>SUMIF(VA!B:B,A973,VA!I:I)</f>
        <v>359.46</v>
      </c>
      <c r="I973" s="32">
        <f>SUMIF(VR!B:B,A973,VR!I:I)</f>
        <v>657.5</v>
      </c>
      <c r="J973" s="4">
        <f t="shared" si="15"/>
        <v>1016.96</v>
      </c>
      <c r="K973" s="179">
        <f>SUMIF(FALTAS!A:A,A973,FALTAS!D:D)</f>
        <v>0</v>
      </c>
    </row>
    <row r="974" spans="1:11" x14ac:dyDescent="0.25">
      <c r="A974" s="235">
        <v>113149</v>
      </c>
      <c r="B974" s="162" t="s">
        <v>611</v>
      </c>
      <c r="C974" s="162" t="s">
        <v>2</v>
      </c>
      <c r="D974" s="162" t="s">
        <v>19</v>
      </c>
      <c r="E974" s="231">
        <v>43617</v>
      </c>
      <c r="F974" s="162" t="s">
        <v>1229</v>
      </c>
      <c r="G974" s="231">
        <v>45023</v>
      </c>
      <c r="H974" s="198">
        <f>SUMIF(VA!B:B,A974,VA!I:I)</f>
        <v>359.46</v>
      </c>
      <c r="I974" s="32">
        <f>SUMIF(VR!B:B,A974,VR!I:I)</f>
        <v>657.5</v>
      </c>
      <c r="J974" s="4">
        <f t="shared" si="15"/>
        <v>1016.96</v>
      </c>
      <c r="K974" s="179">
        <f>SUMIF(FALTAS!A:A,A974,FALTAS!D:D)</f>
        <v>0</v>
      </c>
    </row>
    <row r="975" spans="1:11" x14ac:dyDescent="0.25">
      <c r="A975" s="235">
        <v>113155</v>
      </c>
      <c r="B975" s="162" t="s">
        <v>615</v>
      </c>
      <c r="C975" s="162" t="s">
        <v>15</v>
      </c>
      <c r="D975" s="162" t="s">
        <v>1578</v>
      </c>
      <c r="E975" s="231">
        <v>43617</v>
      </c>
      <c r="F975" s="162" t="s">
        <v>1229</v>
      </c>
      <c r="G975" s="231">
        <v>44806</v>
      </c>
      <c r="H975" s="198">
        <f>SUMIF(VA!B:B,A975,VA!I:I)</f>
        <v>359.46</v>
      </c>
      <c r="I975" s="32">
        <f>SUMIF(VR!B:B,A975,VR!I:I)</f>
        <v>657.5</v>
      </c>
      <c r="J975" s="4">
        <f t="shared" si="15"/>
        <v>1016.96</v>
      </c>
      <c r="K975" s="179">
        <f>SUMIF(FALTAS!A:A,A975,FALTAS!D:D)</f>
        <v>0</v>
      </c>
    </row>
    <row r="976" spans="1:11" x14ac:dyDescent="0.25">
      <c r="A976" s="235">
        <v>113167</v>
      </c>
      <c r="B976" s="162" t="s">
        <v>624</v>
      </c>
      <c r="C976" s="162" t="s">
        <v>2</v>
      </c>
      <c r="D976" s="162" t="s">
        <v>0</v>
      </c>
      <c r="E976" s="231">
        <v>43617</v>
      </c>
      <c r="F976" s="162" t="s">
        <v>1229</v>
      </c>
      <c r="G976" s="231">
        <v>45050</v>
      </c>
      <c r="H976" s="198">
        <f>SUMIF(VA!B:B,A976,VA!I:I)</f>
        <v>359.46</v>
      </c>
      <c r="I976" s="32">
        <f>SUMIF(VR!B:B,A976,VR!I:I)</f>
        <v>657.5</v>
      </c>
      <c r="J976" s="4">
        <f t="shared" si="15"/>
        <v>1016.96</v>
      </c>
      <c r="K976" s="179">
        <f>SUMIF(FALTAS!A:A,A976,FALTAS!D:D)</f>
        <v>0</v>
      </c>
    </row>
    <row r="977" spans="1:11" x14ac:dyDescent="0.25">
      <c r="A977" s="235">
        <v>113169</v>
      </c>
      <c r="B977" s="162" t="s">
        <v>625</v>
      </c>
      <c r="C977" s="162" t="s">
        <v>2</v>
      </c>
      <c r="D977" s="162" t="s">
        <v>19</v>
      </c>
      <c r="E977" s="231">
        <v>43617</v>
      </c>
      <c r="F977" s="162" t="s">
        <v>1229</v>
      </c>
      <c r="G977" s="231">
        <v>45107</v>
      </c>
      <c r="H977" s="198">
        <f>SUMIF(VA!B:B,A977,VA!I:I)</f>
        <v>359.46</v>
      </c>
      <c r="I977" s="32">
        <f>SUMIF(VR!B:B,A977,VR!I:I)</f>
        <v>657.5</v>
      </c>
      <c r="J977" s="4">
        <f t="shared" si="15"/>
        <v>1016.96</v>
      </c>
      <c r="K977" s="179">
        <f>SUMIF(FALTAS!A:A,A977,FALTAS!D:D)</f>
        <v>0</v>
      </c>
    </row>
    <row r="978" spans="1:11" x14ac:dyDescent="0.25">
      <c r="A978" s="235">
        <v>113172</v>
      </c>
      <c r="B978" s="162" t="s">
        <v>627</v>
      </c>
      <c r="C978" s="162" t="s">
        <v>2</v>
      </c>
      <c r="D978" s="162" t="s">
        <v>0</v>
      </c>
      <c r="E978" s="231">
        <v>43617</v>
      </c>
      <c r="F978" s="162" t="s">
        <v>1229</v>
      </c>
      <c r="G978" s="231">
        <v>44867</v>
      </c>
      <c r="H978" s="198">
        <f>SUMIF(VA!B:B,A978,VA!I:I)</f>
        <v>359.46</v>
      </c>
      <c r="I978" s="32">
        <f>SUMIF(VR!B:B,A978,VR!I:I)</f>
        <v>657.5</v>
      </c>
      <c r="J978" s="4">
        <f t="shared" si="15"/>
        <v>1016.96</v>
      </c>
      <c r="K978" s="179">
        <f>SUMIF(FALTAS!A:A,A978,FALTAS!D:D)</f>
        <v>0</v>
      </c>
    </row>
    <row r="979" spans="1:11" x14ac:dyDescent="0.25">
      <c r="A979" s="235">
        <v>113177</v>
      </c>
      <c r="B979" s="162" t="s">
        <v>629</v>
      </c>
      <c r="C979" s="162" t="s">
        <v>2</v>
      </c>
      <c r="D979" s="162" t="s">
        <v>10</v>
      </c>
      <c r="E979" s="231">
        <v>43617</v>
      </c>
      <c r="F979" s="162" t="s">
        <v>1229</v>
      </c>
      <c r="G979" s="231">
        <v>44930</v>
      </c>
      <c r="H979" s="198">
        <f>SUMIF(VA!B:B,A979,VA!I:I)</f>
        <v>359.46</v>
      </c>
      <c r="I979" s="32">
        <f>SUMIF(VR!B:B,A979,VR!I:I)</f>
        <v>657.5</v>
      </c>
      <c r="J979" s="4">
        <f t="shared" si="15"/>
        <v>1016.96</v>
      </c>
      <c r="K979" s="179">
        <f>SUMIF(FALTAS!A:A,A979,FALTAS!D:D)</f>
        <v>0</v>
      </c>
    </row>
    <row r="980" spans="1:11" x14ac:dyDescent="0.25">
      <c r="A980" s="235">
        <v>113185</v>
      </c>
      <c r="B980" s="162" t="s">
        <v>633</v>
      </c>
      <c r="C980" s="162" t="s">
        <v>15</v>
      </c>
      <c r="D980" s="162" t="s">
        <v>1578</v>
      </c>
      <c r="E980" s="231">
        <v>43617</v>
      </c>
      <c r="F980" s="162" t="s">
        <v>1229</v>
      </c>
      <c r="G980" s="231">
        <v>44993</v>
      </c>
      <c r="H980" s="198">
        <f>SUMIF(VA!B:B,A980,VA!I:I)</f>
        <v>359.46</v>
      </c>
      <c r="I980" s="32">
        <f>SUMIF(VR!B:B,A980,VR!I:I)</f>
        <v>657.5</v>
      </c>
      <c r="J980" s="4">
        <f t="shared" si="15"/>
        <v>1016.96</v>
      </c>
      <c r="K980" s="179">
        <f>SUMIF(FALTAS!A:A,A980,FALTAS!D:D)</f>
        <v>0</v>
      </c>
    </row>
    <row r="981" spans="1:11" x14ac:dyDescent="0.25">
      <c r="A981" s="235">
        <v>113189</v>
      </c>
      <c r="B981" s="162" t="s">
        <v>636</v>
      </c>
      <c r="C981" s="162" t="s">
        <v>22</v>
      </c>
      <c r="D981" s="162" t="s">
        <v>1578</v>
      </c>
      <c r="E981" s="231">
        <v>43617</v>
      </c>
      <c r="F981" s="162" t="s">
        <v>1229</v>
      </c>
      <c r="G981" s="231">
        <v>44898</v>
      </c>
      <c r="H981" s="198">
        <f>SUMIF(VA!B:B,A981,VA!I:I)</f>
        <v>359.46</v>
      </c>
      <c r="I981" s="32">
        <f>SUMIF(VR!B:B,A981,VR!I:I)</f>
        <v>657.5</v>
      </c>
      <c r="J981" s="4">
        <f t="shared" si="15"/>
        <v>1016.96</v>
      </c>
      <c r="K981" s="179">
        <f>SUMIF(FALTAS!A:A,A981,FALTAS!D:D)</f>
        <v>0</v>
      </c>
    </row>
    <row r="982" spans="1:11" x14ac:dyDescent="0.25">
      <c r="A982" s="235">
        <v>113720</v>
      </c>
      <c r="B982" s="162" t="s">
        <v>934</v>
      </c>
      <c r="C982" s="162" t="s">
        <v>927</v>
      </c>
      <c r="D982" s="162" t="s">
        <v>1580</v>
      </c>
      <c r="E982" s="231">
        <v>43619</v>
      </c>
      <c r="F982" s="162" t="s">
        <v>1229</v>
      </c>
      <c r="G982" s="231">
        <v>45139</v>
      </c>
      <c r="H982" s="198">
        <f>SUMIF(VA!B:B,A982,VA!I:I)</f>
        <v>359.46</v>
      </c>
      <c r="I982" s="32">
        <f>SUMIF(VR!B:B,A982,VR!I:I)</f>
        <v>657.5</v>
      </c>
      <c r="J982" s="4">
        <f t="shared" si="15"/>
        <v>1016.96</v>
      </c>
      <c r="K982" s="179">
        <f>SUMIF(FALTAS!A:A,A982,FALTAS!D:D)</f>
        <v>0</v>
      </c>
    </row>
    <row r="983" spans="1:11" x14ac:dyDescent="0.25">
      <c r="A983" s="235">
        <v>113198</v>
      </c>
      <c r="B983" s="162" t="s">
        <v>639</v>
      </c>
      <c r="C983" s="162" t="s">
        <v>146</v>
      </c>
      <c r="D983" s="162" t="s">
        <v>19</v>
      </c>
      <c r="E983" s="231">
        <v>43617</v>
      </c>
      <c r="F983" s="162" t="s">
        <v>1229</v>
      </c>
      <c r="G983" s="231">
        <v>44993</v>
      </c>
      <c r="H983" s="198">
        <f>SUMIF(VA!B:B,A983,VA!I:I)</f>
        <v>359.46</v>
      </c>
      <c r="I983" s="32">
        <f>SUMIF(VR!B:B,A983,VR!I:I)</f>
        <v>657.5</v>
      </c>
      <c r="J983" s="4">
        <f t="shared" si="15"/>
        <v>1016.96</v>
      </c>
      <c r="K983" s="179">
        <f>SUMIF(FALTAS!A:A,A983,FALTAS!D:D)</f>
        <v>0</v>
      </c>
    </row>
    <row r="984" spans="1:11" x14ac:dyDescent="0.25">
      <c r="A984" s="235">
        <v>113203</v>
      </c>
      <c r="B984" s="162" t="s">
        <v>643</v>
      </c>
      <c r="C984" s="162" t="s">
        <v>5</v>
      </c>
      <c r="D984" s="162" t="s">
        <v>0</v>
      </c>
      <c r="E984" s="231">
        <v>43617</v>
      </c>
      <c r="F984" s="162" t="s">
        <v>1229</v>
      </c>
      <c r="G984" s="231">
        <v>45023</v>
      </c>
      <c r="H984" s="198">
        <f>SUMIF(VA!B:B,A984,VA!I:I)</f>
        <v>359.46</v>
      </c>
      <c r="I984" s="32">
        <f>SUMIF(VR!B:B,A984,VR!I:I)</f>
        <v>657.5</v>
      </c>
      <c r="J984" s="4">
        <f t="shared" si="15"/>
        <v>1016.96</v>
      </c>
      <c r="K984" s="179">
        <f>SUMIF(FALTAS!A:A,A984,FALTAS!D:D)</f>
        <v>0</v>
      </c>
    </row>
    <row r="985" spans="1:11" x14ac:dyDescent="0.25">
      <c r="A985" s="235">
        <v>114726</v>
      </c>
      <c r="B985" s="162" t="s">
        <v>1079</v>
      </c>
      <c r="C985" s="162" t="s">
        <v>5</v>
      </c>
      <c r="D985" s="162" t="s">
        <v>0</v>
      </c>
      <c r="E985" s="231">
        <v>43874</v>
      </c>
      <c r="F985" s="162" t="s">
        <v>1229</v>
      </c>
      <c r="G985" s="231">
        <v>45177</v>
      </c>
      <c r="H985" s="198">
        <f>SUMIF(VA!B:B,A985,VA!I:I)</f>
        <v>359.46</v>
      </c>
      <c r="I985" s="32">
        <f>SUMIF(VR!B:B,A985,VR!I:I)</f>
        <v>657.5</v>
      </c>
      <c r="J985" s="4">
        <f t="shared" si="15"/>
        <v>1016.96</v>
      </c>
      <c r="K985" s="179">
        <f>SUMIF(FALTAS!A:A,A985,FALTAS!D:D)</f>
        <v>0</v>
      </c>
    </row>
    <row r="986" spans="1:11" x14ac:dyDescent="0.25">
      <c r="A986" s="235">
        <v>113205</v>
      </c>
      <c r="B986" s="162" t="s">
        <v>645</v>
      </c>
      <c r="C986" s="162" t="s">
        <v>2</v>
      </c>
      <c r="D986" s="162" t="s">
        <v>0</v>
      </c>
      <c r="E986" s="231">
        <v>43617</v>
      </c>
      <c r="F986" s="162" t="s">
        <v>1229</v>
      </c>
      <c r="G986" s="231">
        <v>44867</v>
      </c>
      <c r="H986" s="198">
        <f>SUMIF(VA!B:B,A986,VA!I:I)</f>
        <v>359.46</v>
      </c>
      <c r="I986" s="32">
        <f>SUMIF(VR!B:B,A986,VR!I:I)</f>
        <v>657.5</v>
      </c>
      <c r="J986" s="4">
        <f t="shared" si="15"/>
        <v>1016.96</v>
      </c>
      <c r="K986" s="179">
        <f>SUMIF(FALTAS!A:A,A986,FALTAS!D:D)</f>
        <v>0</v>
      </c>
    </row>
    <row r="987" spans="1:11" x14ac:dyDescent="0.25">
      <c r="A987" s="235">
        <v>115399</v>
      </c>
      <c r="B987" s="162" t="s">
        <v>1151</v>
      </c>
      <c r="C987" s="162" t="s">
        <v>5</v>
      </c>
      <c r="D987" s="162" t="s">
        <v>0</v>
      </c>
      <c r="E987" s="231">
        <v>44048</v>
      </c>
      <c r="F987" s="162" t="s">
        <v>1229</v>
      </c>
      <c r="G987" s="231">
        <v>45086</v>
      </c>
      <c r="H987" s="198">
        <f>SUMIF(VA!B:B,A987,VA!I:I)</f>
        <v>359.46</v>
      </c>
      <c r="I987" s="32">
        <f>SUMIF(VR!B:B,A987,VR!I:I)</f>
        <v>657.5</v>
      </c>
      <c r="J987" s="4">
        <f t="shared" si="15"/>
        <v>1016.96</v>
      </c>
      <c r="K987" s="179">
        <f>SUMIF(FALTAS!A:A,A987,FALTAS!D:D)</f>
        <v>0</v>
      </c>
    </row>
    <row r="988" spans="1:11" x14ac:dyDescent="0.25">
      <c r="A988" s="235">
        <v>113208</v>
      </c>
      <c r="B988" s="162" t="s">
        <v>648</v>
      </c>
      <c r="C988" s="162" t="s">
        <v>2</v>
      </c>
      <c r="D988" s="162" t="s">
        <v>19</v>
      </c>
      <c r="E988" s="231">
        <v>43617</v>
      </c>
      <c r="F988" s="162" t="s">
        <v>1229</v>
      </c>
      <c r="G988" s="231">
        <v>44898</v>
      </c>
      <c r="H988" s="198">
        <f>SUMIF(VA!B:B,A988,VA!I:I)</f>
        <v>359.46</v>
      </c>
      <c r="I988" s="32">
        <f>SUMIF(VR!B:B,A988,VR!I:I)</f>
        <v>657.5</v>
      </c>
      <c r="J988" s="4">
        <f t="shared" si="15"/>
        <v>1016.96</v>
      </c>
      <c r="K988" s="179">
        <f>SUMIF(FALTAS!A:A,A988,FALTAS!D:D)</f>
        <v>0</v>
      </c>
    </row>
    <row r="989" spans="1:11" x14ac:dyDescent="0.25">
      <c r="A989" s="235">
        <v>117362</v>
      </c>
      <c r="B989" s="162" t="s">
        <v>1264</v>
      </c>
      <c r="C989" s="162" t="s">
        <v>15</v>
      </c>
      <c r="D989" s="162" t="s">
        <v>1578</v>
      </c>
      <c r="E989" s="231">
        <v>44508</v>
      </c>
      <c r="F989" s="162" t="s">
        <v>1229</v>
      </c>
      <c r="G989" s="231">
        <v>45056</v>
      </c>
      <c r="H989" s="198">
        <f>SUMIF(VA!B:B,A989,VA!I:I)</f>
        <v>359.46</v>
      </c>
      <c r="I989" s="32">
        <f>SUMIF(VR!B:B,A989,VR!I:I)</f>
        <v>657.5</v>
      </c>
      <c r="J989" s="4">
        <f t="shared" si="15"/>
        <v>1016.96</v>
      </c>
      <c r="K989" s="179">
        <f>SUMIF(FALTAS!A:A,A989,FALTAS!D:D)</f>
        <v>0</v>
      </c>
    </row>
    <row r="990" spans="1:11" x14ac:dyDescent="0.25">
      <c r="A990" s="235">
        <v>113217</v>
      </c>
      <c r="B990" s="162" t="s">
        <v>651</v>
      </c>
      <c r="C990" s="162" t="s">
        <v>5</v>
      </c>
      <c r="D990" s="162" t="s">
        <v>10</v>
      </c>
      <c r="E990" s="231">
        <v>43617</v>
      </c>
      <c r="F990" s="162" t="s">
        <v>1229</v>
      </c>
      <c r="G990" s="231">
        <v>44835</v>
      </c>
      <c r="H990" s="198">
        <f>SUMIF(VA!B:B,A990,VA!I:I)</f>
        <v>359.46</v>
      </c>
      <c r="I990" s="32">
        <f>SUMIF(VR!B:B,A990,VR!I:I)</f>
        <v>657.5</v>
      </c>
      <c r="J990" s="4">
        <f t="shared" si="15"/>
        <v>1016.96</v>
      </c>
      <c r="K990" s="179">
        <f>SUMIF(FALTAS!A:A,A990,FALTAS!D:D)</f>
        <v>0</v>
      </c>
    </row>
    <row r="991" spans="1:11" x14ac:dyDescent="0.25">
      <c r="A991" s="235">
        <v>113227</v>
      </c>
      <c r="B991" s="162" t="s">
        <v>658</v>
      </c>
      <c r="C991" s="162" t="s">
        <v>15</v>
      </c>
      <c r="D991" s="162" t="s">
        <v>1578</v>
      </c>
      <c r="E991" s="231">
        <v>43617</v>
      </c>
      <c r="F991" s="162" t="s">
        <v>1229</v>
      </c>
      <c r="G991" s="231">
        <v>45177</v>
      </c>
      <c r="H991" s="198">
        <f>SUMIF(VA!B:B,A991,VA!I:I)</f>
        <v>359.46</v>
      </c>
      <c r="I991" s="32">
        <f>SUMIF(VR!B:B,A991,VR!I:I)</f>
        <v>657.5</v>
      </c>
      <c r="J991" s="4">
        <f t="shared" si="15"/>
        <v>1016.96</v>
      </c>
      <c r="K991" s="179">
        <f>SUMIF(FALTAS!A:A,A991,FALTAS!D:D)</f>
        <v>0</v>
      </c>
    </row>
    <row r="992" spans="1:11" x14ac:dyDescent="0.25">
      <c r="A992" s="235">
        <v>122831</v>
      </c>
      <c r="B992" s="162" t="s">
        <v>1725</v>
      </c>
      <c r="C992" s="162" t="s">
        <v>5</v>
      </c>
      <c r="D992" s="162" t="s">
        <v>0</v>
      </c>
      <c r="E992" s="231">
        <v>45180</v>
      </c>
      <c r="F992" s="162" t="s">
        <v>1229</v>
      </c>
      <c r="G992" s="231">
        <v>45180</v>
      </c>
      <c r="H992" s="198">
        <f>SUMIF(VA!B:B,A992,VA!I:I)</f>
        <v>359.46</v>
      </c>
      <c r="I992" s="32">
        <f>SUMIF(VR!B:B,A992,VR!I:I)</f>
        <v>657.5</v>
      </c>
      <c r="J992" s="4">
        <f t="shared" si="15"/>
        <v>1016.96</v>
      </c>
      <c r="K992" s="179">
        <f>SUMIF(FALTAS!A:A,A992,FALTAS!D:D)</f>
        <v>0</v>
      </c>
    </row>
    <row r="993" spans="1:11" x14ac:dyDescent="0.25">
      <c r="A993" s="235">
        <v>115220</v>
      </c>
      <c r="B993" s="162" t="s">
        <v>1143</v>
      </c>
      <c r="C993" s="162" t="s">
        <v>5</v>
      </c>
      <c r="D993" s="162" t="s">
        <v>8</v>
      </c>
      <c r="E993" s="231">
        <v>44018</v>
      </c>
      <c r="F993" s="162" t="s">
        <v>1229</v>
      </c>
      <c r="G993" s="231">
        <v>45086</v>
      </c>
      <c r="H993" s="198">
        <f>SUMIF(VA!B:B,A993,VA!I:I)</f>
        <v>359.46</v>
      </c>
      <c r="I993" s="32">
        <f>SUMIF(VR!B:B,A993,VR!I:I)</f>
        <v>657.5</v>
      </c>
      <c r="J993" s="4">
        <f t="shared" si="15"/>
        <v>1016.96</v>
      </c>
      <c r="K993" s="179">
        <f>SUMIF(FALTAS!A:A,A993,FALTAS!D:D)</f>
        <v>0</v>
      </c>
    </row>
    <row r="994" spans="1:11" x14ac:dyDescent="0.25">
      <c r="A994" s="235">
        <v>118641</v>
      </c>
      <c r="B994" s="162" t="s">
        <v>1404</v>
      </c>
      <c r="C994" s="162" t="s">
        <v>5</v>
      </c>
      <c r="D994" s="162" t="s">
        <v>0</v>
      </c>
      <c r="E994" s="231">
        <v>44582</v>
      </c>
      <c r="F994" s="162" t="s">
        <v>1229</v>
      </c>
      <c r="G994" s="231">
        <v>45042</v>
      </c>
      <c r="H994" s="198">
        <f>SUMIF(VA!B:B,A994,VA!I:I)</f>
        <v>359.46</v>
      </c>
      <c r="I994" s="32">
        <f>SUMIF(VR!B:B,A994,VR!I:I)</f>
        <v>657.5</v>
      </c>
      <c r="J994" s="4">
        <f t="shared" si="15"/>
        <v>1016.96</v>
      </c>
      <c r="K994" s="179">
        <f>SUMIF(FALTAS!A:A,A994,FALTAS!D:D)</f>
        <v>0</v>
      </c>
    </row>
    <row r="995" spans="1:11" x14ac:dyDescent="0.25">
      <c r="A995" s="235">
        <v>114034</v>
      </c>
      <c r="B995" s="162" t="s">
        <v>997</v>
      </c>
      <c r="C995" s="162" t="s">
        <v>146</v>
      </c>
      <c r="D995" s="162" t="s">
        <v>10</v>
      </c>
      <c r="E995" s="231">
        <v>43710</v>
      </c>
      <c r="F995" s="162" t="s">
        <v>1229</v>
      </c>
      <c r="G995" s="231">
        <v>44867</v>
      </c>
      <c r="H995" s="198">
        <f>SUMIF(VA!B:B,A995,VA!I:I)</f>
        <v>359.46</v>
      </c>
      <c r="I995" s="32">
        <f>SUMIF(VR!B:B,A995,VR!I:I)</f>
        <v>657.5</v>
      </c>
      <c r="J995" s="4">
        <f t="shared" si="15"/>
        <v>1016.96</v>
      </c>
      <c r="K995" s="179">
        <f>SUMIF(FALTAS!A:A,A995,FALTAS!D:D)</f>
        <v>0</v>
      </c>
    </row>
    <row r="996" spans="1:11" x14ac:dyDescent="0.25">
      <c r="A996" s="235">
        <v>118050</v>
      </c>
      <c r="B996" s="162" t="s">
        <v>1405</v>
      </c>
      <c r="C996" s="162" t="s">
        <v>5</v>
      </c>
      <c r="D996" s="162" t="s">
        <v>0</v>
      </c>
      <c r="E996" s="231">
        <v>44567</v>
      </c>
      <c r="F996" s="162" t="s">
        <v>1229</v>
      </c>
      <c r="G996" s="231">
        <v>44567</v>
      </c>
      <c r="H996" s="198">
        <f>SUMIF(VA!B:B,A996,VA!I:I)</f>
        <v>359.46</v>
      </c>
      <c r="I996" s="32">
        <f>SUMIF(VR!B:B,A996,VR!I:I)</f>
        <v>657.5</v>
      </c>
      <c r="J996" s="4">
        <f t="shared" si="15"/>
        <v>1016.96</v>
      </c>
      <c r="K996" s="179">
        <f>SUMIF(FALTAS!A:A,A996,FALTAS!D:D)</f>
        <v>0</v>
      </c>
    </row>
    <row r="997" spans="1:11" x14ac:dyDescent="0.25">
      <c r="A997" s="235">
        <v>122082</v>
      </c>
      <c r="B997" s="162" t="s">
        <v>1632</v>
      </c>
      <c r="C997" s="162" t="s">
        <v>5</v>
      </c>
      <c r="D997" s="162" t="s">
        <v>19</v>
      </c>
      <c r="E997" s="231">
        <v>45061</v>
      </c>
      <c r="F997" s="162" t="s">
        <v>1229</v>
      </c>
      <c r="G997" s="231">
        <v>45061</v>
      </c>
      <c r="H997" s="198">
        <f>SUMIF(VA!B:B,A997,VA!I:I)</f>
        <v>359.46</v>
      </c>
      <c r="I997" s="32">
        <f>SUMIF(VR!B:B,A997,VR!I:I)</f>
        <v>657.5</v>
      </c>
      <c r="J997" s="4">
        <f t="shared" si="15"/>
        <v>1016.96</v>
      </c>
      <c r="K997" s="179">
        <f>SUMIF(FALTAS!A:A,A997,FALTAS!D:D)</f>
        <v>0</v>
      </c>
    </row>
    <row r="998" spans="1:11" x14ac:dyDescent="0.25">
      <c r="A998" s="235">
        <v>113237</v>
      </c>
      <c r="B998" s="162" t="s">
        <v>663</v>
      </c>
      <c r="C998" s="162" t="s">
        <v>2</v>
      </c>
      <c r="D998" s="162" t="s">
        <v>10</v>
      </c>
      <c r="E998" s="231">
        <v>43617</v>
      </c>
      <c r="F998" s="162" t="s">
        <v>1229</v>
      </c>
      <c r="G998" s="231">
        <v>44930</v>
      </c>
      <c r="H998" s="198">
        <f>SUMIF(VA!B:B,A998,VA!I:I)</f>
        <v>359.46</v>
      </c>
      <c r="I998" s="32">
        <f>SUMIF(VR!B:B,A998,VR!I:I)</f>
        <v>657.5</v>
      </c>
      <c r="J998" s="4">
        <f t="shared" si="15"/>
        <v>1016.96</v>
      </c>
      <c r="K998" s="179">
        <f>SUMIF(FALTAS!A:A,A998,FALTAS!D:D)</f>
        <v>0</v>
      </c>
    </row>
    <row r="999" spans="1:11" x14ac:dyDescent="0.25">
      <c r="A999" s="235">
        <v>113240</v>
      </c>
      <c r="B999" s="162" t="s">
        <v>1565</v>
      </c>
      <c r="C999" s="162" t="s">
        <v>5</v>
      </c>
      <c r="D999" s="162" t="s">
        <v>10</v>
      </c>
      <c r="E999" s="231">
        <v>43617</v>
      </c>
      <c r="F999" s="162" t="s">
        <v>1279</v>
      </c>
      <c r="G999" s="231">
        <v>44149</v>
      </c>
      <c r="H999" s="198">
        <f>SUMIF(VA!B:B,A999,VA!I:I)</f>
        <v>0</v>
      </c>
      <c r="I999" s="32">
        <f>SUMIF(VR!B:B,A999,VR!I:I)</f>
        <v>0</v>
      </c>
      <c r="J999" s="4">
        <f t="shared" si="15"/>
        <v>0</v>
      </c>
      <c r="K999" s="179">
        <f>SUMIF(FALTAS!A:A,A999,FALTAS!D:D)</f>
        <v>0</v>
      </c>
    </row>
    <row r="1000" spans="1:11" x14ac:dyDescent="0.25">
      <c r="A1000" s="235">
        <v>113242</v>
      </c>
      <c r="B1000" s="162" t="s">
        <v>664</v>
      </c>
      <c r="C1000" s="162" t="s">
        <v>5</v>
      </c>
      <c r="D1000" s="162" t="s">
        <v>19</v>
      </c>
      <c r="E1000" s="231">
        <v>43617</v>
      </c>
      <c r="F1000" s="162" t="s">
        <v>1229</v>
      </c>
      <c r="G1000" s="231">
        <v>45023</v>
      </c>
      <c r="H1000" s="198">
        <f>SUMIF(VA!B:B,A1000,VA!I:I)</f>
        <v>359.46</v>
      </c>
      <c r="I1000" s="32">
        <f>SUMIF(VR!B:B,A1000,VR!I:I)</f>
        <v>657.5</v>
      </c>
      <c r="J1000" s="4">
        <f t="shared" si="15"/>
        <v>1016.96</v>
      </c>
      <c r="K1000" s="179">
        <f>SUMIF(FALTAS!A:A,A1000,FALTAS!D:D)</f>
        <v>0</v>
      </c>
    </row>
    <row r="1001" spans="1:11" x14ac:dyDescent="0.25">
      <c r="A1001" s="235">
        <v>113244</v>
      </c>
      <c r="B1001" s="162" t="s">
        <v>665</v>
      </c>
      <c r="C1001" s="162" t="s">
        <v>2</v>
      </c>
      <c r="D1001" s="162" t="s">
        <v>0</v>
      </c>
      <c r="E1001" s="231">
        <v>43617</v>
      </c>
      <c r="F1001" s="162" t="s">
        <v>1229</v>
      </c>
      <c r="G1001" s="231">
        <v>44898</v>
      </c>
      <c r="H1001" s="198">
        <f>SUMIF(VA!B:B,A1001,VA!I:I)</f>
        <v>359.46</v>
      </c>
      <c r="I1001" s="32">
        <f>SUMIF(VR!B:B,A1001,VR!I:I)</f>
        <v>657.5</v>
      </c>
      <c r="J1001" s="4">
        <f t="shared" si="15"/>
        <v>1016.96</v>
      </c>
      <c r="K1001" s="179">
        <f>SUMIF(FALTAS!A:A,A1001,FALTAS!D:D)</f>
        <v>0</v>
      </c>
    </row>
    <row r="1002" spans="1:11" x14ac:dyDescent="0.25">
      <c r="A1002" s="235">
        <v>116228</v>
      </c>
      <c r="B1002" s="162" t="s">
        <v>1191</v>
      </c>
      <c r="C1002" s="162" t="s">
        <v>5</v>
      </c>
      <c r="D1002" s="162" t="s">
        <v>19</v>
      </c>
      <c r="E1002" s="231">
        <v>44273</v>
      </c>
      <c r="F1002" s="162" t="s">
        <v>1229</v>
      </c>
      <c r="G1002" s="231">
        <v>45149</v>
      </c>
      <c r="H1002" s="198">
        <f>SUMIF(VA!B:B,A1002,VA!I:I)</f>
        <v>359.46</v>
      </c>
      <c r="I1002" s="32">
        <f>SUMIF(VR!B:B,A1002,VR!I:I)</f>
        <v>657.5</v>
      </c>
      <c r="J1002" s="4">
        <f t="shared" si="15"/>
        <v>1016.96</v>
      </c>
      <c r="K1002" s="179">
        <f>SUMIF(FALTAS!A:A,A1002,FALTAS!D:D)</f>
        <v>0</v>
      </c>
    </row>
    <row r="1003" spans="1:11" x14ac:dyDescent="0.25">
      <c r="A1003" s="235">
        <v>113250</v>
      </c>
      <c r="B1003" s="162" t="s">
        <v>668</v>
      </c>
      <c r="C1003" s="162" t="s">
        <v>5</v>
      </c>
      <c r="D1003" s="162" t="s">
        <v>10</v>
      </c>
      <c r="E1003" s="231">
        <v>43617</v>
      </c>
      <c r="F1003" s="162" t="s">
        <v>1229</v>
      </c>
      <c r="G1003" s="231">
        <v>44930</v>
      </c>
      <c r="H1003" s="198">
        <f>SUMIF(VA!B:B,A1003,VA!I:I)</f>
        <v>359.46</v>
      </c>
      <c r="I1003" s="32">
        <f>SUMIF(VR!B:B,A1003,VR!I:I)</f>
        <v>657.5</v>
      </c>
      <c r="J1003" s="4">
        <f t="shared" si="15"/>
        <v>1016.96</v>
      </c>
      <c r="K1003" s="179">
        <f>SUMIF(FALTAS!A:A,A1003,FALTAS!D:D)</f>
        <v>0</v>
      </c>
    </row>
    <row r="1004" spans="1:11" x14ac:dyDescent="0.25">
      <c r="A1004" s="235">
        <v>119930</v>
      </c>
      <c r="B1004" s="162" t="s">
        <v>1481</v>
      </c>
      <c r="C1004" s="162" t="s">
        <v>5</v>
      </c>
      <c r="D1004" s="162" t="s">
        <v>0</v>
      </c>
      <c r="E1004" s="231">
        <v>44760</v>
      </c>
      <c r="F1004" s="162" t="s">
        <v>1229</v>
      </c>
      <c r="G1004" s="231">
        <v>44760</v>
      </c>
      <c r="H1004" s="198">
        <f>SUMIF(VA!B:B,A1004,VA!I:I)</f>
        <v>359.46</v>
      </c>
      <c r="I1004" s="32">
        <f>SUMIF(VR!B:B,A1004,VR!I:I)</f>
        <v>657.5</v>
      </c>
      <c r="J1004" s="4">
        <f t="shared" si="15"/>
        <v>1016.96</v>
      </c>
      <c r="K1004" s="179">
        <f>SUMIF(FALTAS!A:A,A1004,FALTAS!D:D)</f>
        <v>0</v>
      </c>
    </row>
    <row r="1005" spans="1:11" x14ac:dyDescent="0.25">
      <c r="A1005" s="235">
        <v>113263</v>
      </c>
      <c r="B1005" s="162" t="s">
        <v>675</v>
      </c>
      <c r="C1005" s="162" t="s">
        <v>2</v>
      </c>
      <c r="D1005" s="162" t="s">
        <v>10</v>
      </c>
      <c r="E1005" s="231">
        <v>43617</v>
      </c>
      <c r="F1005" s="162" t="s">
        <v>1229</v>
      </c>
      <c r="G1005" s="231">
        <v>45056</v>
      </c>
      <c r="H1005" s="198">
        <f>SUMIF(VA!B:B,A1005,VA!I:I)</f>
        <v>359.46</v>
      </c>
      <c r="I1005" s="32">
        <f>SUMIF(VR!B:B,A1005,VR!I:I)</f>
        <v>657.5</v>
      </c>
      <c r="J1005" s="4">
        <f t="shared" si="15"/>
        <v>1016.96</v>
      </c>
      <c r="K1005" s="179">
        <f>SUMIF(FALTAS!A:A,A1005,FALTAS!D:D)</f>
        <v>0</v>
      </c>
    </row>
    <row r="1006" spans="1:11" x14ac:dyDescent="0.25">
      <c r="A1006" s="235">
        <v>113650</v>
      </c>
      <c r="B1006" s="162" t="s">
        <v>895</v>
      </c>
      <c r="C1006" s="162" t="s">
        <v>22</v>
      </c>
      <c r="D1006" s="162" t="s">
        <v>1578</v>
      </c>
      <c r="E1006" s="231">
        <v>43617</v>
      </c>
      <c r="F1006" s="162" t="s">
        <v>1230</v>
      </c>
      <c r="G1006" s="231">
        <v>45180</v>
      </c>
      <c r="H1006" s="198">
        <f>SUMIF(VA!B:B,A1006,VA!I:I)</f>
        <v>359.46</v>
      </c>
      <c r="I1006" s="32">
        <f>SUMIF(VR!B:B,A1006,VR!I:I)</f>
        <v>657.5</v>
      </c>
      <c r="J1006" s="4">
        <f t="shared" si="15"/>
        <v>1016.96</v>
      </c>
      <c r="K1006" s="179">
        <f>SUMIF(FALTAS!A:A,A1006,FALTAS!D:D)</f>
        <v>0</v>
      </c>
    </row>
    <row r="1007" spans="1:11" x14ac:dyDescent="0.25">
      <c r="A1007" s="235">
        <v>113273</v>
      </c>
      <c r="B1007" s="162" t="s">
        <v>680</v>
      </c>
      <c r="C1007" s="162" t="s">
        <v>22</v>
      </c>
      <c r="D1007" s="162" t="s">
        <v>1578</v>
      </c>
      <c r="E1007" s="231">
        <v>43617</v>
      </c>
      <c r="F1007" s="162" t="s">
        <v>1229</v>
      </c>
      <c r="G1007" s="231">
        <v>44993</v>
      </c>
      <c r="H1007" s="198">
        <f>SUMIF(VA!B:B,A1007,VA!I:I)</f>
        <v>359.46</v>
      </c>
      <c r="I1007" s="32">
        <f>SUMIF(VR!B:B,A1007,VR!I:I)</f>
        <v>657.5</v>
      </c>
      <c r="J1007" s="4">
        <f t="shared" si="15"/>
        <v>1016.96</v>
      </c>
      <c r="K1007" s="179">
        <f>SUMIF(FALTAS!A:A,A1007,FALTAS!D:D)</f>
        <v>0</v>
      </c>
    </row>
    <row r="1008" spans="1:11" x14ac:dyDescent="0.25">
      <c r="A1008" s="235">
        <v>113276</v>
      </c>
      <c r="B1008" s="162" t="s">
        <v>682</v>
      </c>
      <c r="C1008" s="162" t="s">
        <v>5</v>
      </c>
      <c r="D1008" s="162" t="s">
        <v>10</v>
      </c>
      <c r="E1008" s="231">
        <v>43617</v>
      </c>
      <c r="F1008" s="162" t="s">
        <v>1229</v>
      </c>
      <c r="G1008" s="231">
        <v>44806</v>
      </c>
      <c r="H1008" s="198">
        <f>SUMIF(VA!B:B,A1008,VA!I:I)</f>
        <v>359.46</v>
      </c>
      <c r="I1008" s="32">
        <f>SUMIF(VR!B:B,A1008,VR!I:I)</f>
        <v>657.5</v>
      </c>
      <c r="J1008" s="4">
        <f t="shared" si="15"/>
        <v>1016.96</v>
      </c>
      <c r="K1008" s="179">
        <f>SUMIF(FALTAS!A:A,A1008,FALTAS!D:D)</f>
        <v>0</v>
      </c>
    </row>
    <row r="1009" spans="1:11" x14ac:dyDescent="0.25">
      <c r="A1009" s="235">
        <v>113279</v>
      </c>
      <c r="B1009" s="162" t="s">
        <v>684</v>
      </c>
      <c r="C1009" s="162" t="s">
        <v>384</v>
      </c>
      <c r="D1009" s="162" t="s">
        <v>1578</v>
      </c>
      <c r="E1009" s="231">
        <v>43617</v>
      </c>
      <c r="F1009" s="162" t="s">
        <v>1230</v>
      </c>
      <c r="G1009" s="231">
        <v>45180</v>
      </c>
      <c r="H1009" s="198">
        <f>SUMIF(VA!B:B,A1009,VA!I:I)</f>
        <v>359.46</v>
      </c>
      <c r="I1009" s="32">
        <f>SUMIF(VR!B:B,A1009,VR!I:I)</f>
        <v>657.5</v>
      </c>
      <c r="J1009" s="4">
        <f t="shared" si="15"/>
        <v>1016.96</v>
      </c>
      <c r="K1009" s="179">
        <f>SUMIF(FALTAS!A:A,A1009,FALTAS!D:D)</f>
        <v>0</v>
      </c>
    </row>
    <row r="1010" spans="1:11" x14ac:dyDescent="0.25">
      <c r="A1010" s="235">
        <v>113282</v>
      </c>
      <c r="B1010" s="162" t="s">
        <v>686</v>
      </c>
      <c r="C1010" s="162" t="s">
        <v>15</v>
      </c>
      <c r="D1010" s="162" t="s">
        <v>1578</v>
      </c>
      <c r="E1010" s="231">
        <v>43617</v>
      </c>
      <c r="F1010" s="162" t="s">
        <v>1230</v>
      </c>
      <c r="G1010" s="231">
        <v>45180</v>
      </c>
      <c r="H1010" s="198">
        <f>SUMIF(VA!B:B,A1010,VA!I:I)</f>
        <v>359.46</v>
      </c>
      <c r="I1010" s="32">
        <f>SUMIF(VR!B:B,A1010,VR!I:I)</f>
        <v>657.5</v>
      </c>
      <c r="J1010" s="4">
        <f t="shared" si="15"/>
        <v>1016.96</v>
      </c>
      <c r="K1010" s="179">
        <f>SUMIF(FALTAS!A:A,A1010,FALTAS!D:D)</f>
        <v>0</v>
      </c>
    </row>
    <row r="1011" spans="1:11" x14ac:dyDescent="0.25">
      <c r="A1011" s="235">
        <v>114641</v>
      </c>
      <c r="B1011" s="162" t="s">
        <v>1061</v>
      </c>
      <c r="C1011" s="162" t="s">
        <v>15</v>
      </c>
      <c r="D1011" s="162" t="s">
        <v>1578</v>
      </c>
      <c r="E1011" s="231">
        <v>43850</v>
      </c>
      <c r="F1011" s="162" t="s">
        <v>1229</v>
      </c>
      <c r="G1011" s="231">
        <v>45056</v>
      </c>
      <c r="H1011" s="198">
        <f>SUMIF(VA!B:B,A1011,VA!I:I)</f>
        <v>359.46</v>
      </c>
      <c r="I1011" s="32">
        <f>SUMIF(VR!B:B,A1011,VR!I:I)</f>
        <v>657.5</v>
      </c>
      <c r="J1011" s="4">
        <f t="shared" si="15"/>
        <v>1016.96</v>
      </c>
      <c r="K1011" s="179">
        <f>SUMIF(FALTAS!A:A,A1011,FALTAS!D:D)</f>
        <v>0</v>
      </c>
    </row>
    <row r="1012" spans="1:11" x14ac:dyDescent="0.25">
      <c r="A1012" s="235">
        <v>113286</v>
      </c>
      <c r="B1012" s="162" t="s">
        <v>687</v>
      </c>
      <c r="C1012" s="162" t="s">
        <v>22</v>
      </c>
      <c r="D1012" s="162" t="s">
        <v>1578</v>
      </c>
      <c r="E1012" s="231">
        <v>43617</v>
      </c>
      <c r="F1012" s="162" t="s">
        <v>1229</v>
      </c>
      <c r="G1012" s="231">
        <v>44867</v>
      </c>
      <c r="H1012" s="198">
        <f>SUMIF(VA!B:B,A1012,VA!I:I)</f>
        <v>359.46</v>
      </c>
      <c r="I1012" s="32">
        <f>SUMIF(VR!B:B,A1012,VR!I:I)</f>
        <v>657.5</v>
      </c>
      <c r="J1012" s="4">
        <f t="shared" si="15"/>
        <v>1016.96</v>
      </c>
      <c r="K1012" s="179">
        <f>SUMIF(FALTAS!A:A,A1012,FALTAS!D:D)</f>
        <v>0</v>
      </c>
    </row>
    <row r="1013" spans="1:11" x14ac:dyDescent="0.25">
      <c r="A1013" s="235">
        <v>121315</v>
      </c>
      <c r="B1013" s="162" t="s">
        <v>1534</v>
      </c>
      <c r="C1013" s="162" t="s">
        <v>2</v>
      </c>
      <c r="D1013" s="162" t="s">
        <v>32</v>
      </c>
      <c r="E1013" s="231">
        <v>44945</v>
      </c>
      <c r="F1013" s="162" t="s">
        <v>1229</v>
      </c>
      <c r="G1013" s="231">
        <v>44945</v>
      </c>
      <c r="H1013" s="198">
        <f>SUMIF(VA!B:B,A1013,VA!I:I)</f>
        <v>359.46</v>
      </c>
      <c r="I1013" s="32">
        <f>SUMIF(VR!B:B,A1013,VR!I:I)</f>
        <v>657.5</v>
      </c>
      <c r="J1013" s="4">
        <f t="shared" si="15"/>
        <v>1016.96</v>
      </c>
      <c r="K1013" s="179">
        <f>SUMIF(FALTAS!A:A,A1013,FALTAS!D:D)</f>
        <v>0</v>
      </c>
    </row>
    <row r="1014" spans="1:11" x14ac:dyDescent="0.25">
      <c r="A1014" s="235">
        <v>114757</v>
      </c>
      <c r="B1014" s="162" t="s">
        <v>1092</v>
      </c>
      <c r="C1014" s="162" t="s">
        <v>15</v>
      </c>
      <c r="D1014" s="162" t="s">
        <v>1578</v>
      </c>
      <c r="E1014" s="231">
        <v>43874</v>
      </c>
      <c r="F1014" s="162" t="s">
        <v>1229</v>
      </c>
      <c r="G1014" s="231">
        <v>45086</v>
      </c>
      <c r="H1014" s="198">
        <f>SUMIF(VA!B:B,A1014,VA!I:I)</f>
        <v>359.46</v>
      </c>
      <c r="I1014" s="32">
        <f>SUMIF(VR!B:B,A1014,VR!I:I)</f>
        <v>657.5</v>
      </c>
      <c r="J1014" s="4">
        <f t="shared" si="15"/>
        <v>1016.96</v>
      </c>
      <c r="K1014" s="179">
        <f>SUMIF(FALTAS!A:A,A1014,FALTAS!D:D)</f>
        <v>0</v>
      </c>
    </row>
    <row r="1015" spans="1:11" x14ac:dyDescent="0.25">
      <c r="A1015" s="235">
        <v>114267</v>
      </c>
      <c r="B1015" s="162" t="s">
        <v>1028</v>
      </c>
      <c r="C1015" s="162" t="s">
        <v>5</v>
      </c>
      <c r="D1015" s="162" t="s">
        <v>0</v>
      </c>
      <c r="E1015" s="231">
        <v>43804</v>
      </c>
      <c r="F1015" s="162" t="s">
        <v>1229</v>
      </c>
      <c r="G1015" s="231">
        <v>45119</v>
      </c>
      <c r="H1015" s="198">
        <f>SUMIF(VA!B:B,A1015,VA!I:I)</f>
        <v>359.46</v>
      </c>
      <c r="I1015" s="32">
        <f>SUMIF(VR!B:B,A1015,VR!I:I)</f>
        <v>657.5</v>
      </c>
      <c r="J1015" s="4">
        <f t="shared" si="15"/>
        <v>1016.96</v>
      </c>
      <c r="K1015" s="179">
        <f>SUMIF(FALTAS!A:A,A1015,FALTAS!D:D)</f>
        <v>0</v>
      </c>
    </row>
    <row r="1016" spans="1:11" x14ac:dyDescent="0.25">
      <c r="A1016" s="235">
        <v>113292</v>
      </c>
      <c r="B1016" s="162" t="s">
        <v>691</v>
      </c>
      <c r="C1016" s="162" t="s">
        <v>2</v>
      </c>
      <c r="D1016" s="162" t="s">
        <v>8</v>
      </c>
      <c r="E1016" s="231">
        <v>43617</v>
      </c>
      <c r="F1016" s="162" t="s">
        <v>1229</v>
      </c>
      <c r="G1016" s="231">
        <v>45056</v>
      </c>
      <c r="H1016" s="198">
        <f>SUMIF(VA!B:B,A1016,VA!I:I)</f>
        <v>359.46</v>
      </c>
      <c r="I1016" s="32">
        <f>SUMIF(VR!B:B,A1016,VR!I:I)</f>
        <v>657.5</v>
      </c>
      <c r="J1016" s="4">
        <f t="shared" si="15"/>
        <v>1016.96</v>
      </c>
      <c r="K1016" s="179">
        <f>SUMIF(FALTAS!A:A,A1016,FALTAS!D:D)</f>
        <v>0</v>
      </c>
    </row>
    <row r="1017" spans="1:11" x14ac:dyDescent="0.25">
      <c r="A1017" s="235">
        <v>113294</v>
      </c>
      <c r="B1017" s="162" t="s">
        <v>692</v>
      </c>
      <c r="C1017" s="162" t="s">
        <v>2</v>
      </c>
      <c r="D1017" s="162" t="s">
        <v>19</v>
      </c>
      <c r="E1017" s="231">
        <v>43617</v>
      </c>
      <c r="F1017" s="162" t="s">
        <v>1229</v>
      </c>
      <c r="G1017" s="231">
        <v>45023</v>
      </c>
      <c r="H1017" s="198">
        <f>SUMIF(VA!B:B,A1017,VA!I:I)</f>
        <v>359.46</v>
      </c>
      <c r="I1017" s="32">
        <f>SUMIF(VR!B:B,A1017,VR!I:I)</f>
        <v>657.5</v>
      </c>
      <c r="J1017" s="4">
        <f t="shared" si="15"/>
        <v>1016.96</v>
      </c>
      <c r="K1017" s="179">
        <f>SUMIF(FALTAS!A:A,A1017,FALTAS!D:D)</f>
        <v>0</v>
      </c>
    </row>
    <row r="1018" spans="1:11" x14ac:dyDescent="0.25">
      <c r="A1018" s="235">
        <v>113313</v>
      </c>
      <c r="B1018" s="162" t="s">
        <v>701</v>
      </c>
      <c r="C1018" s="162" t="s">
        <v>5</v>
      </c>
      <c r="D1018" s="162" t="s">
        <v>0</v>
      </c>
      <c r="E1018" s="231">
        <v>43617</v>
      </c>
      <c r="F1018" s="162" t="s">
        <v>1229</v>
      </c>
      <c r="G1018" s="231">
        <v>44989</v>
      </c>
      <c r="H1018" s="198">
        <f>SUMIF(VA!B:B,A1018,VA!I:I)</f>
        <v>359.46</v>
      </c>
      <c r="I1018" s="32">
        <f>SUMIF(VR!B:B,A1018,VR!I:I)</f>
        <v>657.5</v>
      </c>
      <c r="J1018" s="4">
        <f t="shared" si="15"/>
        <v>1016.96</v>
      </c>
      <c r="K1018" s="179">
        <f>SUMIF(FALTAS!A:A,A1018,FALTAS!D:D)</f>
        <v>0</v>
      </c>
    </row>
    <row r="1019" spans="1:11" x14ac:dyDescent="0.25">
      <c r="A1019" s="235">
        <v>122827</v>
      </c>
      <c r="B1019" s="162" t="s">
        <v>1726</v>
      </c>
      <c r="C1019" s="162" t="s">
        <v>5</v>
      </c>
      <c r="D1019" s="162" t="s">
        <v>8</v>
      </c>
      <c r="E1019" s="231">
        <v>45180</v>
      </c>
      <c r="F1019" s="162" t="s">
        <v>1229</v>
      </c>
      <c r="G1019" s="231">
        <v>45180</v>
      </c>
      <c r="H1019" s="198">
        <f>SUMIF(VA!B:B,A1019,VA!I:I)</f>
        <v>359.46</v>
      </c>
      <c r="I1019" s="32">
        <f>SUMIF(VR!B:B,A1019,VR!I:I)</f>
        <v>657.5</v>
      </c>
      <c r="J1019" s="4">
        <f t="shared" si="15"/>
        <v>1016.96</v>
      </c>
      <c r="K1019" s="179">
        <f>SUMIF(FALTAS!A:A,A1019,FALTAS!D:D)</f>
        <v>0</v>
      </c>
    </row>
    <row r="1020" spans="1:11" x14ac:dyDescent="0.25">
      <c r="A1020" s="235">
        <v>119126</v>
      </c>
      <c r="B1020" s="162" t="s">
        <v>1438</v>
      </c>
      <c r="C1020" s="162" t="s">
        <v>15</v>
      </c>
      <c r="D1020" s="162" t="s">
        <v>1578</v>
      </c>
      <c r="E1020" s="231">
        <v>44630</v>
      </c>
      <c r="F1020" s="162" t="s">
        <v>1229</v>
      </c>
      <c r="G1020" s="231">
        <v>45056</v>
      </c>
      <c r="H1020" s="198">
        <f>SUMIF(VA!B:B,A1020,VA!I:I)</f>
        <v>359.46</v>
      </c>
      <c r="I1020" s="32">
        <f>SUMIF(VR!B:B,A1020,VR!I:I)</f>
        <v>657.5</v>
      </c>
      <c r="J1020" s="4">
        <f t="shared" si="15"/>
        <v>1016.96</v>
      </c>
      <c r="K1020" s="179">
        <f>SUMIF(FALTAS!A:A,A1020,FALTAS!D:D)</f>
        <v>0</v>
      </c>
    </row>
    <row r="1021" spans="1:11" x14ac:dyDescent="0.25">
      <c r="A1021" s="235">
        <v>118993</v>
      </c>
      <c r="B1021" s="162" t="s">
        <v>1426</v>
      </c>
      <c r="C1021" s="162" t="s">
        <v>933</v>
      </c>
      <c r="D1021" s="162" t="s">
        <v>1578</v>
      </c>
      <c r="E1021" s="231">
        <v>44613</v>
      </c>
      <c r="F1021" s="162" t="s">
        <v>1229</v>
      </c>
      <c r="G1021" s="231">
        <v>45149</v>
      </c>
      <c r="H1021" s="198">
        <f>SUMIF(VA!B:B,A1021,VA!I:I)</f>
        <v>359.46</v>
      </c>
      <c r="I1021" s="32">
        <f>SUMIF(VR!B:B,A1021,VR!I:I)</f>
        <v>657.5</v>
      </c>
      <c r="J1021" s="4">
        <f t="shared" si="15"/>
        <v>1016.96</v>
      </c>
      <c r="K1021" s="179">
        <f>SUMIF(FALTAS!A:A,A1021,FALTAS!D:D)</f>
        <v>0</v>
      </c>
    </row>
    <row r="1022" spans="1:11" x14ac:dyDescent="0.25">
      <c r="A1022" s="235">
        <v>114254</v>
      </c>
      <c r="B1022" s="162" t="s">
        <v>1018</v>
      </c>
      <c r="C1022" s="162" t="s">
        <v>2</v>
      </c>
      <c r="D1022" s="162" t="s">
        <v>0</v>
      </c>
      <c r="E1022" s="231">
        <v>43804</v>
      </c>
      <c r="F1022" s="162" t="s">
        <v>1229</v>
      </c>
      <c r="G1022" s="231">
        <v>45086</v>
      </c>
      <c r="H1022" s="198">
        <f>SUMIF(VA!B:B,A1022,VA!I:I)</f>
        <v>359.46</v>
      </c>
      <c r="I1022" s="32">
        <f>SUMIF(VR!B:B,A1022,VR!I:I)</f>
        <v>657.5</v>
      </c>
      <c r="J1022" s="4">
        <f t="shared" si="15"/>
        <v>1016.96</v>
      </c>
      <c r="K1022" s="179">
        <f>SUMIF(FALTAS!A:A,A1022,FALTAS!D:D)</f>
        <v>0</v>
      </c>
    </row>
    <row r="1023" spans="1:11" x14ac:dyDescent="0.25">
      <c r="A1023" s="235">
        <v>113324</v>
      </c>
      <c r="B1023" s="162" t="s">
        <v>706</v>
      </c>
      <c r="C1023" s="162" t="s">
        <v>2</v>
      </c>
      <c r="D1023" s="162" t="s">
        <v>0</v>
      </c>
      <c r="E1023" s="231">
        <v>43617</v>
      </c>
      <c r="F1023" s="162" t="s">
        <v>1229</v>
      </c>
      <c r="G1023" s="231">
        <v>44898</v>
      </c>
      <c r="H1023" s="198">
        <f>SUMIF(VA!B:B,A1023,VA!I:I)</f>
        <v>359.46</v>
      </c>
      <c r="I1023" s="32">
        <f>SUMIF(VR!B:B,A1023,VR!I:I)</f>
        <v>657.5</v>
      </c>
      <c r="J1023" s="4">
        <f t="shared" si="15"/>
        <v>1016.96</v>
      </c>
      <c r="K1023" s="179">
        <f>SUMIF(FALTAS!A:A,A1023,FALTAS!D:D)</f>
        <v>0</v>
      </c>
    </row>
    <row r="1024" spans="1:11" x14ac:dyDescent="0.25">
      <c r="A1024" s="235">
        <v>122418</v>
      </c>
      <c r="B1024" s="162" t="s">
        <v>1693</v>
      </c>
      <c r="C1024" s="162" t="s">
        <v>15</v>
      </c>
      <c r="D1024" s="162" t="s">
        <v>1578</v>
      </c>
      <c r="E1024" s="231">
        <v>45117</v>
      </c>
      <c r="F1024" s="162" t="s">
        <v>1229</v>
      </c>
      <c r="G1024" s="231">
        <v>45117</v>
      </c>
      <c r="H1024" s="198">
        <f>SUMIF(VA!B:B,A1024,VA!I:I)</f>
        <v>359.46</v>
      </c>
      <c r="I1024" s="32">
        <f>SUMIF(VR!B:B,A1024,VR!I:I)</f>
        <v>657.5</v>
      </c>
      <c r="J1024" s="4">
        <f t="shared" si="15"/>
        <v>1016.96</v>
      </c>
      <c r="K1024" s="179">
        <f>SUMIF(FALTAS!A:A,A1024,FALTAS!D:D)</f>
        <v>0</v>
      </c>
    </row>
    <row r="1025" spans="1:11" x14ac:dyDescent="0.25">
      <c r="A1025" s="235">
        <v>113329</v>
      </c>
      <c r="B1025" s="162" t="s">
        <v>710</v>
      </c>
      <c r="C1025" s="162" t="s">
        <v>2</v>
      </c>
      <c r="D1025" s="162" t="s">
        <v>32</v>
      </c>
      <c r="E1025" s="231">
        <v>43617</v>
      </c>
      <c r="F1025" s="162" t="s">
        <v>1229</v>
      </c>
      <c r="G1025" s="231">
        <v>45086</v>
      </c>
      <c r="H1025" s="198">
        <f>SUMIF(VA!B:B,A1025,VA!I:I)</f>
        <v>359.46</v>
      </c>
      <c r="I1025" s="32">
        <f>SUMIF(VR!B:B,A1025,VR!I:I)</f>
        <v>657.5</v>
      </c>
      <c r="J1025" s="4">
        <f t="shared" ref="J1025:J1088" si="16">H1025+I1025</f>
        <v>1016.96</v>
      </c>
      <c r="K1025" s="179">
        <f>SUMIF(FALTAS!A:A,A1025,FALTAS!D:D)</f>
        <v>0</v>
      </c>
    </row>
    <row r="1026" spans="1:11" x14ac:dyDescent="0.25">
      <c r="A1026" s="235">
        <v>114934</v>
      </c>
      <c r="B1026" s="162" t="s">
        <v>1116</v>
      </c>
      <c r="C1026" s="162" t="s">
        <v>480</v>
      </c>
      <c r="D1026" s="162" t="s">
        <v>1578</v>
      </c>
      <c r="E1026" s="231">
        <v>43916</v>
      </c>
      <c r="F1026" s="162" t="s">
        <v>1230</v>
      </c>
      <c r="G1026" s="231">
        <v>45180</v>
      </c>
      <c r="H1026" s="198">
        <f>SUMIF(VA!B:B,A1026,VA!I:I)</f>
        <v>359.46</v>
      </c>
      <c r="I1026" s="32">
        <f>SUMIF(VR!B:B,A1026,VR!I:I)</f>
        <v>657.5</v>
      </c>
      <c r="J1026" s="4">
        <f t="shared" si="16"/>
        <v>1016.96</v>
      </c>
      <c r="K1026" s="179">
        <f>SUMIF(FALTAS!A:A,A1026,FALTAS!D:D)</f>
        <v>0</v>
      </c>
    </row>
    <row r="1027" spans="1:11" x14ac:dyDescent="0.25">
      <c r="A1027" s="235">
        <v>113337</v>
      </c>
      <c r="B1027" s="162" t="s">
        <v>714</v>
      </c>
      <c r="C1027" s="162" t="s">
        <v>5</v>
      </c>
      <c r="D1027" s="162" t="s">
        <v>10</v>
      </c>
      <c r="E1027" s="231">
        <v>43617</v>
      </c>
      <c r="F1027" s="162" t="s">
        <v>1229</v>
      </c>
      <c r="G1027" s="231">
        <v>45149</v>
      </c>
      <c r="H1027" s="198">
        <f>SUMIF(VA!B:B,A1027,VA!I:I)</f>
        <v>359.46</v>
      </c>
      <c r="I1027" s="32">
        <f>SUMIF(VR!B:B,A1027,VR!I:I)</f>
        <v>657.5</v>
      </c>
      <c r="J1027" s="4">
        <f t="shared" si="16"/>
        <v>1016.96</v>
      </c>
      <c r="K1027" s="179">
        <f>SUMIF(FALTAS!A:A,A1027,FALTAS!D:D)</f>
        <v>0</v>
      </c>
    </row>
    <row r="1028" spans="1:11" x14ac:dyDescent="0.25">
      <c r="A1028" s="235">
        <v>113342</v>
      </c>
      <c r="B1028" s="162" t="s">
        <v>717</v>
      </c>
      <c r="C1028" s="162" t="s">
        <v>5</v>
      </c>
      <c r="D1028" s="162" t="s">
        <v>10</v>
      </c>
      <c r="E1028" s="231">
        <v>43617</v>
      </c>
      <c r="F1028" s="162" t="s">
        <v>1229</v>
      </c>
      <c r="G1028" s="231">
        <v>44806</v>
      </c>
      <c r="H1028" s="198">
        <f>SUMIF(VA!B:B,A1028,VA!I:I)</f>
        <v>359.46</v>
      </c>
      <c r="I1028" s="32">
        <f>SUMIF(VR!B:B,A1028,VR!I:I)</f>
        <v>657.5</v>
      </c>
      <c r="J1028" s="4">
        <f t="shared" si="16"/>
        <v>1016.96</v>
      </c>
      <c r="K1028" s="179">
        <f>SUMIF(FALTAS!A:A,A1028,FALTAS!D:D)</f>
        <v>0</v>
      </c>
    </row>
    <row r="1029" spans="1:11" x14ac:dyDescent="0.25">
      <c r="A1029" s="235">
        <v>118995</v>
      </c>
      <c r="B1029" s="162" t="s">
        <v>1427</v>
      </c>
      <c r="C1029" s="162" t="s">
        <v>15</v>
      </c>
      <c r="D1029" s="162" t="s">
        <v>1578</v>
      </c>
      <c r="E1029" s="231">
        <v>44613</v>
      </c>
      <c r="F1029" s="162" t="s">
        <v>1229</v>
      </c>
      <c r="G1029" s="231">
        <v>45086</v>
      </c>
      <c r="H1029" s="198">
        <f>SUMIF(VA!B:B,A1029,VA!I:I)</f>
        <v>359.46</v>
      </c>
      <c r="I1029" s="32">
        <f>SUMIF(VR!B:B,A1029,VR!I:I)</f>
        <v>657.5</v>
      </c>
      <c r="J1029" s="4">
        <f t="shared" si="16"/>
        <v>1016.96</v>
      </c>
      <c r="K1029" s="179">
        <f>SUMIF(FALTAS!A:A,A1029,FALTAS!D:D)</f>
        <v>0</v>
      </c>
    </row>
    <row r="1030" spans="1:11" x14ac:dyDescent="0.25">
      <c r="A1030" s="235">
        <v>113721</v>
      </c>
      <c r="B1030" s="162" t="s">
        <v>935</v>
      </c>
      <c r="C1030" s="162" t="s">
        <v>469</v>
      </c>
      <c r="D1030" s="162" t="s">
        <v>8</v>
      </c>
      <c r="E1030" s="231">
        <v>43619</v>
      </c>
      <c r="F1030" s="162" t="s">
        <v>1229</v>
      </c>
      <c r="G1030" s="231">
        <v>45149</v>
      </c>
      <c r="H1030" s="198">
        <f>SUMIF(VA!B:B,A1030,VA!I:I)</f>
        <v>359.46</v>
      </c>
      <c r="I1030" s="32">
        <f>SUMIF(VR!B:B,A1030,VR!I:I)</f>
        <v>657.5</v>
      </c>
      <c r="J1030" s="4">
        <f t="shared" si="16"/>
        <v>1016.96</v>
      </c>
      <c r="K1030" s="179">
        <f>SUMIF(FALTAS!A:A,A1030,FALTAS!D:D)</f>
        <v>0</v>
      </c>
    </row>
    <row r="1031" spans="1:11" x14ac:dyDescent="0.25">
      <c r="A1031" s="235">
        <v>113783</v>
      </c>
      <c r="B1031" s="162" t="s">
        <v>978</v>
      </c>
      <c r="C1031" s="162" t="s">
        <v>1650</v>
      </c>
      <c r="D1031" s="162" t="s">
        <v>1578</v>
      </c>
      <c r="E1031" s="231">
        <v>43624</v>
      </c>
      <c r="F1031" s="162" t="s">
        <v>1229</v>
      </c>
      <c r="G1031" s="231">
        <v>44960</v>
      </c>
      <c r="H1031" s="198">
        <f>SUMIF(VA!B:B,A1031,VA!I:I)</f>
        <v>359.46</v>
      </c>
      <c r="I1031" s="32">
        <f>SUMIF(VR!B:B,A1031,VR!I:I)</f>
        <v>657.5</v>
      </c>
      <c r="J1031" s="4">
        <f t="shared" si="16"/>
        <v>1016.96</v>
      </c>
      <c r="K1031" s="179">
        <f>SUMIF(FALTAS!A:A,A1031,FALTAS!D:D)</f>
        <v>0</v>
      </c>
    </row>
    <row r="1032" spans="1:11" x14ac:dyDescent="0.25">
      <c r="A1032" s="235">
        <v>112193</v>
      </c>
      <c r="B1032" s="162" t="s">
        <v>25</v>
      </c>
      <c r="C1032" s="162" t="s">
        <v>5</v>
      </c>
      <c r="D1032" s="162" t="s">
        <v>10</v>
      </c>
      <c r="E1032" s="231">
        <v>43617</v>
      </c>
      <c r="F1032" s="162" t="s">
        <v>1229</v>
      </c>
      <c r="G1032" s="231">
        <v>45177</v>
      </c>
      <c r="H1032" s="198">
        <f>SUMIF(VA!B:B,A1032,VA!I:I)</f>
        <v>359.46</v>
      </c>
      <c r="I1032" s="32">
        <f>SUMIF(VR!B:B,A1032,VR!I:I)</f>
        <v>657.5</v>
      </c>
      <c r="J1032" s="4">
        <f t="shared" si="16"/>
        <v>1016.96</v>
      </c>
      <c r="K1032" s="179">
        <f>SUMIF(FALTAS!A:A,A1032,FALTAS!D:D)</f>
        <v>0</v>
      </c>
    </row>
    <row r="1033" spans="1:11" x14ac:dyDescent="0.25">
      <c r="A1033" s="235">
        <v>122254</v>
      </c>
      <c r="B1033" s="162" t="s">
        <v>1657</v>
      </c>
      <c r="C1033" s="162" t="s">
        <v>963</v>
      </c>
      <c r="D1033" s="162" t="s">
        <v>1578</v>
      </c>
      <c r="E1033" s="231">
        <v>45089</v>
      </c>
      <c r="F1033" s="162" t="s">
        <v>1229</v>
      </c>
      <c r="G1033" s="231">
        <v>45089</v>
      </c>
      <c r="H1033" s="198">
        <f>SUMIF(VA!B:B,A1033,VA!I:I)</f>
        <v>359.46</v>
      </c>
      <c r="I1033" s="32">
        <f>SUMIF(VR!B:B,A1033,VR!I:I)</f>
        <v>657.5</v>
      </c>
      <c r="J1033" s="4">
        <f t="shared" si="16"/>
        <v>1016.96</v>
      </c>
      <c r="K1033" s="179">
        <f>SUMIF(FALTAS!A:A,A1033,FALTAS!D:D)</f>
        <v>0</v>
      </c>
    </row>
    <row r="1034" spans="1:11" x14ac:dyDescent="0.25">
      <c r="A1034" s="235">
        <v>117414</v>
      </c>
      <c r="B1034" s="162" t="s">
        <v>1274</v>
      </c>
      <c r="C1034" s="162" t="s">
        <v>2</v>
      </c>
      <c r="D1034" s="162" t="s">
        <v>10</v>
      </c>
      <c r="E1034" s="231">
        <v>44522</v>
      </c>
      <c r="F1034" s="162" t="s">
        <v>1229</v>
      </c>
      <c r="G1034" s="231">
        <v>45086</v>
      </c>
      <c r="H1034" s="198">
        <f>SUMIF(VA!B:B,A1034,VA!I:I)</f>
        <v>359.46</v>
      </c>
      <c r="I1034" s="32">
        <f>SUMIF(VR!B:B,A1034,VR!I:I)</f>
        <v>657.5</v>
      </c>
      <c r="J1034" s="4">
        <f t="shared" si="16"/>
        <v>1016.96</v>
      </c>
      <c r="K1034" s="179">
        <f>SUMIF(FALTAS!A:A,A1034,FALTAS!D:D)</f>
        <v>0</v>
      </c>
    </row>
    <row r="1035" spans="1:11" x14ac:dyDescent="0.25">
      <c r="A1035" s="235">
        <v>112201</v>
      </c>
      <c r="B1035" s="162" t="s">
        <v>30</v>
      </c>
      <c r="C1035" s="162" t="s">
        <v>5</v>
      </c>
      <c r="D1035" s="162" t="s">
        <v>10</v>
      </c>
      <c r="E1035" s="231">
        <v>43617</v>
      </c>
      <c r="F1035" s="162" t="s">
        <v>1229</v>
      </c>
      <c r="G1035" s="231">
        <v>45149</v>
      </c>
      <c r="H1035" s="198">
        <f>SUMIF(VA!B:B,A1035,VA!I:I)</f>
        <v>359.46</v>
      </c>
      <c r="I1035" s="32">
        <f>SUMIF(VR!B:B,A1035,VR!I:I)</f>
        <v>657.5</v>
      </c>
      <c r="J1035" s="4">
        <f t="shared" si="16"/>
        <v>1016.96</v>
      </c>
      <c r="K1035" s="179">
        <f>SUMIF(FALTAS!A:A,A1035,FALTAS!D:D)</f>
        <v>0</v>
      </c>
    </row>
    <row r="1036" spans="1:11" x14ac:dyDescent="0.25">
      <c r="A1036" s="235">
        <v>113778</v>
      </c>
      <c r="B1036" s="162" t="s">
        <v>975</v>
      </c>
      <c r="C1036" s="162" t="s">
        <v>7</v>
      </c>
      <c r="D1036" s="162" t="s">
        <v>0</v>
      </c>
      <c r="E1036" s="231">
        <v>43623</v>
      </c>
      <c r="F1036" s="162" t="s">
        <v>1229</v>
      </c>
      <c r="G1036" s="231">
        <v>45000</v>
      </c>
      <c r="H1036" s="198">
        <f>SUMIF(VA!B:B,A1036,VA!I:I)</f>
        <v>359.46</v>
      </c>
      <c r="I1036" s="32">
        <f>SUMIF(VR!B:B,A1036,VR!I:I)</f>
        <v>657.5</v>
      </c>
      <c r="J1036" s="4">
        <f t="shared" si="16"/>
        <v>1016.96</v>
      </c>
      <c r="K1036" s="179">
        <f>SUMIF(FALTAS!A:A,A1036,FALTAS!D:D)</f>
        <v>0</v>
      </c>
    </row>
    <row r="1037" spans="1:11" x14ac:dyDescent="0.25">
      <c r="A1037" s="235">
        <v>112230</v>
      </c>
      <c r="B1037" s="162" t="s">
        <v>52</v>
      </c>
      <c r="C1037" s="162" t="s">
        <v>2</v>
      </c>
      <c r="D1037" s="162" t="s">
        <v>0</v>
      </c>
      <c r="E1037" s="231">
        <v>43617</v>
      </c>
      <c r="F1037" s="162" t="s">
        <v>1229</v>
      </c>
      <c r="G1037" s="231">
        <v>45177</v>
      </c>
      <c r="H1037" s="198">
        <f>SUMIF(VA!B:B,A1037,VA!I:I)</f>
        <v>359.46</v>
      </c>
      <c r="I1037" s="32">
        <f>SUMIF(VR!B:B,A1037,VR!I:I)</f>
        <v>657.5</v>
      </c>
      <c r="J1037" s="4">
        <f t="shared" si="16"/>
        <v>1016.96</v>
      </c>
      <c r="K1037" s="179">
        <f>SUMIF(FALTAS!A:A,A1037,FALTAS!D:D)</f>
        <v>0</v>
      </c>
    </row>
    <row r="1038" spans="1:11" x14ac:dyDescent="0.25">
      <c r="A1038" s="235">
        <v>114106</v>
      </c>
      <c r="B1038" s="162" t="s">
        <v>1006</v>
      </c>
      <c r="C1038" s="162" t="s">
        <v>5</v>
      </c>
      <c r="D1038" s="162" t="s">
        <v>10</v>
      </c>
      <c r="E1038" s="231">
        <v>43728</v>
      </c>
      <c r="F1038" s="162" t="s">
        <v>1229</v>
      </c>
      <c r="G1038" s="231">
        <v>45086</v>
      </c>
      <c r="H1038" s="198">
        <f>SUMIF(VA!B:B,A1038,VA!I:I)</f>
        <v>359.46</v>
      </c>
      <c r="I1038" s="32">
        <f>SUMIF(VR!B:B,A1038,VR!I:I)</f>
        <v>657.5</v>
      </c>
      <c r="J1038" s="4">
        <f t="shared" si="16"/>
        <v>1016.96</v>
      </c>
      <c r="K1038" s="179">
        <f>SUMIF(FALTAS!A:A,A1038,FALTAS!D:D)</f>
        <v>0</v>
      </c>
    </row>
    <row r="1039" spans="1:11" x14ac:dyDescent="0.25">
      <c r="A1039" s="235">
        <v>119672</v>
      </c>
      <c r="B1039" s="162" t="s">
        <v>1469</v>
      </c>
      <c r="C1039" s="162" t="s">
        <v>2</v>
      </c>
      <c r="D1039" s="162" t="s">
        <v>0</v>
      </c>
      <c r="E1039" s="231">
        <v>44725</v>
      </c>
      <c r="F1039" s="162" t="s">
        <v>1229</v>
      </c>
      <c r="G1039" s="231">
        <v>44725</v>
      </c>
      <c r="H1039" s="198">
        <f>SUMIF(VA!B:B,A1039,VA!I:I)</f>
        <v>359.46</v>
      </c>
      <c r="I1039" s="32">
        <f>SUMIF(VR!B:B,A1039,VR!I:I)</f>
        <v>657.5</v>
      </c>
      <c r="J1039" s="4">
        <f t="shared" si="16"/>
        <v>1016.96</v>
      </c>
      <c r="K1039" s="179">
        <f>SUMIF(FALTAS!A:A,A1039,FALTAS!D:D)</f>
        <v>0</v>
      </c>
    </row>
    <row r="1040" spans="1:11" x14ac:dyDescent="0.25">
      <c r="A1040" s="235">
        <v>112240</v>
      </c>
      <c r="B1040" s="162" t="s">
        <v>58</v>
      </c>
      <c r="C1040" s="162" t="s">
        <v>2</v>
      </c>
      <c r="D1040" s="162" t="s">
        <v>0</v>
      </c>
      <c r="E1040" s="231">
        <v>43617</v>
      </c>
      <c r="F1040" s="162" t="s">
        <v>1229</v>
      </c>
      <c r="G1040" s="231">
        <v>44776</v>
      </c>
      <c r="H1040" s="198">
        <f>SUMIF(VA!B:B,A1040,VA!I:I)</f>
        <v>359.46</v>
      </c>
      <c r="I1040" s="32">
        <f>SUMIF(VR!B:B,A1040,VR!I:I)</f>
        <v>657.5</v>
      </c>
      <c r="J1040" s="4">
        <f t="shared" si="16"/>
        <v>1016.96</v>
      </c>
      <c r="K1040" s="179">
        <f>SUMIF(FALTAS!A:A,A1040,FALTAS!D:D)</f>
        <v>0</v>
      </c>
    </row>
    <row r="1041" spans="1:11" x14ac:dyDescent="0.25">
      <c r="A1041" s="235">
        <v>112262</v>
      </c>
      <c r="B1041" s="162" t="s">
        <v>72</v>
      </c>
      <c r="C1041" s="162" t="s">
        <v>5</v>
      </c>
      <c r="D1041" s="162" t="s">
        <v>0</v>
      </c>
      <c r="E1041" s="231">
        <v>43617</v>
      </c>
      <c r="F1041" s="162" t="s">
        <v>1229</v>
      </c>
      <c r="G1041" s="231">
        <v>44806</v>
      </c>
      <c r="H1041" s="198">
        <f>SUMIF(VA!B:B,A1041,VA!I:I)</f>
        <v>359.46</v>
      </c>
      <c r="I1041" s="32">
        <f>SUMIF(VR!B:B,A1041,VR!I:I)</f>
        <v>657.5</v>
      </c>
      <c r="J1041" s="4">
        <f t="shared" si="16"/>
        <v>1016.96</v>
      </c>
      <c r="K1041" s="179">
        <f>SUMIF(FALTAS!A:A,A1041,FALTAS!D:D)</f>
        <v>0</v>
      </c>
    </row>
    <row r="1042" spans="1:11" x14ac:dyDescent="0.25">
      <c r="A1042" s="235">
        <v>119742</v>
      </c>
      <c r="B1042" s="162" t="s">
        <v>1161</v>
      </c>
      <c r="C1042" s="162" t="s">
        <v>120</v>
      </c>
      <c r="D1042" s="162" t="s">
        <v>1578</v>
      </c>
      <c r="E1042" s="231">
        <v>44733</v>
      </c>
      <c r="F1042" s="162" t="s">
        <v>1229</v>
      </c>
      <c r="G1042" s="231">
        <v>45134</v>
      </c>
      <c r="H1042" s="198">
        <f>SUMIF(VA!B:B,A1042,VA!I:I)</f>
        <v>359.46</v>
      </c>
      <c r="I1042" s="32">
        <f>SUMIF(VR!B:B,A1042,VR!I:I)</f>
        <v>657.5</v>
      </c>
      <c r="J1042" s="4">
        <f t="shared" si="16"/>
        <v>1016.96</v>
      </c>
      <c r="K1042" s="179">
        <f>SUMIF(FALTAS!A:A,A1042,FALTAS!D:D)</f>
        <v>0</v>
      </c>
    </row>
    <row r="1043" spans="1:11" x14ac:dyDescent="0.25">
      <c r="A1043" s="235">
        <v>112277</v>
      </c>
      <c r="B1043" s="162" t="s">
        <v>82</v>
      </c>
      <c r="C1043" s="162" t="s">
        <v>5</v>
      </c>
      <c r="D1043" s="162" t="s">
        <v>8</v>
      </c>
      <c r="E1043" s="231">
        <v>43617</v>
      </c>
      <c r="F1043" s="162" t="s">
        <v>1229</v>
      </c>
      <c r="G1043" s="231">
        <v>44835</v>
      </c>
      <c r="H1043" s="198">
        <f>SUMIF(VA!B:B,A1043,VA!I:I)</f>
        <v>359.46</v>
      </c>
      <c r="I1043" s="32">
        <f>SUMIF(VR!B:B,A1043,VR!I:I)</f>
        <v>657.5</v>
      </c>
      <c r="J1043" s="4">
        <f t="shared" si="16"/>
        <v>1016.96</v>
      </c>
      <c r="K1043" s="179">
        <f>SUMIF(FALTAS!A:A,A1043,FALTAS!D:D)</f>
        <v>0</v>
      </c>
    </row>
    <row r="1044" spans="1:11" x14ac:dyDescent="0.25">
      <c r="A1044" s="235">
        <v>112306</v>
      </c>
      <c r="B1044" s="162" t="s">
        <v>100</v>
      </c>
      <c r="C1044" s="162" t="s">
        <v>2</v>
      </c>
      <c r="D1044" s="162" t="s">
        <v>10</v>
      </c>
      <c r="E1044" s="231">
        <v>43617</v>
      </c>
      <c r="F1044" s="162" t="s">
        <v>1229</v>
      </c>
      <c r="G1044" s="231">
        <v>45149</v>
      </c>
      <c r="H1044" s="198">
        <f>SUMIF(VA!B:B,A1044,VA!I:I)</f>
        <v>359.46</v>
      </c>
      <c r="I1044" s="32">
        <f>SUMIF(VR!B:B,A1044,VR!I:I)</f>
        <v>657.5</v>
      </c>
      <c r="J1044" s="4">
        <f t="shared" si="16"/>
        <v>1016.96</v>
      </c>
      <c r="K1044" s="179">
        <f>SUMIF(FALTAS!A:A,A1044,FALTAS!D:D)</f>
        <v>0</v>
      </c>
    </row>
    <row r="1045" spans="1:11" x14ac:dyDescent="0.25">
      <c r="A1045" s="235">
        <v>113675</v>
      </c>
      <c r="B1045" s="162" t="s">
        <v>909</v>
      </c>
      <c r="C1045" s="162" t="s">
        <v>5</v>
      </c>
      <c r="D1045" s="162" t="s">
        <v>19</v>
      </c>
      <c r="E1045" s="231">
        <v>43617</v>
      </c>
      <c r="F1045" s="162" t="s">
        <v>1229</v>
      </c>
      <c r="G1045" s="231">
        <v>44776</v>
      </c>
      <c r="H1045" s="198">
        <f>SUMIF(VA!B:B,A1045,VA!I:I)</f>
        <v>359.46</v>
      </c>
      <c r="I1045" s="32">
        <f>SUMIF(VR!B:B,A1045,VR!I:I)</f>
        <v>657.5</v>
      </c>
      <c r="J1045" s="4">
        <f t="shared" si="16"/>
        <v>1016.96</v>
      </c>
      <c r="K1045" s="179">
        <f>SUMIF(FALTAS!A:A,A1045,FALTAS!D:D)</f>
        <v>0</v>
      </c>
    </row>
    <row r="1046" spans="1:11" x14ac:dyDescent="0.25">
      <c r="A1046" s="235">
        <v>112373</v>
      </c>
      <c r="B1046" s="162" t="s">
        <v>137</v>
      </c>
      <c r="C1046" s="162" t="s">
        <v>5</v>
      </c>
      <c r="D1046" s="162" t="s">
        <v>0</v>
      </c>
      <c r="E1046" s="231">
        <v>43617</v>
      </c>
      <c r="F1046" s="162" t="s">
        <v>1230</v>
      </c>
      <c r="G1046" s="231">
        <v>45180</v>
      </c>
      <c r="H1046" s="198">
        <f>SUMIF(VA!B:B,A1046,VA!I:I)</f>
        <v>359.46</v>
      </c>
      <c r="I1046" s="32">
        <f>SUMIF(VR!B:B,A1046,VR!I:I)</f>
        <v>657.5</v>
      </c>
      <c r="J1046" s="4">
        <f t="shared" si="16"/>
        <v>1016.96</v>
      </c>
      <c r="K1046" s="179">
        <f>SUMIF(FALTAS!A:A,A1046,FALTAS!D:D)</f>
        <v>0</v>
      </c>
    </row>
    <row r="1047" spans="1:11" x14ac:dyDescent="0.25">
      <c r="A1047" s="235">
        <v>112380</v>
      </c>
      <c r="B1047" s="162" t="s">
        <v>143</v>
      </c>
      <c r="C1047" s="162" t="s">
        <v>2</v>
      </c>
      <c r="D1047" s="162" t="s">
        <v>0</v>
      </c>
      <c r="E1047" s="231">
        <v>43617</v>
      </c>
      <c r="F1047" s="162" t="s">
        <v>1229</v>
      </c>
      <c r="G1047" s="231">
        <v>44776</v>
      </c>
      <c r="H1047" s="198">
        <f>SUMIF(VA!B:B,A1047,VA!I:I)</f>
        <v>359.46</v>
      </c>
      <c r="I1047" s="32">
        <f>SUMIF(VR!B:B,A1047,VR!I:I)</f>
        <v>657.5</v>
      </c>
      <c r="J1047" s="4">
        <f t="shared" si="16"/>
        <v>1016.96</v>
      </c>
      <c r="K1047" s="179">
        <f>SUMIF(FALTAS!A:A,A1047,FALTAS!D:D)</f>
        <v>0</v>
      </c>
    </row>
    <row r="1048" spans="1:11" x14ac:dyDescent="0.25">
      <c r="A1048" s="235">
        <v>112392</v>
      </c>
      <c r="B1048" s="162" t="s">
        <v>150</v>
      </c>
      <c r="C1048" s="162" t="s">
        <v>2</v>
      </c>
      <c r="D1048" s="162" t="s">
        <v>0</v>
      </c>
      <c r="E1048" s="231">
        <v>43617</v>
      </c>
      <c r="F1048" s="162" t="s">
        <v>1229</v>
      </c>
      <c r="G1048" s="231">
        <v>44776</v>
      </c>
      <c r="H1048" s="198">
        <f>SUMIF(VA!B:B,A1048,VA!I:I)</f>
        <v>359.46</v>
      </c>
      <c r="I1048" s="32">
        <f>SUMIF(VR!B:B,A1048,VR!I:I)</f>
        <v>657.5</v>
      </c>
      <c r="J1048" s="4">
        <f t="shared" si="16"/>
        <v>1016.96</v>
      </c>
      <c r="K1048" s="179">
        <f>SUMIF(FALTAS!A:A,A1048,FALTAS!D:D)</f>
        <v>0</v>
      </c>
    </row>
    <row r="1049" spans="1:11" x14ac:dyDescent="0.25">
      <c r="A1049" s="235">
        <v>116719</v>
      </c>
      <c r="B1049" s="162" t="s">
        <v>1217</v>
      </c>
      <c r="C1049" s="162" t="s">
        <v>2</v>
      </c>
      <c r="D1049" s="162" t="s">
        <v>8</v>
      </c>
      <c r="E1049" s="231">
        <v>44368</v>
      </c>
      <c r="F1049" s="162" t="s">
        <v>1229</v>
      </c>
      <c r="G1049" s="231">
        <v>44993</v>
      </c>
      <c r="H1049" s="198">
        <f>SUMIF(VA!B:B,A1049,VA!I:I)</f>
        <v>359.46</v>
      </c>
      <c r="I1049" s="32">
        <f>SUMIF(VR!B:B,A1049,VR!I:I)</f>
        <v>657.5</v>
      </c>
      <c r="J1049" s="4">
        <f t="shared" si="16"/>
        <v>1016.96</v>
      </c>
      <c r="K1049" s="179">
        <f>SUMIF(FALTAS!A:A,A1049,FALTAS!D:D)</f>
        <v>0</v>
      </c>
    </row>
    <row r="1050" spans="1:11" x14ac:dyDescent="0.25">
      <c r="A1050" s="235">
        <v>112397</v>
      </c>
      <c r="B1050" s="162" t="s">
        <v>153</v>
      </c>
      <c r="C1050" s="162" t="s">
        <v>2</v>
      </c>
      <c r="D1050" s="162" t="s">
        <v>10</v>
      </c>
      <c r="E1050" s="231">
        <v>43617</v>
      </c>
      <c r="F1050" s="162" t="s">
        <v>1229</v>
      </c>
      <c r="G1050" s="231">
        <v>44835</v>
      </c>
      <c r="H1050" s="198">
        <f>SUMIF(VA!B:B,A1050,VA!I:I)</f>
        <v>359.46</v>
      </c>
      <c r="I1050" s="32">
        <f>SUMIF(VR!B:B,A1050,VR!I:I)</f>
        <v>657.5</v>
      </c>
      <c r="J1050" s="4">
        <f t="shared" si="16"/>
        <v>1016.96</v>
      </c>
      <c r="K1050" s="179">
        <f>SUMIF(FALTAS!A:A,A1050,FALTAS!D:D)</f>
        <v>0</v>
      </c>
    </row>
    <row r="1051" spans="1:11" x14ac:dyDescent="0.25">
      <c r="A1051" s="235">
        <v>112402</v>
      </c>
      <c r="B1051" s="162" t="s">
        <v>158</v>
      </c>
      <c r="C1051" s="162" t="s">
        <v>5</v>
      </c>
      <c r="D1051" s="162" t="s">
        <v>0</v>
      </c>
      <c r="E1051" s="231">
        <v>43617</v>
      </c>
      <c r="F1051" s="162" t="s">
        <v>1229</v>
      </c>
      <c r="G1051" s="231">
        <v>44993</v>
      </c>
      <c r="H1051" s="198">
        <f>SUMIF(VA!B:B,A1051,VA!I:I)</f>
        <v>359.46</v>
      </c>
      <c r="I1051" s="32">
        <f>SUMIF(VR!B:B,A1051,VR!I:I)</f>
        <v>657.5</v>
      </c>
      <c r="J1051" s="4">
        <f t="shared" si="16"/>
        <v>1016.96</v>
      </c>
      <c r="K1051" s="179">
        <f>SUMIF(FALTAS!A:A,A1051,FALTAS!D:D)</f>
        <v>0</v>
      </c>
    </row>
    <row r="1052" spans="1:11" x14ac:dyDescent="0.25">
      <c r="A1052" s="235">
        <v>112405</v>
      </c>
      <c r="B1052" s="162" t="s">
        <v>160</v>
      </c>
      <c r="C1052" s="162" t="s">
        <v>2</v>
      </c>
      <c r="D1052" s="162" t="s">
        <v>8</v>
      </c>
      <c r="E1052" s="231">
        <v>43617</v>
      </c>
      <c r="F1052" s="162" t="s">
        <v>1229</v>
      </c>
      <c r="G1052" s="231">
        <v>44806</v>
      </c>
      <c r="H1052" s="198">
        <f>SUMIF(VA!B:B,A1052,VA!I:I)</f>
        <v>359.46</v>
      </c>
      <c r="I1052" s="32">
        <f>SUMIF(VR!B:B,A1052,VR!I:I)</f>
        <v>657.5</v>
      </c>
      <c r="J1052" s="4">
        <f t="shared" si="16"/>
        <v>1016.96</v>
      </c>
      <c r="K1052" s="179">
        <f>SUMIF(FALTAS!A:A,A1052,FALTAS!D:D)</f>
        <v>0</v>
      </c>
    </row>
    <row r="1053" spans="1:11" x14ac:dyDescent="0.25">
      <c r="A1053" s="235">
        <v>114928</v>
      </c>
      <c r="B1053" s="162" t="s">
        <v>1113</v>
      </c>
      <c r="C1053" s="162" t="s">
        <v>5</v>
      </c>
      <c r="D1053" s="162" t="s">
        <v>1578</v>
      </c>
      <c r="E1053" s="231">
        <v>43916</v>
      </c>
      <c r="F1053" s="162" t="s">
        <v>1229</v>
      </c>
      <c r="G1053" s="231">
        <v>45177</v>
      </c>
      <c r="H1053" s="198">
        <f>SUMIF(VA!B:B,A1053,VA!I:I)</f>
        <v>359.46</v>
      </c>
      <c r="I1053" s="32">
        <f>SUMIF(VR!B:B,A1053,VR!I:I)</f>
        <v>657.5</v>
      </c>
      <c r="J1053" s="4">
        <f t="shared" si="16"/>
        <v>1016.96</v>
      </c>
      <c r="K1053" s="179">
        <f>SUMIF(FALTAS!A:A,A1053,FALTAS!D:D)</f>
        <v>0</v>
      </c>
    </row>
    <row r="1054" spans="1:11" x14ac:dyDescent="0.25">
      <c r="A1054" s="235">
        <v>112445</v>
      </c>
      <c r="B1054" s="162" t="s">
        <v>186</v>
      </c>
      <c r="C1054" s="162" t="s">
        <v>2</v>
      </c>
      <c r="D1054" s="162" t="s">
        <v>10</v>
      </c>
      <c r="E1054" s="231">
        <v>43617</v>
      </c>
      <c r="F1054" s="162" t="s">
        <v>1229</v>
      </c>
      <c r="G1054" s="231">
        <v>44989</v>
      </c>
      <c r="H1054" s="198">
        <f>SUMIF(VA!B:B,A1054,VA!I:I)</f>
        <v>359.46</v>
      </c>
      <c r="I1054" s="32">
        <f>SUMIF(VR!B:B,A1054,VR!I:I)</f>
        <v>657.5</v>
      </c>
      <c r="J1054" s="4">
        <f t="shared" si="16"/>
        <v>1016.96</v>
      </c>
      <c r="K1054" s="179">
        <f>SUMIF(FALTAS!A:A,A1054,FALTAS!D:D)</f>
        <v>0</v>
      </c>
    </row>
    <row r="1055" spans="1:11" x14ac:dyDescent="0.25">
      <c r="A1055" s="235">
        <v>121690</v>
      </c>
      <c r="B1055" s="162" t="s">
        <v>1590</v>
      </c>
      <c r="C1055" s="162" t="s">
        <v>469</v>
      </c>
      <c r="D1055" s="162" t="s">
        <v>1580</v>
      </c>
      <c r="E1055" s="231">
        <v>44994</v>
      </c>
      <c r="F1055" s="162" t="s">
        <v>1229</v>
      </c>
      <c r="G1055" s="231">
        <v>44994</v>
      </c>
      <c r="H1055" s="198">
        <f>SUMIF(VA!B:B,A1055,VA!I:I)</f>
        <v>359.46</v>
      </c>
      <c r="I1055" s="32">
        <f>SUMIF(VR!B:B,A1055,VR!I:I)</f>
        <v>657.5</v>
      </c>
      <c r="J1055" s="4">
        <f t="shared" si="16"/>
        <v>1016.96</v>
      </c>
      <c r="K1055" s="179">
        <f>SUMIF(FALTAS!A:A,A1055,FALTAS!D:D)</f>
        <v>0</v>
      </c>
    </row>
    <row r="1056" spans="1:11" x14ac:dyDescent="0.25">
      <c r="A1056" s="235">
        <v>114272</v>
      </c>
      <c r="B1056" s="162" t="s">
        <v>1029</v>
      </c>
      <c r="C1056" s="162" t="s">
        <v>2</v>
      </c>
      <c r="D1056" s="162" t="s">
        <v>10</v>
      </c>
      <c r="E1056" s="231">
        <v>43804</v>
      </c>
      <c r="F1056" s="162" t="s">
        <v>1229</v>
      </c>
      <c r="G1056" s="231">
        <v>45086</v>
      </c>
      <c r="H1056" s="198">
        <f>SUMIF(VA!B:B,A1056,VA!I:I)</f>
        <v>359.46</v>
      </c>
      <c r="I1056" s="32">
        <f>SUMIF(VR!B:B,A1056,VR!I:I)</f>
        <v>657.5</v>
      </c>
      <c r="J1056" s="4">
        <f t="shared" si="16"/>
        <v>1016.96</v>
      </c>
      <c r="K1056" s="179">
        <f>SUMIF(FALTAS!A:A,A1056,FALTAS!D:D)</f>
        <v>0</v>
      </c>
    </row>
    <row r="1057" spans="1:11" x14ac:dyDescent="0.25">
      <c r="A1057" s="235">
        <v>116713</v>
      </c>
      <c r="B1057" s="162" t="s">
        <v>1214</v>
      </c>
      <c r="C1057" s="162" t="s">
        <v>2</v>
      </c>
      <c r="D1057" s="162" t="s">
        <v>19</v>
      </c>
      <c r="E1057" s="231">
        <v>44368</v>
      </c>
      <c r="F1057" s="162" t="s">
        <v>1229</v>
      </c>
      <c r="G1057" s="231">
        <v>45056</v>
      </c>
      <c r="H1057" s="198">
        <f>SUMIF(VA!B:B,A1057,VA!I:I)</f>
        <v>359.46</v>
      </c>
      <c r="I1057" s="32">
        <f>SUMIF(VR!B:B,A1057,VR!I:I)</f>
        <v>657.5</v>
      </c>
      <c r="J1057" s="4">
        <f t="shared" si="16"/>
        <v>1016.96</v>
      </c>
      <c r="K1057" s="179">
        <f>SUMIF(FALTAS!A:A,A1057,FALTAS!D:D)</f>
        <v>0</v>
      </c>
    </row>
    <row r="1058" spans="1:11" x14ac:dyDescent="0.25">
      <c r="A1058" s="235">
        <v>112453</v>
      </c>
      <c r="B1058" s="162" t="s">
        <v>191</v>
      </c>
      <c r="C1058" s="162" t="s">
        <v>2</v>
      </c>
      <c r="D1058" s="162" t="s">
        <v>19</v>
      </c>
      <c r="E1058" s="231">
        <v>43617</v>
      </c>
      <c r="F1058" s="162" t="s">
        <v>1229</v>
      </c>
      <c r="G1058" s="231">
        <v>44806</v>
      </c>
      <c r="H1058" s="198">
        <f>SUMIF(VA!B:B,A1058,VA!I:I)</f>
        <v>359.46</v>
      </c>
      <c r="I1058" s="32">
        <f>SUMIF(VR!B:B,A1058,VR!I:I)</f>
        <v>657.5</v>
      </c>
      <c r="J1058" s="4">
        <f t="shared" si="16"/>
        <v>1016.96</v>
      </c>
      <c r="K1058" s="179">
        <f>SUMIF(FALTAS!A:A,A1058,FALTAS!D:D)</f>
        <v>0</v>
      </c>
    </row>
    <row r="1059" spans="1:11" x14ac:dyDescent="0.25">
      <c r="A1059" s="235">
        <v>112469</v>
      </c>
      <c r="B1059" s="162" t="s">
        <v>198</v>
      </c>
      <c r="C1059" s="162" t="s">
        <v>2</v>
      </c>
      <c r="D1059" s="162" t="s">
        <v>10</v>
      </c>
      <c r="E1059" s="231">
        <v>43617</v>
      </c>
      <c r="F1059" s="162" t="s">
        <v>1229</v>
      </c>
      <c r="G1059" s="231">
        <v>45119</v>
      </c>
      <c r="H1059" s="198">
        <f>SUMIF(VA!B:B,A1059,VA!I:I)</f>
        <v>359.46</v>
      </c>
      <c r="I1059" s="32">
        <f>SUMIF(VR!B:B,A1059,VR!I:I)</f>
        <v>657.5</v>
      </c>
      <c r="J1059" s="4">
        <f t="shared" si="16"/>
        <v>1016.96</v>
      </c>
      <c r="K1059" s="179">
        <f>SUMIF(FALTAS!A:A,A1059,FALTAS!D:D)</f>
        <v>0</v>
      </c>
    </row>
    <row r="1060" spans="1:11" x14ac:dyDescent="0.25">
      <c r="A1060" s="235">
        <v>112476</v>
      </c>
      <c r="B1060" s="162" t="s">
        <v>204</v>
      </c>
      <c r="C1060" s="162" t="s">
        <v>901</v>
      </c>
      <c r="D1060" s="162" t="s">
        <v>1580</v>
      </c>
      <c r="E1060" s="231">
        <v>43617</v>
      </c>
      <c r="F1060" s="162" t="s">
        <v>1229</v>
      </c>
      <c r="G1060" s="231">
        <v>44898</v>
      </c>
      <c r="H1060" s="198">
        <f>SUMIF(VA!B:B,A1060,VA!I:I)</f>
        <v>359.46</v>
      </c>
      <c r="I1060" s="32">
        <f>SUMIF(VR!B:B,A1060,VR!I:I)</f>
        <v>657.5</v>
      </c>
      <c r="J1060" s="4">
        <f t="shared" si="16"/>
        <v>1016.96</v>
      </c>
      <c r="K1060" s="179">
        <f>SUMIF(FALTAS!A:A,A1060,FALTAS!D:D)</f>
        <v>0</v>
      </c>
    </row>
    <row r="1061" spans="1:11" x14ac:dyDescent="0.25">
      <c r="A1061" s="235">
        <v>115012</v>
      </c>
      <c r="B1061" s="162" t="s">
        <v>1139</v>
      </c>
      <c r="C1061" s="162" t="s">
        <v>5</v>
      </c>
      <c r="D1061" s="162" t="s">
        <v>1578</v>
      </c>
      <c r="E1061" s="231">
        <v>43930</v>
      </c>
      <c r="F1061" s="162" t="s">
        <v>1229</v>
      </c>
      <c r="G1061" s="231">
        <v>44715</v>
      </c>
      <c r="H1061" s="198">
        <f>SUMIF(VA!B:B,A1061,VA!I:I)</f>
        <v>323.51</v>
      </c>
      <c r="I1061" s="32">
        <f>SUMIF(VR!B:B,A1061,VR!I:I)</f>
        <v>578.6</v>
      </c>
      <c r="J1061" s="4">
        <f t="shared" si="16"/>
        <v>902.11</v>
      </c>
      <c r="K1061" s="179">
        <f>SUMIF(FALTAS!A:A,A1061,FALTAS!D:D)</f>
        <v>3</v>
      </c>
    </row>
    <row r="1062" spans="1:11" x14ac:dyDescent="0.25">
      <c r="A1062" s="235">
        <v>114733</v>
      </c>
      <c r="B1062" s="162" t="s">
        <v>1082</v>
      </c>
      <c r="C1062" s="162" t="s">
        <v>5</v>
      </c>
      <c r="D1062" s="162" t="s">
        <v>32</v>
      </c>
      <c r="E1062" s="231">
        <v>43874</v>
      </c>
      <c r="F1062" s="162" t="s">
        <v>1229</v>
      </c>
      <c r="G1062" s="231">
        <v>45080</v>
      </c>
      <c r="H1062" s="198">
        <f>SUMIF(VA!B:B,A1062,VA!I:I)</f>
        <v>347.47</v>
      </c>
      <c r="I1062" s="32">
        <f>SUMIF(VR!B:B,A1062,VR!I:I)</f>
        <v>631.20000000000005</v>
      </c>
      <c r="J1062" s="4">
        <f t="shared" si="16"/>
        <v>978.67000000000007</v>
      </c>
      <c r="K1062" s="179">
        <f>SUMIF(FALTAS!A:A,A1062,FALTAS!D:D)</f>
        <v>1</v>
      </c>
    </row>
    <row r="1063" spans="1:11" x14ac:dyDescent="0.25">
      <c r="A1063" s="235">
        <v>116031</v>
      </c>
      <c r="B1063" s="162" t="s">
        <v>1177</v>
      </c>
      <c r="C1063" s="162" t="s">
        <v>5</v>
      </c>
      <c r="D1063" s="162" t="s">
        <v>0</v>
      </c>
      <c r="E1063" s="231">
        <v>44207</v>
      </c>
      <c r="F1063" s="162" t="s">
        <v>1229</v>
      </c>
      <c r="G1063" s="231">
        <v>45177</v>
      </c>
      <c r="H1063" s="198">
        <f>SUMIF(VA!B:B,A1063,VA!I:I)</f>
        <v>359.46</v>
      </c>
      <c r="I1063" s="32">
        <f>SUMIF(VR!B:B,A1063,VR!I:I)</f>
        <v>657.5</v>
      </c>
      <c r="J1063" s="4">
        <f t="shared" si="16"/>
        <v>1016.96</v>
      </c>
      <c r="K1063" s="179">
        <f>SUMIF(FALTAS!A:A,A1063,FALTAS!D:D)</f>
        <v>0</v>
      </c>
    </row>
    <row r="1064" spans="1:11" x14ac:dyDescent="0.25">
      <c r="A1064" s="235">
        <v>116977</v>
      </c>
      <c r="B1064" s="162" t="s">
        <v>1239</v>
      </c>
      <c r="C1064" s="162" t="s">
        <v>5</v>
      </c>
      <c r="D1064" s="162" t="s">
        <v>1578</v>
      </c>
      <c r="E1064" s="231">
        <v>44419</v>
      </c>
      <c r="F1064" s="162" t="s">
        <v>1230</v>
      </c>
      <c r="G1064" s="231">
        <v>45180</v>
      </c>
      <c r="H1064" s="198">
        <f>SUMIF(VA!B:B,A1064,VA!I:I)</f>
        <v>359.46</v>
      </c>
      <c r="I1064" s="32">
        <f>SUMIF(VR!B:B,A1064,VR!I:I)</f>
        <v>657.5</v>
      </c>
      <c r="J1064" s="4">
        <f t="shared" si="16"/>
        <v>1016.96</v>
      </c>
      <c r="K1064" s="179">
        <f>SUMIF(FALTAS!A:A,A1064,FALTAS!D:D)</f>
        <v>0</v>
      </c>
    </row>
    <row r="1065" spans="1:11" x14ac:dyDescent="0.25">
      <c r="A1065" s="235">
        <v>112492</v>
      </c>
      <c r="B1065" s="162" t="s">
        <v>213</v>
      </c>
      <c r="C1065" s="162" t="s">
        <v>2</v>
      </c>
      <c r="D1065" s="162" t="s">
        <v>8</v>
      </c>
      <c r="E1065" s="231">
        <v>43617</v>
      </c>
      <c r="F1065" s="162" t="s">
        <v>1229</v>
      </c>
      <c r="G1065" s="231">
        <v>44806</v>
      </c>
      <c r="H1065" s="198">
        <f>SUMIF(VA!B:B,A1065,VA!I:I)</f>
        <v>359.46</v>
      </c>
      <c r="I1065" s="32">
        <f>SUMIF(VR!B:B,A1065,VR!I:I)</f>
        <v>657.5</v>
      </c>
      <c r="J1065" s="4">
        <f t="shared" si="16"/>
        <v>1016.96</v>
      </c>
      <c r="K1065" s="179">
        <f>SUMIF(FALTAS!A:A,A1065,FALTAS!D:D)</f>
        <v>0</v>
      </c>
    </row>
    <row r="1066" spans="1:11" x14ac:dyDescent="0.25">
      <c r="A1066" s="235">
        <v>112497</v>
      </c>
      <c r="B1066" s="162" t="s">
        <v>216</v>
      </c>
      <c r="C1066" s="162" t="s">
        <v>5</v>
      </c>
      <c r="D1066" s="162" t="s">
        <v>10</v>
      </c>
      <c r="E1066" s="231">
        <v>43617</v>
      </c>
      <c r="F1066" s="162" t="s">
        <v>1229</v>
      </c>
      <c r="G1066" s="231">
        <v>44930</v>
      </c>
      <c r="H1066" s="198">
        <f>SUMIF(VA!B:B,A1066,VA!I:I)</f>
        <v>359.46</v>
      </c>
      <c r="I1066" s="32">
        <f>SUMIF(VR!B:B,A1066,VR!I:I)</f>
        <v>657.5</v>
      </c>
      <c r="J1066" s="4">
        <f t="shared" si="16"/>
        <v>1016.96</v>
      </c>
      <c r="K1066" s="179">
        <f>SUMIF(FALTAS!A:A,A1066,FALTAS!D:D)</f>
        <v>0</v>
      </c>
    </row>
    <row r="1067" spans="1:11" x14ac:dyDescent="0.25">
      <c r="A1067" s="235">
        <v>112578</v>
      </c>
      <c r="B1067" s="162" t="s">
        <v>275</v>
      </c>
      <c r="C1067" s="162" t="s">
        <v>5</v>
      </c>
      <c r="D1067" s="162" t="s">
        <v>19</v>
      </c>
      <c r="E1067" s="231">
        <v>43617</v>
      </c>
      <c r="F1067" s="162" t="s">
        <v>1229</v>
      </c>
      <c r="G1067" s="231">
        <v>44898</v>
      </c>
      <c r="H1067" s="198">
        <f>SUMIF(VA!B:B,A1067,VA!I:I)</f>
        <v>359.46</v>
      </c>
      <c r="I1067" s="32">
        <f>SUMIF(VR!B:B,A1067,VR!I:I)</f>
        <v>657.5</v>
      </c>
      <c r="J1067" s="4">
        <f t="shared" si="16"/>
        <v>1016.96</v>
      </c>
      <c r="K1067" s="179">
        <f>SUMIF(FALTAS!A:A,A1067,FALTAS!D:D)</f>
        <v>0</v>
      </c>
    </row>
    <row r="1068" spans="1:11" x14ac:dyDescent="0.25">
      <c r="A1068" s="235">
        <v>119925</v>
      </c>
      <c r="B1068" s="162" t="s">
        <v>1482</v>
      </c>
      <c r="C1068" s="162" t="s">
        <v>5</v>
      </c>
      <c r="D1068" s="162" t="s">
        <v>1578</v>
      </c>
      <c r="E1068" s="231">
        <v>44760</v>
      </c>
      <c r="F1068" s="162" t="s">
        <v>1229</v>
      </c>
      <c r="G1068" s="231">
        <v>44760</v>
      </c>
      <c r="H1068" s="198">
        <f>SUMIF(VA!B:B,A1068,VA!I:I)</f>
        <v>359.46</v>
      </c>
      <c r="I1068" s="32">
        <f>SUMIF(VR!B:B,A1068,VR!I:I)</f>
        <v>657.5</v>
      </c>
      <c r="J1068" s="4">
        <f t="shared" si="16"/>
        <v>1016.96</v>
      </c>
      <c r="K1068" s="179">
        <f>SUMIF(FALTAS!A:A,A1068,FALTAS!D:D)</f>
        <v>0</v>
      </c>
    </row>
    <row r="1069" spans="1:11" x14ac:dyDescent="0.25">
      <c r="A1069" s="235">
        <v>112608</v>
      </c>
      <c r="B1069" s="162" t="s">
        <v>292</v>
      </c>
      <c r="C1069" s="162" t="s">
        <v>15</v>
      </c>
      <c r="D1069" s="162" t="s">
        <v>1578</v>
      </c>
      <c r="E1069" s="231">
        <v>43617</v>
      </c>
      <c r="F1069" s="162" t="s">
        <v>1229</v>
      </c>
      <c r="G1069" s="231">
        <v>44867</v>
      </c>
      <c r="H1069" s="198">
        <f>SUMIF(VA!B:B,A1069,VA!I:I)</f>
        <v>359.46</v>
      </c>
      <c r="I1069" s="32">
        <f>SUMIF(VR!B:B,A1069,VR!I:I)</f>
        <v>657.5</v>
      </c>
      <c r="J1069" s="4">
        <f t="shared" si="16"/>
        <v>1016.96</v>
      </c>
      <c r="K1069" s="179">
        <f>SUMIF(FALTAS!A:A,A1069,FALTAS!D:D)</f>
        <v>0</v>
      </c>
    </row>
    <row r="1070" spans="1:11" x14ac:dyDescent="0.25">
      <c r="A1070" s="235">
        <v>116981</v>
      </c>
      <c r="B1070" s="162" t="s">
        <v>1242</v>
      </c>
      <c r="C1070" s="162" t="s">
        <v>5</v>
      </c>
      <c r="D1070" s="162" t="s">
        <v>0</v>
      </c>
      <c r="E1070" s="231">
        <v>44419</v>
      </c>
      <c r="F1070" s="162" t="s">
        <v>1229</v>
      </c>
      <c r="G1070" s="231">
        <v>44960</v>
      </c>
      <c r="H1070" s="198">
        <f>SUMIF(VA!B:B,A1070,VA!I:I)</f>
        <v>359.46</v>
      </c>
      <c r="I1070" s="32">
        <f>SUMIF(VR!B:B,A1070,VR!I:I)</f>
        <v>657.5</v>
      </c>
      <c r="J1070" s="4">
        <f t="shared" si="16"/>
        <v>1016.96</v>
      </c>
      <c r="K1070" s="179">
        <f>SUMIF(FALTAS!A:A,A1070,FALTAS!D:D)</f>
        <v>0</v>
      </c>
    </row>
    <row r="1071" spans="1:11" x14ac:dyDescent="0.25">
      <c r="A1071" s="235">
        <v>112615</v>
      </c>
      <c r="B1071" s="162" t="s">
        <v>299</v>
      </c>
      <c r="C1071" s="162" t="s">
        <v>2</v>
      </c>
      <c r="D1071" s="162" t="s">
        <v>8</v>
      </c>
      <c r="E1071" s="231">
        <v>43617</v>
      </c>
      <c r="F1071" s="162" t="s">
        <v>1229</v>
      </c>
      <c r="G1071" s="231">
        <v>45149</v>
      </c>
      <c r="H1071" s="198">
        <f>SUMIF(VA!B:B,A1071,VA!I:I)</f>
        <v>359.46</v>
      </c>
      <c r="I1071" s="32">
        <f>SUMIF(VR!B:B,A1071,VR!I:I)</f>
        <v>657.5</v>
      </c>
      <c r="J1071" s="4">
        <f t="shared" si="16"/>
        <v>1016.96</v>
      </c>
      <c r="K1071" s="179">
        <f>SUMIF(FALTAS!A:A,A1071,FALTAS!D:D)</f>
        <v>0</v>
      </c>
    </row>
    <row r="1072" spans="1:11" x14ac:dyDescent="0.25">
      <c r="A1072" s="235">
        <v>112621</v>
      </c>
      <c r="B1072" s="162" t="s">
        <v>304</v>
      </c>
      <c r="C1072" s="162" t="s">
        <v>5</v>
      </c>
      <c r="D1072" s="162" t="s">
        <v>1578</v>
      </c>
      <c r="E1072" s="231">
        <v>43617</v>
      </c>
      <c r="F1072" s="162" t="s">
        <v>1229</v>
      </c>
      <c r="G1072" s="231">
        <v>44744</v>
      </c>
      <c r="H1072" s="198">
        <f>SUMIF(VA!B:B,A1072,VA!I:I)</f>
        <v>359.46</v>
      </c>
      <c r="I1072" s="32">
        <f>SUMIF(VR!B:B,A1072,VR!I:I)</f>
        <v>657.5</v>
      </c>
      <c r="J1072" s="4">
        <f t="shared" si="16"/>
        <v>1016.96</v>
      </c>
      <c r="K1072" s="179">
        <f>SUMIF(FALTAS!A:A,A1072,FALTAS!D:D)</f>
        <v>0</v>
      </c>
    </row>
    <row r="1073" spans="1:11" x14ac:dyDescent="0.25">
      <c r="A1073" s="235">
        <v>112635</v>
      </c>
      <c r="B1073" s="162" t="s">
        <v>312</v>
      </c>
      <c r="C1073" s="162" t="s">
        <v>2</v>
      </c>
      <c r="D1073" s="162" t="s">
        <v>8</v>
      </c>
      <c r="E1073" s="231">
        <v>43617</v>
      </c>
      <c r="F1073" s="162" t="s">
        <v>1229</v>
      </c>
      <c r="G1073" s="231">
        <v>44835</v>
      </c>
      <c r="H1073" s="198">
        <f>SUMIF(VA!B:B,A1073,VA!I:I)</f>
        <v>359.46</v>
      </c>
      <c r="I1073" s="32">
        <f>SUMIF(VR!B:B,A1073,VR!I:I)</f>
        <v>657.5</v>
      </c>
      <c r="J1073" s="4">
        <f t="shared" si="16"/>
        <v>1016.96</v>
      </c>
      <c r="K1073" s="179">
        <f>SUMIF(FALTAS!A:A,A1073,FALTAS!D:D)</f>
        <v>0</v>
      </c>
    </row>
    <row r="1074" spans="1:11" x14ac:dyDescent="0.25">
      <c r="A1074" s="235">
        <v>112659</v>
      </c>
      <c r="B1074" s="162" t="s">
        <v>324</v>
      </c>
      <c r="C1074" s="162" t="s">
        <v>2</v>
      </c>
      <c r="D1074" s="162" t="s">
        <v>10</v>
      </c>
      <c r="E1074" s="231">
        <v>43617</v>
      </c>
      <c r="F1074" s="162" t="s">
        <v>1229</v>
      </c>
      <c r="G1074" s="231">
        <v>45056</v>
      </c>
      <c r="H1074" s="198">
        <f>SUMIF(VA!B:B,A1074,VA!I:I)</f>
        <v>359.46</v>
      </c>
      <c r="I1074" s="32">
        <f>SUMIF(VR!B:B,A1074,VR!I:I)</f>
        <v>657.5</v>
      </c>
      <c r="J1074" s="4">
        <f t="shared" si="16"/>
        <v>1016.96</v>
      </c>
      <c r="K1074" s="179">
        <f>SUMIF(FALTAS!A:A,A1074,FALTAS!D:D)</f>
        <v>0</v>
      </c>
    </row>
    <row r="1075" spans="1:11" x14ac:dyDescent="0.25">
      <c r="A1075" s="235">
        <v>114750</v>
      </c>
      <c r="B1075" s="162" t="s">
        <v>1090</v>
      </c>
      <c r="C1075" s="162" t="s">
        <v>5</v>
      </c>
      <c r="D1075" s="162" t="s">
        <v>0</v>
      </c>
      <c r="E1075" s="231">
        <v>43874</v>
      </c>
      <c r="F1075" s="162" t="s">
        <v>1230</v>
      </c>
      <c r="G1075" s="231">
        <v>45180</v>
      </c>
      <c r="H1075" s="198">
        <f>SUMIF(VA!B:B,A1075,VA!I:I)</f>
        <v>359.46</v>
      </c>
      <c r="I1075" s="32">
        <f>SUMIF(VR!B:B,A1075,VR!I:I)</f>
        <v>657.5</v>
      </c>
      <c r="J1075" s="4">
        <f t="shared" si="16"/>
        <v>1016.96</v>
      </c>
      <c r="K1075" s="179">
        <f>SUMIF(FALTAS!A:A,A1075,FALTAS!D:D)</f>
        <v>0</v>
      </c>
    </row>
    <row r="1076" spans="1:11" x14ac:dyDescent="0.25">
      <c r="A1076" s="235">
        <v>112669</v>
      </c>
      <c r="B1076" s="162" t="s">
        <v>330</v>
      </c>
      <c r="C1076" s="162" t="s">
        <v>2</v>
      </c>
      <c r="D1076" s="162" t="s">
        <v>0</v>
      </c>
      <c r="E1076" s="231">
        <v>43617</v>
      </c>
      <c r="F1076" s="162" t="s">
        <v>1229</v>
      </c>
      <c r="G1076" s="231">
        <v>44806</v>
      </c>
      <c r="H1076" s="198">
        <f>SUMIF(VA!B:B,A1076,VA!I:I)</f>
        <v>359.46</v>
      </c>
      <c r="I1076" s="32">
        <f>SUMIF(VR!B:B,A1076,VR!I:I)</f>
        <v>657.5</v>
      </c>
      <c r="J1076" s="4">
        <f t="shared" si="16"/>
        <v>1016.96</v>
      </c>
      <c r="K1076" s="179">
        <f>SUMIF(FALTAS!A:A,A1076,FALTAS!D:D)</f>
        <v>0</v>
      </c>
    </row>
    <row r="1077" spans="1:11" x14ac:dyDescent="0.25">
      <c r="A1077" s="235">
        <v>112675</v>
      </c>
      <c r="B1077" s="162" t="s">
        <v>332</v>
      </c>
      <c r="C1077" s="162" t="s">
        <v>2</v>
      </c>
      <c r="D1077" s="162" t="s">
        <v>10</v>
      </c>
      <c r="E1077" s="231">
        <v>43617</v>
      </c>
      <c r="F1077" s="162" t="s">
        <v>1229</v>
      </c>
      <c r="G1077" s="231">
        <v>44898</v>
      </c>
      <c r="H1077" s="198">
        <f>SUMIF(VA!B:B,A1077,VA!I:I)</f>
        <v>359.46</v>
      </c>
      <c r="I1077" s="32">
        <f>SUMIF(VR!B:B,A1077,VR!I:I)</f>
        <v>657.5</v>
      </c>
      <c r="J1077" s="4">
        <f t="shared" si="16"/>
        <v>1016.96</v>
      </c>
      <c r="K1077" s="179">
        <f>SUMIF(FALTAS!A:A,A1077,FALTAS!D:D)</f>
        <v>0</v>
      </c>
    </row>
    <row r="1078" spans="1:11" x14ac:dyDescent="0.25">
      <c r="A1078" s="235">
        <v>112681</v>
      </c>
      <c r="B1078" s="162" t="s">
        <v>336</v>
      </c>
      <c r="C1078" s="162" t="s">
        <v>2</v>
      </c>
      <c r="D1078" s="162" t="s">
        <v>10</v>
      </c>
      <c r="E1078" s="231">
        <v>43617</v>
      </c>
      <c r="F1078" s="162" t="s">
        <v>1229</v>
      </c>
      <c r="G1078" s="231">
        <v>45177</v>
      </c>
      <c r="H1078" s="198">
        <f>SUMIF(VA!B:B,A1078,VA!I:I)</f>
        <v>359.46</v>
      </c>
      <c r="I1078" s="32">
        <f>SUMIF(VR!B:B,A1078,VR!I:I)</f>
        <v>657.5</v>
      </c>
      <c r="J1078" s="4">
        <f t="shared" si="16"/>
        <v>1016.96</v>
      </c>
      <c r="K1078" s="179">
        <f>SUMIF(FALTAS!A:A,A1078,FALTAS!D:D)</f>
        <v>0</v>
      </c>
    </row>
    <row r="1079" spans="1:11" x14ac:dyDescent="0.25">
      <c r="A1079" s="235">
        <v>114231</v>
      </c>
      <c r="B1079" s="162" t="s">
        <v>1015</v>
      </c>
      <c r="C1079" s="162" t="s">
        <v>146</v>
      </c>
      <c r="D1079" s="162" t="s">
        <v>19</v>
      </c>
      <c r="E1079" s="231">
        <v>43788</v>
      </c>
      <c r="F1079" s="162" t="s">
        <v>1229</v>
      </c>
      <c r="G1079" s="231">
        <v>45056</v>
      </c>
      <c r="H1079" s="198">
        <f>SUMIF(VA!B:B,A1079,VA!I:I)</f>
        <v>359.46</v>
      </c>
      <c r="I1079" s="32">
        <f>SUMIF(VR!B:B,A1079,VR!I:I)</f>
        <v>657.5</v>
      </c>
      <c r="J1079" s="4">
        <f t="shared" si="16"/>
        <v>1016.96</v>
      </c>
      <c r="K1079" s="179">
        <f>SUMIF(FALTAS!A:A,A1079,FALTAS!D:D)</f>
        <v>0</v>
      </c>
    </row>
    <row r="1080" spans="1:11" x14ac:dyDescent="0.25">
      <c r="A1080" s="235">
        <v>112692</v>
      </c>
      <c r="B1080" s="162" t="s">
        <v>344</v>
      </c>
      <c r="C1080" s="162" t="s">
        <v>2</v>
      </c>
      <c r="D1080" s="162" t="s">
        <v>32</v>
      </c>
      <c r="E1080" s="231">
        <v>43617</v>
      </c>
      <c r="F1080" s="162" t="s">
        <v>1229</v>
      </c>
      <c r="G1080" s="231">
        <v>44867</v>
      </c>
      <c r="H1080" s="198">
        <f>SUMIF(VA!B:B,A1080,VA!I:I)</f>
        <v>359.46</v>
      </c>
      <c r="I1080" s="32">
        <f>SUMIF(VR!B:B,A1080,VR!I:I)</f>
        <v>657.5</v>
      </c>
      <c r="J1080" s="4">
        <f t="shared" si="16"/>
        <v>1016.96</v>
      </c>
      <c r="K1080" s="179">
        <f>SUMIF(FALTAS!A:A,A1080,FALTAS!D:D)</f>
        <v>0</v>
      </c>
    </row>
    <row r="1081" spans="1:11" x14ac:dyDescent="0.25">
      <c r="A1081" s="235">
        <v>113741</v>
      </c>
      <c r="B1081" s="162" t="s">
        <v>959</v>
      </c>
      <c r="C1081" s="162" t="s">
        <v>960</v>
      </c>
      <c r="D1081" s="162" t="s">
        <v>1580</v>
      </c>
      <c r="E1081" s="231">
        <v>43619</v>
      </c>
      <c r="F1081" s="162" t="s">
        <v>1229</v>
      </c>
      <c r="G1081" s="231">
        <v>45053</v>
      </c>
      <c r="H1081" s="198">
        <f>SUMIF(VA!B:B,A1081,VA!I:I)</f>
        <v>359.46</v>
      </c>
      <c r="I1081" s="32">
        <f>SUMIF(VR!B:B,A1081,VR!I:I)</f>
        <v>657.5</v>
      </c>
      <c r="J1081" s="4">
        <f t="shared" si="16"/>
        <v>1016.96</v>
      </c>
      <c r="K1081" s="179">
        <f>SUMIF(FALTAS!A:A,A1081,FALTAS!D:D)</f>
        <v>0</v>
      </c>
    </row>
    <row r="1082" spans="1:11" x14ac:dyDescent="0.25">
      <c r="A1082" s="235">
        <v>113582</v>
      </c>
      <c r="B1082" s="162" t="s">
        <v>856</v>
      </c>
      <c r="C1082" s="162" t="s">
        <v>2</v>
      </c>
      <c r="D1082" s="162" t="s">
        <v>0</v>
      </c>
      <c r="E1082" s="231">
        <v>43617</v>
      </c>
      <c r="F1082" s="162" t="s">
        <v>1229</v>
      </c>
      <c r="G1082" s="231">
        <v>45050</v>
      </c>
      <c r="H1082" s="198">
        <f>SUMIF(VA!B:B,A1082,VA!I:I)</f>
        <v>359.46</v>
      </c>
      <c r="I1082" s="32">
        <f>SUMIF(VR!B:B,A1082,VR!I:I)</f>
        <v>657.5</v>
      </c>
      <c r="J1082" s="4">
        <f t="shared" si="16"/>
        <v>1016.96</v>
      </c>
      <c r="K1082" s="179">
        <f>SUMIF(FALTAS!A:A,A1082,FALTAS!D:D)</f>
        <v>0</v>
      </c>
    </row>
    <row r="1083" spans="1:11" x14ac:dyDescent="0.25">
      <c r="A1083" s="235">
        <v>116718</v>
      </c>
      <c r="B1083" s="162" t="s">
        <v>1216</v>
      </c>
      <c r="C1083" s="162" t="s">
        <v>2</v>
      </c>
      <c r="D1083" s="162" t="s">
        <v>19</v>
      </c>
      <c r="E1083" s="231">
        <v>44368</v>
      </c>
      <c r="F1083" s="162" t="s">
        <v>1229</v>
      </c>
      <c r="G1083" s="231">
        <v>45023</v>
      </c>
      <c r="H1083" s="198">
        <f>SUMIF(VA!B:B,A1083,VA!I:I)</f>
        <v>359.46</v>
      </c>
      <c r="I1083" s="32">
        <f>SUMIF(VR!B:B,A1083,VR!I:I)</f>
        <v>657.5</v>
      </c>
      <c r="J1083" s="4">
        <f t="shared" si="16"/>
        <v>1016.96</v>
      </c>
      <c r="K1083" s="179">
        <f>SUMIF(FALTAS!A:A,A1083,FALTAS!D:D)</f>
        <v>0</v>
      </c>
    </row>
    <row r="1084" spans="1:11" x14ac:dyDescent="0.25">
      <c r="A1084" s="235">
        <v>112703</v>
      </c>
      <c r="B1084" s="162" t="s">
        <v>352</v>
      </c>
      <c r="C1084" s="162" t="s">
        <v>2</v>
      </c>
      <c r="D1084" s="162" t="s">
        <v>10</v>
      </c>
      <c r="E1084" s="231">
        <v>43617</v>
      </c>
      <c r="F1084" s="162" t="s">
        <v>1229</v>
      </c>
      <c r="G1084" s="231">
        <v>44960</v>
      </c>
      <c r="H1084" s="198">
        <f>SUMIF(VA!B:B,A1084,VA!I:I)</f>
        <v>359.46</v>
      </c>
      <c r="I1084" s="32">
        <f>SUMIF(VR!B:B,A1084,VR!I:I)</f>
        <v>657.5</v>
      </c>
      <c r="J1084" s="4">
        <f t="shared" si="16"/>
        <v>1016.96</v>
      </c>
      <c r="K1084" s="179">
        <f>SUMIF(FALTAS!A:A,A1084,FALTAS!D:D)</f>
        <v>0</v>
      </c>
    </row>
    <row r="1085" spans="1:11" x14ac:dyDescent="0.25">
      <c r="A1085" s="235">
        <v>114105</v>
      </c>
      <c r="B1085" s="162" t="s">
        <v>1005</v>
      </c>
      <c r="C1085" s="162" t="s">
        <v>5</v>
      </c>
      <c r="D1085" s="162" t="s">
        <v>1578</v>
      </c>
      <c r="E1085" s="231">
        <v>43728</v>
      </c>
      <c r="F1085" s="162" t="s">
        <v>1229</v>
      </c>
      <c r="G1085" s="231">
        <v>45149</v>
      </c>
      <c r="H1085" s="198">
        <f>SUMIF(VA!B:B,A1085,VA!I:I)</f>
        <v>359.46</v>
      </c>
      <c r="I1085" s="32">
        <f>SUMIF(VR!B:B,A1085,VR!I:I)</f>
        <v>657.5</v>
      </c>
      <c r="J1085" s="4">
        <f t="shared" si="16"/>
        <v>1016.96</v>
      </c>
      <c r="K1085" s="179">
        <f>SUMIF(FALTAS!A:A,A1085,FALTAS!D:D)</f>
        <v>0</v>
      </c>
    </row>
    <row r="1086" spans="1:11" x14ac:dyDescent="0.25">
      <c r="A1086" s="235">
        <v>114930</v>
      </c>
      <c r="B1086" s="162" t="s">
        <v>1114</v>
      </c>
      <c r="C1086" s="162" t="s">
        <v>5</v>
      </c>
      <c r="D1086" s="162" t="s">
        <v>10</v>
      </c>
      <c r="E1086" s="231">
        <v>43916</v>
      </c>
      <c r="F1086" s="162" t="s">
        <v>1229</v>
      </c>
      <c r="G1086" s="231">
        <v>45177</v>
      </c>
      <c r="H1086" s="198">
        <f>SUMIF(VA!B:B,A1086,VA!I:I)</f>
        <v>359.46</v>
      </c>
      <c r="I1086" s="32">
        <f>SUMIF(VR!B:B,A1086,VR!I:I)</f>
        <v>657.5</v>
      </c>
      <c r="J1086" s="4">
        <f t="shared" si="16"/>
        <v>1016.96</v>
      </c>
      <c r="K1086" s="179">
        <f>SUMIF(FALTAS!A:A,A1086,FALTAS!D:D)</f>
        <v>0</v>
      </c>
    </row>
    <row r="1087" spans="1:11" x14ac:dyDescent="0.25">
      <c r="A1087" s="235">
        <v>112718</v>
      </c>
      <c r="B1087" s="162" t="s">
        <v>361</v>
      </c>
      <c r="C1087" s="162" t="s">
        <v>2</v>
      </c>
      <c r="D1087" s="162" t="s">
        <v>8</v>
      </c>
      <c r="E1087" s="231">
        <v>43617</v>
      </c>
      <c r="F1087" s="162" t="s">
        <v>1229</v>
      </c>
      <c r="G1087" s="231">
        <v>44867</v>
      </c>
      <c r="H1087" s="198">
        <f>SUMIF(VA!B:B,A1087,VA!I:I)</f>
        <v>359.46</v>
      </c>
      <c r="I1087" s="32">
        <f>SUMIF(VR!B:B,A1087,VR!I:I)</f>
        <v>657.5</v>
      </c>
      <c r="J1087" s="4">
        <f t="shared" si="16"/>
        <v>1016.96</v>
      </c>
      <c r="K1087" s="179">
        <f>SUMIF(FALTAS!A:A,A1087,FALTAS!D:D)</f>
        <v>0</v>
      </c>
    </row>
    <row r="1088" spans="1:11" x14ac:dyDescent="0.25">
      <c r="A1088" s="235">
        <v>112731</v>
      </c>
      <c r="B1088" s="162" t="s">
        <v>370</v>
      </c>
      <c r="C1088" s="162" t="s">
        <v>2</v>
      </c>
      <c r="D1088" s="162" t="s">
        <v>8</v>
      </c>
      <c r="E1088" s="231">
        <v>43617</v>
      </c>
      <c r="F1088" s="162" t="s">
        <v>1229</v>
      </c>
      <c r="G1088" s="231">
        <v>44867</v>
      </c>
      <c r="H1088" s="198">
        <f>SUMIF(VA!B:B,A1088,VA!I:I)</f>
        <v>359.46</v>
      </c>
      <c r="I1088" s="32">
        <f>SUMIF(VR!B:B,A1088,VR!I:I)</f>
        <v>657.5</v>
      </c>
      <c r="J1088" s="4">
        <f t="shared" si="16"/>
        <v>1016.96</v>
      </c>
      <c r="K1088" s="179">
        <f>SUMIF(FALTAS!A:A,A1088,FALTAS!D:D)</f>
        <v>0</v>
      </c>
    </row>
    <row r="1089" spans="1:11" x14ac:dyDescent="0.25">
      <c r="A1089" s="235">
        <v>115447</v>
      </c>
      <c r="B1089" s="162" t="s">
        <v>1160</v>
      </c>
      <c r="C1089" s="162" t="s">
        <v>146</v>
      </c>
      <c r="D1089" s="162" t="s">
        <v>19</v>
      </c>
      <c r="E1089" s="231">
        <v>44062</v>
      </c>
      <c r="F1089" s="162" t="s">
        <v>1229</v>
      </c>
      <c r="G1089" s="231">
        <v>44956</v>
      </c>
      <c r="H1089" s="198">
        <f>SUMIF(VA!B:B,A1089,VA!I:I)</f>
        <v>359.46</v>
      </c>
      <c r="I1089" s="32">
        <f>SUMIF(VR!B:B,A1089,VR!I:I)</f>
        <v>657.5</v>
      </c>
      <c r="J1089" s="4">
        <f t="shared" ref="J1089:J1152" si="17">H1089+I1089</f>
        <v>1016.96</v>
      </c>
      <c r="K1089" s="179">
        <f>SUMIF(FALTAS!A:A,A1089,FALTAS!D:D)</f>
        <v>0</v>
      </c>
    </row>
    <row r="1090" spans="1:11" x14ac:dyDescent="0.25">
      <c r="A1090" s="235">
        <v>112744</v>
      </c>
      <c r="B1090" s="162" t="s">
        <v>378</v>
      </c>
      <c r="C1090" s="162" t="s">
        <v>39</v>
      </c>
      <c r="D1090" s="162" t="s">
        <v>10</v>
      </c>
      <c r="E1090" s="231">
        <v>43617</v>
      </c>
      <c r="F1090" s="162" t="s">
        <v>1229</v>
      </c>
      <c r="G1090" s="231">
        <v>44930</v>
      </c>
      <c r="H1090" s="198">
        <f>SUMIF(VA!B:B,A1090,VA!I:I)</f>
        <v>359.46</v>
      </c>
      <c r="I1090" s="32">
        <f>SUMIF(VR!B:B,A1090,VR!I:I)</f>
        <v>657.5</v>
      </c>
      <c r="J1090" s="4">
        <f t="shared" si="17"/>
        <v>1016.96</v>
      </c>
      <c r="K1090" s="179">
        <f>SUMIF(FALTAS!A:A,A1090,FALTAS!D:D)</f>
        <v>0</v>
      </c>
    </row>
    <row r="1091" spans="1:11" x14ac:dyDescent="0.25">
      <c r="A1091" s="235">
        <v>119928</v>
      </c>
      <c r="B1091" s="162" t="s">
        <v>1483</v>
      </c>
      <c r="C1091" s="162" t="s">
        <v>5</v>
      </c>
      <c r="D1091" s="162" t="s">
        <v>1578</v>
      </c>
      <c r="E1091" s="231">
        <v>44760</v>
      </c>
      <c r="F1091" s="162" t="s">
        <v>1229</v>
      </c>
      <c r="G1091" s="231">
        <v>45177</v>
      </c>
      <c r="H1091" s="198">
        <f>SUMIF(VA!B:B,A1091,VA!I:I)</f>
        <v>359.46</v>
      </c>
      <c r="I1091" s="32">
        <f>SUMIF(VR!B:B,A1091,VR!I:I)</f>
        <v>657.5</v>
      </c>
      <c r="J1091" s="4">
        <f t="shared" si="17"/>
        <v>1016.96</v>
      </c>
      <c r="K1091" s="179">
        <f>SUMIF(FALTAS!A:A,A1091,FALTAS!D:D)</f>
        <v>0</v>
      </c>
    </row>
    <row r="1092" spans="1:11" x14ac:dyDescent="0.25">
      <c r="A1092" s="235">
        <v>121319</v>
      </c>
      <c r="B1092" s="162" t="s">
        <v>1535</v>
      </c>
      <c r="C1092" s="162" t="s">
        <v>5</v>
      </c>
      <c r="D1092" s="162" t="s">
        <v>0</v>
      </c>
      <c r="E1092" s="231">
        <v>44945</v>
      </c>
      <c r="F1092" s="162" t="s">
        <v>1229</v>
      </c>
      <c r="G1092" s="231">
        <v>44945</v>
      </c>
      <c r="H1092" s="198">
        <f>SUMIF(VA!B:B,A1092,VA!I:I)</f>
        <v>359.46</v>
      </c>
      <c r="I1092" s="32">
        <f>SUMIF(VR!B:B,A1092,VR!I:I)</f>
        <v>657.5</v>
      </c>
      <c r="J1092" s="4">
        <f t="shared" si="17"/>
        <v>1016.96</v>
      </c>
      <c r="K1092" s="179">
        <f>SUMIF(FALTAS!A:A,A1092,FALTAS!D:D)</f>
        <v>0</v>
      </c>
    </row>
    <row r="1093" spans="1:11" x14ac:dyDescent="0.25">
      <c r="A1093" s="235">
        <v>121025</v>
      </c>
      <c r="B1093" s="162" t="s">
        <v>1516</v>
      </c>
      <c r="C1093" s="162" t="s">
        <v>2</v>
      </c>
      <c r="D1093" s="162" t="s">
        <v>8</v>
      </c>
      <c r="E1093" s="231">
        <v>44900</v>
      </c>
      <c r="F1093" s="162" t="s">
        <v>1229</v>
      </c>
      <c r="G1093" s="231">
        <v>44900</v>
      </c>
      <c r="H1093" s="198">
        <f>SUMIF(VA!B:B,A1093,VA!I:I)</f>
        <v>359.46</v>
      </c>
      <c r="I1093" s="32">
        <f>SUMIF(VR!B:B,A1093,VR!I:I)</f>
        <v>657.5</v>
      </c>
      <c r="J1093" s="4">
        <f t="shared" si="17"/>
        <v>1016.96</v>
      </c>
      <c r="K1093" s="179">
        <f>SUMIF(FALTAS!A:A,A1093,FALTAS!D:D)</f>
        <v>0</v>
      </c>
    </row>
    <row r="1094" spans="1:11" x14ac:dyDescent="0.25">
      <c r="A1094" s="235">
        <v>112761</v>
      </c>
      <c r="B1094" s="162" t="s">
        <v>388</v>
      </c>
      <c r="C1094" s="162" t="s">
        <v>2</v>
      </c>
      <c r="D1094" s="162" t="s">
        <v>10</v>
      </c>
      <c r="E1094" s="231">
        <v>43617</v>
      </c>
      <c r="F1094" s="162" t="s">
        <v>1229</v>
      </c>
      <c r="G1094" s="231">
        <v>44898</v>
      </c>
      <c r="H1094" s="198">
        <f>SUMIF(VA!B:B,A1094,VA!I:I)</f>
        <v>359.46</v>
      </c>
      <c r="I1094" s="32">
        <f>SUMIF(VR!B:B,A1094,VR!I:I)</f>
        <v>657.5</v>
      </c>
      <c r="J1094" s="4">
        <f t="shared" si="17"/>
        <v>1016.96</v>
      </c>
      <c r="K1094" s="179">
        <f>SUMIF(FALTAS!A:A,A1094,FALTAS!D:D)</f>
        <v>0</v>
      </c>
    </row>
    <row r="1095" spans="1:11" x14ac:dyDescent="0.25">
      <c r="A1095" s="235">
        <v>112765</v>
      </c>
      <c r="B1095" s="162" t="s">
        <v>391</v>
      </c>
      <c r="C1095" s="162" t="s">
        <v>2</v>
      </c>
      <c r="D1095" s="162" t="s">
        <v>0</v>
      </c>
      <c r="E1095" s="231">
        <v>43617</v>
      </c>
      <c r="F1095" s="162" t="s">
        <v>1229</v>
      </c>
      <c r="G1095" s="231">
        <v>45149</v>
      </c>
      <c r="H1095" s="198">
        <f>SUMIF(VA!B:B,A1095,VA!I:I)</f>
        <v>359.46</v>
      </c>
      <c r="I1095" s="32">
        <f>SUMIF(VR!B:B,A1095,VR!I:I)</f>
        <v>657.5</v>
      </c>
      <c r="J1095" s="4">
        <f t="shared" si="17"/>
        <v>1016.96</v>
      </c>
      <c r="K1095" s="179">
        <f>SUMIF(FALTAS!A:A,A1095,FALTAS!D:D)</f>
        <v>0</v>
      </c>
    </row>
    <row r="1096" spans="1:11" x14ac:dyDescent="0.25">
      <c r="A1096" s="235">
        <v>112772</v>
      </c>
      <c r="B1096" s="162" t="s">
        <v>397</v>
      </c>
      <c r="C1096" s="162" t="s">
        <v>2</v>
      </c>
      <c r="D1096" s="162" t="s">
        <v>0</v>
      </c>
      <c r="E1096" s="231">
        <v>43617</v>
      </c>
      <c r="F1096" s="162" t="s">
        <v>1229</v>
      </c>
      <c r="G1096" s="231">
        <v>44835</v>
      </c>
      <c r="H1096" s="198">
        <f>SUMIF(VA!B:B,A1096,VA!I:I)</f>
        <v>359.46</v>
      </c>
      <c r="I1096" s="32">
        <f>SUMIF(VR!B:B,A1096,VR!I:I)</f>
        <v>657.5</v>
      </c>
      <c r="J1096" s="4">
        <f t="shared" si="17"/>
        <v>1016.96</v>
      </c>
      <c r="K1096" s="179">
        <f>SUMIF(FALTAS!A:A,A1096,FALTAS!D:D)</f>
        <v>0</v>
      </c>
    </row>
    <row r="1097" spans="1:11" x14ac:dyDescent="0.25">
      <c r="A1097" s="235">
        <v>112780</v>
      </c>
      <c r="B1097" s="162" t="s">
        <v>403</v>
      </c>
      <c r="C1097" s="162" t="s">
        <v>2</v>
      </c>
      <c r="D1097" s="162" t="s">
        <v>8</v>
      </c>
      <c r="E1097" s="231">
        <v>43617</v>
      </c>
      <c r="F1097" s="162" t="s">
        <v>1229</v>
      </c>
      <c r="G1097" s="231">
        <v>44867</v>
      </c>
      <c r="H1097" s="198">
        <f>SUMIF(VA!B:B,A1097,VA!I:I)</f>
        <v>359.46</v>
      </c>
      <c r="I1097" s="32">
        <f>SUMIF(VR!B:B,A1097,VR!I:I)</f>
        <v>657.5</v>
      </c>
      <c r="J1097" s="4">
        <f t="shared" si="17"/>
        <v>1016.96</v>
      </c>
      <c r="K1097" s="179">
        <f>SUMIF(FALTAS!A:A,A1097,FALTAS!D:D)</f>
        <v>0</v>
      </c>
    </row>
    <row r="1098" spans="1:11" x14ac:dyDescent="0.25">
      <c r="A1098" s="235">
        <v>112785</v>
      </c>
      <c r="B1098" s="162" t="s">
        <v>407</v>
      </c>
      <c r="C1098" s="162" t="s">
        <v>2</v>
      </c>
      <c r="D1098" s="162" t="s">
        <v>10</v>
      </c>
      <c r="E1098" s="231">
        <v>43617</v>
      </c>
      <c r="F1098" s="162" t="s">
        <v>1229</v>
      </c>
      <c r="G1098" s="231">
        <v>44898</v>
      </c>
      <c r="H1098" s="198">
        <f>SUMIF(VA!B:B,A1098,VA!I:I)</f>
        <v>359.46</v>
      </c>
      <c r="I1098" s="32">
        <f>SUMIF(VR!B:B,A1098,VR!I:I)</f>
        <v>657.5</v>
      </c>
      <c r="J1098" s="4">
        <f t="shared" si="17"/>
        <v>1016.96</v>
      </c>
      <c r="K1098" s="179">
        <f>SUMIF(FALTAS!A:A,A1098,FALTAS!D:D)</f>
        <v>0</v>
      </c>
    </row>
    <row r="1099" spans="1:11" x14ac:dyDescent="0.25">
      <c r="A1099" s="235">
        <v>112791</v>
      </c>
      <c r="B1099" s="162" t="s">
        <v>1566</v>
      </c>
      <c r="C1099" s="162" t="s">
        <v>2</v>
      </c>
      <c r="D1099" s="162" t="s">
        <v>10</v>
      </c>
      <c r="E1099" s="231">
        <v>43617</v>
      </c>
      <c r="F1099" s="162" t="s">
        <v>1279</v>
      </c>
      <c r="G1099" s="231">
        <v>44320</v>
      </c>
      <c r="H1099" s="198">
        <f>SUMIF(VA!B:B,A1099,VA!I:I)</f>
        <v>0</v>
      </c>
      <c r="I1099" s="32">
        <f>SUMIF(VR!B:B,A1099,VR!I:I)</f>
        <v>0</v>
      </c>
      <c r="J1099" s="4">
        <f t="shared" si="17"/>
        <v>0</v>
      </c>
      <c r="K1099" s="179">
        <f>SUMIF(FALTAS!A:A,A1099,FALTAS!D:D)</f>
        <v>0</v>
      </c>
    </row>
    <row r="1100" spans="1:11" x14ac:dyDescent="0.25">
      <c r="A1100" s="235">
        <v>112802</v>
      </c>
      <c r="B1100" s="162" t="s">
        <v>420</v>
      </c>
      <c r="C1100" s="162" t="s">
        <v>15</v>
      </c>
      <c r="D1100" s="162" t="s">
        <v>1578</v>
      </c>
      <c r="E1100" s="231">
        <v>43617</v>
      </c>
      <c r="F1100" s="162" t="s">
        <v>1229</v>
      </c>
      <c r="G1100" s="231">
        <v>44960</v>
      </c>
      <c r="H1100" s="198">
        <f>SUMIF(VA!B:B,A1100,VA!I:I)</f>
        <v>359.46</v>
      </c>
      <c r="I1100" s="32">
        <f>SUMIF(VR!B:B,A1100,VR!I:I)</f>
        <v>657.5</v>
      </c>
      <c r="J1100" s="4">
        <f t="shared" si="17"/>
        <v>1016.96</v>
      </c>
      <c r="K1100" s="179">
        <f>SUMIF(FALTAS!A:A,A1100,FALTAS!D:D)</f>
        <v>0</v>
      </c>
    </row>
    <row r="1101" spans="1:11" x14ac:dyDescent="0.25">
      <c r="A1101" s="235">
        <v>112810</v>
      </c>
      <c r="B1101" s="162" t="s">
        <v>426</v>
      </c>
      <c r="C1101" s="162" t="s">
        <v>2</v>
      </c>
      <c r="D1101" s="162" t="s">
        <v>0</v>
      </c>
      <c r="E1101" s="231">
        <v>43617</v>
      </c>
      <c r="F1101" s="162" t="s">
        <v>1229</v>
      </c>
      <c r="G1101" s="231">
        <v>44835</v>
      </c>
      <c r="H1101" s="198">
        <f>SUMIF(VA!B:B,A1101,VA!I:I)</f>
        <v>359.46</v>
      </c>
      <c r="I1101" s="32">
        <f>SUMIF(VR!B:B,A1101,VR!I:I)</f>
        <v>657.5</v>
      </c>
      <c r="J1101" s="4">
        <f t="shared" si="17"/>
        <v>1016.96</v>
      </c>
      <c r="K1101" s="179">
        <f>SUMIF(FALTAS!A:A,A1101,FALTAS!D:D)</f>
        <v>0</v>
      </c>
    </row>
    <row r="1102" spans="1:11" x14ac:dyDescent="0.25">
      <c r="A1102" s="235">
        <v>112816</v>
      </c>
      <c r="B1102" s="162" t="s">
        <v>431</v>
      </c>
      <c r="C1102" s="162" t="s">
        <v>22</v>
      </c>
      <c r="D1102" s="162" t="s">
        <v>1578</v>
      </c>
      <c r="E1102" s="231">
        <v>43617</v>
      </c>
      <c r="F1102" s="162" t="s">
        <v>1229</v>
      </c>
      <c r="G1102" s="231">
        <v>44993</v>
      </c>
      <c r="H1102" s="198">
        <f>SUMIF(VA!B:B,A1102,VA!I:I)</f>
        <v>359.46</v>
      </c>
      <c r="I1102" s="32">
        <f>SUMIF(VR!B:B,A1102,VR!I:I)</f>
        <v>657.5</v>
      </c>
      <c r="J1102" s="4">
        <f t="shared" si="17"/>
        <v>1016.96</v>
      </c>
      <c r="K1102" s="179">
        <f>SUMIF(FALTAS!A:A,A1102,FALTAS!D:D)</f>
        <v>0</v>
      </c>
    </row>
    <row r="1103" spans="1:11" x14ac:dyDescent="0.25">
      <c r="A1103" s="235">
        <v>114711</v>
      </c>
      <c r="B1103" s="162" t="s">
        <v>1077</v>
      </c>
      <c r="C1103" s="162" t="s">
        <v>5</v>
      </c>
      <c r="D1103" s="162" t="s">
        <v>10</v>
      </c>
      <c r="E1103" s="231">
        <v>43874</v>
      </c>
      <c r="F1103" s="162" t="s">
        <v>1229</v>
      </c>
      <c r="G1103" s="231">
        <v>45171</v>
      </c>
      <c r="H1103" s="198">
        <f>SUMIF(VA!B:B,A1103,VA!I:I)</f>
        <v>359.46</v>
      </c>
      <c r="I1103" s="32">
        <f>SUMIF(VR!B:B,A1103,VR!I:I)</f>
        <v>657.5</v>
      </c>
      <c r="J1103" s="4">
        <f t="shared" si="17"/>
        <v>1016.96</v>
      </c>
      <c r="K1103" s="179">
        <f>SUMIF(FALTAS!A:A,A1103,FALTAS!D:D)</f>
        <v>0</v>
      </c>
    </row>
    <row r="1104" spans="1:11" x14ac:dyDescent="0.25">
      <c r="A1104" s="235">
        <v>114761</v>
      </c>
      <c r="B1104" s="162" t="s">
        <v>1094</v>
      </c>
      <c r="C1104" s="162" t="s">
        <v>15</v>
      </c>
      <c r="D1104" s="162" t="s">
        <v>1578</v>
      </c>
      <c r="E1104" s="231">
        <v>43874</v>
      </c>
      <c r="F1104" s="162" t="s">
        <v>1229</v>
      </c>
      <c r="G1104" s="231">
        <v>45023</v>
      </c>
      <c r="H1104" s="198">
        <f>SUMIF(VA!B:B,A1104,VA!I:I)</f>
        <v>359.46</v>
      </c>
      <c r="I1104" s="32">
        <f>SUMIF(VR!B:B,A1104,VR!I:I)</f>
        <v>657.5</v>
      </c>
      <c r="J1104" s="4">
        <f t="shared" si="17"/>
        <v>1016.96</v>
      </c>
      <c r="K1104" s="179">
        <f>SUMIF(FALTAS!A:A,A1104,FALTAS!D:D)</f>
        <v>0</v>
      </c>
    </row>
    <row r="1105" spans="1:11" x14ac:dyDescent="0.25">
      <c r="A1105" s="235">
        <v>112833</v>
      </c>
      <c r="B1105" s="162" t="s">
        <v>443</v>
      </c>
      <c r="C1105" s="162" t="s">
        <v>2</v>
      </c>
      <c r="D1105" s="162" t="s">
        <v>8</v>
      </c>
      <c r="E1105" s="231">
        <v>43617</v>
      </c>
      <c r="F1105" s="162" t="s">
        <v>1229</v>
      </c>
      <c r="G1105" s="231">
        <v>44835</v>
      </c>
      <c r="H1105" s="198">
        <f>SUMIF(VA!B:B,A1105,VA!I:I)</f>
        <v>359.46</v>
      </c>
      <c r="I1105" s="32">
        <f>SUMIF(VR!B:B,A1105,VR!I:I)</f>
        <v>657.5</v>
      </c>
      <c r="J1105" s="4">
        <f t="shared" si="17"/>
        <v>1016.96</v>
      </c>
      <c r="K1105" s="179">
        <f>SUMIF(FALTAS!A:A,A1105,FALTAS!D:D)</f>
        <v>0</v>
      </c>
    </row>
    <row r="1106" spans="1:11" x14ac:dyDescent="0.25">
      <c r="A1106" s="235">
        <v>112845</v>
      </c>
      <c r="B1106" s="162" t="s">
        <v>449</v>
      </c>
      <c r="C1106" s="162" t="s">
        <v>15</v>
      </c>
      <c r="D1106" s="162" t="s">
        <v>1578</v>
      </c>
      <c r="E1106" s="231">
        <v>43617</v>
      </c>
      <c r="F1106" s="162" t="s">
        <v>1229</v>
      </c>
      <c r="G1106" s="231">
        <v>44960</v>
      </c>
      <c r="H1106" s="198">
        <f>SUMIF(VA!B:B,A1106,VA!I:I)</f>
        <v>359.46</v>
      </c>
      <c r="I1106" s="32">
        <f>SUMIF(VR!B:B,A1106,VR!I:I)</f>
        <v>657.5</v>
      </c>
      <c r="J1106" s="4">
        <f t="shared" si="17"/>
        <v>1016.96</v>
      </c>
      <c r="K1106" s="179">
        <f>SUMIF(FALTAS!A:A,A1106,FALTAS!D:D)</f>
        <v>0</v>
      </c>
    </row>
    <row r="1107" spans="1:11" x14ac:dyDescent="0.25">
      <c r="A1107" s="235">
        <v>119107</v>
      </c>
      <c r="B1107" s="162" t="s">
        <v>1439</v>
      </c>
      <c r="C1107" s="162" t="s">
        <v>5</v>
      </c>
      <c r="D1107" s="162" t="s">
        <v>19</v>
      </c>
      <c r="E1107" s="231">
        <v>44630</v>
      </c>
      <c r="F1107" s="162" t="s">
        <v>1229</v>
      </c>
      <c r="G1107" s="231">
        <v>45119</v>
      </c>
      <c r="H1107" s="198">
        <f>SUMIF(VA!B:B,A1107,VA!I:I)</f>
        <v>359.46</v>
      </c>
      <c r="I1107" s="32">
        <f>SUMIF(VR!B:B,A1107,VR!I:I)</f>
        <v>657.5</v>
      </c>
      <c r="J1107" s="4">
        <f t="shared" si="17"/>
        <v>1016.96</v>
      </c>
      <c r="K1107" s="179">
        <f>SUMIF(FALTAS!A:A,A1107,FALTAS!D:D)</f>
        <v>0</v>
      </c>
    </row>
    <row r="1108" spans="1:11" x14ac:dyDescent="0.25">
      <c r="A1108" s="235">
        <v>112871</v>
      </c>
      <c r="B1108" s="162" t="s">
        <v>464</v>
      </c>
      <c r="C1108" s="162" t="s">
        <v>2</v>
      </c>
      <c r="D1108" s="162" t="s">
        <v>8</v>
      </c>
      <c r="E1108" s="231">
        <v>43617</v>
      </c>
      <c r="F1108" s="162" t="s">
        <v>1229</v>
      </c>
      <c r="G1108" s="231">
        <v>44867</v>
      </c>
      <c r="H1108" s="198">
        <f>SUMIF(VA!B:B,A1108,VA!I:I)</f>
        <v>359.46</v>
      </c>
      <c r="I1108" s="32">
        <f>SUMIF(VR!B:B,A1108,VR!I:I)</f>
        <v>657.5</v>
      </c>
      <c r="J1108" s="4">
        <f t="shared" si="17"/>
        <v>1016.96</v>
      </c>
      <c r="K1108" s="179">
        <f>SUMIF(FALTAS!A:A,A1108,FALTAS!D:D)</f>
        <v>0</v>
      </c>
    </row>
    <row r="1109" spans="1:11" x14ac:dyDescent="0.25">
      <c r="A1109" s="235">
        <v>114774</v>
      </c>
      <c r="B1109" s="162" t="s">
        <v>1100</v>
      </c>
      <c r="C1109" s="162" t="s">
        <v>5</v>
      </c>
      <c r="D1109" s="162" t="s">
        <v>32</v>
      </c>
      <c r="E1109" s="231">
        <v>43874</v>
      </c>
      <c r="F1109" s="162" t="s">
        <v>1229</v>
      </c>
      <c r="G1109" s="231">
        <v>45149</v>
      </c>
      <c r="H1109" s="198">
        <f>SUMIF(VA!B:B,A1109,VA!I:I)</f>
        <v>359.46</v>
      </c>
      <c r="I1109" s="32">
        <f>SUMIF(VR!B:B,A1109,VR!I:I)</f>
        <v>657.5</v>
      </c>
      <c r="J1109" s="4">
        <f t="shared" si="17"/>
        <v>1016.96</v>
      </c>
      <c r="K1109" s="179">
        <f>SUMIF(FALTAS!A:A,A1109,FALTAS!D:D)</f>
        <v>0</v>
      </c>
    </row>
    <row r="1110" spans="1:11" x14ac:dyDescent="0.25">
      <c r="A1110" s="235">
        <v>112877</v>
      </c>
      <c r="B1110" s="162" t="s">
        <v>470</v>
      </c>
      <c r="C1110" s="162" t="s">
        <v>5</v>
      </c>
      <c r="D1110" s="162" t="s">
        <v>19</v>
      </c>
      <c r="E1110" s="231">
        <v>43617</v>
      </c>
      <c r="F1110" s="162" t="s">
        <v>1229</v>
      </c>
      <c r="G1110" s="231">
        <v>44898</v>
      </c>
      <c r="H1110" s="198">
        <f>SUMIF(VA!B:B,A1110,VA!I:I)</f>
        <v>359.46</v>
      </c>
      <c r="I1110" s="32">
        <f>SUMIF(VR!B:B,A1110,VR!I:I)</f>
        <v>657.5</v>
      </c>
      <c r="J1110" s="4">
        <f t="shared" si="17"/>
        <v>1016.96</v>
      </c>
      <c r="K1110" s="179">
        <f>SUMIF(FALTAS!A:A,A1110,FALTAS!D:D)</f>
        <v>0</v>
      </c>
    </row>
    <row r="1111" spans="1:11" x14ac:dyDescent="0.25">
      <c r="A1111" s="235">
        <v>112887</v>
      </c>
      <c r="B1111" s="162" t="s">
        <v>476</v>
      </c>
      <c r="C1111" s="162" t="s">
        <v>2</v>
      </c>
      <c r="D1111" s="162" t="s">
        <v>8</v>
      </c>
      <c r="E1111" s="231">
        <v>43617</v>
      </c>
      <c r="F1111" s="162" t="s">
        <v>1229</v>
      </c>
      <c r="G1111" s="231">
        <v>44898</v>
      </c>
      <c r="H1111" s="198">
        <f>SUMIF(VA!B:B,A1111,VA!I:I)</f>
        <v>359.46</v>
      </c>
      <c r="I1111" s="32">
        <f>SUMIF(VR!B:B,A1111,VR!I:I)</f>
        <v>657.5</v>
      </c>
      <c r="J1111" s="4">
        <f t="shared" si="17"/>
        <v>1016.96</v>
      </c>
      <c r="K1111" s="179">
        <f>SUMIF(FALTAS!A:A,A1111,FALTAS!D:D)</f>
        <v>0</v>
      </c>
    </row>
    <row r="1112" spans="1:11" x14ac:dyDescent="0.25">
      <c r="A1112" s="235">
        <v>112894</v>
      </c>
      <c r="B1112" s="162" t="s">
        <v>482</v>
      </c>
      <c r="C1112" s="162" t="s">
        <v>2</v>
      </c>
      <c r="D1112" s="162" t="s">
        <v>19</v>
      </c>
      <c r="E1112" s="231">
        <v>43617</v>
      </c>
      <c r="F1112" s="162" t="s">
        <v>1229</v>
      </c>
      <c r="G1112" s="231">
        <v>44867</v>
      </c>
      <c r="H1112" s="198">
        <f>SUMIF(VA!B:B,A1112,VA!I:I)</f>
        <v>359.46</v>
      </c>
      <c r="I1112" s="32">
        <f>SUMIF(VR!B:B,A1112,VR!I:I)</f>
        <v>657.5</v>
      </c>
      <c r="J1112" s="4">
        <f t="shared" si="17"/>
        <v>1016.96</v>
      </c>
      <c r="K1112" s="179">
        <f>SUMIF(FALTAS!A:A,A1112,FALTAS!D:D)</f>
        <v>0</v>
      </c>
    </row>
    <row r="1113" spans="1:11" x14ac:dyDescent="0.25">
      <c r="A1113" s="235">
        <v>112908</v>
      </c>
      <c r="B1113" s="162" t="s">
        <v>491</v>
      </c>
      <c r="C1113" s="162" t="s">
        <v>5</v>
      </c>
      <c r="D1113" s="162" t="s">
        <v>10</v>
      </c>
      <c r="E1113" s="231">
        <v>43617</v>
      </c>
      <c r="F1113" s="162" t="s">
        <v>1229</v>
      </c>
      <c r="G1113" s="231">
        <v>44898</v>
      </c>
      <c r="H1113" s="198">
        <f>SUMIF(VA!B:B,A1113,VA!I:I)</f>
        <v>359.46</v>
      </c>
      <c r="I1113" s="32">
        <f>SUMIF(VR!B:B,A1113,VR!I:I)</f>
        <v>657.5</v>
      </c>
      <c r="J1113" s="4">
        <f t="shared" si="17"/>
        <v>1016.96</v>
      </c>
      <c r="K1113" s="179">
        <f>SUMIF(FALTAS!A:A,A1113,FALTAS!D:D)</f>
        <v>0</v>
      </c>
    </row>
    <row r="1114" spans="1:11" x14ac:dyDescent="0.25">
      <c r="A1114" s="235">
        <v>113004</v>
      </c>
      <c r="B1114" s="162" t="s">
        <v>541</v>
      </c>
      <c r="C1114" s="162" t="s">
        <v>5</v>
      </c>
      <c r="D1114" s="162" t="s">
        <v>0</v>
      </c>
      <c r="E1114" s="231">
        <v>43617</v>
      </c>
      <c r="F1114" s="162" t="s">
        <v>1229</v>
      </c>
      <c r="G1114" s="231">
        <v>44930</v>
      </c>
      <c r="H1114" s="198">
        <f>SUMIF(VA!B:B,A1114,VA!I:I)</f>
        <v>359.46</v>
      </c>
      <c r="I1114" s="32">
        <f>SUMIF(VR!B:B,A1114,VR!I:I)</f>
        <v>657.5</v>
      </c>
      <c r="J1114" s="4">
        <f t="shared" si="17"/>
        <v>1016.96</v>
      </c>
      <c r="K1114" s="179">
        <f>SUMIF(FALTAS!A:A,A1114,FALTAS!D:D)</f>
        <v>0</v>
      </c>
    </row>
    <row r="1115" spans="1:11" x14ac:dyDescent="0.25">
      <c r="A1115" s="235">
        <v>115229</v>
      </c>
      <c r="B1115" s="162" t="s">
        <v>1146</v>
      </c>
      <c r="C1115" s="162" t="s">
        <v>939</v>
      </c>
      <c r="D1115" s="162" t="s">
        <v>1578</v>
      </c>
      <c r="E1115" s="231">
        <v>44018</v>
      </c>
      <c r="F1115" s="162" t="s">
        <v>1229</v>
      </c>
      <c r="G1115" s="231">
        <v>45056</v>
      </c>
      <c r="H1115" s="198">
        <f>SUMIF(VA!B:B,A1115,VA!I:I)</f>
        <v>359.46</v>
      </c>
      <c r="I1115" s="32">
        <f>SUMIF(VR!B:B,A1115,VR!I:I)</f>
        <v>657.5</v>
      </c>
      <c r="J1115" s="4">
        <f t="shared" si="17"/>
        <v>1016.96</v>
      </c>
      <c r="K1115" s="179">
        <f>SUMIF(FALTAS!A:A,A1115,FALTAS!D:D)</f>
        <v>0</v>
      </c>
    </row>
    <row r="1116" spans="1:11" x14ac:dyDescent="0.25">
      <c r="A1116" s="235">
        <v>113025</v>
      </c>
      <c r="B1116" s="162" t="s">
        <v>547</v>
      </c>
      <c r="C1116" s="162" t="s">
        <v>2</v>
      </c>
      <c r="D1116" s="162" t="s">
        <v>19</v>
      </c>
      <c r="E1116" s="231">
        <v>43617</v>
      </c>
      <c r="F1116" s="162" t="s">
        <v>1229</v>
      </c>
      <c r="G1116" s="231">
        <v>44867</v>
      </c>
      <c r="H1116" s="198">
        <f>SUMIF(VA!B:B,A1116,VA!I:I)</f>
        <v>359.46</v>
      </c>
      <c r="I1116" s="32">
        <f>SUMIF(VR!B:B,A1116,VR!I:I)</f>
        <v>657.5</v>
      </c>
      <c r="J1116" s="4">
        <f t="shared" si="17"/>
        <v>1016.96</v>
      </c>
      <c r="K1116" s="179">
        <f>SUMIF(FALTAS!A:A,A1116,FALTAS!D:D)</f>
        <v>0</v>
      </c>
    </row>
    <row r="1117" spans="1:11" x14ac:dyDescent="0.25">
      <c r="A1117" s="235">
        <v>113032</v>
      </c>
      <c r="B1117" s="162" t="s">
        <v>1282</v>
      </c>
      <c r="C1117" s="162" t="s">
        <v>2</v>
      </c>
      <c r="D1117" s="162" t="s">
        <v>0</v>
      </c>
      <c r="E1117" s="231">
        <v>43617</v>
      </c>
      <c r="F1117" s="162" t="s">
        <v>1229</v>
      </c>
      <c r="G1117" s="231">
        <v>44835</v>
      </c>
      <c r="H1117" s="198">
        <f>SUMIF(VA!B:B,A1117,VA!I:I)</f>
        <v>359.46</v>
      </c>
      <c r="I1117" s="32">
        <f>SUMIF(VR!B:B,A1117,VR!I:I)</f>
        <v>657.5</v>
      </c>
      <c r="J1117" s="4">
        <f t="shared" si="17"/>
        <v>1016.96</v>
      </c>
      <c r="K1117" s="179">
        <f>SUMIF(FALTAS!A:A,A1117,FALTAS!D:D)</f>
        <v>0</v>
      </c>
    </row>
    <row r="1118" spans="1:11" x14ac:dyDescent="0.25">
      <c r="A1118" s="235">
        <v>113044</v>
      </c>
      <c r="B1118" s="162" t="s">
        <v>558</v>
      </c>
      <c r="C1118" s="162" t="s">
        <v>15</v>
      </c>
      <c r="D1118" s="162" t="s">
        <v>1578</v>
      </c>
      <c r="E1118" s="231">
        <v>43617</v>
      </c>
      <c r="F1118" s="162" t="s">
        <v>1229</v>
      </c>
      <c r="G1118" s="231">
        <v>44990</v>
      </c>
      <c r="H1118" s="198">
        <f>SUMIF(VA!B:B,A1118,VA!I:I)</f>
        <v>359.46</v>
      </c>
      <c r="I1118" s="32">
        <f>SUMIF(VR!B:B,A1118,VR!I:I)</f>
        <v>657.5</v>
      </c>
      <c r="J1118" s="4">
        <f t="shared" si="17"/>
        <v>1016.96</v>
      </c>
      <c r="K1118" s="179">
        <f>SUMIF(FALTAS!A:A,A1118,FALTAS!D:D)</f>
        <v>0</v>
      </c>
    </row>
    <row r="1119" spans="1:11" x14ac:dyDescent="0.25">
      <c r="A1119" s="235">
        <v>113083</v>
      </c>
      <c r="B1119" s="162" t="s">
        <v>578</v>
      </c>
      <c r="C1119" s="162" t="s">
        <v>146</v>
      </c>
      <c r="D1119" s="162" t="s">
        <v>0</v>
      </c>
      <c r="E1119" s="231">
        <v>43617</v>
      </c>
      <c r="F1119" s="162" t="s">
        <v>1229</v>
      </c>
      <c r="G1119" s="231">
        <v>45170</v>
      </c>
      <c r="H1119" s="198">
        <f>SUMIF(VA!B:B,A1119,VA!I:I)</f>
        <v>359.46</v>
      </c>
      <c r="I1119" s="32">
        <f>SUMIF(VR!B:B,A1119,VR!I:I)</f>
        <v>657.5</v>
      </c>
      <c r="J1119" s="4">
        <f t="shared" si="17"/>
        <v>1016.96</v>
      </c>
      <c r="K1119" s="179">
        <f>SUMIF(FALTAS!A:A,A1119,FALTAS!D:D)</f>
        <v>0</v>
      </c>
    </row>
    <row r="1120" spans="1:11" x14ac:dyDescent="0.25">
      <c r="A1120" s="235">
        <v>113141</v>
      </c>
      <c r="B1120" s="162" t="s">
        <v>608</v>
      </c>
      <c r="C1120" s="162" t="s">
        <v>2</v>
      </c>
      <c r="D1120" s="162" t="s">
        <v>10</v>
      </c>
      <c r="E1120" s="231">
        <v>43617</v>
      </c>
      <c r="F1120" s="162" t="s">
        <v>1229</v>
      </c>
      <c r="G1120" s="231">
        <v>45056</v>
      </c>
      <c r="H1120" s="198">
        <f>SUMIF(VA!B:B,A1120,VA!I:I)</f>
        <v>359.46</v>
      </c>
      <c r="I1120" s="32">
        <f>SUMIF(VR!B:B,A1120,VR!I:I)</f>
        <v>657.5</v>
      </c>
      <c r="J1120" s="4">
        <f t="shared" si="17"/>
        <v>1016.96</v>
      </c>
      <c r="K1120" s="179">
        <f>SUMIF(FALTAS!A:A,A1120,FALTAS!D:D)</f>
        <v>0</v>
      </c>
    </row>
    <row r="1121" spans="1:11" x14ac:dyDescent="0.25">
      <c r="A1121" s="235">
        <v>113669</v>
      </c>
      <c r="B1121" s="162" t="s">
        <v>906</v>
      </c>
      <c r="C1121" s="162" t="s">
        <v>2</v>
      </c>
      <c r="D1121" s="162" t="s">
        <v>0</v>
      </c>
      <c r="E1121" s="231">
        <v>43617</v>
      </c>
      <c r="F1121" s="162" t="s">
        <v>1229</v>
      </c>
      <c r="G1121" s="231">
        <v>45177</v>
      </c>
      <c r="H1121" s="198">
        <f>SUMIF(VA!B:B,A1121,VA!I:I)</f>
        <v>347.47</v>
      </c>
      <c r="I1121" s="32">
        <f>SUMIF(VR!B:B,A1121,VR!I:I)</f>
        <v>631.20000000000005</v>
      </c>
      <c r="J1121" s="4">
        <f t="shared" si="17"/>
        <v>978.67000000000007</v>
      </c>
      <c r="K1121" s="179">
        <f>SUMIF(FALTAS!A:A,A1121,FALTAS!D:D)</f>
        <v>1</v>
      </c>
    </row>
    <row r="1122" spans="1:11" x14ac:dyDescent="0.25">
      <c r="A1122" s="235">
        <v>113671</v>
      </c>
      <c r="B1122" s="162" t="s">
        <v>907</v>
      </c>
      <c r="C1122" s="162" t="s">
        <v>5</v>
      </c>
      <c r="D1122" s="162" t="s">
        <v>8</v>
      </c>
      <c r="E1122" s="231">
        <v>43617</v>
      </c>
      <c r="F1122" s="162" t="s">
        <v>1229</v>
      </c>
      <c r="G1122" s="231">
        <v>45023</v>
      </c>
      <c r="H1122" s="198">
        <f>SUMIF(VA!B:B,A1122,VA!I:I)</f>
        <v>359.46</v>
      </c>
      <c r="I1122" s="32">
        <f>SUMIF(VR!B:B,A1122,VR!I:I)</f>
        <v>657.5</v>
      </c>
      <c r="J1122" s="4">
        <f t="shared" si="17"/>
        <v>1016.96</v>
      </c>
      <c r="K1122" s="179">
        <f>SUMIF(FALTAS!A:A,A1122,FALTAS!D:D)</f>
        <v>0</v>
      </c>
    </row>
    <row r="1123" spans="1:11" x14ac:dyDescent="0.25">
      <c r="A1123" s="235">
        <v>113183</v>
      </c>
      <c r="B1123" s="162" t="s">
        <v>632</v>
      </c>
      <c r="C1123" s="162" t="s">
        <v>22</v>
      </c>
      <c r="D1123" s="162" t="s">
        <v>1578</v>
      </c>
      <c r="E1123" s="231">
        <v>43617</v>
      </c>
      <c r="F1123" s="162" t="s">
        <v>1229</v>
      </c>
      <c r="G1123" s="231">
        <v>45119</v>
      </c>
      <c r="H1123" s="198">
        <f>SUMIF(VA!B:B,A1123,VA!I:I)</f>
        <v>359.46</v>
      </c>
      <c r="I1123" s="32">
        <f>SUMIF(VR!B:B,A1123,VR!I:I)</f>
        <v>657.5</v>
      </c>
      <c r="J1123" s="4">
        <f t="shared" si="17"/>
        <v>1016.96</v>
      </c>
      <c r="K1123" s="179">
        <f>SUMIF(FALTAS!A:A,A1123,FALTAS!D:D)</f>
        <v>0</v>
      </c>
    </row>
    <row r="1124" spans="1:11" x14ac:dyDescent="0.25">
      <c r="A1124" s="235">
        <v>113188</v>
      </c>
      <c r="B1124" s="162" t="s">
        <v>635</v>
      </c>
      <c r="C1124" s="162" t="s">
        <v>5</v>
      </c>
      <c r="D1124" s="162" t="s">
        <v>8</v>
      </c>
      <c r="E1124" s="231">
        <v>43617</v>
      </c>
      <c r="F1124" s="162" t="s">
        <v>1229</v>
      </c>
      <c r="G1124" s="231">
        <v>45056</v>
      </c>
      <c r="H1124" s="198">
        <f>SUMIF(VA!B:B,A1124,VA!I:I)</f>
        <v>359.46</v>
      </c>
      <c r="I1124" s="32">
        <f>SUMIF(VR!B:B,A1124,VR!I:I)</f>
        <v>657.5</v>
      </c>
      <c r="J1124" s="4">
        <f t="shared" si="17"/>
        <v>1016.96</v>
      </c>
      <c r="K1124" s="179">
        <f>SUMIF(FALTAS!A:A,A1124,FALTAS!D:D)</f>
        <v>0</v>
      </c>
    </row>
    <row r="1125" spans="1:11" x14ac:dyDescent="0.25">
      <c r="A1125" s="235">
        <v>113743</v>
      </c>
      <c r="B1125" s="162" t="s">
        <v>962</v>
      </c>
      <c r="C1125" s="162" t="s">
        <v>1517</v>
      </c>
      <c r="D1125" s="162" t="s">
        <v>1580</v>
      </c>
      <c r="E1125" s="231">
        <v>43619</v>
      </c>
      <c r="F1125" s="162" t="s">
        <v>1229</v>
      </c>
      <c r="G1125" s="231">
        <v>45053</v>
      </c>
      <c r="H1125" s="198">
        <f>SUMIF(VA!B:B,A1125,VA!I:I)</f>
        <v>359.46</v>
      </c>
      <c r="I1125" s="32">
        <f>SUMIF(VR!B:B,A1125,VR!I:I)</f>
        <v>657.5</v>
      </c>
      <c r="J1125" s="4">
        <f t="shared" si="17"/>
        <v>1016.96</v>
      </c>
      <c r="K1125" s="179">
        <f>SUMIF(FALTAS!A:A,A1125,FALTAS!D:D)</f>
        <v>0</v>
      </c>
    </row>
    <row r="1126" spans="1:11" x14ac:dyDescent="0.25">
      <c r="A1126" s="235">
        <v>113192</v>
      </c>
      <c r="B1126" s="162" t="s">
        <v>637</v>
      </c>
      <c r="C1126" s="162" t="s">
        <v>2</v>
      </c>
      <c r="D1126" s="162" t="s">
        <v>19</v>
      </c>
      <c r="E1126" s="231">
        <v>43617</v>
      </c>
      <c r="F1126" s="162" t="s">
        <v>1229</v>
      </c>
      <c r="G1126" s="231">
        <v>45056</v>
      </c>
      <c r="H1126" s="198">
        <f>SUMIF(VA!B:B,A1126,VA!I:I)</f>
        <v>359.46</v>
      </c>
      <c r="I1126" s="32">
        <f>SUMIF(VR!B:B,A1126,VR!I:I)</f>
        <v>657.5</v>
      </c>
      <c r="J1126" s="4">
        <f t="shared" si="17"/>
        <v>1016.96</v>
      </c>
      <c r="K1126" s="179">
        <f>SUMIF(FALTAS!A:A,A1126,FALTAS!D:D)</f>
        <v>0</v>
      </c>
    </row>
    <row r="1127" spans="1:11" x14ac:dyDescent="0.25">
      <c r="A1127" s="235">
        <v>122555</v>
      </c>
      <c r="B1127" s="162" t="s">
        <v>1694</v>
      </c>
      <c r="C1127" s="162" t="s">
        <v>5</v>
      </c>
      <c r="D1127" s="162" t="s">
        <v>8</v>
      </c>
      <c r="E1127" s="231">
        <v>45131</v>
      </c>
      <c r="F1127" s="162" t="s">
        <v>1229</v>
      </c>
      <c r="G1127" s="231">
        <v>45131</v>
      </c>
      <c r="H1127" s="198">
        <f>SUMIF(VA!B:B,A1127,VA!I:I)</f>
        <v>359.46</v>
      </c>
      <c r="I1127" s="32">
        <f>SUMIF(VR!B:B,A1127,VR!I:I)</f>
        <v>657.5</v>
      </c>
      <c r="J1127" s="4">
        <f t="shared" si="17"/>
        <v>1016.96</v>
      </c>
      <c r="K1127" s="179">
        <f>SUMIF(FALTAS!A:A,A1127,FALTAS!D:D)</f>
        <v>0</v>
      </c>
    </row>
    <row r="1128" spans="1:11" x14ac:dyDescent="0.25">
      <c r="A1128" s="235">
        <v>118054</v>
      </c>
      <c r="B1128" s="162" t="s">
        <v>1406</v>
      </c>
      <c r="C1128" s="162" t="s">
        <v>5</v>
      </c>
      <c r="D1128" s="162" t="s">
        <v>10</v>
      </c>
      <c r="E1128" s="231">
        <v>44567</v>
      </c>
      <c r="F1128" s="162" t="s">
        <v>1229</v>
      </c>
      <c r="G1128" s="231">
        <v>45149</v>
      </c>
      <c r="H1128" s="198">
        <f>SUMIF(VA!B:B,A1128,VA!I:I)</f>
        <v>359.46</v>
      </c>
      <c r="I1128" s="32">
        <f>SUMIF(VR!B:B,A1128,VR!I:I)</f>
        <v>657.5</v>
      </c>
      <c r="J1128" s="4">
        <f t="shared" si="17"/>
        <v>1016.96</v>
      </c>
      <c r="K1128" s="179">
        <f>SUMIF(FALTAS!A:A,A1128,FALTAS!D:D)</f>
        <v>0</v>
      </c>
    </row>
    <row r="1129" spans="1:11" x14ac:dyDescent="0.25">
      <c r="A1129" s="235">
        <v>113722</v>
      </c>
      <c r="B1129" s="162" t="s">
        <v>936</v>
      </c>
      <c r="C1129" s="162" t="s">
        <v>5</v>
      </c>
      <c r="D1129" s="162" t="s">
        <v>10</v>
      </c>
      <c r="E1129" s="231">
        <v>43619</v>
      </c>
      <c r="F1129" s="162" t="s">
        <v>1229</v>
      </c>
      <c r="G1129" s="231">
        <v>45023</v>
      </c>
      <c r="H1129" s="198">
        <f>SUMIF(VA!B:B,A1129,VA!I:I)</f>
        <v>359.46</v>
      </c>
      <c r="I1129" s="32">
        <f>SUMIF(VR!B:B,A1129,VR!I:I)</f>
        <v>657.5</v>
      </c>
      <c r="J1129" s="4">
        <f t="shared" si="17"/>
        <v>1016.96</v>
      </c>
      <c r="K1129" s="179">
        <f>SUMIF(FALTAS!A:A,A1129,FALTAS!D:D)</f>
        <v>0</v>
      </c>
    </row>
    <row r="1130" spans="1:11" x14ac:dyDescent="0.25">
      <c r="A1130" s="235">
        <v>113201</v>
      </c>
      <c r="B1130" s="162" t="s">
        <v>641</v>
      </c>
      <c r="C1130" s="162" t="s">
        <v>2</v>
      </c>
      <c r="D1130" s="162" t="s">
        <v>8</v>
      </c>
      <c r="E1130" s="231">
        <v>43617</v>
      </c>
      <c r="F1130" s="162" t="s">
        <v>1229</v>
      </c>
      <c r="G1130" s="231">
        <v>45119</v>
      </c>
      <c r="H1130" s="198">
        <f>SUMIF(VA!B:B,A1130,VA!I:I)</f>
        <v>359.46</v>
      </c>
      <c r="I1130" s="32">
        <f>SUMIF(VR!B:B,A1130,VR!I:I)</f>
        <v>657.5</v>
      </c>
      <c r="J1130" s="4">
        <f t="shared" si="17"/>
        <v>1016.96</v>
      </c>
      <c r="K1130" s="179">
        <f>SUMIF(FALTAS!A:A,A1130,FALTAS!D:D)</f>
        <v>0</v>
      </c>
    </row>
    <row r="1131" spans="1:11" x14ac:dyDescent="0.25">
      <c r="A1131" s="235">
        <v>113803</v>
      </c>
      <c r="B1131" s="162" t="s">
        <v>983</v>
      </c>
      <c r="C1131" s="162" t="s">
        <v>15</v>
      </c>
      <c r="D1131" s="162" t="s">
        <v>1578</v>
      </c>
      <c r="E1131" s="231">
        <v>43630</v>
      </c>
      <c r="F1131" s="162" t="s">
        <v>1229</v>
      </c>
      <c r="G1131" s="231">
        <v>45177</v>
      </c>
      <c r="H1131" s="198">
        <f>SUMIF(VA!B:B,A1131,VA!I:I)</f>
        <v>359.46</v>
      </c>
      <c r="I1131" s="32">
        <f>SUMIF(VR!B:B,A1131,VR!I:I)</f>
        <v>657.5</v>
      </c>
      <c r="J1131" s="4">
        <f t="shared" si="17"/>
        <v>1016.96</v>
      </c>
      <c r="K1131" s="179">
        <f>SUMIF(FALTAS!A:A,A1131,FALTAS!D:D)</f>
        <v>0</v>
      </c>
    </row>
    <row r="1132" spans="1:11" x14ac:dyDescent="0.25">
      <c r="A1132" s="235">
        <v>113218</v>
      </c>
      <c r="B1132" s="162" t="s">
        <v>652</v>
      </c>
      <c r="C1132" s="162" t="s">
        <v>15</v>
      </c>
      <c r="D1132" s="162" t="s">
        <v>1578</v>
      </c>
      <c r="E1132" s="231">
        <v>43617</v>
      </c>
      <c r="F1132" s="162" t="s">
        <v>1229</v>
      </c>
      <c r="G1132" s="231">
        <v>45119</v>
      </c>
      <c r="H1132" s="198">
        <f>SUMIF(VA!B:B,A1132,VA!I:I)</f>
        <v>359.46</v>
      </c>
      <c r="I1132" s="32">
        <f>SUMIF(VR!B:B,A1132,VR!I:I)</f>
        <v>657.5</v>
      </c>
      <c r="J1132" s="4">
        <f t="shared" si="17"/>
        <v>1016.96</v>
      </c>
      <c r="K1132" s="179">
        <f>SUMIF(FALTAS!A:A,A1132,FALTAS!D:D)</f>
        <v>0</v>
      </c>
    </row>
    <row r="1133" spans="1:11" x14ac:dyDescent="0.25">
      <c r="A1133" s="235">
        <v>113224</v>
      </c>
      <c r="B1133" s="162" t="s">
        <v>655</v>
      </c>
      <c r="C1133" s="162" t="s">
        <v>5</v>
      </c>
      <c r="D1133" s="162" t="s">
        <v>0</v>
      </c>
      <c r="E1133" s="231">
        <v>43617</v>
      </c>
      <c r="F1133" s="162" t="s">
        <v>1229</v>
      </c>
      <c r="G1133" s="231">
        <v>44993</v>
      </c>
      <c r="H1133" s="198">
        <f>SUMIF(VA!B:B,A1133,VA!I:I)</f>
        <v>359.46</v>
      </c>
      <c r="I1133" s="32">
        <f>SUMIF(VR!B:B,A1133,VR!I:I)</f>
        <v>657.5</v>
      </c>
      <c r="J1133" s="4">
        <f t="shared" si="17"/>
        <v>1016.96</v>
      </c>
      <c r="K1133" s="179">
        <f>SUMIF(FALTAS!A:A,A1133,FALTAS!D:D)</f>
        <v>0</v>
      </c>
    </row>
    <row r="1134" spans="1:11" x14ac:dyDescent="0.25">
      <c r="A1134" s="235">
        <v>114094</v>
      </c>
      <c r="B1134" s="162" t="s">
        <v>1002</v>
      </c>
      <c r="C1134" s="162" t="s">
        <v>5</v>
      </c>
      <c r="D1134" s="162" t="s">
        <v>8</v>
      </c>
      <c r="E1134" s="231">
        <v>43728</v>
      </c>
      <c r="F1134" s="162" t="s">
        <v>1229</v>
      </c>
      <c r="G1134" s="231">
        <v>45149</v>
      </c>
      <c r="H1134" s="198">
        <f>SUMIF(VA!B:B,A1134,VA!I:I)</f>
        <v>359.46</v>
      </c>
      <c r="I1134" s="32">
        <f>SUMIF(VR!B:B,A1134,VR!I:I)</f>
        <v>657.5</v>
      </c>
      <c r="J1134" s="4">
        <f t="shared" si="17"/>
        <v>1016.96</v>
      </c>
      <c r="K1134" s="179">
        <f>SUMIF(FALTAS!A:A,A1134,FALTAS!D:D)</f>
        <v>0</v>
      </c>
    </row>
    <row r="1135" spans="1:11" x14ac:dyDescent="0.25">
      <c r="A1135" s="235">
        <v>113235</v>
      </c>
      <c r="B1135" s="162" t="s">
        <v>662</v>
      </c>
      <c r="C1135" s="162" t="s">
        <v>5</v>
      </c>
      <c r="D1135" s="162" t="s">
        <v>0</v>
      </c>
      <c r="E1135" s="231">
        <v>43617</v>
      </c>
      <c r="F1135" s="162" t="s">
        <v>1229</v>
      </c>
      <c r="G1135" s="231">
        <v>45056</v>
      </c>
      <c r="H1135" s="198">
        <f>SUMIF(VA!B:B,A1135,VA!I:I)</f>
        <v>359.46</v>
      </c>
      <c r="I1135" s="32">
        <f>SUMIF(VR!B:B,A1135,VR!I:I)</f>
        <v>657.5</v>
      </c>
      <c r="J1135" s="4">
        <f t="shared" si="17"/>
        <v>1016.96</v>
      </c>
      <c r="K1135" s="179">
        <f>SUMIF(FALTAS!A:A,A1135,FALTAS!D:D)</f>
        <v>0</v>
      </c>
    </row>
    <row r="1136" spans="1:11" x14ac:dyDescent="0.25">
      <c r="A1136" s="235">
        <v>119125</v>
      </c>
      <c r="B1136" s="162" t="s">
        <v>1440</v>
      </c>
      <c r="C1136" s="162" t="s">
        <v>15</v>
      </c>
      <c r="D1136" s="162" t="s">
        <v>1578</v>
      </c>
      <c r="E1136" s="231">
        <v>44630</v>
      </c>
      <c r="F1136" s="162" t="s">
        <v>1229</v>
      </c>
      <c r="G1136" s="231">
        <v>45086</v>
      </c>
      <c r="H1136" s="198">
        <f>SUMIF(VA!B:B,A1136,VA!I:I)</f>
        <v>359.46</v>
      </c>
      <c r="I1136" s="32">
        <f>SUMIF(VR!B:B,A1136,VR!I:I)</f>
        <v>657.5</v>
      </c>
      <c r="J1136" s="4">
        <f t="shared" si="17"/>
        <v>1016.96</v>
      </c>
      <c r="K1136" s="179">
        <f>SUMIF(FALTAS!A:A,A1136,FALTAS!D:D)</f>
        <v>0</v>
      </c>
    </row>
    <row r="1137" spans="1:11" x14ac:dyDescent="0.25">
      <c r="A1137" s="235">
        <v>116730</v>
      </c>
      <c r="B1137" s="162" t="s">
        <v>1221</v>
      </c>
      <c r="C1137" s="162" t="s">
        <v>15</v>
      </c>
      <c r="D1137" s="162" t="s">
        <v>1578</v>
      </c>
      <c r="E1137" s="231">
        <v>44368</v>
      </c>
      <c r="F1137" s="162" t="s">
        <v>1229</v>
      </c>
      <c r="G1137" s="231">
        <v>44867</v>
      </c>
      <c r="H1137" s="198">
        <f>SUMIF(VA!B:B,A1137,VA!I:I)</f>
        <v>359.46</v>
      </c>
      <c r="I1137" s="32">
        <f>SUMIF(VR!B:B,A1137,VR!I:I)</f>
        <v>657.5</v>
      </c>
      <c r="J1137" s="4">
        <f t="shared" si="17"/>
        <v>1016.96</v>
      </c>
      <c r="K1137" s="179">
        <f>SUMIF(FALTAS!A:A,A1137,FALTAS!D:D)</f>
        <v>0</v>
      </c>
    </row>
    <row r="1138" spans="1:11" x14ac:dyDescent="0.25">
      <c r="A1138" s="235">
        <v>114088</v>
      </c>
      <c r="B1138" s="162" t="s">
        <v>999</v>
      </c>
      <c r="C1138" s="162" t="s">
        <v>5</v>
      </c>
      <c r="D1138" s="162" t="s">
        <v>0</v>
      </c>
      <c r="E1138" s="231">
        <v>43728</v>
      </c>
      <c r="F1138" s="162" t="s">
        <v>1229</v>
      </c>
      <c r="G1138" s="231">
        <v>45119</v>
      </c>
      <c r="H1138" s="198">
        <f>SUMIF(VA!B:B,A1138,VA!I:I)</f>
        <v>359.46</v>
      </c>
      <c r="I1138" s="32">
        <f>SUMIF(VR!B:B,A1138,VR!I:I)</f>
        <v>657.5</v>
      </c>
      <c r="J1138" s="4">
        <f t="shared" si="17"/>
        <v>1016.96</v>
      </c>
      <c r="K1138" s="179">
        <f>SUMIF(FALTAS!A:A,A1138,FALTAS!D:D)</f>
        <v>0</v>
      </c>
    </row>
    <row r="1139" spans="1:11" x14ac:dyDescent="0.25">
      <c r="A1139" s="235">
        <v>122247</v>
      </c>
      <c r="B1139" s="162" t="s">
        <v>1659</v>
      </c>
      <c r="C1139" s="162" t="s">
        <v>5</v>
      </c>
      <c r="D1139" s="162" t="s">
        <v>0</v>
      </c>
      <c r="E1139" s="231">
        <v>45089</v>
      </c>
      <c r="F1139" s="162" t="s">
        <v>1229</v>
      </c>
      <c r="G1139" s="231">
        <v>45089</v>
      </c>
      <c r="H1139" s="198">
        <f>SUMIF(VA!B:B,A1139,VA!I:I)</f>
        <v>359.46</v>
      </c>
      <c r="I1139" s="32">
        <f>SUMIF(VR!B:B,A1139,VR!I:I)</f>
        <v>657.5</v>
      </c>
      <c r="J1139" s="4">
        <f t="shared" si="17"/>
        <v>1016.96</v>
      </c>
      <c r="K1139" s="179">
        <f>SUMIF(FALTAS!A:A,A1139,FALTAS!D:D)</f>
        <v>0</v>
      </c>
    </row>
    <row r="1140" spans="1:11" x14ac:dyDescent="0.25">
      <c r="A1140" s="235">
        <v>114980</v>
      </c>
      <c r="B1140" s="162" t="s">
        <v>1134</v>
      </c>
      <c r="C1140" s="162" t="s">
        <v>5</v>
      </c>
      <c r="D1140" s="162" t="s">
        <v>0</v>
      </c>
      <c r="E1140" s="231">
        <v>43917</v>
      </c>
      <c r="F1140" s="162" t="s">
        <v>1229</v>
      </c>
      <c r="G1140" s="231">
        <v>44954</v>
      </c>
      <c r="H1140" s="198">
        <f>SUMIF(VA!B:B,A1140,VA!I:I)</f>
        <v>335.49</v>
      </c>
      <c r="I1140" s="32">
        <f>SUMIF(VR!B:B,A1140,VR!I:I)</f>
        <v>604.9</v>
      </c>
      <c r="J1140" s="4">
        <f t="shared" si="17"/>
        <v>940.39</v>
      </c>
      <c r="K1140" s="179">
        <f>SUMIF(FALTAS!A:A,A1140,FALTAS!D:D)</f>
        <v>2</v>
      </c>
    </row>
    <row r="1141" spans="1:11" x14ac:dyDescent="0.25">
      <c r="A1141" s="235">
        <v>113255</v>
      </c>
      <c r="B1141" s="162" t="s">
        <v>671</v>
      </c>
      <c r="C1141" s="162" t="s">
        <v>22</v>
      </c>
      <c r="D1141" s="162" t="s">
        <v>1578</v>
      </c>
      <c r="E1141" s="231">
        <v>43617</v>
      </c>
      <c r="F1141" s="162" t="s">
        <v>1229</v>
      </c>
      <c r="G1141" s="231">
        <v>45023</v>
      </c>
      <c r="H1141" s="198">
        <f>SUMIF(VA!B:B,A1141,VA!I:I)</f>
        <v>359.46</v>
      </c>
      <c r="I1141" s="32">
        <f>SUMIF(VR!B:B,A1141,VR!I:I)</f>
        <v>657.5</v>
      </c>
      <c r="J1141" s="4">
        <f t="shared" si="17"/>
        <v>1016.96</v>
      </c>
      <c r="K1141" s="179">
        <f>SUMIF(FALTAS!A:A,A1141,FALTAS!D:D)</f>
        <v>0</v>
      </c>
    </row>
    <row r="1142" spans="1:11" x14ac:dyDescent="0.25">
      <c r="A1142" s="235">
        <v>116983</v>
      </c>
      <c r="B1142" s="162" t="s">
        <v>1243</v>
      </c>
      <c r="C1142" s="162" t="s">
        <v>5</v>
      </c>
      <c r="D1142" s="162" t="s">
        <v>0</v>
      </c>
      <c r="E1142" s="231">
        <v>44419</v>
      </c>
      <c r="F1142" s="162" t="s">
        <v>1229</v>
      </c>
      <c r="G1142" s="231">
        <v>45086</v>
      </c>
      <c r="H1142" s="198">
        <f>SUMIF(VA!B:B,A1142,VA!I:I)</f>
        <v>359.46</v>
      </c>
      <c r="I1142" s="32">
        <f>SUMIF(VR!B:B,A1142,VR!I:I)</f>
        <v>657.5</v>
      </c>
      <c r="J1142" s="4">
        <f t="shared" si="17"/>
        <v>1016.96</v>
      </c>
      <c r="K1142" s="179">
        <f>SUMIF(FALTAS!A:A,A1142,FALTAS!D:D)</f>
        <v>0</v>
      </c>
    </row>
    <row r="1143" spans="1:11" x14ac:dyDescent="0.25">
      <c r="A1143" s="235">
        <v>113262</v>
      </c>
      <c r="B1143" s="162" t="s">
        <v>674</v>
      </c>
      <c r="C1143" s="162" t="s">
        <v>2</v>
      </c>
      <c r="D1143" s="162" t="s">
        <v>10</v>
      </c>
      <c r="E1143" s="231">
        <v>43617</v>
      </c>
      <c r="F1143" s="162" t="s">
        <v>1229</v>
      </c>
      <c r="G1143" s="231">
        <v>44930</v>
      </c>
      <c r="H1143" s="198">
        <f>SUMIF(VA!B:B,A1143,VA!I:I)</f>
        <v>359.46</v>
      </c>
      <c r="I1143" s="32">
        <f>SUMIF(VR!B:B,A1143,VR!I:I)</f>
        <v>657.5</v>
      </c>
      <c r="J1143" s="4">
        <f t="shared" si="17"/>
        <v>1016.96</v>
      </c>
      <c r="K1143" s="179">
        <f>SUMIF(FALTAS!A:A,A1143,FALTAS!D:D)</f>
        <v>0</v>
      </c>
    </row>
    <row r="1144" spans="1:11" x14ac:dyDescent="0.25">
      <c r="A1144" s="235">
        <v>116720</v>
      </c>
      <c r="B1144" s="162" t="s">
        <v>678</v>
      </c>
      <c r="C1144" s="162" t="s">
        <v>2</v>
      </c>
      <c r="D1144" s="162" t="s">
        <v>10</v>
      </c>
      <c r="E1144" s="231">
        <v>44368</v>
      </c>
      <c r="F1144" s="162" t="s">
        <v>1229</v>
      </c>
      <c r="G1144" s="231">
        <v>45023</v>
      </c>
      <c r="H1144" s="198">
        <f>SUMIF(VA!B:B,A1144,VA!I:I)</f>
        <v>359.46</v>
      </c>
      <c r="I1144" s="32">
        <f>SUMIF(VR!B:B,A1144,VR!I:I)</f>
        <v>657.5</v>
      </c>
      <c r="J1144" s="4">
        <f t="shared" si="17"/>
        <v>1016.96</v>
      </c>
      <c r="K1144" s="179">
        <f>SUMIF(FALTAS!A:A,A1144,FALTAS!D:D)</f>
        <v>0</v>
      </c>
    </row>
    <row r="1145" spans="1:11" x14ac:dyDescent="0.25">
      <c r="A1145" s="235">
        <v>113288</v>
      </c>
      <c r="B1145" s="162" t="s">
        <v>689</v>
      </c>
      <c r="C1145" s="162" t="s">
        <v>2</v>
      </c>
      <c r="D1145" s="162" t="s">
        <v>0</v>
      </c>
      <c r="E1145" s="231">
        <v>43617</v>
      </c>
      <c r="F1145" s="162" t="s">
        <v>1229</v>
      </c>
      <c r="G1145" s="231">
        <v>44898</v>
      </c>
      <c r="H1145" s="198">
        <f>SUMIF(VA!B:B,A1145,VA!I:I)</f>
        <v>359.46</v>
      </c>
      <c r="I1145" s="32">
        <f>SUMIF(VR!B:B,A1145,VR!I:I)</f>
        <v>657.5</v>
      </c>
      <c r="J1145" s="4">
        <f t="shared" si="17"/>
        <v>1016.96</v>
      </c>
      <c r="K1145" s="179">
        <f>SUMIF(FALTAS!A:A,A1145,FALTAS!D:D)</f>
        <v>0</v>
      </c>
    </row>
    <row r="1146" spans="1:11" x14ac:dyDescent="0.25">
      <c r="A1146" s="235">
        <v>120623</v>
      </c>
      <c r="B1146" s="162" t="s">
        <v>1508</v>
      </c>
      <c r="C1146" s="162" t="s">
        <v>205</v>
      </c>
      <c r="D1146" s="162" t="s">
        <v>1578</v>
      </c>
      <c r="E1146" s="231">
        <v>44837</v>
      </c>
      <c r="F1146" s="162" t="s">
        <v>1229</v>
      </c>
      <c r="G1146" s="231">
        <v>44837</v>
      </c>
      <c r="H1146" s="198">
        <f>SUMIF(VA!B:B,A1146,VA!I:I)</f>
        <v>359.46</v>
      </c>
      <c r="I1146" s="32">
        <f>SUMIF(VR!B:B,A1146,VR!I:I)</f>
        <v>657.5</v>
      </c>
      <c r="J1146" s="4">
        <f t="shared" si="17"/>
        <v>1016.96</v>
      </c>
      <c r="K1146" s="179">
        <f>SUMIF(FALTAS!A:A,A1146,FALTAS!D:D)</f>
        <v>0</v>
      </c>
    </row>
    <row r="1147" spans="1:11" x14ac:dyDescent="0.25">
      <c r="A1147" s="235">
        <v>114742</v>
      </c>
      <c r="B1147" s="162" t="s">
        <v>1085</v>
      </c>
      <c r="C1147" s="162" t="s">
        <v>5</v>
      </c>
      <c r="D1147" s="162" t="s">
        <v>0</v>
      </c>
      <c r="E1147" s="231">
        <v>43874</v>
      </c>
      <c r="F1147" s="162" t="s">
        <v>1229</v>
      </c>
      <c r="G1147" s="231">
        <v>45163</v>
      </c>
      <c r="H1147" s="198">
        <f>SUMIF(VA!B:B,A1147,VA!I:I)</f>
        <v>347.47</v>
      </c>
      <c r="I1147" s="32">
        <f>SUMIF(VR!B:B,A1147,VR!I:I)</f>
        <v>631.20000000000005</v>
      </c>
      <c r="J1147" s="4">
        <f t="shared" si="17"/>
        <v>978.67000000000007</v>
      </c>
      <c r="K1147" s="179">
        <f>SUMIF(FALTAS!A:A,A1147,FALTAS!D:D)</f>
        <v>1</v>
      </c>
    </row>
    <row r="1148" spans="1:11" x14ac:dyDescent="0.25">
      <c r="A1148" s="235">
        <v>113350</v>
      </c>
      <c r="B1148" s="162" t="s">
        <v>719</v>
      </c>
      <c r="C1148" s="162" t="s">
        <v>5</v>
      </c>
      <c r="D1148" s="162" t="s">
        <v>0</v>
      </c>
      <c r="E1148" s="231">
        <v>43617</v>
      </c>
      <c r="F1148" s="162" t="s">
        <v>1229</v>
      </c>
      <c r="G1148" s="231">
        <v>44960</v>
      </c>
      <c r="H1148" s="198">
        <f>SUMIF(VA!B:B,A1148,VA!I:I)</f>
        <v>359.46</v>
      </c>
      <c r="I1148" s="32">
        <f>SUMIF(VR!B:B,A1148,VR!I:I)</f>
        <v>657.5</v>
      </c>
      <c r="J1148" s="4">
        <f t="shared" si="17"/>
        <v>1016.96</v>
      </c>
      <c r="K1148" s="179">
        <f>SUMIF(FALTAS!A:A,A1148,FALTAS!D:D)</f>
        <v>0</v>
      </c>
    </row>
    <row r="1149" spans="1:11" x14ac:dyDescent="0.25">
      <c r="A1149" s="235">
        <v>113356</v>
      </c>
      <c r="B1149" s="162" t="s">
        <v>646</v>
      </c>
      <c r="C1149" s="162" t="s">
        <v>5</v>
      </c>
      <c r="D1149" s="162" t="s">
        <v>8</v>
      </c>
      <c r="E1149" s="231">
        <v>43617</v>
      </c>
      <c r="F1149" s="162" t="s">
        <v>1230</v>
      </c>
      <c r="G1149" s="231">
        <v>45180</v>
      </c>
      <c r="H1149" s="198">
        <f>SUMIF(VA!B:B,A1149,VA!I:I)</f>
        <v>359.46</v>
      </c>
      <c r="I1149" s="32">
        <f>SUMIF(VR!B:B,A1149,VR!I:I)</f>
        <v>657.5</v>
      </c>
      <c r="J1149" s="4">
        <f t="shared" si="17"/>
        <v>1016.96</v>
      </c>
      <c r="K1149" s="179">
        <f>SUMIF(FALTAS!A:A,A1149,FALTAS!D:D)</f>
        <v>0</v>
      </c>
    </row>
    <row r="1150" spans="1:11" x14ac:dyDescent="0.25">
      <c r="A1150" s="235">
        <v>113365</v>
      </c>
      <c r="B1150" s="162" t="s">
        <v>646</v>
      </c>
      <c r="C1150" s="162" t="s">
        <v>15</v>
      </c>
      <c r="D1150" s="162" t="s">
        <v>1578</v>
      </c>
      <c r="E1150" s="231">
        <v>43617</v>
      </c>
      <c r="F1150" s="162" t="s">
        <v>1229</v>
      </c>
      <c r="G1150" s="231">
        <v>44835</v>
      </c>
      <c r="H1150" s="198">
        <f>SUMIF(VA!B:B,A1150,VA!I:I)</f>
        <v>359.46</v>
      </c>
      <c r="I1150" s="32">
        <f>SUMIF(VR!B:B,A1150,VR!I:I)</f>
        <v>657.5</v>
      </c>
      <c r="J1150" s="4">
        <f t="shared" si="17"/>
        <v>1016.96</v>
      </c>
      <c r="K1150" s="179">
        <f>SUMIF(FALTAS!A:A,A1150,FALTAS!D:D)</f>
        <v>0</v>
      </c>
    </row>
    <row r="1151" spans="1:11" x14ac:dyDescent="0.25">
      <c r="A1151" s="235">
        <v>122424</v>
      </c>
      <c r="B1151" s="162" t="s">
        <v>1695</v>
      </c>
      <c r="C1151" s="162" t="s">
        <v>5</v>
      </c>
      <c r="D1151" s="162" t="s">
        <v>1578</v>
      </c>
      <c r="E1151" s="231">
        <v>45117</v>
      </c>
      <c r="F1151" s="162" t="s">
        <v>1229</v>
      </c>
      <c r="G1151" s="231">
        <v>45117</v>
      </c>
      <c r="H1151" s="198">
        <f>SUMIF(VA!B:B,A1151,VA!I:I)</f>
        <v>311.52999999999997</v>
      </c>
      <c r="I1151" s="32">
        <f>SUMIF(VR!B:B,A1151,VR!I:I)</f>
        <v>552.30000000000007</v>
      </c>
      <c r="J1151" s="4">
        <f t="shared" si="17"/>
        <v>863.83</v>
      </c>
      <c r="K1151" s="179">
        <f>SUMIF(FALTAS!A:A,A1151,FALTAS!D:D)</f>
        <v>4</v>
      </c>
    </row>
    <row r="1152" spans="1:11" x14ac:dyDescent="0.25">
      <c r="A1152" s="235">
        <v>113378</v>
      </c>
      <c r="B1152" s="162" t="s">
        <v>1567</v>
      </c>
      <c r="C1152" s="162" t="s">
        <v>2</v>
      </c>
      <c r="D1152" s="162" t="s">
        <v>32</v>
      </c>
      <c r="E1152" s="231">
        <v>43617</v>
      </c>
      <c r="F1152" s="162" t="s">
        <v>1279</v>
      </c>
      <c r="G1152" s="231">
        <v>44348</v>
      </c>
      <c r="H1152" s="198">
        <f>SUMIF(VA!B:B,A1152,VA!I:I)</f>
        <v>0</v>
      </c>
      <c r="I1152" s="32">
        <f>SUMIF(VR!B:B,A1152,VR!I:I)</f>
        <v>0</v>
      </c>
      <c r="J1152" s="4">
        <f t="shared" si="17"/>
        <v>0</v>
      </c>
      <c r="K1152" s="179">
        <f>SUMIF(FALTAS!A:A,A1152,FALTAS!D:D)</f>
        <v>0</v>
      </c>
    </row>
    <row r="1153" spans="1:11" x14ac:dyDescent="0.25">
      <c r="A1153" s="235">
        <v>113389</v>
      </c>
      <c r="B1153" s="162" t="s">
        <v>746</v>
      </c>
      <c r="C1153" s="162" t="s">
        <v>22</v>
      </c>
      <c r="D1153" s="162" t="s">
        <v>1578</v>
      </c>
      <c r="E1153" s="231">
        <v>43617</v>
      </c>
      <c r="F1153" s="162" t="s">
        <v>1229</v>
      </c>
      <c r="G1153" s="231">
        <v>45119</v>
      </c>
      <c r="H1153" s="198">
        <f>SUMIF(VA!B:B,A1153,VA!I:I)</f>
        <v>359.46</v>
      </c>
      <c r="I1153" s="32">
        <f>SUMIF(VR!B:B,A1153,VR!I:I)</f>
        <v>657.5</v>
      </c>
      <c r="J1153" s="4">
        <f t="shared" ref="J1153:J1216" si="18">H1153+I1153</f>
        <v>1016.96</v>
      </c>
      <c r="K1153" s="179">
        <f>SUMIF(FALTAS!A:A,A1153,FALTAS!D:D)</f>
        <v>0</v>
      </c>
    </row>
    <row r="1154" spans="1:11" x14ac:dyDescent="0.25">
      <c r="A1154" s="235">
        <v>119646</v>
      </c>
      <c r="B1154" s="162" t="s">
        <v>1470</v>
      </c>
      <c r="C1154" s="162" t="s">
        <v>5</v>
      </c>
      <c r="D1154" s="162" t="s">
        <v>8</v>
      </c>
      <c r="E1154" s="231">
        <v>44725</v>
      </c>
      <c r="F1154" s="162" t="s">
        <v>1229</v>
      </c>
      <c r="G1154" s="231">
        <v>44725</v>
      </c>
      <c r="H1154" s="198">
        <f>SUMIF(VA!B:B,A1154,VA!I:I)</f>
        <v>359.46</v>
      </c>
      <c r="I1154" s="32">
        <f>SUMIF(VR!B:B,A1154,VR!I:I)</f>
        <v>657.5</v>
      </c>
      <c r="J1154" s="4">
        <f t="shared" si="18"/>
        <v>1016.96</v>
      </c>
      <c r="K1154" s="179">
        <f>SUMIF(FALTAS!A:A,A1154,FALTAS!D:D)</f>
        <v>0</v>
      </c>
    </row>
    <row r="1155" spans="1:11" x14ac:dyDescent="0.25">
      <c r="A1155" s="235">
        <v>121028</v>
      </c>
      <c r="B1155" s="162" t="s">
        <v>1518</v>
      </c>
      <c r="C1155" s="162" t="s">
        <v>2</v>
      </c>
      <c r="D1155" s="162" t="s">
        <v>32</v>
      </c>
      <c r="E1155" s="231">
        <v>44900</v>
      </c>
      <c r="F1155" s="162" t="s">
        <v>1229</v>
      </c>
      <c r="G1155" s="231">
        <v>44900</v>
      </c>
      <c r="H1155" s="198">
        <f>SUMIF(VA!B:B,A1155,VA!I:I)</f>
        <v>359.46</v>
      </c>
      <c r="I1155" s="32">
        <f>SUMIF(VR!B:B,A1155,VR!I:I)</f>
        <v>657.5</v>
      </c>
      <c r="J1155" s="4">
        <f t="shared" si="18"/>
        <v>1016.96</v>
      </c>
      <c r="K1155" s="179">
        <f>SUMIF(FALTAS!A:A,A1155,FALTAS!D:D)</f>
        <v>0</v>
      </c>
    </row>
    <row r="1156" spans="1:11" x14ac:dyDescent="0.25">
      <c r="A1156" s="235">
        <v>113399</v>
      </c>
      <c r="B1156" s="162" t="s">
        <v>754</v>
      </c>
      <c r="C1156" s="162" t="s">
        <v>5</v>
      </c>
      <c r="D1156" s="162" t="s">
        <v>8</v>
      </c>
      <c r="E1156" s="231">
        <v>43617</v>
      </c>
      <c r="F1156" s="162" t="s">
        <v>1229</v>
      </c>
      <c r="G1156" s="231">
        <v>45023</v>
      </c>
      <c r="H1156" s="198">
        <f>SUMIF(VA!B:B,A1156,VA!I:I)</f>
        <v>359.46</v>
      </c>
      <c r="I1156" s="32">
        <f>SUMIF(VR!B:B,A1156,VR!I:I)</f>
        <v>657.5</v>
      </c>
      <c r="J1156" s="4">
        <f t="shared" si="18"/>
        <v>1016.96</v>
      </c>
      <c r="K1156" s="179">
        <f>SUMIF(FALTAS!A:A,A1156,FALTAS!D:D)</f>
        <v>0</v>
      </c>
    </row>
    <row r="1157" spans="1:11" x14ac:dyDescent="0.25">
      <c r="A1157" s="235">
        <v>113407</v>
      </c>
      <c r="B1157" s="162" t="s">
        <v>759</v>
      </c>
      <c r="C1157" s="162" t="s">
        <v>15</v>
      </c>
      <c r="D1157" s="162" t="s">
        <v>1578</v>
      </c>
      <c r="E1157" s="231">
        <v>43617</v>
      </c>
      <c r="F1157" s="162" t="s">
        <v>1229</v>
      </c>
      <c r="G1157" s="231">
        <v>45119</v>
      </c>
      <c r="H1157" s="198">
        <f>SUMIF(VA!B:B,A1157,VA!I:I)</f>
        <v>359.46</v>
      </c>
      <c r="I1157" s="32">
        <f>SUMIF(VR!B:B,A1157,VR!I:I)</f>
        <v>657.5</v>
      </c>
      <c r="J1157" s="4">
        <f t="shared" si="18"/>
        <v>1016.96</v>
      </c>
      <c r="K1157" s="179">
        <f>SUMIF(FALTAS!A:A,A1157,FALTAS!D:D)</f>
        <v>0</v>
      </c>
    </row>
    <row r="1158" spans="1:11" x14ac:dyDescent="0.25">
      <c r="A1158" s="235">
        <v>113429</v>
      </c>
      <c r="B1158" s="162" t="s">
        <v>773</v>
      </c>
      <c r="C1158" s="162" t="s">
        <v>2</v>
      </c>
      <c r="D1158" s="162" t="s">
        <v>0</v>
      </c>
      <c r="E1158" s="231">
        <v>43617</v>
      </c>
      <c r="F1158" s="162" t="s">
        <v>1229</v>
      </c>
      <c r="G1158" s="231">
        <v>45119</v>
      </c>
      <c r="H1158" s="198">
        <f>SUMIF(VA!B:B,A1158,VA!I:I)</f>
        <v>359.46</v>
      </c>
      <c r="I1158" s="32">
        <f>SUMIF(VR!B:B,A1158,VR!I:I)</f>
        <v>657.5</v>
      </c>
      <c r="J1158" s="4">
        <f t="shared" si="18"/>
        <v>1016.96</v>
      </c>
      <c r="K1158" s="179">
        <f>SUMIF(FALTAS!A:A,A1158,FALTAS!D:D)</f>
        <v>0</v>
      </c>
    </row>
    <row r="1159" spans="1:11" x14ac:dyDescent="0.25">
      <c r="A1159" s="235">
        <v>113436</v>
      </c>
      <c r="B1159" s="162" t="s">
        <v>778</v>
      </c>
      <c r="C1159" s="162" t="s">
        <v>2</v>
      </c>
      <c r="D1159" s="162" t="s">
        <v>10</v>
      </c>
      <c r="E1159" s="231">
        <v>43617</v>
      </c>
      <c r="F1159" s="162" t="s">
        <v>1229</v>
      </c>
      <c r="G1159" s="231">
        <v>45119</v>
      </c>
      <c r="H1159" s="198">
        <f>SUMIF(VA!B:B,A1159,VA!I:I)</f>
        <v>359.46</v>
      </c>
      <c r="I1159" s="32">
        <f>SUMIF(VR!B:B,A1159,VR!I:I)</f>
        <v>657.5</v>
      </c>
      <c r="J1159" s="4">
        <f t="shared" si="18"/>
        <v>1016.96</v>
      </c>
      <c r="K1159" s="179">
        <f>SUMIF(FALTAS!A:A,A1159,FALTAS!D:D)</f>
        <v>0</v>
      </c>
    </row>
    <row r="1160" spans="1:11" x14ac:dyDescent="0.25">
      <c r="A1160" s="235">
        <v>122086</v>
      </c>
      <c r="B1160" s="162" t="s">
        <v>1633</v>
      </c>
      <c r="C1160" s="162" t="s">
        <v>5</v>
      </c>
      <c r="D1160" s="162" t="s">
        <v>1578</v>
      </c>
      <c r="E1160" s="231">
        <v>45061</v>
      </c>
      <c r="F1160" s="162" t="s">
        <v>1229</v>
      </c>
      <c r="G1160" s="231">
        <v>45061</v>
      </c>
      <c r="H1160" s="198">
        <f>SUMIF(VA!B:B,A1160,VA!I:I)</f>
        <v>359.46</v>
      </c>
      <c r="I1160" s="32">
        <f>SUMIF(VR!B:B,A1160,VR!I:I)</f>
        <v>657.5</v>
      </c>
      <c r="J1160" s="4">
        <f t="shared" si="18"/>
        <v>1016.96</v>
      </c>
      <c r="K1160" s="179">
        <f>SUMIF(FALTAS!A:A,A1160,FALTAS!D:D)</f>
        <v>0</v>
      </c>
    </row>
    <row r="1161" spans="1:11" x14ac:dyDescent="0.25">
      <c r="A1161" s="235">
        <v>113443</v>
      </c>
      <c r="B1161" s="162" t="s">
        <v>373</v>
      </c>
      <c r="C1161" s="162" t="s">
        <v>2</v>
      </c>
      <c r="D1161" s="162" t="s">
        <v>19</v>
      </c>
      <c r="E1161" s="231">
        <v>43617</v>
      </c>
      <c r="F1161" s="162" t="s">
        <v>1229</v>
      </c>
      <c r="G1161" s="231">
        <v>45056</v>
      </c>
      <c r="H1161" s="198">
        <f>SUMIF(VA!B:B,A1161,VA!I:I)</f>
        <v>359.46</v>
      </c>
      <c r="I1161" s="32">
        <f>SUMIF(VR!B:B,A1161,VR!I:I)</f>
        <v>657.5</v>
      </c>
      <c r="J1161" s="4">
        <f t="shared" si="18"/>
        <v>1016.96</v>
      </c>
      <c r="K1161" s="179">
        <f>SUMIF(FALTAS!A:A,A1161,FALTAS!D:D)</f>
        <v>0</v>
      </c>
    </row>
    <row r="1162" spans="1:11" x14ac:dyDescent="0.25">
      <c r="A1162" s="235">
        <v>113449</v>
      </c>
      <c r="B1162" s="162" t="s">
        <v>786</v>
      </c>
      <c r="C1162" s="162" t="s">
        <v>5</v>
      </c>
      <c r="D1162" s="162" t="s">
        <v>0</v>
      </c>
      <c r="E1162" s="231">
        <v>43617</v>
      </c>
      <c r="F1162" s="162" t="s">
        <v>1229</v>
      </c>
      <c r="G1162" s="231">
        <v>45050</v>
      </c>
      <c r="H1162" s="198">
        <f>SUMIF(VA!B:B,A1162,VA!I:I)</f>
        <v>335.49</v>
      </c>
      <c r="I1162" s="32">
        <f>SUMIF(VR!B:B,A1162,VR!I:I)</f>
        <v>604.9</v>
      </c>
      <c r="J1162" s="4">
        <f t="shared" si="18"/>
        <v>940.39</v>
      </c>
      <c r="K1162" s="179">
        <f>SUMIF(FALTAS!A:A,A1162,FALTAS!D:D)</f>
        <v>2</v>
      </c>
    </row>
    <row r="1163" spans="1:11" x14ac:dyDescent="0.25">
      <c r="A1163" s="235">
        <v>113470</v>
      </c>
      <c r="B1163" s="162" t="s">
        <v>797</v>
      </c>
      <c r="C1163" s="162" t="s">
        <v>2</v>
      </c>
      <c r="D1163" s="162" t="s">
        <v>0</v>
      </c>
      <c r="E1163" s="231">
        <v>43617</v>
      </c>
      <c r="F1163" s="162" t="s">
        <v>1229</v>
      </c>
      <c r="G1163" s="231">
        <v>45177</v>
      </c>
      <c r="H1163" s="198">
        <f>SUMIF(VA!B:B,A1163,VA!I:I)</f>
        <v>359.46</v>
      </c>
      <c r="I1163" s="32">
        <f>SUMIF(VR!B:B,A1163,VR!I:I)</f>
        <v>657.5</v>
      </c>
      <c r="J1163" s="4">
        <f t="shared" si="18"/>
        <v>1016.96</v>
      </c>
      <c r="K1163" s="179">
        <f>SUMIF(FALTAS!A:A,A1163,FALTAS!D:D)</f>
        <v>0</v>
      </c>
    </row>
    <row r="1164" spans="1:11" x14ac:dyDescent="0.25">
      <c r="A1164" s="235">
        <v>113708</v>
      </c>
      <c r="B1164" s="162" t="s">
        <v>925</v>
      </c>
      <c r="C1164" s="162" t="s">
        <v>5</v>
      </c>
      <c r="D1164" s="162" t="s">
        <v>32</v>
      </c>
      <c r="E1164" s="231">
        <v>43617</v>
      </c>
      <c r="F1164" s="162" t="s">
        <v>1229</v>
      </c>
      <c r="G1164" s="231">
        <v>44960</v>
      </c>
      <c r="H1164" s="198">
        <f>SUMIF(VA!B:B,A1164,VA!I:I)</f>
        <v>359.46</v>
      </c>
      <c r="I1164" s="32">
        <f>SUMIF(VR!B:B,A1164,VR!I:I)</f>
        <v>657.5</v>
      </c>
      <c r="J1164" s="4">
        <f t="shared" si="18"/>
        <v>1016.96</v>
      </c>
      <c r="K1164" s="179">
        <f>SUMIF(FALTAS!A:A,A1164,FALTAS!D:D)</f>
        <v>0</v>
      </c>
    </row>
    <row r="1165" spans="1:11" x14ac:dyDescent="0.25">
      <c r="A1165" s="235">
        <v>113742</v>
      </c>
      <c r="B1165" s="162" t="s">
        <v>961</v>
      </c>
      <c r="C1165" s="162" t="s">
        <v>1701</v>
      </c>
      <c r="D1165" s="162" t="s">
        <v>1580</v>
      </c>
      <c r="E1165" s="231">
        <v>43619</v>
      </c>
      <c r="F1165" s="162" t="s">
        <v>1229</v>
      </c>
      <c r="G1165" s="231">
        <v>44985</v>
      </c>
      <c r="H1165" s="198">
        <f>SUMIF(VA!B:B,A1165,VA!I:I)</f>
        <v>359.46</v>
      </c>
      <c r="I1165" s="32">
        <f>SUMIF(VR!B:B,A1165,VR!I:I)</f>
        <v>657.5</v>
      </c>
      <c r="J1165" s="4">
        <f t="shared" si="18"/>
        <v>1016.96</v>
      </c>
      <c r="K1165" s="179">
        <f>SUMIF(FALTAS!A:A,A1165,FALTAS!D:D)</f>
        <v>0</v>
      </c>
    </row>
    <row r="1166" spans="1:11" x14ac:dyDescent="0.25">
      <c r="A1166" s="235">
        <v>120178</v>
      </c>
      <c r="B1166" s="162" t="s">
        <v>1496</v>
      </c>
      <c r="C1166" s="162" t="s">
        <v>5</v>
      </c>
      <c r="D1166" s="162" t="s">
        <v>1578</v>
      </c>
      <c r="E1166" s="231">
        <v>44791</v>
      </c>
      <c r="F1166" s="162" t="s">
        <v>1279</v>
      </c>
      <c r="G1166" s="231">
        <v>45186</v>
      </c>
      <c r="H1166" s="198">
        <f>SUMIF(VA!B:B,A1166,VA!I:I)</f>
        <v>0</v>
      </c>
      <c r="I1166" s="32">
        <f>SUMIF(VR!B:B,A1166,VR!I:I)</f>
        <v>0</v>
      </c>
      <c r="J1166" s="4">
        <f t="shared" si="18"/>
        <v>0</v>
      </c>
      <c r="K1166" s="179">
        <f>SUMIF(FALTAS!A:A,A1166,FALTAS!D:D)</f>
        <v>0</v>
      </c>
    </row>
    <row r="1167" spans="1:11" x14ac:dyDescent="0.25">
      <c r="A1167" s="235">
        <v>122348</v>
      </c>
      <c r="B1167" s="162" t="s">
        <v>1660</v>
      </c>
      <c r="C1167" s="162" t="s">
        <v>2</v>
      </c>
      <c r="D1167" s="162" t="s">
        <v>8</v>
      </c>
      <c r="E1167" s="231">
        <v>45098</v>
      </c>
      <c r="F1167" s="162" t="s">
        <v>1229</v>
      </c>
      <c r="G1167" s="231">
        <v>45098</v>
      </c>
      <c r="H1167" s="198">
        <f>SUMIF(VA!B:B,A1167,VA!I:I)</f>
        <v>359.46</v>
      </c>
      <c r="I1167" s="32">
        <f>SUMIF(VR!B:B,A1167,VR!I:I)</f>
        <v>657.5</v>
      </c>
      <c r="J1167" s="4">
        <f t="shared" si="18"/>
        <v>1016.96</v>
      </c>
      <c r="K1167" s="179">
        <f>SUMIF(FALTAS!A:A,A1167,FALTAS!D:D)</f>
        <v>0</v>
      </c>
    </row>
    <row r="1168" spans="1:11" x14ac:dyDescent="0.25">
      <c r="A1168" s="235">
        <v>113764</v>
      </c>
      <c r="B1168" s="162" t="s">
        <v>966</v>
      </c>
      <c r="C1168" s="162" t="s">
        <v>1655</v>
      </c>
      <c r="D1168" s="162" t="s">
        <v>1578</v>
      </c>
      <c r="E1168" s="231">
        <v>43621</v>
      </c>
      <c r="F1168" s="162" t="s">
        <v>1229</v>
      </c>
      <c r="G1168" s="231">
        <v>45119</v>
      </c>
      <c r="H1168" s="198">
        <f>SUMIF(VA!B:B,A1168,VA!I:I)</f>
        <v>359.46</v>
      </c>
      <c r="I1168" s="32">
        <f>SUMIF(VR!B:B,A1168,VR!I:I)</f>
        <v>657.5</v>
      </c>
      <c r="J1168" s="4">
        <f t="shared" si="18"/>
        <v>1016.96</v>
      </c>
      <c r="K1168" s="179">
        <f>SUMIF(FALTAS!A:A,A1168,FALTAS!D:D)</f>
        <v>0</v>
      </c>
    </row>
    <row r="1169" spans="1:11" x14ac:dyDescent="0.25">
      <c r="A1169" s="235">
        <v>113477</v>
      </c>
      <c r="B1169" s="162" t="s">
        <v>800</v>
      </c>
      <c r="C1169" s="162" t="s">
        <v>5</v>
      </c>
      <c r="D1169" s="162" t="s">
        <v>10</v>
      </c>
      <c r="E1169" s="231">
        <v>43617</v>
      </c>
      <c r="F1169" s="162" t="s">
        <v>1229</v>
      </c>
      <c r="G1169" s="231">
        <v>45056</v>
      </c>
      <c r="H1169" s="198">
        <f>SUMIF(VA!B:B,A1169,VA!I:I)</f>
        <v>359.46</v>
      </c>
      <c r="I1169" s="32">
        <f>SUMIF(VR!B:B,A1169,VR!I:I)</f>
        <v>657.5</v>
      </c>
      <c r="J1169" s="4">
        <f t="shared" si="18"/>
        <v>1016.96</v>
      </c>
      <c r="K1169" s="179">
        <f>SUMIF(FALTAS!A:A,A1169,FALTAS!D:D)</f>
        <v>0</v>
      </c>
    </row>
    <row r="1170" spans="1:11" x14ac:dyDescent="0.25">
      <c r="A1170" s="235">
        <v>113496</v>
      </c>
      <c r="B1170" s="162" t="s">
        <v>809</v>
      </c>
      <c r="C1170" s="162" t="s">
        <v>2</v>
      </c>
      <c r="D1170" s="162" t="s">
        <v>10</v>
      </c>
      <c r="E1170" s="231">
        <v>43617</v>
      </c>
      <c r="F1170" s="162" t="s">
        <v>1229</v>
      </c>
      <c r="G1170" s="231">
        <v>44993</v>
      </c>
      <c r="H1170" s="198">
        <f>SUMIF(VA!B:B,A1170,VA!I:I)</f>
        <v>359.46</v>
      </c>
      <c r="I1170" s="32">
        <f>SUMIF(VR!B:B,A1170,VR!I:I)</f>
        <v>657.5</v>
      </c>
      <c r="J1170" s="4">
        <f t="shared" si="18"/>
        <v>1016.96</v>
      </c>
      <c r="K1170" s="179">
        <f>SUMIF(FALTAS!A:A,A1170,FALTAS!D:D)</f>
        <v>0</v>
      </c>
    </row>
    <row r="1171" spans="1:11" x14ac:dyDescent="0.25">
      <c r="A1171" s="235">
        <v>114554</v>
      </c>
      <c r="B1171" s="162" t="s">
        <v>1057</v>
      </c>
      <c r="C1171" s="162" t="s">
        <v>5</v>
      </c>
      <c r="D1171" s="162" t="s">
        <v>8</v>
      </c>
      <c r="E1171" s="231">
        <v>43817</v>
      </c>
      <c r="F1171" s="162" t="s">
        <v>1229</v>
      </c>
      <c r="G1171" s="231">
        <v>45177</v>
      </c>
      <c r="H1171" s="198">
        <f>SUMIF(VA!B:B,A1171,VA!I:I)</f>
        <v>359.46</v>
      </c>
      <c r="I1171" s="32">
        <f>SUMIF(VR!B:B,A1171,VR!I:I)</f>
        <v>657.5</v>
      </c>
      <c r="J1171" s="4">
        <f t="shared" si="18"/>
        <v>1016.96</v>
      </c>
      <c r="K1171" s="179">
        <f>SUMIF(FALTAS!A:A,A1171,FALTAS!D:D)</f>
        <v>0</v>
      </c>
    </row>
    <row r="1172" spans="1:11" x14ac:dyDescent="0.25">
      <c r="A1172" s="235">
        <v>113500</v>
      </c>
      <c r="B1172" s="162" t="s">
        <v>812</v>
      </c>
      <c r="C1172" s="162" t="s">
        <v>5</v>
      </c>
      <c r="D1172" s="162" t="s">
        <v>19</v>
      </c>
      <c r="E1172" s="231">
        <v>43617</v>
      </c>
      <c r="F1172" s="162" t="s">
        <v>1229</v>
      </c>
      <c r="G1172" s="231">
        <v>44776</v>
      </c>
      <c r="H1172" s="198">
        <f>SUMIF(VA!B:B,A1172,VA!I:I)</f>
        <v>359.46</v>
      </c>
      <c r="I1172" s="32">
        <f>SUMIF(VR!B:B,A1172,VR!I:I)</f>
        <v>657.5</v>
      </c>
      <c r="J1172" s="4">
        <f t="shared" si="18"/>
        <v>1016.96</v>
      </c>
      <c r="K1172" s="179">
        <f>SUMIF(FALTAS!A:A,A1172,FALTAS!D:D)</f>
        <v>0</v>
      </c>
    </row>
    <row r="1173" spans="1:11" x14ac:dyDescent="0.25">
      <c r="A1173" s="235">
        <v>113504</v>
      </c>
      <c r="B1173" s="162" t="s">
        <v>813</v>
      </c>
      <c r="C1173" s="162" t="s">
        <v>2</v>
      </c>
      <c r="D1173" s="162" t="s">
        <v>19</v>
      </c>
      <c r="E1173" s="231">
        <v>43617</v>
      </c>
      <c r="F1173" s="162" t="s">
        <v>1229</v>
      </c>
      <c r="G1173" s="231">
        <v>44960</v>
      </c>
      <c r="H1173" s="198">
        <f>SUMIF(VA!B:B,A1173,VA!I:I)</f>
        <v>359.46</v>
      </c>
      <c r="I1173" s="32">
        <f>SUMIF(VR!B:B,A1173,VR!I:I)</f>
        <v>657.5</v>
      </c>
      <c r="J1173" s="4">
        <f t="shared" si="18"/>
        <v>1016.96</v>
      </c>
      <c r="K1173" s="179">
        <f>SUMIF(FALTAS!A:A,A1173,FALTAS!D:D)</f>
        <v>0</v>
      </c>
    </row>
    <row r="1174" spans="1:11" x14ac:dyDescent="0.25">
      <c r="A1174" s="235">
        <v>116985</v>
      </c>
      <c r="B1174" s="162" t="s">
        <v>1244</v>
      </c>
      <c r="C1174" s="162" t="s">
        <v>5</v>
      </c>
      <c r="D1174" s="162" t="s">
        <v>0</v>
      </c>
      <c r="E1174" s="231">
        <v>44419</v>
      </c>
      <c r="F1174" s="162" t="s">
        <v>1229</v>
      </c>
      <c r="G1174" s="231">
        <v>45119</v>
      </c>
      <c r="H1174" s="198">
        <f>SUMIF(VA!B:B,A1174,VA!I:I)</f>
        <v>359.46</v>
      </c>
      <c r="I1174" s="32">
        <f>SUMIF(VR!B:B,A1174,VR!I:I)</f>
        <v>657.5</v>
      </c>
      <c r="J1174" s="4">
        <f t="shared" si="18"/>
        <v>1016.96</v>
      </c>
      <c r="K1174" s="179">
        <f>SUMIF(FALTAS!A:A,A1174,FALTAS!D:D)</f>
        <v>0</v>
      </c>
    </row>
    <row r="1175" spans="1:11" x14ac:dyDescent="0.25">
      <c r="A1175" s="235">
        <v>113520</v>
      </c>
      <c r="B1175" s="162" t="s">
        <v>821</v>
      </c>
      <c r="C1175" s="162" t="s">
        <v>146</v>
      </c>
      <c r="D1175" s="162" t="s">
        <v>32</v>
      </c>
      <c r="E1175" s="231">
        <v>43617</v>
      </c>
      <c r="F1175" s="162" t="s">
        <v>1229</v>
      </c>
      <c r="G1175" s="231">
        <v>45149</v>
      </c>
      <c r="H1175" s="198">
        <f>SUMIF(VA!B:B,A1175,VA!I:I)</f>
        <v>359.46</v>
      </c>
      <c r="I1175" s="32">
        <f>SUMIF(VR!B:B,A1175,VR!I:I)</f>
        <v>657.5</v>
      </c>
      <c r="J1175" s="4">
        <f t="shared" si="18"/>
        <v>1016.96</v>
      </c>
      <c r="K1175" s="179">
        <f>SUMIF(FALTAS!A:A,A1175,FALTAS!D:D)</f>
        <v>0</v>
      </c>
    </row>
    <row r="1176" spans="1:11" x14ac:dyDescent="0.25">
      <c r="A1176" s="235">
        <v>113526</v>
      </c>
      <c r="B1176" s="162" t="s">
        <v>824</v>
      </c>
      <c r="C1176" s="162" t="s">
        <v>5</v>
      </c>
      <c r="D1176" s="162" t="s">
        <v>19</v>
      </c>
      <c r="E1176" s="231">
        <v>43617</v>
      </c>
      <c r="F1176" s="162" t="s">
        <v>1229</v>
      </c>
      <c r="G1176" s="231">
        <v>45056</v>
      </c>
      <c r="H1176" s="198">
        <f>SUMIF(VA!B:B,A1176,VA!I:I)</f>
        <v>359.46</v>
      </c>
      <c r="I1176" s="32">
        <f>SUMIF(VR!B:B,A1176,VR!I:I)</f>
        <v>657.5</v>
      </c>
      <c r="J1176" s="4">
        <f t="shared" si="18"/>
        <v>1016.96</v>
      </c>
      <c r="K1176" s="179">
        <f>SUMIF(FALTAS!A:A,A1176,FALTAS!D:D)</f>
        <v>0</v>
      </c>
    </row>
    <row r="1177" spans="1:11" x14ac:dyDescent="0.25">
      <c r="A1177" s="235">
        <v>121325</v>
      </c>
      <c r="B1177" s="162" t="s">
        <v>1536</v>
      </c>
      <c r="C1177" s="162" t="s">
        <v>2</v>
      </c>
      <c r="D1177" s="162" t="s">
        <v>19</v>
      </c>
      <c r="E1177" s="231">
        <v>44945</v>
      </c>
      <c r="F1177" s="162" t="s">
        <v>1229</v>
      </c>
      <c r="G1177" s="231">
        <v>44945</v>
      </c>
      <c r="H1177" s="198">
        <f>SUMIF(VA!B:B,A1177,VA!I:I)</f>
        <v>359.46</v>
      </c>
      <c r="I1177" s="32">
        <f>SUMIF(VR!B:B,A1177,VR!I:I)</f>
        <v>657.5</v>
      </c>
      <c r="J1177" s="4">
        <f t="shared" si="18"/>
        <v>1016.96</v>
      </c>
      <c r="K1177" s="179">
        <f>SUMIF(FALTAS!A:A,A1177,FALTAS!D:D)</f>
        <v>0</v>
      </c>
    </row>
    <row r="1178" spans="1:11" x14ac:dyDescent="0.25">
      <c r="A1178" s="235">
        <v>113531</v>
      </c>
      <c r="B1178" s="162" t="s">
        <v>827</v>
      </c>
      <c r="C1178" s="162" t="s">
        <v>2</v>
      </c>
      <c r="D1178" s="162" t="s">
        <v>10</v>
      </c>
      <c r="E1178" s="231">
        <v>43617</v>
      </c>
      <c r="F1178" s="162" t="s">
        <v>1229</v>
      </c>
      <c r="G1178" s="231">
        <v>44930</v>
      </c>
      <c r="H1178" s="198">
        <f>SUMIF(VA!B:B,A1178,VA!I:I)</f>
        <v>359.46</v>
      </c>
      <c r="I1178" s="32">
        <f>SUMIF(VR!B:B,A1178,VR!I:I)</f>
        <v>657.5</v>
      </c>
      <c r="J1178" s="4">
        <f t="shared" si="18"/>
        <v>1016.96</v>
      </c>
      <c r="K1178" s="179">
        <f>SUMIF(FALTAS!A:A,A1178,FALTAS!D:D)</f>
        <v>0</v>
      </c>
    </row>
    <row r="1179" spans="1:11" x14ac:dyDescent="0.25">
      <c r="A1179" s="235">
        <v>113536</v>
      </c>
      <c r="B1179" s="162" t="s">
        <v>831</v>
      </c>
      <c r="C1179" s="162" t="s">
        <v>2</v>
      </c>
      <c r="D1179" s="162" t="s">
        <v>10</v>
      </c>
      <c r="E1179" s="231">
        <v>43617</v>
      </c>
      <c r="F1179" s="162" t="s">
        <v>1229</v>
      </c>
      <c r="G1179" s="231">
        <v>44960</v>
      </c>
      <c r="H1179" s="198">
        <f>SUMIF(VA!B:B,A1179,VA!I:I)</f>
        <v>359.46</v>
      </c>
      <c r="I1179" s="32">
        <f>SUMIF(VR!B:B,A1179,VR!I:I)</f>
        <v>657.5</v>
      </c>
      <c r="J1179" s="4">
        <f t="shared" si="18"/>
        <v>1016.96</v>
      </c>
      <c r="K1179" s="179">
        <f>SUMIF(FALTAS!A:A,A1179,FALTAS!D:D)</f>
        <v>0</v>
      </c>
    </row>
    <row r="1180" spans="1:11" x14ac:dyDescent="0.25">
      <c r="A1180" s="235">
        <v>113538</v>
      </c>
      <c r="B1180" s="162" t="s">
        <v>1568</v>
      </c>
      <c r="C1180" s="162" t="s">
        <v>2</v>
      </c>
      <c r="D1180" s="162" t="s">
        <v>10</v>
      </c>
      <c r="E1180" s="231">
        <v>43617</v>
      </c>
      <c r="F1180" s="162" t="s">
        <v>1279</v>
      </c>
      <c r="G1180" s="231">
        <v>44804</v>
      </c>
      <c r="H1180" s="198">
        <f>SUMIF(VA!B:B,A1180,VA!I:I)</f>
        <v>0</v>
      </c>
      <c r="I1180" s="32">
        <f>SUMIF(VR!B:B,A1180,VR!I:I)</f>
        <v>0</v>
      </c>
      <c r="J1180" s="4">
        <f t="shared" si="18"/>
        <v>0</v>
      </c>
      <c r="K1180" s="179">
        <f>SUMIF(FALTAS!A:A,A1180,FALTAS!D:D)</f>
        <v>0</v>
      </c>
    </row>
    <row r="1181" spans="1:11" x14ac:dyDescent="0.25">
      <c r="A1181" s="235">
        <v>113547</v>
      </c>
      <c r="B1181" s="162" t="s">
        <v>838</v>
      </c>
      <c r="C1181" s="162" t="s">
        <v>146</v>
      </c>
      <c r="D1181" s="162" t="s">
        <v>8</v>
      </c>
      <c r="E1181" s="231">
        <v>43617</v>
      </c>
      <c r="F1181" s="162" t="s">
        <v>1229</v>
      </c>
      <c r="G1181" s="231">
        <v>44744</v>
      </c>
      <c r="H1181" s="198">
        <f>SUMIF(VA!B:B,A1181,VA!I:I)</f>
        <v>359.46</v>
      </c>
      <c r="I1181" s="32">
        <f>SUMIF(VR!B:B,A1181,VR!I:I)</f>
        <v>657.5</v>
      </c>
      <c r="J1181" s="4">
        <f t="shared" si="18"/>
        <v>1016.96</v>
      </c>
      <c r="K1181" s="179">
        <f>SUMIF(FALTAS!A:A,A1181,FALTAS!D:D)</f>
        <v>0</v>
      </c>
    </row>
    <row r="1182" spans="1:11" x14ac:dyDescent="0.25">
      <c r="A1182" s="235">
        <v>113552</v>
      </c>
      <c r="B1182" s="162" t="s">
        <v>843</v>
      </c>
      <c r="C1182" s="162" t="s">
        <v>22</v>
      </c>
      <c r="D1182" s="162" t="s">
        <v>1578</v>
      </c>
      <c r="E1182" s="231">
        <v>43617</v>
      </c>
      <c r="F1182" s="162" t="s">
        <v>1229</v>
      </c>
      <c r="G1182" s="231">
        <v>45119</v>
      </c>
      <c r="H1182" s="198">
        <f>SUMIF(VA!B:B,A1182,VA!I:I)</f>
        <v>359.46</v>
      </c>
      <c r="I1182" s="32">
        <f>SUMIF(VR!B:B,A1182,VR!I:I)</f>
        <v>657.5</v>
      </c>
      <c r="J1182" s="4">
        <f t="shared" si="18"/>
        <v>1016.96</v>
      </c>
      <c r="K1182" s="179">
        <f>SUMIF(FALTAS!A:A,A1182,FALTAS!D:D)</f>
        <v>0</v>
      </c>
    </row>
    <row r="1183" spans="1:11" x14ac:dyDescent="0.25">
      <c r="A1183" s="235">
        <v>113555</v>
      </c>
      <c r="B1183" s="162" t="s">
        <v>726</v>
      </c>
      <c r="C1183" s="162" t="s">
        <v>2</v>
      </c>
      <c r="D1183" s="162" t="s">
        <v>19</v>
      </c>
      <c r="E1183" s="231">
        <v>43617</v>
      </c>
      <c r="F1183" s="162" t="s">
        <v>1229</v>
      </c>
      <c r="G1183" s="231">
        <v>44930</v>
      </c>
      <c r="H1183" s="198">
        <f>SUMIF(VA!B:B,A1183,VA!I:I)</f>
        <v>359.46</v>
      </c>
      <c r="I1183" s="32">
        <f>SUMIF(VR!B:B,A1183,VR!I:I)</f>
        <v>657.5</v>
      </c>
      <c r="J1183" s="4">
        <f t="shared" si="18"/>
        <v>1016.96</v>
      </c>
      <c r="K1183" s="179">
        <f>SUMIF(FALTAS!A:A,A1183,FALTAS!D:D)</f>
        <v>0</v>
      </c>
    </row>
    <row r="1184" spans="1:11" x14ac:dyDescent="0.25">
      <c r="A1184" s="235">
        <v>113557</v>
      </c>
      <c r="B1184" s="162" t="s">
        <v>845</v>
      </c>
      <c r="C1184" s="162" t="s">
        <v>2</v>
      </c>
      <c r="D1184" s="162" t="s">
        <v>32</v>
      </c>
      <c r="E1184" s="231">
        <v>43617</v>
      </c>
      <c r="F1184" s="162" t="s">
        <v>1229</v>
      </c>
      <c r="G1184" s="231">
        <v>45086</v>
      </c>
      <c r="H1184" s="198">
        <f>SUMIF(VA!B:B,A1184,VA!I:I)</f>
        <v>359.46</v>
      </c>
      <c r="I1184" s="32">
        <f>SUMIF(VR!B:B,A1184,VR!I:I)</f>
        <v>657.5</v>
      </c>
      <c r="J1184" s="4">
        <f t="shared" si="18"/>
        <v>1016.96</v>
      </c>
      <c r="K1184" s="179">
        <f>SUMIF(FALTAS!A:A,A1184,FALTAS!D:D)</f>
        <v>0</v>
      </c>
    </row>
    <row r="1185" spans="1:11" x14ac:dyDescent="0.25">
      <c r="A1185" s="235">
        <v>113559</v>
      </c>
      <c r="B1185" s="162" t="s">
        <v>847</v>
      </c>
      <c r="C1185" s="162" t="s">
        <v>2</v>
      </c>
      <c r="D1185" s="162" t="s">
        <v>0</v>
      </c>
      <c r="E1185" s="231">
        <v>43617</v>
      </c>
      <c r="F1185" s="162" t="s">
        <v>1229</v>
      </c>
      <c r="G1185" s="231">
        <v>45023</v>
      </c>
      <c r="H1185" s="198">
        <f>SUMIF(VA!B:B,A1185,VA!I:I)</f>
        <v>359.46</v>
      </c>
      <c r="I1185" s="32">
        <f>SUMIF(VR!B:B,A1185,VR!I:I)</f>
        <v>657.5</v>
      </c>
      <c r="J1185" s="4">
        <f t="shared" si="18"/>
        <v>1016.96</v>
      </c>
      <c r="K1185" s="179">
        <f>SUMIF(FALTAS!A:A,A1185,FALTAS!D:D)</f>
        <v>0</v>
      </c>
    </row>
    <row r="1186" spans="1:11" x14ac:dyDescent="0.25">
      <c r="A1186" s="235">
        <v>113565</v>
      </c>
      <c r="B1186" s="162" t="s">
        <v>850</v>
      </c>
      <c r="C1186" s="162" t="s">
        <v>15</v>
      </c>
      <c r="D1186" s="162" t="s">
        <v>1578</v>
      </c>
      <c r="E1186" s="231">
        <v>43617</v>
      </c>
      <c r="F1186" s="162" t="s">
        <v>1229</v>
      </c>
      <c r="G1186" s="231">
        <v>44960</v>
      </c>
      <c r="H1186" s="198">
        <f>SUMIF(VA!B:B,A1186,VA!I:I)</f>
        <v>359.46</v>
      </c>
      <c r="I1186" s="32">
        <f>SUMIF(VR!B:B,A1186,VR!I:I)</f>
        <v>657.5</v>
      </c>
      <c r="J1186" s="4">
        <f t="shared" si="18"/>
        <v>1016.96</v>
      </c>
      <c r="K1186" s="179">
        <f>SUMIF(FALTAS!A:A,A1186,FALTAS!D:D)</f>
        <v>0</v>
      </c>
    </row>
    <row r="1187" spans="1:11" x14ac:dyDescent="0.25">
      <c r="A1187" s="235">
        <v>121816</v>
      </c>
      <c r="B1187" s="162" t="s">
        <v>1596</v>
      </c>
      <c r="C1187" s="162" t="s">
        <v>1456</v>
      </c>
      <c r="D1187" s="162" t="s">
        <v>1580</v>
      </c>
      <c r="E1187" s="231">
        <v>45019</v>
      </c>
      <c r="F1187" s="162" t="s">
        <v>1229</v>
      </c>
      <c r="G1187" s="231">
        <v>45019</v>
      </c>
      <c r="H1187" s="198">
        <f>SUMIF(VA!B:B,A1187,VA!I:I)</f>
        <v>0</v>
      </c>
      <c r="I1187" s="32">
        <f>SUMIF(VR!B:B,A1187,VR!I:I)</f>
        <v>657.5</v>
      </c>
      <c r="J1187" s="4">
        <f t="shared" si="18"/>
        <v>657.5</v>
      </c>
      <c r="K1187" s="179">
        <f>SUMIF(FALTAS!A:A,A1187,FALTAS!D:D)</f>
        <v>0</v>
      </c>
    </row>
    <row r="1188" spans="1:11" x14ac:dyDescent="0.25">
      <c r="A1188" s="235">
        <v>113573</v>
      </c>
      <c r="B1188" s="162" t="s">
        <v>853</v>
      </c>
      <c r="C1188" s="162" t="s">
        <v>2</v>
      </c>
      <c r="D1188" s="162" t="s">
        <v>8</v>
      </c>
      <c r="E1188" s="231">
        <v>43617</v>
      </c>
      <c r="F1188" s="162" t="s">
        <v>1229</v>
      </c>
      <c r="G1188" s="231">
        <v>44960</v>
      </c>
      <c r="H1188" s="198">
        <f>SUMIF(VA!B:B,A1188,VA!I:I)</f>
        <v>359.46</v>
      </c>
      <c r="I1188" s="32">
        <f>SUMIF(VR!B:B,A1188,VR!I:I)</f>
        <v>657.5</v>
      </c>
      <c r="J1188" s="4">
        <f t="shared" si="18"/>
        <v>1016.96</v>
      </c>
      <c r="K1188" s="179">
        <f>SUMIF(FALTAS!A:A,A1188,FALTAS!D:D)</f>
        <v>0</v>
      </c>
    </row>
    <row r="1189" spans="1:11" x14ac:dyDescent="0.25">
      <c r="A1189" s="235">
        <v>113577</v>
      </c>
      <c r="B1189" s="162" t="s">
        <v>854</v>
      </c>
      <c r="C1189" s="162" t="s">
        <v>22</v>
      </c>
      <c r="D1189" s="162" t="s">
        <v>1578</v>
      </c>
      <c r="E1189" s="231">
        <v>43617</v>
      </c>
      <c r="F1189" s="162" t="s">
        <v>1229</v>
      </c>
      <c r="G1189" s="231">
        <v>44867</v>
      </c>
      <c r="H1189" s="198">
        <f>SUMIF(VA!B:B,A1189,VA!I:I)</f>
        <v>359.46</v>
      </c>
      <c r="I1189" s="32">
        <f>SUMIF(VR!B:B,A1189,VR!I:I)</f>
        <v>657.5</v>
      </c>
      <c r="J1189" s="4">
        <f t="shared" si="18"/>
        <v>1016.96</v>
      </c>
      <c r="K1189" s="179">
        <f>SUMIF(FALTAS!A:A,A1189,FALTAS!D:D)</f>
        <v>0</v>
      </c>
    </row>
    <row r="1190" spans="1:11" x14ac:dyDescent="0.25">
      <c r="A1190" s="235">
        <v>113687</v>
      </c>
      <c r="B1190" s="162" t="s">
        <v>915</v>
      </c>
      <c r="C1190" s="162" t="s">
        <v>2</v>
      </c>
      <c r="D1190" s="162" t="s">
        <v>0</v>
      </c>
      <c r="E1190" s="231">
        <v>43617</v>
      </c>
      <c r="F1190" s="162" t="s">
        <v>1229</v>
      </c>
      <c r="G1190" s="231">
        <v>45023</v>
      </c>
      <c r="H1190" s="198">
        <f>SUMIF(VA!B:B,A1190,VA!I:I)</f>
        <v>359.46</v>
      </c>
      <c r="I1190" s="32">
        <f>SUMIF(VR!B:B,A1190,VR!I:I)</f>
        <v>657.5</v>
      </c>
      <c r="J1190" s="4">
        <f t="shared" si="18"/>
        <v>1016.96</v>
      </c>
      <c r="K1190" s="179">
        <f>SUMIF(FALTAS!A:A,A1190,FALTAS!D:D)</f>
        <v>0</v>
      </c>
    </row>
    <row r="1191" spans="1:11" x14ac:dyDescent="0.25">
      <c r="A1191" s="235">
        <v>113587</v>
      </c>
      <c r="B1191" s="162" t="s">
        <v>860</v>
      </c>
      <c r="C1191" s="162" t="s">
        <v>2</v>
      </c>
      <c r="D1191" s="162" t="s">
        <v>32</v>
      </c>
      <c r="E1191" s="231">
        <v>43617</v>
      </c>
      <c r="F1191" s="162" t="s">
        <v>1229</v>
      </c>
      <c r="G1191" s="231">
        <v>44867</v>
      </c>
      <c r="H1191" s="198">
        <f>SUMIF(VA!B:B,A1191,VA!I:I)</f>
        <v>359.46</v>
      </c>
      <c r="I1191" s="32">
        <f>SUMIF(VR!B:B,A1191,VR!I:I)</f>
        <v>657.5</v>
      </c>
      <c r="J1191" s="4">
        <f t="shared" si="18"/>
        <v>1016.96</v>
      </c>
      <c r="K1191" s="179">
        <f>SUMIF(FALTAS!A:A,A1191,FALTAS!D:D)</f>
        <v>0</v>
      </c>
    </row>
    <row r="1192" spans="1:11" x14ac:dyDescent="0.25">
      <c r="A1192" s="235">
        <v>114259</v>
      </c>
      <c r="B1192" s="162" t="s">
        <v>1022</v>
      </c>
      <c r="C1192" s="162" t="s">
        <v>5</v>
      </c>
      <c r="D1192" s="162" t="s">
        <v>32</v>
      </c>
      <c r="E1192" s="231">
        <v>43804</v>
      </c>
      <c r="F1192" s="162" t="s">
        <v>1229</v>
      </c>
      <c r="G1192" s="231">
        <v>45056</v>
      </c>
      <c r="H1192" s="198">
        <f>SUMIF(VA!B:B,A1192,VA!I:I)</f>
        <v>359.46</v>
      </c>
      <c r="I1192" s="32">
        <f>SUMIF(VR!B:B,A1192,VR!I:I)</f>
        <v>657.5</v>
      </c>
      <c r="J1192" s="4">
        <f t="shared" si="18"/>
        <v>1016.96</v>
      </c>
      <c r="K1192" s="179">
        <f>SUMIF(FALTAS!A:A,A1192,FALTAS!D:D)</f>
        <v>0</v>
      </c>
    </row>
    <row r="1193" spans="1:11" x14ac:dyDescent="0.25">
      <c r="A1193" s="235">
        <v>113608</v>
      </c>
      <c r="B1193" s="162" t="s">
        <v>870</v>
      </c>
      <c r="C1193" s="162" t="s">
        <v>2</v>
      </c>
      <c r="D1193" s="162" t="s">
        <v>19</v>
      </c>
      <c r="E1193" s="231">
        <v>43617</v>
      </c>
      <c r="F1193" s="162" t="s">
        <v>1229</v>
      </c>
      <c r="G1193" s="231">
        <v>44930</v>
      </c>
      <c r="H1193" s="198">
        <f>SUMIF(VA!B:B,A1193,VA!I:I)</f>
        <v>359.46</v>
      </c>
      <c r="I1193" s="32">
        <f>SUMIF(VR!B:B,A1193,VR!I:I)</f>
        <v>657.5</v>
      </c>
      <c r="J1193" s="4">
        <f t="shared" si="18"/>
        <v>1016.96</v>
      </c>
      <c r="K1193" s="179">
        <f>SUMIF(FALTAS!A:A,A1193,FALTAS!D:D)</f>
        <v>0</v>
      </c>
    </row>
    <row r="1194" spans="1:11" x14ac:dyDescent="0.25">
      <c r="A1194" s="235">
        <v>113667</v>
      </c>
      <c r="B1194" s="162" t="s">
        <v>904</v>
      </c>
      <c r="C1194" s="162" t="s">
        <v>2</v>
      </c>
      <c r="D1194" s="162" t="s">
        <v>19</v>
      </c>
      <c r="E1194" s="231">
        <v>43617</v>
      </c>
      <c r="F1194" s="162" t="s">
        <v>1229</v>
      </c>
      <c r="G1194" s="231">
        <v>44930</v>
      </c>
      <c r="H1194" s="198">
        <f>SUMIF(VA!B:B,A1194,VA!I:I)</f>
        <v>359.46</v>
      </c>
      <c r="I1194" s="32">
        <f>SUMIF(VR!B:B,A1194,VR!I:I)</f>
        <v>657.5</v>
      </c>
      <c r="J1194" s="4">
        <f t="shared" si="18"/>
        <v>1016.96</v>
      </c>
      <c r="K1194" s="179">
        <f>SUMIF(FALTAS!A:A,A1194,FALTAS!D:D)</f>
        <v>0</v>
      </c>
    </row>
    <row r="1195" spans="1:11" x14ac:dyDescent="0.25">
      <c r="A1195" s="235">
        <v>113668</v>
      </c>
      <c r="B1195" s="162" t="s">
        <v>905</v>
      </c>
      <c r="C1195" s="162" t="s">
        <v>15</v>
      </c>
      <c r="D1195" s="162" t="s">
        <v>1578</v>
      </c>
      <c r="E1195" s="231">
        <v>43617</v>
      </c>
      <c r="F1195" s="162" t="s">
        <v>1229</v>
      </c>
      <c r="G1195" s="231">
        <v>44990</v>
      </c>
      <c r="H1195" s="198">
        <f>SUMIF(VA!B:B,A1195,VA!I:I)</f>
        <v>359.46</v>
      </c>
      <c r="I1195" s="32">
        <f>SUMIF(VR!B:B,A1195,VR!I:I)</f>
        <v>657.5</v>
      </c>
      <c r="J1195" s="4">
        <f t="shared" si="18"/>
        <v>1016.96</v>
      </c>
      <c r="K1195" s="179">
        <f>SUMIF(FALTAS!A:A,A1195,FALTAS!D:D)</f>
        <v>0</v>
      </c>
    </row>
    <row r="1196" spans="1:11" x14ac:dyDescent="0.25">
      <c r="A1196" s="235">
        <v>114099</v>
      </c>
      <c r="B1196" s="162" t="s">
        <v>1003</v>
      </c>
      <c r="C1196" s="162" t="s">
        <v>5</v>
      </c>
      <c r="D1196" s="162" t="s">
        <v>1578</v>
      </c>
      <c r="E1196" s="231">
        <v>43728</v>
      </c>
      <c r="F1196" s="162" t="s">
        <v>1229</v>
      </c>
      <c r="G1196" s="231">
        <v>44867</v>
      </c>
      <c r="H1196" s="198">
        <f>SUMIF(VA!B:B,A1196,VA!I:I)</f>
        <v>359.46</v>
      </c>
      <c r="I1196" s="32">
        <f>SUMIF(VR!B:B,A1196,VR!I:I)</f>
        <v>657.5</v>
      </c>
      <c r="J1196" s="4">
        <f t="shared" si="18"/>
        <v>1016.96</v>
      </c>
      <c r="K1196" s="179">
        <f>SUMIF(FALTAS!A:A,A1196,FALTAS!D:D)</f>
        <v>0</v>
      </c>
    </row>
    <row r="1197" spans="1:11" x14ac:dyDescent="0.25">
      <c r="A1197" s="235">
        <v>113663</v>
      </c>
      <c r="B1197" s="162" t="s">
        <v>902</v>
      </c>
      <c r="C1197" s="162" t="s">
        <v>15</v>
      </c>
      <c r="D1197" s="162" t="s">
        <v>1578</v>
      </c>
      <c r="E1197" s="231">
        <v>43617</v>
      </c>
      <c r="F1197" s="162" t="s">
        <v>1229</v>
      </c>
      <c r="G1197" s="231">
        <v>44993</v>
      </c>
      <c r="H1197" s="198">
        <f>SUMIF(VA!B:B,A1197,VA!I:I)</f>
        <v>359.46</v>
      </c>
      <c r="I1197" s="32">
        <f>SUMIF(VR!B:B,A1197,VR!I:I)</f>
        <v>657.5</v>
      </c>
      <c r="J1197" s="4">
        <f t="shared" si="18"/>
        <v>1016.96</v>
      </c>
      <c r="K1197" s="179">
        <f>SUMIF(FALTAS!A:A,A1197,FALTAS!D:D)</f>
        <v>0</v>
      </c>
    </row>
    <row r="1198" spans="1:11" x14ac:dyDescent="0.25">
      <c r="A1198" s="235">
        <v>114539</v>
      </c>
      <c r="B1198" s="162" t="s">
        <v>1051</v>
      </c>
      <c r="C1198" s="162" t="s">
        <v>2</v>
      </c>
      <c r="D1198" s="162" t="s">
        <v>0</v>
      </c>
      <c r="E1198" s="231">
        <v>43817</v>
      </c>
      <c r="F1198" s="162" t="s">
        <v>1229</v>
      </c>
      <c r="G1198" s="231">
        <v>44867</v>
      </c>
      <c r="H1198" s="198">
        <f>SUMIF(VA!B:B,A1198,VA!I:I)</f>
        <v>359.46</v>
      </c>
      <c r="I1198" s="32">
        <f>SUMIF(VR!B:B,A1198,VR!I:I)</f>
        <v>657.5</v>
      </c>
      <c r="J1198" s="4">
        <f t="shared" si="18"/>
        <v>1016.96</v>
      </c>
      <c r="K1198" s="179">
        <f>SUMIF(FALTAS!A:A,A1198,FALTAS!D:D)</f>
        <v>0</v>
      </c>
    </row>
    <row r="1199" spans="1:11" x14ac:dyDescent="0.25">
      <c r="A1199" s="235">
        <v>119675</v>
      </c>
      <c r="B1199" s="162" t="s">
        <v>1471</v>
      </c>
      <c r="C1199" s="162" t="s">
        <v>5</v>
      </c>
      <c r="D1199" s="162" t="s">
        <v>1578</v>
      </c>
      <c r="E1199" s="231">
        <v>44725</v>
      </c>
      <c r="F1199" s="162" t="s">
        <v>1229</v>
      </c>
      <c r="G1199" s="231">
        <v>45149</v>
      </c>
      <c r="H1199" s="198">
        <f>SUMIF(VA!B:B,A1199,VA!I:I)</f>
        <v>359.46</v>
      </c>
      <c r="I1199" s="32">
        <f>SUMIF(VR!B:B,A1199,VR!I:I)</f>
        <v>657.5</v>
      </c>
      <c r="J1199" s="4">
        <f t="shared" si="18"/>
        <v>1016.96</v>
      </c>
      <c r="K1199" s="179">
        <f>SUMIF(FALTAS!A:A,A1199,FALTAS!D:D)</f>
        <v>0</v>
      </c>
    </row>
    <row r="1200" spans="1:11" x14ac:dyDescent="0.25">
      <c r="A1200" s="235">
        <v>113658</v>
      </c>
      <c r="B1200" s="162" t="s">
        <v>899</v>
      </c>
      <c r="C1200" s="162" t="s">
        <v>146</v>
      </c>
      <c r="D1200" s="162" t="s">
        <v>10</v>
      </c>
      <c r="E1200" s="231">
        <v>43617</v>
      </c>
      <c r="F1200" s="162" t="s">
        <v>1229</v>
      </c>
      <c r="G1200" s="231">
        <v>44898</v>
      </c>
      <c r="H1200" s="198">
        <f>SUMIF(VA!B:B,A1200,VA!I:I)</f>
        <v>359.46</v>
      </c>
      <c r="I1200" s="32">
        <f>SUMIF(VR!B:B,A1200,VR!I:I)</f>
        <v>657.5</v>
      </c>
      <c r="J1200" s="4">
        <f t="shared" si="18"/>
        <v>1016.96</v>
      </c>
      <c r="K1200" s="179">
        <f>SUMIF(FALTAS!A:A,A1200,FALTAS!D:D)</f>
        <v>0</v>
      </c>
    </row>
    <row r="1201" spans="1:11" x14ac:dyDescent="0.25">
      <c r="A1201" s="235">
        <v>113654</v>
      </c>
      <c r="B1201" s="162" t="s">
        <v>896</v>
      </c>
      <c r="C1201" s="162" t="s">
        <v>22</v>
      </c>
      <c r="D1201" s="162" t="s">
        <v>1578</v>
      </c>
      <c r="E1201" s="231">
        <v>43617</v>
      </c>
      <c r="F1201" s="162" t="s">
        <v>1229</v>
      </c>
      <c r="G1201" s="231">
        <v>45119</v>
      </c>
      <c r="H1201" s="198">
        <f>SUMIF(VA!B:B,A1201,VA!I:I)</f>
        <v>359.46</v>
      </c>
      <c r="I1201" s="32">
        <f>SUMIF(VR!B:B,A1201,VR!I:I)</f>
        <v>657.5</v>
      </c>
      <c r="J1201" s="4">
        <f t="shared" si="18"/>
        <v>1016.96</v>
      </c>
      <c r="K1201" s="179">
        <f>SUMIF(FALTAS!A:A,A1201,FALTAS!D:D)</f>
        <v>0</v>
      </c>
    </row>
    <row r="1202" spans="1:11" x14ac:dyDescent="0.25">
      <c r="A1202" s="235">
        <v>113929</v>
      </c>
      <c r="B1202" s="162" t="s">
        <v>990</v>
      </c>
      <c r="C1202" s="162" t="s">
        <v>2</v>
      </c>
      <c r="D1202" s="162" t="s">
        <v>0</v>
      </c>
      <c r="E1202" s="231">
        <v>43682</v>
      </c>
      <c r="F1202" s="162" t="s">
        <v>1229</v>
      </c>
      <c r="G1202" s="231">
        <v>45086</v>
      </c>
      <c r="H1202" s="198">
        <f>SUMIF(VA!B:B,A1202,VA!I:I)</f>
        <v>359.46</v>
      </c>
      <c r="I1202" s="32">
        <f>SUMIF(VR!B:B,A1202,VR!I:I)</f>
        <v>657.5</v>
      </c>
      <c r="J1202" s="4">
        <f t="shared" si="18"/>
        <v>1016.96</v>
      </c>
      <c r="K1202" s="179">
        <f>SUMIF(FALTAS!A:A,A1202,FALTAS!D:D)</f>
        <v>0</v>
      </c>
    </row>
    <row r="1203" spans="1:11" x14ac:dyDescent="0.25">
      <c r="A1203" s="235">
        <v>118055</v>
      </c>
      <c r="B1203" s="162" t="s">
        <v>1407</v>
      </c>
      <c r="C1203" s="162" t="s">
        <v>5</v>
      </c>
      <c r="D1203" s="162" t="s">
        <v>8</v>
      </c>
      <c r="E1203" s="231">
        <v>44567</v>
      </c>
      <c r="F1203" s="162" t="s">
        <v>1229</v>
      </c>
      <c r="G1203" s="231">
        <v>45177</v>
      </c>
      <c r="H1203" s="198">
        <f>SUMIF(VA!B:B,A1203,VA!I:I)</f>
        <v>359.46</v>
      </c>
      <c r="I1203" s="32">
        <f>SUMIF(VR!B:B,A1203,VR!I:I)</f>
        <v>657.5</v>
      </c>
      <c r="J1203" s="4">
        <f t="shared" si="18"/>
        <v>1016.96</v>
      </c>
      <c r="K1203" s="179">
        <f>SUMIF(FALTAS!A:A,A1203,FALTAS!D:D)</f>
        <v>0</v>
      </c>
    </row>
    <row r="1204" spans="1:11" x14ac:dyDescent="0.25">
      <c r="A1204" s="235">
        <v>114933</v>
      </c>
      <c r="B1204" s="162" t="s">
        <v>1115</v>
      </c>
      <c r="C1204" s="162" t="s">
        <v>22</v>
      </c>
      <c r="D1204" s="162" t="s">
        <v>1578</v>
      </c>
      <c r="E1204" s="231">
        <v>43916</v>
      </c>
      <c r="F1204" s="162" t="s">
        <v>1229</v>
      </c>
      <c r="G1204" s="231">
        <v>44744</v>
      </c>
      <c r="H1204" s="198">
        <f>SUMIF(VA!B:B,A1204,VA!I:I)</f>
        <v>359.46</v>
      </c>
      <c r="I1204" s="32">
        <f>SUMIF(VR!B:B,A1204,VR!I:I)</f>
        <v>657.5</v>
      </c>
      <c r="J1204" s="4">
        <f t="shared" si="18"/>
        <v>1016.96</v>
      </c>
      <c r="K1204" s="179">
        <f>SUMIF(FALTAS!A:A,A1204,FALTAS!D:D)</f>
        <v>0</v>
      </c>
    </row>
    <row r="1205" spans="1:11" x14ac:dyDescent="0.25">
      <c r="A1205" s="235">
        <v>116232</v>
      </c>
      <c r="B1205" s="162" t="s">
        <v>1193</v>
      </c>
      <c r="C1205" s="162" t="s">
        <v>5</v>
      </c>
      <c r="D1205" s="162" t="s">
        <v>0</v>
      </c>
      <c r="E1205" s="231">
        <v>44273</v>
      </c>
      <c r="F1205" s="162" t="s">
        <v>1229</v>
      </c>
      <c r="G1205" s="231">
        <v>44930</v>
      </c>
      <c r="H1205" s="198">
        <f>SUMIF(VA!B:B,A1205,VA!I:I)</f>
        <v>359.46</v>
      </c>
      <c r="I1205" s="32">
        <f>SUMIF(VR!B:B,A1205,VR!I:I)</f>
        <v>657.5</v>
      </c>
      <c r="J1205" s="4">
        <f t="shared" si="18"/>
        <v>1016.96</v>
      </c>
      <c r="K1205" s="179">
        <f>SUMIF(FALTAS!A:A,A1205,FALTAS!D:D)</f>
        <v>0</v>
      </c>
    </row>
    <row r="1206" spans="1:11" x14ac:dyDescent="0.25">
      <c r="A1206" s="235">
        <v>113884</v>
      </c>
      <c r="B1206" s="162" t="s">
        <v>1249</v>
      </c>
      <c r="C1206" s="162" t="s">
        <v>1250</v>
      </c>
      <c r="D1206" s="162" t="s">
        <v>1246</v>
      </c>
      <c r="E1206" s="231">
        <v>43663</v>
      </c>
      <c r="F1206" s="162" t="s">
        <v>1229</v>
      </c>
      <c r="G1206" s="231">
        <v>43663</v>
      </c>
      <c r="H1206" s="198">
        <f>SUMIF(VA!B:B,A1206,VA!I:I)</f>
        <v>0</v>
      </c>
      <c r="I1206" s="32">
        <f>SUMIF(VR!B:B,A1206,VR!I:I)</f>
        <v>0</v>
      </c>
      <c r="J1206" s="4">
        <f t="shared" si="18"/>
        <v>0</v>
      </c>
      <c r="K1206" s="179">
        <f>SUMIF(FALTAS!A:A,A1206,FALTAS!D:D)</f>
        <v>0</v>
      </c>
    </row>
    <row r="1207" spans="1:11" x14ac:dyDescent="0.25">
      <c r="A1207" s="235">
        <v>113648</v>
      </c>
      <c r="B1207" s="162" t="s">
        <v>893</v>
      </c>
      <c r="C1207" s="162" t="s">
        <v>2</v>
      </c>
      <c r="D1207" s="162" t="s">
        <v>0</v>
      </c>
      <c r="E1207" s="231">
        <v>43617</v>
      </c>
      <c r="F1207" s="162" t="s">
        <v>1229</v>
      </c>
      <c r="G1207" s="231">
        <v>45023</v>
      </c>
      <c r="H1207" s="198">
        <f>SUMIF(VA!B:B,A1207,VA!I:I)</f>
        <v>359.46</v>
      </c>
      <c r="I1207" s="32">
        <f>SUMIF(VR!B:B,A1207,VR!I:I)</f>
        <v>657.5</v>
      </c>
      <c r="J1207" s="4">
        <f t="shared" si="18"/>
        <v>1016.96</v>
      </c>
      <c r="K1207" s="179">
        <f>SUMIF(FALTAS!A:A,A1207,FALTAS!D:D)</f>
        <v>0</v>
      </c>
    </row>
    <row r="1208" spans="1:11" x14ac:dyDescent="0.25">
      <c r="A1208" s="235">
        <v>113643</v>
      </c>
      <c r="B1208" s="162" t="s">
        <v>890</v>
      </c>
      <c r="C1208" s="162" t="s">
        <v>5</v>
      </c>
      <c r="D1208" s="162" t="s">
        <v>0</v>
      </c>
      <c r="E1208" s="231">
        <v>43617</v>
      </c>
      <c r="F1208" s="162" t="s">
        <v>1229</v>
      </c>
      <c r="G1208" s="231">
        <v>45023</v>
      </c>
      <c r="H1208" s="198">
        <f>SUMIF(VA!B:B,A1208,VA!I:I)</f>
        <v>359.46</v>
      </c>
      <c r="I1208" s="32">
        <f>SUMIF(VR!B:B,A1208,VR!I:I)</f>
        <v>657.5</v>
      </c>
      <c r="J1208" s="4">
        <f t="shared" si="18"/>
        <v>1016.96</v>
      </c>
      <c r="K1208" s="179">
        <f>SUMIF(FALTAS!A:A,A1208,FALTAS!D:D)</f>
        <v>0</v>
      </c>
    </row>
    <row r="1209" spans="1:11" x14ac:dyDescent="0.25">
      <c r="A1209" s="235">
        <v>113638</v>
      </c>
      <c r="B1209" s="162" t="s">
        <v>889</v>
      </c>
      <c r="C1209" s="162" t="s">
        <v>146</v>
      </c>
      <c r="D1209" s="162" t="s">
        <v>8</v>
      </c>
      <c r="E1209" s="231">
        <v>43617</v>
      </c>
      <c r="F1209" s="162" t="s">
        <v>1229</v>
      </c>
      <c r="G1209" s="231">
        <v>45023</v>
      </c>
      <c r="H1209" s="198">
        <f>SUMIF(VA!B:B,A1209,VA!I:I)</f>
        <v>359.46</v>
      </c>
      <c r="I1209" s="32">
        <f>SUMIF(VR!B:B,A1209,VR!I:I)</f>
        <v>657.5</v>
      </c>
      <c r="J1209" s="4">
        <f t="shared" si="18"/>
        <v>1016.96</v>
      </c>
      <c r="K1209" s="179">
        <f>SUMIF(FALTAS!A:A,A1209,FALTAS!D:D)</f>
        <v>0</v>
      </c>
    </row>
    <row r="1210" spans="1:11" x14ac:dyDescent="0.25">
      <c r="A1210" s="235">
        <v>113634</v>
      </c>
      <c r="B1210" s="162" t="s">
        <v>885</v>
      </c>
      <c r="C1210" s="162" t="s">
        <v>22</v>
      </c>
      <c r="D1210" s="162" t="s">
        <v>1578</v>
      </c>
      <c r="E1210" s="231">
        <v>43617</v>
      </c>
      <c r="F1210" s="162" t="s">
        <v>1229</v>
      </c>
      <c r="G1210" s="231">
        <v>45119</v>
      </c>
      <c r="H1210" s="198">
        <f>SUMIF(VA!B:B,A1210,VA!I:I)</f>
        <v>359.46</v>
      </c>
      <c r="I1210" s="32">
        <f>SUMIF(VR!B:B,A1210,VR!I:I)</f>
        <v>657.5</v>
      </c>
      <c r="J1210" s="4">
        <f t="shared" si="18"/>
        <v>1016.96</v>
      </c>
      <c r="K1210" s="179">
        <f>SUMIF(FALTAS!A:A,A1210,FALTAS!D:D)</f>
        <v>0</v>
      </c>
    </row>
    <row r="1211" spans="1:11" s="145" customFormat="1" x14ac:dyDescent="0.25">
      <c r="A1211" s="235">
        <v>113630</v>
      </c>
      <c r="B1211" s="162" t="s">
        <v>882</v>
      </c>
      <c r="C1211" s="162" t="s">
        <v>2</v>
      </c>
      <c r="D1211" s="162" t="s">
        <v>32</v>
      </c>
      <c r="E1211" s="231">
        <v>43617</v>
      </c>
      <c r="F1211" s="162" t="s">
        <v>1230</v>
      </c>
      <c r="G1211" s="231">
        <v>45180</v>
      </c>
      <c r="H1211" s="198">
        <f>SUMIF(VA!B:B,A1211,VA!I:I)</f>
        <v>359.46</v>
      </c>
      <c r="I1211" s="32">
        <f>SUMIF(VR!B:B,A1211,VR!I:I)</f>
        <v>657.5</v>
      </c>
      <c r="J1211" s="4">
        <f t="shared" si="18"/>
        <v>1016.96</v>
      </c>
      <c r="K1211" s="179">
        <f>SUMIF(FALTAS!A:A,A1211,FALTAS!D:D)</f>
        <v>0</v>
      </c>
    </row>
    <row r="1212" spans="1:11" x14ac:dyDescent="0.25">
      <c r="A1212" s="235">
        <v>113627</v>
      </c>
      <c r="B1212" s="162" t="s">
        <v>880</v>
      </c>
      <c r="C1212" s="162" t="s">
        <v>5</v>
      </c>
      <c r="D1212" s="162" t="s">
        <v>10</v>
      </c>
      <c r="E1212" s="231">
        <v>43617</v>
      </c>
      <c r="F1212" s="162" t="s">
        <v>1229</v>
      </c>
      <c r="G1212" s="231">
        <v>45119</v>
      </c>
      <c r="H1212" s="198">
        <f>SUMIF(VA!B:B,A1212,VA!I:I)</f>
        <v>359.46</v>
      </c>
      <c r="I1212" s="32">
        <f>SUMIF(VR!B:B,A1212,VR!I:I)</f>
        <v>657.5</v>
      </c>
      <c r="J1212" s="4">
        <f t="shared" si="18"/>
        <v>1016.96</v>
      </c>
      <c r="K1212" s="179">
        <f>SUMIF(FALTAS!A:A,A1212,FALTAS!D:D)</f>
        <v>0</v>
      </c>
    </row>
    <row r="1213" spans="1:11" x14ac:dyDescent="0.25">
      <c r="A1213" s="235">
        <v>114734</v>
      </c>
      <c r="B1213" s="162" t="s">
        <v>1083</v>
      </c>
      <c r="C1213" s="162" t="s">
        <v>5</v>
      </c>
      <c r="D1213" s="162" t="s">
        <v>0</v>
      </c>
      <c r="E1213" s="231">
        <v>43874</v>
      </c>
      <c r="F1213" s="162" t="s">
        <v>1229</v>
      </c>
      <c r="G1213" s="231">
        <v>44744</v>
      </c>
      <c r="H1213" s="198">
        <f>SUMIF(VA!B:B,A1213,VA!I:I)</f>
        <v>359.46</v>
      </c>
      <c r="I1213" s="32">
        <f>SUMIF(VR!B:B,A1213,VR!I:I)</f>
        <v>657.5</v>
      </c>
      <c r="J1213" s="4">
        <f t="shared" si="18"/>
        <v>1016.96</v>
      </c>
      <c r="K1213" s="179">
        <f>SUMIF(FALTAS!A:A,A1213,FALTAS!D:D)</f>
        <v>0</v>
      </c>
    </row>
    <row r="1214" spans="1:11" x14ac:dyDescent="0.25">
      <c r="A1214" s="235">
        <v>113734</v>
      </c>
      <c r="B1214" s="162" t="s">
        <v>948</v>
      </c>
      <c r="C1214" s="162" t="s">
        <v>949</v>
      </c>
      <c r="D1214" s="162" t="s">
        <v>1578</v>
      </c>
      <c r="E1214" s="231">
        <v>43619</v>
      </c>
      <c r="F1214" s="162" t="s">
        <v>1229</v>
      </c>
      <c r="G1214" s="231">
        <v>45056</v>
      </c>
      <c r="H1214" s="198">
        <f>SUMIF(VA!B:B,A1214,VA!I:I)</f>
        <v>359.46</v>
      </c>
      <c r="I1214" s="32">
        <f>SUMIF(VR!B:B,A1214,VR!I:I)</f>
        <v>657.5</v>
      </c>
      <c r="J1214" s="4">
        <f t="shared" si="18"/>
        <v>1016.96</v>
      </c>
      <c r="K1214" s="179">
        <f>SUMIF(FALTAS!A:A,A1214,FALTAS!D:D)</f>
        <v>0</v>
      </c>
    </row>
    <row r="1215" spans="1:11" x14ac:dyDescent="0.25">
      <c r="A1215" s="235">
        <v>122403</v>
      </c>
      <c r="B1215" s="162" t="s">
        <v>1696</v>
      </c>
      <c r="C1215" s="162" t="s">
        <v>5</v>
      </c>
      <c r="D1215" s="162" t="s">
        <v>1578</v>
      </c>
      <c r="E1215" s="231">
        <v>45117</v>
      </c>
      <c r="F1215" s="162" t="s">
        <v>1229</v>
      </c>
      <c r="G1215" s="231">
        <v>45117</v>
      </c>
      <c r="H1215" s="198">
        <f>SUMIF(VA!B:B,A1215,VA!I:I)</f>
        <v>359.46</v>
      </c>
      <c r="I1215" s="32">
        <f>SUMIF(VR!B:B,A1215,VR!I:I)</f>
        <v>657.5</v>
      </c>
      <c r="J1215" s="4">
        <f t="shared" si="18"/>
        <v>1016.96</v>
      </c>
      <c r="K1215" s="179">
        <f>SUMIF(FALTAS!A:A,A1215,FALTAS!D:D)</f>
        <v>0</v>
      </c>
    </row>
    <row r="1216" spans="1:11" x14ac:dyDescent="0.25">
      <c r="A1216" s="235">
        <v>116329</v>
      </c>
      <c r="B1216" s="162" t="s">
        <v>1206</v>
      </c>
      <c r="C1216" s="162" t="s">
        <v>5</v>
      </c>
      <c r="D1216" s="162" t="s">
        <v>0</v>
      </c>
      <c r="E1216" s="231">
        <v>44308</v>
      </c>
      <c r="F1216" s="162" t="s">
        <v>1229</v>
      </c>
      <c r="G1216" s="231">
        <v>44960</v>
      </c>
      <c r="H1216" s="198">
        <f>SUMIF(VA!B:B,A1216,VA!I:I)</f>
        <v>347.47</v>
      </c>
      <c r="I1216" s="32">
        <f>SUMIF(VR!B:B,A1216,VR!I:I)</f>
        <v>631.20000000000005</v>
      </c>
      <c r="J1216" s="4">
        <f t="shared" si="18"/>
        <v>978.67000000000007</v>
      </c>
      <c r="K1216" s="179">
        <f>SUMIF(FALTAS!A:A,A1216,FALTAS!D:D)</f>
        <v>1</v>
      </c>
    </row>
    <row r="1217" spans="1:11" x14ac:dyDescent="0.25">
      <c r="A1217" s="235">
        <v>118642</v>
      </c>
      <c r="B1217" s="162" t="s">
        <v>1408</v>
      </c>
      <c r="C1217" s="162" t="s">
        <v>938</v>
      </c>
      <c r="D1217" s="162" t="s">
        <v>1578</v>
      </c>
      <c r="E1217" s="231">
        <v>44582</v>
      </c>
      <c r="F1217" s="162" t="s">
        <v>1229</v>
      </c>
      <c r="G1217" s="231">
        <v>45056</v>
      </c>
      <c r="H1217" s="198">
        <f>SUMIF(VA!B:B,A1217,VA!I:I)</f>
        <v>359.46</v>
      </c>
      <c r="I1217" s="32">
        <f>SUMIF(VR!B:B,A1217,VR!I:I)</f>
        <v>657.5</v>
      </c>
      <c r="J1217" s="4">
        <f t="shared" ref="J1217:J1280" si="19">H1217+I1217</f>
        <v>1016.96</v>
      </c>
      <c r="K1217" s="179">
        <f>SUMIF(FALTAS!A:A,A1217,FALTAS!D:D)</f>
        <v>0</v>
      </c>
    </row>
    <row r="1218" spans="1:11" x14ac:dyDescent="0.25">
      <c r="A1218" s="235">
        <v>114031</v>
      </c>
      <c r="B1218" s="162" t="s">
        <v>996</v>
      </c>
      <c r="C1218" s="162" t="s">
        <v>146</v>
      </c>
      <c r="D1218" s="162" t="s">
        <v>0</v>
      </c>
      <c r="E1218" s="231">
        <v>43710</v>
      </c>
      <c r="F1218" s="162" t="s">
        <v>1229</v>
      </c>
      <c r="G1218" s="231">
        <v>44898</v>
      </c>
      <c r="H1218" s="198">
        <f>SUMIF(VA!B:B,A1218,VA!I:I)</f>
        <v>347.47</v>
      </c>
      <c r="I1218" s="32">
        <f>SUMIF(VR!B:B,A1218,VR!I:I)</f>
        <v>631.20000000000005</v>
      </c>
      <c r="J1218" s="4">
        <f t="shared" si="19"/>
        <v>978.67000000000007</v>
      </c>
      <c r="K1218" s="179">
        <f>SUMIF(FALTAS!A:A,A1218,FALTAS!D:D)</f>
        <v>1</v>
      </c>
    </row>
    <row r="1219" spans="1:11" x14ac:dyDescent="0.25">
      <c r="A1219" s="235">
        <v>113689</v>
      </c>
      <c r="B1219" s="162" t="s">
        <v>916</v>
      </c>
      <c r="C1219" s="162" t="s">
        <v>22</v>
      </c>
      <c r="D1219" s="162" t="s">
        <v>1578</v>
      </c>
      <c r="E1219" s="231">
        <v>43617</v>
      </c>
      <c r="F1219" s="162" t="s">
        <v>1229</v>
      </c>
      <c r="G1219" s="231">
        <v>44898</v>
      </c>
      <c r="H1219" s="198">
        <f>SUMIF(VA!B:B,A1219,VA!I:I)</f>
        <v>359.46</v>
      </c>
      <c r="I1219" s="32">
        <f>SUMIF(VR!B:B,A1219,VR!I:I)</f>
        <v>657.5</v>
      </c>
      <c r="J1219" s="4">
        <f t="shared" si="19"/>
        <v>1016.96</v>
      </c>
      <c r="K1219" s="179">
        <f>SUMIF(FALTAS!A:A,A1219,FALTAS!D:D)</f>
        <v>0</v>
      </c>
    </row>
    <row r="1220" spans="1:11" x14ac:dyDescent="0.25">
      <c r="A1220" s="235">
        <v>117240</v>
      </c>
      <c r="B1220" s="162" t="s">
        <v>1256</v>
      </c>
      <c r="C1220" s="162" t="s">
        <v>5</v>
      </c>
      <c r="D1220" s="162" t="s">
        <v>0</v>
      </c>
      <c r="E1220" s="231">
        <v>44487</v>
      </c>
      <c r="F1220" s="162" t="s">
        <v>1229</v>
      </c>
      <c r="G1220" s="231">
        <v>45056</v>
      </c>
      <c r="H1220" s="198">
        <f>SUMIF(VA!B:B,A1220,VA!I:I)</f>
        <v>359.46</v>
      </c>
      <c r="I1220" s="32">
        <f>SUMIF(VR!B:B,A1220,VR!I:I)</f>
        <v>657.5</v>
      </c>
      <c r="J1220" s="4">
        <f t="shared" si="19"/>
        <v>1016.96</v>
      </c>
      <c r="K1220" s="179">
        <f>SUMIF(FALTAS!A:A,A1220,FALTAS!D:D)</f>
        <v>0</v>
      </c>
    </row>
    <row r="1221" spans="1:11" x14ac:dyDescent="0.25">
      <c r="A1221" s="235">
        <v>120192</v>
      </c>
      <c r="B1221" s="162" t="s">
        <v>1497</v>
      </c>
      <c r="C1221" s="162" t="s">
        <v>5</v>
      </c>
      <c r="D1221" s="162" t="s">
        <v>8</v>
      </c>
      <c r="E1221" s="231">
        <v>44791</v>
      </c>
      <c r="F1221" s="162" t="s">
        <v>1229</v>
      </c>
      <c r="G1221" s="231">
        <v>44791</v>
      </c>
      <c r="H1221" s="198">
        <f>SUMIF(VA!B:B,A1221,VA!I:I)</f>
        <v>359.46</v>
      </c>
      <c r="I1221" s="32">
        <f>SUMIF(VR!B:B,A1221,VR!I:I)</f>
        <v>657.5</v>
      </c>
      <c r="J1221" s="4">
        <f t="shared" si="19"/>
        <v>1016.96</v>
      </c>
      <c r="K1221" s="179">
        <f>SUMIF(FALTAS!A:A,A1221,FALTAS!D:D)</f>
        <v>0</v>
      </c>
    </row>
    <row r="1222" spans="1:11" x14ac:dyDescent="0.25">
      <c r="A1222" s="235">
        <v>116320</v>
      </c>
      <c r="B1222" s="162" t="s">
        <v>1201</v>
      </c>
      <c r="C1222" s="162" t="s">
        <v>5</v>
      </c>
      <c r="D1222" s="162" t="s">
        <v>10</v>
      </c>
      <c r="E1222" s="231">
        <v>44308</v>
      </c>
      <c r="F1222" s="162" t="s">
        <v>1229</v>
      </c>
      <c r="G1222" s="231">
        <v>45177</v>
      </c>
      <c r="H1222" s="198">
        <f>SUMIF(VA!B:B,A1222,VA!I:I)</f>
        <v>359.46</v>
      </c>
      <c r="I1222" s="32">
        <f>SUMIF(VR!B:B,A1222,VR!I:I)</f>
        <v>657.5</v>
      </c>
      <c r="J1222" s="4">
        <f t="shared" si="19"/>
        <v>1016.96</v>
      </c>
      <c r="K1222" s="179">
        <f>SUMIF(FALTAS!A:A,A1222,FALTAS!D:D)</f>
        <v>0</v>
      </c>
    </row>
    <row r="1223" spans="1:11" x14ac:dyDescent="0.25">
      <c r="A1223" s="235">
        <v>119681</v>
      </c>
      <c r="B1223" s="162" t="s">
        <v>1472</v>
      </c>
      <c r="C1223" s="162" t="s">
        <v>5</v>
      </c>
      <c r="D1223" s="162" t="s">
        <v>10</v>
      </c>
      <c r="E1223" s="231">
        <v>44725</v>
      </c>
      <c r="F1223" s="162" t="s">
        <v>1229</v>
      </c>
      <c r="G1223" s="231">
        <v>44725</v>
      </c>
      <c r="H1223" s="198">
        <f>SUMIF(VA!B:B,A1223,VA!I:I)</f>
        <v>359.46</v>
      </c>
      <c r="I1223" s="32">
        <f>SUMIF(VR!B:B,A1223,VR!I:I)</f>
        <v>657.5</v>
      </c>
      <c r="J1223" s="4">
        <f t="shared" si="19"/>
        <v>1016.96</v>
      </c>
      <c r="K1223" s="179">
        <f>SUMIF(FALTAS!A:A,A1223,FALTAS!D:D)</f>
        <v>0</v>
      </c>
    </row>
    <row r="1224" spans="1:11" x14ac:dyDescent="0.25">
      <c r="A1224" s="235">
        <v>114258</v>
      </c>
      <c r="B1224" s="162" t="s">
        <v>1021</v>
      </c>
      <c r="C1224" s="162" t="s">
        <v>5</v>
      </c>
      <c r="D1224" s="162" t="s">
        <v>0</v>
      </c>
      <c r="E1224" s="231">
        <v>43804</v>
      </c>
      <c r="F1224" s="162" t="s">
        <v>1229</v>
      </c>
      <c r="G1224" s="231">
        <v>45119</v>
      </c>
      <c r="H1224" s="198">
        <f>SUMIF(VA!B:B,A1224,VA!I:I)</f>
        <v>359.46</v>
      </c>
      <c r="I1224" s="32">
        <f>SUMIF(VR!B:B,A1224,VR!I:I)</f>
        <v>657.5</v>
      </c>
      <c r="J1224" s="4">
        <f t="shared" si="19"/>
        <v>1016.96</v>
      </c>
      <c r="K1224" s="179">
        <f>SUMIF(FALTAS!A:A,A1224,FALTAS!D:D)</f>
        <v>0</v>
      </c>
    </row>
    <row r="1225" spans="1:11" x14ac:dyDescent="0.25">
      <c r="A1225" s="235">
        <v>113611</v>
      </c>
      <c r="B1225" s="162" t="s">
        <v>872</v>
      </c>
      <c r="C1225" s="162" t="s">
        <v>146</v>
      </c>
      <c r="D1225" s="162" t="s">
        <v>0</v>
      </c>
      <c r="E1225" s="231">
        <v>43617</v>
      </c>
      <c r="F1225" s="162" t="s">
        <v>1229</v>
      </c>
      <c r="G1225" s="231">
        <v>44960</v>
      </c>
      <c r="H1225" s="198">
        <f>SUMIF(VA!B:B,A1225,VA!I:I)</f>
        <v>359.46</v>
      </c>
      <c r="I1225" s="32">
        <f>SUMIF(VR!B:B,A1225,VR!I:I)</f>
        <v>657.5</v>
      </c>
      <c r="J1225" s="4">
        <f t="shared" si="19"/>
        <v>1016.96</v>
      </c>
      <c r="K1225" s="179">
        <f>SUMIF(FALTAS!A:A,A1225,FALTAS!D:D)</f>
        <v>0</v>
      </c>
    </row>
    <row r="1226" spans="1:11" x14ac:dyDescent="0.25">
      <c r="A1226" s="235">
        <v>112862</v>
      </c>
      <c r="B1226" s="162" t="s">
        <v>458</v>
      </c>
      <c r="C1226" s="162" t="s">
        <v>2</v>
      </c>
      <c r="D1226" s="162" t="s">
        <v>19</v>
      </c>
      <c r="E1226" s="231">
        <v>43617</v>
      </c>
      <c r="F1226" s="162" t="s">
        <v>1229</v>
      </c>
      <c r="G1226" s="231">
        <v>44835</v>
      </c>
      <c r="H1226" s="198">
        <f>SUMIF(VA!B:B,A1226,VA!I:I)</f>
        <v>359.46</v>
      </c>
      <c r="I1226" s="32">
        <f>SUMIF(VR!B:B,A1226,VR!I:I)</f>
        <v>657.5</v>
      </c>
      <c r="J1226" s="4">
        <f t="shared" si="19"/>
        <v>1016.96</v>
      </c>
      <c r="K1226" s="179">
        <f>SUMIF(FALTAS!A:A,A1226,FALTAS!D:D)</f>
        <v>0</v>
      </c>
    </row>
    <row r="1227" spans="1:11" x14ac:dyDescent="0.25">
      <c r="A1227" s="235">
        <v>112853</v>
      </c>
      <c r="B1227" s="162" t="s">
        <v>454</v>
      </c>
      <c r="C1227" s="162" t="s">
        <v>2</v>
      </c>
      <c r="D1227" s="162" t="s">
        <v>0</v>
      </c>
      <c r="E1227" s="231">
        <v>43617</v>
      </c>
      <c r="F1227" s="162" t="s">
        <v>1229</v>
      </c>
      <c r="G1227" s="231">
        <v>44835</v>
      </c>
      <c r="H1227" s="198">
        <f>SUMIF(VA!B:B,A1227,VA!I:I)</f>
        <v>359.46</v>
      </c>
      <c r="I1227" s="32">
        <f>SUMIF(VR!B:B,A1227,VR!I:I)</f>
        <v>657.5</v>
      </c>
      <c r="J1227" s="4">
        <f t="shared" si="19"/>
        <v>1016.96</v>
      </c>
      <c r="K1227" s="179">
        <f>SUMIF(FALTAS!A:A,A1227,FALTAS!D:D)</f>
        <v>0</v>
      </c>
    </row>
    <row r="1228" spans="1:11" x14ac:dyDescent="0.25">
      <c r="A1228" s="235">
        <v>122825</v>
      </c>
      <c r="B1228" s="162" t="s">
        <v>1727</v>
      </c>
      <c r="C1228" s="162" t="s">
        <v>5</v>
      </c>
      <c r="D1228" s="162" t="s">
        <v>8</v>
      </c>
      <c r="E1228" s="231">
        <v>45180</v>
      </c>
      <c r="F1228" s="162" t="s">
        <v>1229</v>
      </c>
      <c r="G1228" s="231">
        <v>45180</v>
      </c>
      <c r="H1228" s="198">
        <f>SUMIF(VA!B:B,A1228,VA!I:I)</f>
        <v>359.46</v>
      </c>
      <c r="I1228" s="32">
        <f>SUMIF(VR!B:B,A1228,VR!I:I)</f>
        <v>657.5</v>
      </c>
      <c r="J1228" s="4">
        <f t="shared" si="19"/>
        <v>1016.96</v>
      </c>
      <c r="K1228" s="179">
        <f>SUMIF(FALTAS!A:A,A1228,FALTAS!D:D)</f>
        <v>0</v>
      </c>
    </row>
    <row r="1229" spans="1:11" x14ac:dyDescent="0.25">
      <c r="A1229" s="235">
        <v>114093</v>
      </c>
      <c r="B1229" s="162" t="s">
        <v>1001</v>
      </c>
      <c r="C1229" s="162" t="s">
        <v>5</v>
      </c>
      <c r="D1229" s="162" t="s">
        <v>8</v>
      </c>
      <c r="E1229" s="231">
        <v>43728</v>
      </c>
      <c r="F1229" s="162" t="s">
        <v>1229</v>
      </c>
      <c r="G1229" s="231">
        <v>45149</v>
      </c>
      <c r="H1229" s="198">
        <f>SUMIF(VA!B:B,A1229,VA!I:I)</f>
        <v>119.82</v>
      </c>
      <c r="I1229" s="32">
        <f>SUMIF(VR!B:B,A1229,VR!I:I)</f>
        <v>131.5</v>
      </c>
      <c r="J1229" s="4">
        <f t="shared" si="19"/>
        <v>251.32</v>
      </c>
      <c r="K1229" s="179">
        <f>SUMIF(FALTAS!A:A,A1229,FALTAS!D:D)</f>
        <v>20</v>
      </c>
    </row>
    <row r="1230" spans="1:11" x14ac:dyDescent="0.25">
      <c r="A1230" s="235">
        <v>112823</v>
      </c>
      <c r="B1230" s="162" t="s">
        <v>435</v>
      </c>
      <c r="C1230" s="162" t="s">
        <v>2</v>
      </c>
      <c r="D1230" s="162" t="s">
        <v>32</v>
      </c>
      <c r="E1230" s="231">
        <v>43617</v>
      </c>
      <c r="F1230" s="162" t="s">
        <v>1229</v>
      </c>
      <c r="G1230" s="231">
        <v>44960</v>
      </c>
      <c r="H1230" s="198">
        <f>SUMIF(VA!B:B,A1230,VA!I:I)</f>
        <v>359.46</v>
      </c>
      <c r="I1230" s="32">
        <f>SUMIF(VR!B:B,A1230,VR!I:I)</f>
        <v>657.5</v>
      </c>
      <c r="J1230" s="4">
        <f t="shared" si="19"/>
        <v>1016.96</v>
      </c>
      <c r="K1230" s="179">
        <f>SUMIF(FALTAS!A:A,A1230,FALTAS!D:D)</f>
        <v>0</v>
      </c>
    </row>
    <row r="1231" spans="1:11" x14ac:dyDescent="0.25">
      <c r="A1231" s="235">
        <v>112811</v>
      </c>
      <c r="B1231" s="162" t="s">
        <v>427</v>
      </c>
      <c r="C1231" s="162" t="s">
        <v>15</v>
      </c>
      <c r="D1231" s="162" t="s">
        <v>1578</v>
      </c>
      <c r="E1231" s="231">
        <v>43617</v>
      </c>
      <c r="F1231" s="162" t="s">
        <v>1230</v>
      </c>
      <c r="G1231" s="231">
        <v>45180</v>
      </c>
      <c r="H1231" s="198">
        <f>SUMIF(VA!B:B,A1231,VA!I:I)</f>
        <v>359.46</v>
      </c>
      <c r="I1231" s="32">
        <f>SUMIF(VR!B:B,A1231,VR!I:I)</f>
        <v>657.5</v>
      </c>
      <c r="J1231" s="4">
        <f t="shared" si="19"/>
        <v>1016.96</v>
      </c>
      <c r="K1231" s="179">
        <f>SUMIF(FALTAS!A:A,A1231,FALTAS!D:D)</f>
        <v>0</v>
      </c>
    </row>
    <row r="1232" spans="1:11" x14ac:dyDescent="0.25">
      <c r="A1232" s="235">
        <v>113733</v>
      </c>
      <c r="B1232" s="162" t="s">
        <v>946</v>
      </c>
      <c r="C1232" s="162" t="s">
        <v>947</v>
      </c>
      <c r="D1232" s="162" t="s">
        <v>1578</v>
      </c>
      <c r="E1232" s="231">
        <v>43619</v>
      </c>
      <c r="F1232" s="162" t="s">
        <v>1229</v>
      </c>
      <c r="G1232" s="231">
        <v>45023</v>
      </c>
      <c r="H1232" s="198">
        <f>SUMIF(VA!B:B,A1232,VA!I:I)</f>
        <v>359.46</v>
      </c>
      <c r="I1232" s="32">
        <f>SUMIF(VR!B:B,A1232,VR!I:I)</f>
        <v>657.5</v>
      </c>
      <c r="J1232" s="4">
        <f t="shared" si="19"/>
        <v>1016.96</v>
      </c>
      <c r="K1232" s="179">
        <f>SUMIF(FALTAS!A:A,A1232,FALTAS!D:D)</f>
        <v>0</v>
      </c>
    </row>
    <row r="1233" spans="1:11" x14ac:dyDescent="0.25">
      <c r="A1233" s="235">
        <v>114732</v>
      </c>
      <c r="B1233" s="162" t="s">
        <v>1081</v>
      </c>
      <c r="C1233" s="162" t="s">
        <v>2</v>
      </c>
      <c r="D1233" s="162" t="s">
        <v>0</v>
      </c>
      <c r="E1233" s="231">
        <v>43874</v>
      </c>
      <c r="F1233" s="162" t="s">
        <v>1229</v>
      </c>
      <c r="G1233" s="231">
        <v>45149</v>
      </c>
      <c r="H1233" s="198">
        <f>SUMIF(VA!B:B,A1233,VA!I:I)</f>
        <v>359.46</v>
      </c>
      <c r="I1233" s="32">
        <f>SUMIF(VR!B:B,A1233,VR!I:I)</f>
        <v>657.5</v>
      </c>
      <c r="J1233" s="4">
        <f t="shared" si="19"/>
        <v>1016.96</v>
      </c>
      <c r="K1233" s="179">
        <f>SUMIF(FALTAS!A:A,A1233,FALTAS!D:D)</f>
        <v>0</v>
      </c>
    </row>
    <row r="1234" spans="1:11" x14ac:dyDescent="0.25">
      <c r="A1234" s="235">
        <v>112788</v>
      </c>
      <c r="B1234" s="162" t="s">
        <v>409</v>
      </c>
      <c r="C1234" s="162" t="s">
        <v>410</v>
      </c>
      <c r="D1234" s="162" t="s">
        <v>1578</v>
      </c>
      <c r="E1234" s="231">
        <v>43617</v>
      </c>
      <c r="F1234" s="162" t="s">
        <v>1229</v>
      </c>
      <c r="G1234" s="231">
        <v>44776</v>
      </c>
      <c r="H1234" s="198">
        <f>SUMIF(VA!B:B,A1234,VA!I:I)</f>
        <v>359.46</v>
      </c>
      <c r="I1234" s="32">
        <f>SUMIF(VR!B:B,A1234,VR!I:I)</f>
        <v>657.5</v>
      </c>
      <c r="J1234" s="4">
        <f t="shared" si="19"/>
        <v>1016.96</v>
      </c>
      <c r="K1234" s="179">
        <f>SUMIF(FALTAS!A:A,A1234,FALTAS!D:D)</f>
        <v>0</v>
      </c>
    </row>
    <row r="1235" spans="1:11" x14ac:dyDescent="0.25">
      <c r="A1235" s="235">
        <v>112778</v>
      </c>
      <c r="B1235" s="162" t="s">
        <v>401</v>
      </c>
      <c r="C1235" s="162" t="s">
        <v>2</v>
      </c>
      <c r="D1235" s="162" t="s">
        <v>8</v>
      </c>
      <c r="E1235" s="231">
        <v>43617</v>
      </c>
      <c r="F1235" s="162" t="s">
        <v>1229</v>
      </c>
      <c r="G1235" s="231">
        <v>45056</v>
      </c>
      <c r="H1235" s="198">
        <f>SUMIF(VA!B:B,A1235,VA!I:I)</f>
        <v>359.46</v>
      </c>
      <c r="I1235" s="32">
        <f>SUMIF(VR!B:B,A1235,VR!I:I)</f>
        <v>657.5</v>
      </c>
      <c r="J1235" s="4">
        <f t="shared" si="19"/>
        <v>1016.96</v>
      </c>
      <c r="K1235" s="179">
        <f>SUMIF(FALTAS!A:A,A1235,FALTAS!D:D)</f>
        <v>0</v>
      </c>
    </row>
    <row r="1236" spans="1:11" x14ac:dyDescent="0.25">
      <c r="A1236" s="235">
        <v>112769</v>
      </c>
      <c r="B1236" s="162" t="s">
        <v>395</v>
      </c>
      <c r="C1236" s="162" t="s">
        <v>15</v>
      </c>
      <c r="D1236" s="162" t="s">
        <v>1578</v>
      </c>
      <c r="E1236" s="231">
        <v>43617</v>
      </c>
      <c r="F1236" s="162" t="s">
        <v>1229</v>
      </c>
      <c r="G1236" s="231">
        <v>45149</v>
      </c>
      <c r="H1236" s="198">
        <f>SUMIF(VA!B:B,A1236,VA!I:I)</f>
        <v>359.46</v>
      </c>
      <c r="I1236" s="32">
        <f>SUMIF(VR!B:B,A1236,VR!I:I)</f>
        <v>657.5</v>
      </c>
      <c r="J1236" s="4">
        <f t="shared" si="19"/>
        <v>1016.96</v>
      </c>
      <c r="K1236" s="179">
        <f>SUMIF(FALTAS!A:A,A1236,FALTAS!D:D)</f>
        <v>0</v>
      </c>
    </row>
    <row r="1237" spans="1:11" x14ac:dyDescent="0.25">
      <c r="A1237" s="235">
        <v>116132</v>
      </c>
      <c r="B1237" s="162" t="s">
        <v>1186</v>
      </c>
      <c r="C1237" s="162" t="s">
        <v>15</v>
      </c>
      <c r="D1237" s="162" t="s">
        <v>1578</v>
      </c>
      <c r="E1237" s="231">
        <v>44249</v>
      </c>
      <c r="F1237" s="162" t="s">
        <v>1229</v>
      </c>
      <c r="G1237" s="231">
        <v>45056</v>
      </c>
      <c r="H1237" s="198">
        <f>SUMIF(VA!B:B,A1237,VA!I:I)</f>
        <v>359.46</v>
      </c>
      <c r="I1237" s="32">
        <f>SUMIF(VR!B:B,A1237,VR!I:I)</f>
        <v>657.5</v>
      </c>
      <c r="J1237" s="4">
        <f t="shared" si="19"/>
        <v>1016.96</v>
      </c>
      <c r="K1237" s="179">
        <f>SUMIF(FALTAS!A:A,A1237,FALTAS!D:D)</f>
        <v>0</v>
      </c>
    </row>
    <row r="1238" spans="1:11" x14ac:dyDescent="0.25">
      <c r="A1238" s="235">
        <v>112754</v>
      </c>
      <c r="B1238" s="162" t="s">
        <v>385</v>
      </c>
      <c r="C1238" s="162" t="s">
        <v>2</v>
      </c>
      <c r="D1238" s="162" t="s">
        <v>8</v>
      </c>
      <c r="E1238" s="231">
        <v>43617</v>
      </c>
      <c r="F1238" s="162" t="s">
        <v>1229</v>
      </c>
      <c r="G1238" s="231">
        <v>45056</v>
      </c>
      <c r="H1238" s="198">
        <f>SUMIF(VA!B:B,A1238,VA!I:I)</f>
        <v>359.46</v>
      </c>
      <c r="I1238" s="32">
        <f>SUMIF(VR!B:B,A1238,VR!I:I)</f>
        <v>657.5</v>
      </c>
      <c r="J1238" s="4">
        <f t="shared" si="19"/>
        <v>1016.96</v>
      </c>
      <c r="K1238" s="179">
        <f>SUMIF(FALTAS!A:A,A1238,FALTAS!D:D)</f>
        <v>0</v>
      </c>
    </row>
    <row r="1239" spans="1:11" x14ac:dyDescent="0.25">
      <c r="A1239" s="235">
        <v>113723</v>
      </c>
      <c r="B1239" s="162" t="s">
        <v>937</v>
      </c>
      <c r="C1239" s="162" t="s">
        <v>938</v>
      </c>
      <c r="D1239" s="162" t="s">
        <v>1578</v>
      </c>
      <c r="E1239" s="231">
        <v>43619</v>
      </c>
      <c r="F1239" s="162" t="s">
        <v>1229</v>
      </c>
      <c r="G1239" s="231">
        <v>45023</v>
      </c>
      <c r="H1239" s="198">
        <f>SUMIF(VA!B:B,A1239,VA!I:I)</f>
        <v>359.46</v>
      </c>
      <c r="I1239" s="32">
        <f>SUMIF(VR!B:B,A1239,VR!I:I)</f>
        <v>657.5</v>
      </c>
      <c r="J1239" s="4">
        <f t="shared" si="19"/>
        <v>1016.96</v>
      </c>
      <c r="K1239" s="179">
        <f>SUMIF(FALTAS!A:A,A1239,FALTAS!D:D)</f>
        <v>0</v>
      </c>
    </row>
    <row r="1240" spans="1:11" x14ac:dyDescent="0.25">
      <c r="A1240" s="235">
        <v>117241</v>
      </c>
      <c r="B1240" s="162" t="s">
        <v>1257</v>
      </c>
      <c r="C1240" s="162" t="s">
        <v>5</v>
      </c>
      <c r="D1240" s="162" t="s">
        <v>19</v>
      </c>
      <c r="E1240" s="231">
        <v>44487</v>
      </c>
      <c r="F1240" s="162" t="s">
        <v>1229</v>
      </c>
      <c r="G1240" s="231">
        <v>45119</v>
      </c>
      <c r="H1240" s="198">
        <f>SUMIF(VA!B:B,A1240,VA!I:I)</f>
        <v>359.46</v>
      </c>
      <c r="I1240" s="32">
        <f>SUMIF(VR!B:B,A1240,VR!I:I)</f>
        <v>657.5</v>
      </c>
      <c r="J1240" s="4">
        <f t="shared" si="19"/>
        <v>1016.96</v>
      </c>
      <c r="K1240" s="179">
        <f>SUMIF(FALTAS!A:A,A1240,FALTAS!D:D)</f>
        <v>0</v>
      </c>
    </row>
    <row r="1241" spans="1:11" x14ac:dyDescent="0.25">
      <c r="A1241" s="235">
        <v>112747</v>
      </c>
      <c r="B1241" s="162" t="s">
        <v>380</v>
      </c>
      <c r="C1241" s="162" t="s">
        <v>22</v>
      </c>
      <c r="D1241" s="162" t="s">
        <v>1578</v>
      </c>
      <c r="E1241" s="231">
        <v>43617</v>
      </c>
      <c r="F1241" s="162" t="s">
        <v>1229</v>
      </c>
      <c r="G1241" s="231">
        <v>44867</v>
      </c>
      <c r="H1241" s="198">
        <f>SUMIF(VA!B:B,A1241,VA!I:I)</f>
        <v>359.46</v>
      </c>
      <c r="I1241" s="32">
        <f>SUMIF(VR!B:B,A1241,VR!I:I)</f>
        <v>657.5</v>
      </c>
      <c r="J1241" s="4">
        <f t="shared" si="19"/>
        <v>1016.96</v>
      </c>
      <c r="K1241" s="179">
        <f>SUMIF(FALTAS!A:A,A1241,FALTAS!D:D)</f>
        <v>0</v>
      </c>
    </row>
    <row r="1242" spans="1:11" x14ac:dyDescent="0.25">
      <c r="A1242" s="235">
        <v>112741</v>
      </c>
      <c r="B1242" s="162" t="s">
        <v>375</v>
      </c>
      <c r="C1242" s="162" t="s">
        <v>2</v>
      </c>
      <c r="D1242" s="162" t="s">
        <v>8</v>
      </c>
      <c r="E1242" s="231">
        <v>43617</v>
      </c>
      <c r="F1242" s="162" t="s">
        <v>1229</v>
      </c>
      <c r="G1242" s="231">
        <v>44993</v>
      </c>
      <c r="H1242" s="198">
        <f>SUMIF(VA!B:B,A1242,VA!I:I)</f>
        <v>359.46</v>
      </c>
      <c r="I1242" s="32">
        <f>SUMIF(VR!B:B,A1242,VR!I:I)</f>
        <v>657.5</v>
      </c>
      <c r="J1242" s="4">
        <f t="shared" si="19"/>
        <v>1016.96</v>
      </c>
      <c r="K1242" s="179">
        <f>SUMIF(FALTAS!A:A,A1242,FALTAS!D:D)</f>
        <v>0</v>
      </c>
    </row>
    <row r="1243" spans="1:11" x14ac:dyDescent="0.25">
      <c r="A1243" s="235">
        <v>120355</v>
      </c>
      <c r="B1243" s="162" t="s">
        <v>1505</v>
      </c>
      <c r="C1243" s="162" t="s">
        <v>5</v>
      </c>
      <c r="D1243" s="162" t="s">
        <v>0</v>
      </c>
      <c r="E1243" s="231">
        <v>44820</v>
      </c>
      <c r="F1243" s="162" t="s">
        <v>1229</v>
      </c>
      <c r="G1243" s="231">
        <v>44820</v>
      </c>
      <c r="H1243" s="198">
        <f>SUMIF(VA!B:B,A1243,VA!I:I)</f>
        <v>359.46</v>
      </c>
      <c r="I1243" s="32">
        <f>SUMIF(VR!B:B,A1243,VR!I:I)</f>
        <v>657.5</v>
      </c>
      <c r="J1243" s="4">
        <f t="shared" si="19"/>
        <v>1016.96</v>
      </c>
      <c r="K1243" s="179">
        <f>SUMIF(FALTAS!A:A,A1243,FALTAS!D:D)</f>
        <v>0</v>
      </c>
    </row>
    <row r="1244" spans="1:11" x14ac:dyDescent="0.25">
      <c r="A1244" s="235">
        <v>112458</v>
      </c>
      <c r="B1244" s="162" t="s">
        <v>194</v>
      </c>
      <c r="C1244" s="162" t="s">
        <v>5</v>
      </c>
      <c r="D1244" s="162" t="s">
        <v>0</v>
      </c>
      <c r="E1244" s="231">
        <v>43617</v>
      </c>
      <c r="F1244" s="162" t="s">
        <v>1229</v>
      </c>
      <c r="G1244" s="231">
        <v>45023</v>
      </c>
      <c r="H1244" s="198">
        <f>SUMIF(VA!B:B,A1244,VA!I:I)</f>
        <v>359.46</v>
      </c>
      <c r="I1244" s="32">
        <f>SUMIF(VR!B:B,A1244,VR!I:I)</f>
        <v>657.5</v>
      </c>
      <c r="J1244" s="4">
        <f t="shared" si="19"/>
        <v>1016.96</v>
      </c>
      <c r="K1244" s="179">
        <f>SUMIF(FALTAS!A:A,A1244,FALTAS!D:D)</f>
        <v>0</v>
      </c>
    </row>
    <row r="1245" spans="1:11" x14ac:dyDescent="0.25">
      <c r="A1245" s="235">
        <v>115379</v>
      </c>
      <c r="B1245" s="162" t="s">
        <v>1266</v>
      </c>
      <c r="C1245" s="162" t="s">
        <v>5</v>
      </c>
      <c r="D1245" s="162" t="s">
        <v>32</v>
      </c>
      <c r="E1245" s="231">
        <v>44046</v>
      </c>
      <c r="F1245" s="162" t="s">
        <v>1229</v>
      </c>
      <c r="G1245" s="231">
        <v>44960</v>
      </c>
      <c r="H1245" s="198">
        <f>SUMIF(VA!B:B,A1245,VA!I:I)</f>
        <v>359.46</v>
      </c>
      <c r="I1245" s="32">
        <f>SUMIF(VR!B:B,A1245,VR!I:I)</f>
        <v>657.5</v>
      </c>
      <c r="J1245" s="4">
        <f t="shared" si="19"/>
        <v>1016.96</v>
      </c>
      <c r="K1245" s="179">
        <f>SUMIF(FALTAS!A:A,A1245,FALTAS!D:D)</f>
        <v>0</v>
      </c>
    </row>
    <row r="1246" spans="1:11" x14ac:dyDescent="0.25">
      <c r="A1246" s="235">
        <v>112448</v>
      </c>
      <c r="B1246" s="162" t="s">
        <v>187</v>
      </c>
      <c r="C1246" s="162" t="s">
        <v>2</v>
      </c>
      <c r="D1246" s="162" t="s">
        <v>19</v>
      </c>
      <c r="E1246" s="231">
        <v>43617</v>
      </c>
      <c r="F1246" s="162" t="s">
        <v>1229</v>
      </c>
      <c r="G1246" s="231">
        <v>44806</v>
      </c>
      <c r="H1246" s="198">
        <f>SUMIF(VA!B:B,A1246,VA!I:I)</f>
        <v>359.46</v>
      </c>
      <c r="I1246" s="32">
        <f>SUMIF(VR!B:B,A1246,VR!I:I)</f>
        <v>657.5</v>
      </c>
      <c r="J1246" s="4">
        <f t="shared" si="19"/>
        <v>1016.96</v>
      </c>
      <c r="K1246" s="179">
        <f>SUMIF(FALTAS!A:A,A1246,FALTAS!D:D)</f>
        <v>0</v>
      </c>
    </row>
    <row r="1247" spans="1:11" x14ac:dyDescent="0.25">
      <c r="A1247" s="235">
        <v>119117</v>
      </c>
      <c r="B1247" s="162" t="s">
        <v>1442</v>
      </c>
      <c r="C1247" s="162" t="s">
        <v>5</v>
      </c>
      <c r="D1247" s="162" t="s">
        <v>19</v>
      </c>
      <c r="E1247" s="231">
        <v>44630</v>
      </c>
      <c r="F1247" s="162" t="s">
        <v>1229</v>
      </c>
      <c r="G1247" s="231">
        <v>45119</v>
      </c>
      <c r="H1247" s="198">
        <f>SUMIF(VA!B:B,A1247,VA!I:I)</f>
        <v>359.46</v>
      </c>
      <c r="I1247" s="32">
        <f>SUMIF(VR!B:B,A1247,VR!I:I)</f>
        <v>657.5</v>
      </c>
      <c r="J1247" s="4">
        <f t="shared" si="19"/>
        <v>1016.96</v>
      </c>
      <c r="K1247" s="179">
        <f>SUMIF(FALTAS!A:A,A1247,FALTAS!D:D)</f>
        <v>0</v>
      </c>
    </row>
    <row r="1248" spans="1:11" x14ac:dyDescent="0.25">
      <c r="A1248" s="235">
        <v>112440</v>
      </c>
      <c r="B1248" s="162" t="s">
        <v>181</v>
      </c>
      <c r="C1248" s="162" t="s">
        <v>182</v>
      </c>
      <c r="D1248" s="162" t="s">
        <v>32</v>
      </c>
      <c r="E1248" s="231">
        <v>43617</v>
      </c>
      <c r="F1248" s="162" t="s">
        <v>1229</v>
      </c>
      <c r="G1248" s="231">
        <v>44821</v>
      </c>
      <c r="H1248" s="198">
        <f>SUMIF(VA!B:B,A1248,VA!I:I)</f>
        <v>359.46</v>
      </c>
      <c r="I1248" s="32">
        <f>SUMIF(VR!B:B,A1248,VR!I:I)</f>
        <v>657.5</v>
      </c>
      <c r="J1248" s="4">
        <f t="shared" si="19"/>
        <v>1016.96</v>
      </c>
      <c r="K1248" s="179">
        <f>SUMIF(FALTAS!A:A,A1248,FALTAS!D:D)</f>
        <v>0</v>
      </c>
    </row>
    <row r="1249" spans="1:11" x14ac:dyDescent="0.25">
      <c r="A1249" s="235">
        <v>116110</v>
      </c>
      <c r="B1249" s="162" t="s">
        <v>1183</v>
      </c>
      <c r="C1249" s="162" t="s">
        <v>15</v>
      </c>
      <c r="D1249" s="162" t="s">
        <v>1578</v>
      </c>
      <c r="E1249" s="231">
        <v>44236</v>
      </c>
      <c r="F1249" s="162" t="s">
        <v>1229</v>
      </c>
      <c r="G1249" s="231">
        <v>45023</v>
      </c>
      <c r="H1249" s="198">
        <f>SUMIF(VA!B:B,A1249,VA!I:I)</f>
        <v>359.46</v>
      </c>
      <c r="I1249" s="32">
        <f>SUMIF(VR!B:B,A1249,VR!I:I)</f>
        <v>657.5</v>
      </c>
      <c r="J1249" s="4">
        <f t="shared" si="19"/>
        <v>1016.96</v>
      </c>
      <c r="K1249" s="179">
        <f>SUMIF(FALTAS!A:A,A1249,FALTAS!D:D)</f>
        <v>0</v>
      </c>
    </row>
    <row r="1250" spans="1:11" x14ac:dyDescent="0.25">
      <c r="A1250" s="235">
        <v>114454</v>
      </c>
      <c r="B1250" s="162" t="s">
        <v>1037</v>
      </c>
      <c r="C1250" s="162" t="s">
        <v>5</v>
      </c>
      <c r="D1250" s="162" t="s">
        <v>0</v>
      </c>
      <c r="E1250" s="231">
        <v>43811</v>
      </c>
      <c r="F1250" s="162" t="s">
        <v>1230</v>
      </c>
      <c r="G1250" s="231">
        <v>45180</v>
      </c>
      <c r="H1250" s="198">
        <f>SUMIF(VA!B:B,A1250,VA!I:I)</f>
        <v>359.46</v>
      </c>
      <c r="I1250" s="32">
        <f>SUMIF(VR!B:B,A1250,VR!I:I)</f>
        <v>657.5</v>
      </c>
      <c r="J1250" s="4">
        <f t="shared" si="19"/>
        <v>1016.96</v>
      </c>
      <c r="K1250" s="179">
        <f>SUMIF(FALTAS!A:A,A1250,FALTAS!D:D)</f>
        <v>0</v>
      </c>
    </row>
    <row r="1251" spans="1:11" x14ac:dyDescent="0.25">
      <c r="A1251" s="235">
        <v>114937</v>
      </c>
      <c r="B1251" s="162" t="s">
        <v>1117</v>
      </c>
      <c r="C1251" s="162" t="s">
        <v>5</v>
      </c>
      <c r="D1251" s="162" t="s">
        <v>1578</v>
      </c>
      <c r="E1251" s="231">
        <v>43916</v>
      </c>
      <c r="F1251" s="162" t="s">
        <v>1229</v>
      </c>
      <c r="G1251" s="231">
        <v>45080</v>
      </c>
      <c r="H1251" s="198">
        <f>SUMIF(VA!B:B,A1251,VA!I:I)</f>
        <v>299.55</v>
      </c>
      <c r="I1251" s="32">
        <f>SUMIF(VR!B:B,A1251,VR!I:I)</f>
        <v>526</v>
      </c>
      <c r="J1251" s="4">
        <f t="shared" si="19"/>
        <v>825.55</v>
      </c>
      <c r="K1251" s="179">
        <f>SUMIF(FALTAS!A:A,A1251,FALTAS!D:D)</f>
        <v>5</v>
      </c>
    </row>
    <row r="1252" spans="1:11" x14ac:dyDescent="0.25">
      <c r="A1252" s="235">
        <v>112414</v>
      </c>
      <c r="B1252" s="162" t="s">
        <v>165</v>
      </c>
      <c r="C1252" s="162" t="s">
        <v>15</v>
      </c>
      <c r="D1252" s="162" t="s">
        <v>1578</v>
      </c>
      <c r="E1252" s="231">
        <v>43617</v>
      </c>
      <c r="F1252" s="162" t="s">
        <v>1229</v>
      </c>
      <c r="G1252" s="231">
        <v>44930</v>
      </c>
      <c r="H1252" s="198">
        <f>SUMIF(VA!B:B,A1252,VA!I:I)</f>
        <v>359.46</v>
      </c>
      <c r="I1252" s="32">
        <f>SUMIF(VR!B:B,A1252,VR!I:I)</f>
        <v>657.5</v>
      </c>
      <c r="J1252" s="4">
        <f t="shared" si="19"/>
        <v>1016.96</v>
      </c>
      <c r="K1252" s="179">
        <f>SUMIF(FALTAS!A:A,A1252,FALTAS!D:D)</f>
        <v>0</v>
      </c>
    </row>
    <row r="1253" spans="1:11" x14ac:dyDescent="0.25">
      <c r="A1253" s="235">
        <v>112403</v>
      </c>
      <c r="B1253" s="162" t="s">
        <v>159</v>
      </c>
      <c r="C1253" s="162" t="s">
        <v>2</v>
      </c>
      <c r="D1253" s="162" t="s">
        <v>0</v>
      </c>
      <c r="E1253" s="231">
        <v>43617</v>
      </c>
      <c r="F1253" s="162" t="s">
        <v>1229</v>
      </c>
      <c r="G1253" s="231">
        <v>44776</v>
      </c>
      <c r="H1253" s="198">
        <f>SUMIF(VA!B:B,A1253,VA!I:I)</f>
        <v>359.46</v>
      </c>
      <c r="I1253" s="32">
        <f>SUMIF(VR!B:B,A1253,VR!I:I)</f>
        <v>657.5</v>
      </c>
      <c r="J1253" s="4">
        <f t="shared" si="19"/>
        <v>1016.96</v>
      </c>
      <c r="K1253" s="179">
        <f>SUMIF(FALTAS!A:A,A1253,FALTAS!D:D)</f>
        <v>0</v>
      </c>
    </row>
    <row r="1254" spans="1:11" x14ac:dyDescent="0.25">
      <c r="A1254" s="235">
        <v>112398</v>
      </c>
      <c r="B1254" s="162" t="s">
        <v>154</v>
      </c>
      <c r="C1254" s="162" t="s">
        <v>2</v>
      </c>
      <c r="D1254" s="162" t="s">
        <v>10</v>
      </c>
      <c r="E1254" s="231">
        <v>43617</v>
      </c>
      <c r="F1254" s="162" t="s">
        <v>1229</v>
      </c>
      <c r="G1254" s="231">
        <v>44835</v>
      </c>
      <c r="H1254" s="198">
        <f>SUMIF(VA!B:B,A1254,VA!I:I)</f>
        <v>359.46</v>
      </c>
      <c r="I1254" s="32">
        <f>SUMIF(VR!B:B,A1254,VR!I:I)</f>
        <v>657.5</v>
      </c>
      <c r="J1254" s="4">
        <f t="shared" si="19"/>
        <v>1016.96</v>
      </c>
      <c r="K1254" s="179">
        <f>SUMIF(FALTAS!A:A,A1254,FALTAS!D:D)</f>
        <v>0</v>
      </c>
    </row>
    <row r="1255" spans="1:11" x14ac:dyDescent="0.25">
      <c r="A1255" s="235">
        <v>120188</v>
      </c>
      <c r="B1255" s="162" t="s">
        <v>1498</v>
      </c>
      <c r="C1255" s="162" t="s">
        <v>5</v>
      </c>
      <c r="D1255" s="162" t="s">
        <v>19</v>
      </c>
      <c r="E1255" s="231">
        <v>44791</v>
      </c>
      <c r="F1255" s="162" t="s">
        <v>1229</v>
      </c>
      <c r="G1255" s="231">
        <v>44791</v>
      </c>
      <c r="H1255" s="198">
        <f>SUMIF(VA!B:B,A1255,VA!I:I)</f>
        <v>359.46</v>
      </c>
      <c r="I1255" s="32">
        <f>SUMIF(VR!B:B,A1255,VR!I:I)</f>
        <v>657.5</v>
      </c>
      <c r="J1255" s="4">
        <f t="shared" si="19"/>
        <v>1016.96</v>
      </c>
      <c r="K1255" s="179">
        <f>SUMIF(FALTAS!A:A,A1255,FALTAS!D:D)</f>
        <v>0</v>
      </c>
    </row>
    <row r="1256" spans="1:11" x14ac:dyDescent="0.25">
      <c r="A1256" s="235">
        <v>112301</v>
      </c>
      <c r="B1256" s="162" t="s">
        <v>98</v>
      </c>
      <c r="C1256" s="162" t="s">
        <v>5</v>
      </c>
      <c r="D1256" s="162" t="s">
        <v>19</v>
      </c>
      <c r="E1256" s="231">
        <v>43617</v>
      </c>
      <c r="F1256" s="162" t="s">
        <v>1229</v>
      </c>
      <c r="G1256" s="231">
        <v>44867</v>
      </c>
      <c r="H1256" s="198">
        <f>SUMIF(VA!B:B,A1256,VA!I:I)</f>
        <v>359.46</v>
      </c>
      <c r="I1256" s="32">
        <f>SUMIF(VR!B:B,A1256,VR!I:I)</f>
        <v>657.5</v>
      </c>
      <c r="J1256" s="4">
        <f t="shared" si="19"/>
        <v>1016.96</v>
      </c>
      <c r="K1256" s="179">
        <f>SUMIF(FALTAS!A:A,A1256,FALTAS!D:D)</f>
        <v>0</v>
      </c>
    </row>
    <row r="1257" spans="1:11" x14ac:dyDescent="0.25">
      <c r="A1257" s="235">
        <v>112172</v>
      </c>
      <c r="B1257" s="162" t="s">
        <v>6</v>
      </c>
      <c r="C1257" s="162" t="s">
        <v>7</v>
      </c>
      <c r="D1257" s="162" t="s">
        <v>10</v>
      </c>
      <c r="E1257" s="231">
        <v>43617</v>
      </c>
      <c r="F1257" s="162" t="s">
        <v>1229</v>
      </c>
      <c r="G1257" s="231">
        <v>45177</v>
      </c>
      <c r="H1257" s="198">
        <f>SUMIF(VA!B:B,A1257,VA!I:I)</f>
        <v>359.46</v>
      </c>
      <c r="I1257" s="32">
        <f>SUMIF(VR!B:B,A1257,VR!I:I)</f>
        <v>657.5</v>
      </c>
      <c r="J1257" s="4">
        <f t="shared" si="19"/>
        <v>1016.96</v>
      </c>
      <c r="K1257" s="179">
        <f>SUMIF(FALTAS!A:A,A1257,FALTAS!D:D)</f>
        <v>0</v>
      </c>
    </row>
    <row r="1258" spans="1:11" x14ac:dyDescent="0.25">
      <c r="A1258" s="235">
        <v>112196</v>
      </c>
      <c r="B1258" s="162" t="s">
        <v>27</v>
      </c>
      <c r="C1258" s="162" t="s">
        <v>5</v>
      </c>
      <c r="D1258" s="162" t="s">
        <v>19</v>
      </c>
      <c r="E1258" s="231">
        <v>43617</v>
      </c>
      <c r="F1258" s="162" t="s">
        <v>1229</v>
      </c>
      <c r="G1258" s="231">
        <v>44867</v>
      </c>
      <c r="H1258" s="198">
        <f>SUMIF(VA!B:B,A1258,VA!I:I)</f>
        <v>359.46</v>
      </c>
      <c r="I1258" s="32">
        <f>SUMIF(VR!B:B,A1258,VR!I:I)</f>
        <v>657.5</v>
      </c>
      <c r="J1258" s="4">
        <f t="shared" si="19"/>
        <v>1016.96</v>
      </c>
      <c r="K1258" s="179">
        <f>SUMIF(FALTAS!A:A,A1258,FALTAS!D:D)</f>
        <v>0</v>
      </c>
    </row>
    <row r="1259" spans="1:11" x14ac:dyDescent="0.25">
      <c r="A1259" s="235">
        <v>112199</v>
      </c>
      <c r="B1259" s="162" t="s">
        <v>29</v>
      </c>
      <c r="C1259" s="162" t="s">
        <v>5</v>
      </c>
      <c r="D1259" s="162" t="s">
        <v>19</v>
      </c>
      <c r="E1259" s="231">
        <v>43617</v>
      </c>
      <c r="F1259" s="162" t="s">
        <v>1229</v>
      </c>
      <c r="G1259" s="231">
        <v>44898</v>
      </c>
      <c r="H1259" s="198">
        <f>SUMIF(VA!B:B,A1259,VA!I:I)</f>
        <v>359.46</v>
      </c>
      <c r="I1259" s="32">
        <f>SUMIF(VR!B:B,A1259,VR!I:I)</f>
        <v>657.5</v>
      </c>
      <c r="J1259" s="4">
        <f t="shared" si="19"/>
        <v>1016.96</v>
      </c>
      <c r="K1259" s="179">
        <f>SUMIF(FALTAS!A:A,A1259,FALTAS!D:D)</f>
        <v>0</v>
      </c>
    </row>
    <row r="1260" spans="1:11" x14ac:dyDescent="0.25">
      <c r="A1260" s="235">
        <v>114256</v>
      </c>
      <c r="B1260" s="162" t="s">
        <v>1020</v>
      </c>
      <c r="C1260" s="162" t="s">
        <v>377</v>
      </c>
      <c r="D1260" s="162" t="s">
        <v>1578</v>
      </c>
      <c r="E1260" s="231">
        <v>43804</v>
      </c>
      <c r="F1260" s="162" t="s">
        <v>1229</v>
      </c>
      <c r="G1260" s="231">
        <v>45177</v>
      </c>
      <c r="H1260" s="198">
        <f>SUMIF(VA!B:B,A1260,VA!I:I)</f>
        <v>359.46</v>
      </c>
      <c r="I1260" s="32">
        <f>SUMIF(VR!B:B,A1260,VR!I:I)</f>
        <v>657.5</v>
      </c>
      <c r="J1260" s="4">
        <f t="shared" si="19"/>
        <v>1016.96</v>
      </c>
      <c r="K1260" s="179">
        <f>SUMIF(FALTAS!A:A,A1260,FALTAS!D:D)</f>
        <v>0</v>
      </c>
    </row>
    <row r="1261" spans="1:11" x14ac:dyDescent="0.25">
      <c r="A1261" s="235">
        <v>112202</v>
      </c>
      <c r="B1261" s="162" t="s">
        <v>31</v>
      </c>
      <c r="C1261" s="162" t="s">
        <v>5</v>
      </c>
      <c r="D1261" s="162" t="s">
        <v>19</v>
      </c>
      <c r="E1261" s="231">
        <v>43617</v>
      </c>
      <c r="F1261" s="162" t="s">
        <v>1229</v>
      </c>
      <c r="G1261" s="231">
        <v>44867</v>
      </c>
      <c r="H1261" s="198">
        <f>SUMIF(VA!B:B,A1261,VA!I:I)</f>
        <v>359.46</v>
      </c>
      <c r="I1261" s="32">
        <f>SUMIF(VR!B:B,A1261,VR!I:I)</f>
        <v>657.5</v>
      </c>
      <c r="J1261" s="4">
        <f t="shared" si="19"/>
        <v>1016.96</v>
      </c>
      <c r="K1261" s="179">
        <f>SUMIF(FALTAS!A:A,A1261,FALTAS!D:D)</f>
        <v>0</v>
      </c>
    </row>
    <row r="1262" spans="1:11" x14ac:dyDescent="0.25">
      <c r="A1262" s="235">
        <v>114958</v>
      </c>
      <c r="B1262" s="162" t="s">
        <v>1127</v>
      </c>
      <c r="C1262" s="162" t="s">
        <v>15</v>
      </c>
      <c r="D1262" s="162" t="s">
        <v>1578</v>
      </c>
      <c r="E1262" s="231">
        <v>43916</v>
      </c>
      <c r="F1262" s="162" t="s">
        <v>1229</v>
      </c>
      <c r="G1262" s="231">
        <v>45056</v>
      </c>
      <c r="H1262" s="198">
        <f>SUMIF(VA!B:B,A1262,VA!I:I)</f>
        <v>359.46</v>
      </c>
      <c r="I1262" s="32">
        <f>SUMIF(VR!B:B,A1262,VR!I:I)</f>
        <v>657.5</v>
      </c>
      <c r="J1262" s="4">
        <f t="shared" si="19"/>
        <v>1016.96</v>
      </c>
      <c r="K1262" s="179">
        <f>SUMIF(FALTAS!A:A,A1262,FALTAS!D:D)</f>
        <v>0</v>
      </c>
    </row>
    <row r="1263" spans="1:11" x14ac:dyDescent="0.25">
      <c r="A1263" s="235">
        <v>112639</v>
      </c>
      <c r="B1263" s="162" t="s">
        <v>210</v>
      </c>
      <c r="C1263" s="162" t="s">
        <v>2</v>
      </c>
      <c r="D1263" s="162" t="s">
        <v>0</v>
      </c>
      <c r="E1263" s="231">
        <v>43617</v>
      </c>
      <c r="F1263" s="162" t="s">
        <v>1229</v>
      </c>
      <c r="G1263" s="231">
        <v>45023</v>
      </c>
      <c r="H1263" s="198">
        <f>SUMIF(VA!B:B,A1263,VA!I:I)</f>
        <v>359.46</v>
      </c>
      <c r="I1263" s="32">
        <f>SUMIF(VR!B:B,A1263,VR!I:I)</f>
        <v>657.5</v>
      </c>
      <c r="J1263" s="4">
        <f t="shared" si="19"/>
        <v>1016.96</v>
      </c>
      <c r="K1263" s="179">
        <f>SUMIF(FALTAS!A:A,A1263,FALTAS!D:D)</f>
        <v>0</v>
      </c>
    </row>
    <row r="1264" spans="1:11" x14ac:dyDescent="0.25">
      <c r="A1264" s="235">
        <v>112257</v>
      </c>
      <c r="B1264" s="162" t="s">
        <v>68</v>
      </c>
      <c r="C1264" s="162" t="s">
        <v>2</v>
      </c>
      <c r="D1264" s="162" t="s">
        <v>19</v>
      </c>
      <c r="E1264" s="231">
        <v>43617</v>
      </c>
      <c r="F1264" s="162" t="s">
        <v>1229</v>
      </c>
      <c r="G1264" s="231">
        <v>44806</v>
      </c>
      <c r="H1264" s="198">
        <f>SUMIF(VA!B:B,A1264,VA!I:I)</f>
        <v>359.46</v>
      </c>
      <c r="I1264" s="32">
        <f>SUMIF(VR!B:B,A1264,VR!I:I)</f>
        <v>657.5</v>
      </c>
      <c r="J1264" s="4">
        <f t="shared" si="19"/>
        <v>1016.96</v>
      </c>
      <c r="K1264" s="179">
        <f>SUMIF(FALTAS!A:A,A1264,FALTAS!D:D)</f>
        <v>0</v>
      </c>
    </row>
    <row r="1265" spans="1:11" x14ac:dyDescent="0.25">
      <c r="A1265" s="235">
        <v>112261</v>
      </c>
      <c r="B1265" s="162" t="s">
        <v>71</v>
      </c>
      <c r="C1265" s="162" t="s">
        <v>2</v>
      </c>
      <c r="D1265" s="162" t="s">
        <v>10</v>
      </c>
      <c r="E1265" s="231">
        <v>43617</v>
      </c>
      <c r="F1265" s="162" t="s">
        <v>1229</v>
      </c>
      <c r="G1265" s="231">
        <v>45023</v>
      </c>
      <c r="H1265" s="198">
        <f>SUMIF(VA!B:B,A1265,VA!I:I)</f>
        <v>359.46</v>
      </c>
      <c r="I1265" s="32">
        <f>SUMIF(VR!B:B,A1265,VR!I:I)</f>
        <v>657.5</v>
      </c>
      <c r="J1265" s="4">
        <f t="shared" si="19"/>
        <v>1016.96</v>
      </c>
      <c r="K1265" s="179">
        <f>SUMIF(FALTAS!A:A,A1265,FALTAS!D:D)</f>
        <v>0</v>
      </c>
    </row>
    <row r="1266" spans="1:11" x14ac:dyDescent="0.25">
      <c r="A1266" s="235">
        <v>112263</v>
      </c>
      <c r="B1266" s="162" t="s">
        <v>73</v>
      </c>
      <c r="C1266" s="162" t="s">
        <v>2</v>
      </c>
      <c r="D1266" s="162" t="s">
        <v>10</v>
      </c>
      <c r="E1266" s="231">
        <v>43617</v>
      </c>
      <c r="F1266" s="162" t="s">
        <v>1229</v>
      </c>
      <c r="G1266" s="231">
        <v>44776</v>
      </c>
      <c r="H1266" s="198">
        <f>SUMIF(VA!B:B,A1266,VA!I:I)</f>
        <v>359.46</v>
      </c>
      <c r="I1266" s="32">
        <f>SUMIF(VR!B:B,A1266,VR!I:I)</f>
        <v>657.5</v>
      </c>
      <c r="J1266" s="4">
        <f t="shared" si="19"/>
        <v>1016.96</v>
      </c>
      <c r="K1266" s="179">
        <f>SUMIF(FALTAS!A:A,A1266,FALTAS!D:D)</f>
        <v>0</v>
      </c>
    </row>
    <row r="1267" spans="1:11" x14ac:dyDescent="0.25">
      <c r="A1267" s="235">
        <v>112381</v>
      </c>
      <c r="B1267" s="162" t="s">
        <v>144</v>
      </c>
      <c r="C1267" s="162" t="s">
        <v>22</v>
      </c>
      <c r="D1267" s="162" t="s">
        <v>1578</v>
      </c>
      <c r="E1267" s="231">
        <v>43617</v>
      </c>
      <c r="F1267" s="162" t="s">
        <v>1229</v>
      </c>
      <c r="G1267" s="231">
        <v>45149</v>
      </c>
      <c r="H1267" s="198">
        <f>SUMIF(VA!B:B,A1267,VA!I:I)</f>
        <v>359.46</v>
      </c>
      <c r="I1267" s="32">
        <f>SUMIF(VR!B:B,A1267,VR!I:I)</f>
        <v>657.5</v>
      </c>
      <c r="J1267" s="4">
        <f t="shared" si="19"/>
        <v>1016.96</v>
      </c>
      <c r="K1267" s="179">
        <f>SUMIF(FALTAS!A:A,A1267,FALTAS!D:D)</f>
        <v>0</v>
      </c>
    </row>
    <row r="1268" spans="1:11" x14ac:dyDescent="0.25">
      <c r="A1268" s="235">
        <v>112383</v>
      </c>
      <c r="B1268" s="162" t="s">
        <v>147</v>
      </c>
      <c r="C1268" s="162" t="s">
        <v>2</v>
      </c>
      <c r="D1268" s="162" t="s">
        <v>8</v>
      </c>
      <c r="E1268" s="231">
        <v>43617</v>
      </c>
      <c r="F1268" s="162" t="s">
        <v>1229</v>
      </c>
      <c r="G1268" s="231">
        <v>44806</v>
      </c>
      <c r="H1268" s="198">
        <f>SUMIF(VA!B:B,A1268,VA!I:I)</f>
        <v>359.46</v>
      </c>
      <c r="I1268" s="32">
        <f>SUMIF(VR!B:B,A1268,VR!I:I)</f>
        <v>657.5</v>
      </c>
      <c r="J1268" s="4">
        <f t="shared" si="19"/>
        <v>1016.96</v>
      </c>
      <c r="K1268" s="179">
        <f>SUMIF(FALTAS!A:A,A1268,FALTAS!D:D)</f>
        <v>0</v>
      </c>
    </row>
    <row r="1269" spans="1:11" x14ac:dyDescent="0.25">
      <c r="A1269" s="235">
        <v>117408</v>
      </c>
      <c r="B1269" s="162" t="s">
        <v>1270</v>
      </c>
      <c r="C1269" s="162" t="s">
        <v>2</v>
      </c>
      <c r="D1269" s="162" t="s">
        <v>8</v>
      </c>
      <c r="E1269" s="231">
        <v>44522</v>
      </c>
      <c r="F1269" s="162" t="s">
        <v>1229</v>
      </c>
      <c r="G1269" s="231">
        <v>45086</v>
      </c>
      <c r="H1269" s="198">
        <f>SUMIF(VA!B:B,A1269,VA!I:I)</f>
        <v>359.46</v>
      </c>
      <c r="I1269" s="32">
        <f>SUMIF(VR!B:B,A1269,VR!I:I)</f>
        <v>657.5</v>
      </c>
      <c r="J1269" s="4">
        <f t="shared" si="19"/>
        <v>1016.96</v>
      </c>
      <c r="K1269" s="179">
        <f>SUMIF(FALTAS!A:A,A1269,FALTAS!D:D)</f>
        <v>0</v>
      </c>
    </row>
    <row r="1270" spans="1:11" x14ac:dyDescent="0.25">
      <c r="A1270" s="235">
        <v>119929</v>
      </c>
      <c r="B1270" s="162" t="s">
        <v>1485</v>
      </c>
      <c r="C1270" s="162" t="s">
        <v>5</v>
      </c>
      <c r="D1270" s="162" t="s">
        <v>0</v>
      </c>
      <c r="E1270" s="231">
        <v>44760</v>
      </c>
      <c r="F1270" s="162" t="s">
        <v>1230</v>
      </c>
      <c r="G1270" s="231">
        <v>45180</v>
      </c>
      <c r="H1270" s="198">
        <f>SUMIF(VA!B:B,A1270,VA!I:I)</f>
        <v>359.46</v>
      </c>
      <c r="I1270" s="32">
        <f>SUMIF(VR!B:B,A1270,VR!I:I)</f>
        <v>657.5</v>
      </c>
      <c r="J1270" s="4">
        <f t="shared" si="19"/>
        <v>1016.96</v>
      </c>
      <c r="K1270" s="179">
        <f>SUMIF(FALTAS!A:A,A1270,FALTAS!D:D)</f>
        <v>0</v>
      </c>
    </row>
    <row r="1271" spans="1:11" x14ac:dyDescent="0.25">
      <c r="A1271" s="235">
        <v>114125</v>
      </c>
      <c r="B1271" s="162" t="s">
        <v>1012</v>
      </c>
      <c r="C1271" s="162" t="s">
        <v>2</v>
      </c>
      <c r="D1271" s="162" t="s">
        <v>0</v>
      </c>
      <c r="E1271" s="231">
        <v>43739</v>
      </c>
      <c r="F1271" s="162" t="s">
        <v>1229</v>
      </c>
      <c r="G1271" s="231">
        <v>45086</v>
      </c>
      <c r="H1271" s="198">
        <f>SUMIF(VA!B:B,A1271,VA!I:I)</f>
        <v>359.46</v>
      </c>
      <c r="I1271" s="32">
        <f>SUMIF(VR!B:B,A1271,VR!I:I)</f>
        <v>657.5</v>
      </c>
      <c r="J1271" s="4">
        <f t="shared" si="19"/>
        <v>1016.96</v>
      </c>
      <c r="K1271" s="179">
        <f>SUMIF(FALTAS!A:A,A1271,FALTAS!D:D)</f>
        <v>0</v>
      </c>
    </row>
    <row r="1272" spans="1:11" x14ac:dyDescent="0.25">
      <c r="A1272" s="235">
        <v>112666</v>
      </c>
      <c r="B1272" s="162" t="s">
        <v>327</v>
      </c>
      <c r="C1272" s="162" t="s">
        <v>15</v>
      </c>
      <c r="D1272" s="162" t="s">
        <v>1578</v>
      </c>
      <c r="E1272" s="231">
        <v>43617</v>
      </c>
      <c r="F1272" s="162" t="s">
        <v>1230</v>
      </c>
      <c r="G1272" s="231">
        <v>45180</v>
      </c>
      <c r="H1272" s="198">
        <f>SUMIF(VA!B:B,A1272,VA!I:I)</f>
        <v>359.46</v>
      </c>
      <c r="I1272" s="32">
        <f>SUMIF(VR!B:B,A1272,VR!I:I)</f>
        <v>657.5</v>
      </c>
      <c r="J1272" s="4">
        <f t="shared" si="19"/>
        <v>1016.96</v>
      </c>
      <c r="K1272" s="179">
        <f>SUMIF(FALTAS!A:A,A1272,FALTAS!D:D)</f>
        <v>0</v>
      </c>
    </row>
    <row r="1273" spans="1:11" x14ac:dyDescent="0.25">
      <c r="A1273" s="235">
        <v>112990</v>
      </c>
      <c r="B1273" s="162" t="s">
        <v>533</v>
      </c>
      <c r="C1273" s="162" t="s">
        <v>15</v>
      </c>
      <c r="D1273" s="162" t="s">
        <v>1578</v>
      </c>
      <c r="E1273" s="231">
        <v>43617</v>
      </c>
      <c r="F1273" s="162" t="s">
        <v>1229</v>
      </c>
      <c r="G1273" s="231">
        <v>45170</v>
      </c>
      <c r="H1273" s="198">
        <f>SUMIF(VA!B:B,A1273,VA!I:I)</f>
        <v>359.46</v>
      </c>
      <c r="I1273" s="32">
        <f>SUMIF(VR!B:B,A1273,VR!I:I)</f>
        <v>657.5</v>
      </c>
      <c r="J1273" s="4">
        <f t="shared" si="19"/>
        <v>1016.96</v>
      </c>
      <c r="K1273" s="179">
        <f>SUMIF(FALTAS!A:A,A1273,FALTAS!D:D)</f>
        <v>0</v>
      </c>
    </row>
    <row r="1274" spans="1:11" x14ac:dyDescent="0.25">
      <c r="A1274" s="235">
        <v>114955</v>
      </c>
      <c r="B1274" s="162" t="s">
        <v>1126</v>
      </c>
      <c r="C1274" s="162" t="s">
        <v>15</v>
      </c>
      <c r="D1274" s="162" t="s">
        <v>1578</v>
      </c>
      <c r="E1274" s="231">
        <v>43916</v>
      </c>
      <c r="F1274" s="162" t="s">
        <v>1229</v>
      </c>
      <c r="G1274" s="231">
        <v>45056</v>
      </c>
      <c r="H1274" s="198">
        <f>SUMIF(VA!B:B,A1274,VA!I:I)</f>
        <v>359.46</v>
      </c>
      <c r="I1274" s="32">
        <f>SUMIF(VR!B:B,A1274,VR!I:I)</f>
        <v>657.5</v>
      </c>
      <c r="J1274" s="4">
        <f t="shared" si="19"/>
        <v>1016.96</v>
      </c>
      <c r="K1274" s="179">
        <f>SUMIF(FALTAS!A:A,A1274,FALTAS!D:D)</f>
        <v>0</v>
      </c>
    </row>
    <row r="1275" spans="1:11" x14ac:dyDescent="0.25">
      <c r="A1275" s="235">
        <v>114746</v>
      </c>
      <c r="B1275" s="162" t="s">
        <v>1087</v>
      </c>
      <c r="C1275" s="162" t="s">
        <v>2</v>
      </c>
      <c r="D1275" s="162" t="s">
        <v>8</v>
      </c>
      <c r="E1275" s="231">
        <v>43874</v>
      </c>
      <c r="F1275" s="162" t="s">
        <v>1229</v>
      </c>
      <c r="G1275" s="231">
        <v>45086</v>
      </c>
      <c r="H1275" s="198">
        <f>SUMIF(VA!B:B,A1275,VA!I:I)</f>
        <v>359.46</v>
      </c>
      <c r="I1275" s="32">
        <f>SUMIF(VR!B:B,A1275,VR!I:I)</f>
        <v>657.5</v>
      </c>
      <c r="J1275" s="4">
        <f t="shared" si="19"/>
        <v>1016.96</v>
      </c>
      <c r="K1275" s="179">
        <f>SUMIF(FALTAS!A:A,A1275,FALTAS!D:D)</f>
        <v>0</v>
      </c>
    </row>
    <row r="1276" spans="1:11" x14ac:dyDescent="0.25">
      <c r="A1276" s="235">
        <v>112674</v>
      </c>
      <c r="B1276" s="162" t="s">
        <v>331</v>
      </c>
      <c r="C1276" s="162" t="s">
        <v>2</v>
      </c>
      <c r="D1276" s="162" t="s">
        <v>0</v>
      </c>
      <c r="E1276" s="231">
        <v>43617</v>
      </c>
      <c r="F1276" s="162" t="s">
        <v>1229</v>
      </c>
      <c r="G1276" s="231">
        <v>44806</v>
      </c>
      <c r="H1276" s="198">
        <f>SUMIF(VA!B:B,A1276,VA!I:I)</f>
        <v>359.46</v>
      </c>
      <c r="I1276" s="32">
        <f>SUMIF(VR!B:B,A1276,VR!I:I)</f>
        <v>657.5</v>
      </c>
      <c r="J1276" s="4">
        <f t="shared" si="19"/>
        <v>1016.96</v>
      </c>
      <c r="K1276" s="179">
        <f>SUMIF(FALTAS!A:A,A1276,FALTAS!D:D)</f>
        <v>0</v>
      </c>
    </row>
    <row r="1277" spans="1:11" x14ac:dyDescent="0.25">
      <c r="A1277" s="235">
        <v>121327</v>
      </c>
      <c r="B1277" s="162" t="s">
        <v>1537</v>
      </c>
      <c r="C1277" s="162" t="s">
        <v>5</v>
      </c>
      <c r="D1277" s="162" t="s">
        <v>19</v>
      </c>
      <c r="E1277" s="231">
        <v>44945</v>
      </c>
      <c r="F1277" s="162" t="s">
        <v>1229</v>
      </c>
      <c r="G1277" s="231">
        <v>44945</v>
      </c>
      <c r="H1277" s="198">
        <f>SUMIF(VA!B:B,A1277,VA!I:I)</f>
        <v>359.46</v>
      </c>
      <c r="I1277" s="32">
        <f>SUMIF(VR!B:B,A1277,VR!I:I)</f>
        <v>657.5</v>
      </c>
      <c r="J1277" s="4">
        <f t="shared" si="19"/>
        <v>1016.96</v>
      </c>
      <c r="K1277" s="179">
        <f>SUMIF(FALTAS!A:A,A1277,FALTAS!D:D)</f>
        <v>0</v>
      </c>
    </row>
    <row r="1278" spans="1:11" x14ac:dyDescent="0.25">
      <c r="A1278" s="235">
        <v>112274</v>
      </c>
      <c r="B1278" s="162" t="s">
        <v>80</v>
      </c>
      <c r="C1278" s="162" t="s">
        <v>22</v>
      </c>
      <c r="D1278" s="162" t="s">
        <v>1578</v>
      </c>
      <c r="E1278" s="231">
        <v>43617</v>
      </c>
      <c r="F1278" s="162" t="s">
        <v>1229</v>
      </c>
      <c r="G1278" s="231">
        <v>45177</v>
      </c>
      <c r="H1278" s="198">
        <f>SUMIF(VA!B:B,A1278,VA!I:I)</f>
        <v>359.46</v>
      </c>
      <c r="I1278" s="32">
        <f>SUMIF(VR!B:B,A1278,VR!I:I)</f>
        <v>657.5</v>
      </c>
      <c r="J1278" s="4">
        <f t="shared" si="19"/>
        <v>1016.96</v>
      </c>
      <c r="K1278" s="179">
        <f>SUMIF(FALTAS!A:A,A1278,FALTAS!D:D)</f>
        <v>0</v>
      </c>
    </row>
    <row r="1279" spans="1:11" x14ac:dyDescent="0.25">
      <c r="A1279" s="235">
        <v>116009</v>
      </c>
      <c r="B1279" s="162" t="s">
        <v>81</v>
      </c>
      <c r="C1279" s="162" t="s">
        <v>2</v>
      </c>
      <c r="D1279" s="162" t="s">
        <v>8</v>
      </c>
      <c r="E1279" s="231">
        <v>44207</v>
      </c>
      <c r="F1279" s="162" t="s">
        <v>1229</v>
      </c>
      <c r="G1279" s="231">
        <v>45086</v>
      </c>
      <c r="H1279" s="198">
        <f>SUMIF(VA!B:B,A1279,VA!I:I)</f>
        <v>359.46</v>
      </c>
      <c r="I1279" s="32">
        <f>SUMIF(VR!B:B,A1279,VR!I:I)</f>
        <v>657.5</v>
      </c>
      <c r="J1279" s="4">
        <f t="shared" si="19"/>
        <v>1016.96</v>
      </c>
      <c r="K1279" s="179">
        <f>SUMIF(FALTAS!A:A,A1279,FALTAS!D:D)</f>
        <v>0</v>
      </c>
    </row>
    <row r="1280" spans="1:11" x14ac:dyDescent="0.25">
      <c r="A1280" s="235">
        <v>112278</v>
      </c>
      <c r="B1280" s="162" t="s">
        <v>83</v>
      </c>
      <c r="C1280" s="162" t="s">
        <v>2</v>
      </c>
      <c r="D1280" s="162" t="s">
        <v>10</v>
      </c>
      <c r="E1280" s="231">
        <v>43617</v>
      </c>
      <c r="F1280" s="162" t="s">
        <v>1229</v>
      </c>
      <c r="G1280" s="231">
        <v>44776</v>
      </c>
      <c r="H1280" s="198">
        <f>SUMIF(VA!B:B,A1280,VA!I:I)</f>
        <v>359.46</v>
      </c>
      <c r="I1280" s="32">
        <f>SUMIF(VR!B:B,A1280,VR!I:I)</f>
        <v>657.5</v>
      </c>
      <c r="J1280" s="4">
        <f t="shared" si="19"/>
        <v>1016.96</v>
      </c>
      <c r="K1280" s="179">
        <f>SUMIF(FALTAS!A:A,A1280,FALTAS!D:D)</f>
        <v>0</v>
      </c>
    </row>
    <row r="1281" spans="1:11" x14ac:dyDescent="0.25">
      <c r="A1281" s="235">
        <v>112992</v>
      </c>
      <c r="B1281" s="162" t="s">
        <v>535</v>
      </c>
      <c r="C1281" s="162" t="s">
        <v>15</v>
      </c>
      <c r="D1281" s="162" t="s">
        <v>1578</v>
      </c>
      <c r="E1281" s="231">
        <v>43617</v>
      </c>
      <c r="F1281" s="162" t="s">
        <v>1229</v>
      </c>
      <c r="G1281" s="231">
        <v>44993</v>
      </c>
      <c r="H1281" s="198">
        <f>SUMIF(VA!B:B,A1281,VA!I:I)</f>
        <v>359.46</v>
      </c>
      <c r="I1281" s="32">
        <f>SUMIF(VR!B:B,A1281,VR!I:I)</f>
        <v>657.5</v>
      </c>
      <c r="J1281" s="4">
        <f t="shared" ref="J1281:J1344" si="20">H1281+I1281</f>
        <v>1016.96</v>
      </c>
      <c r="K1281" s="179">
        <f>SUMIF(FALTAS!A:A,A1281,FALTAS!D:D)</f>
        <v>0</v>
      </c>
    </row>
    <row r="1282" spans="1:11" x14ac:dyDescent="0.25">
      <c r="A1282" s="235">
        <v>112686</v>
      </c>
      <c r="B1282" s="162" t="s">
        <v>341</v>
      </c>
      <c r="C1282" s="162" t="s">
        <v>22</v>
      </c>
      <c r="D1282" s="162" t="s">
        <v>1578</v>
      </c>
      <c r="E1282" s="231">
        <v>43617</v>
      </c>
      <c r="F1282" s="162" t="s">
        <v>1229</v>
      </c>
      <c r="G1282" s="231">
        <v>44993</v>
      </c>
      <c r="H1282" s="198">
        <f>SUMIF(VA!B:B,A1282,VA!I:I)</f>
        <v>359.46</v>
      </c>
      <c r="I1282" s="32">
        <f>SUMIF(VR!B:B,A1282,VR!I:I)</f>
        <v>657.5</v>
      </c>
      <c r="J1282" s="4">
        <f t="shared" si="20"/>
        <v>1016.96</v>
      </c>
      <c r="K1282" s="179">
        <f>SUMIF(FALTAS!A:A,A1282,FALTAS!D:D)</f>
        <v>0</v>
      </c>
    </row>
    <row r="1283" spans="1:11" x14ac:dyDescent="0.25">
      <c r="A1283" s="235">
        <v>114938</v>
      </c>
      <c r="B1283" s="162" t="s">
        <v>1118</v>
      </c>
      <c r="C1283" s="162" t="s">
        <v>5</v>
      </c>
      <c r="D1283" s="162" t="s">
        <v>8</v>
      </c>
      <c r="E1283" s="231">
        <v>43916</v>
      </c>
      <c r="F1283" s="162" t="s">
        <v>1229</v>
      </c>
      <c r="G1283" s="231">
        <v>44776</v>
      </c>
      <c r="H1283" s="198">
        <f>SUMIF(VA!B:B,A1283,VA!I:I)</f>
        <v>359.46</v>
      </c>
      <c r="I1283" s="32">
        <f>SUMIF(VR!B:B,A1283,VR!I:I)</f>
        <v>657.5</v>
      </c>
      <c r="J1283" s="4">
        <f t="shared" si="20"/>
        <v>1016.96</v>
      </c>
      <c r="K1283" s="179">
        <f>SUMIF(FALTAS!A:A,A1283,FALTAS!D:D)</f>
        <v>0</v>
      </c>
    </row>
    <row r="1284" spans="1:11" x14ac:dyDescent="0.25">
      <c r="A1284" s="235">
        <v>112428</v>
      </c>
      <c r="B1284" s="162" t="s">
        <v>172</v>
      </c>
      <c r="C1284" s="162" t="s">
        <v>2</v>
      </c>
      <c r="D1284" s="162" t="s">
        <v>8</v>
      </c>
      <c r="E1284" s="231">
        <v>43617</v>
      </c>
      <c r="F1284" s="162" t="s">
        <v>1229</v>
      </c>
      <c r="G1284" s="231">
        <v>45149</v>
      </c>
      <c r="H1284" s="198">
        <f>SUMIF(VA!B:B,A1284,VA!I:I)</f>
        <v>359.46</v>
      </c>
      <c r="I1284" s="32">
        <f>SUMIF(VR!B:B,A1284,VR!I:I)</f>
        <v>657.5</v>
      </c>
      <c r="J1284" s="4">
        <f t="shared" si="20"/>
        <v>1016.96</v>
      </c>
      <c r="K1284" s="179">
        <f>SUMIF(FALTAS!A:A,A1284,FALTAS!D:D)</f>
        <v>0</v>
      </c>
    </row>
    <row r="1285" spans="1:11" x14ac:dyDescent="0.25">
      <c r="A1285" s="235">
        <v>112432</v>
      </c>
      <c r="B1285" s="162" t="s">
        <v>175</v>
      </c>
      <c r="C1285" s="162" t="s">
        <v>5</v>
      </c>
      <c r="D1285" s="162" t="s">
        <v>8</v>
      </c>
      <c r="E1285" s="231">
        <v>43617</v>
      </c>
      <c r="F1285" s="162" t="s">
        <v>1229</v>
      </c>
      <c r="G1285" s="231">
        <v>45023</v>
      </c>
      <c r="H1285" s="198">
        <f>SUMIF(VA!B:B,A1285,VA!I:I)</f>
        <v>347.47</v>
      </c>
      <c r="I1285" s="32">
        <f>SUMIF(VR!B:B,A1285,VR!I:I)</f>
        <v>631.20000000000005</v>
      </c>
      <c r="J1285" s="4">
        <f t="shared" si="20"/>
        <v>978.67000000000007</v>
      </c>
      <c r="K1285" s="179">
        <f>SUMIF(FALTAS!A:A,A1285,FALTAS!D:D)</f>
        <v>1</v>
      </c>
    </row>
    <row r="1286" spans="1:11" x14ac:dyDescent="0.25">
      <c r="A1286" s="235">
        <v>112282</v>
      </c>
      <c r="B1286" s="162" t="s">
        <v>88</v>
      </c>
      <c r="C1286" s="162" t="s">
        <v>2</v>
      </c>
      <c r="D1286" s="162" t="s">
        <v>10</v>
      </c>
      <c r="E1286" s="231">
        <v>43617</v>
      </c>
      <c r="F1286" s="162" t="s">
        <v>1229</v>
      </c>
      <c r="G1286" s="231">
        <v>44806</v>
      </c>
      <c r="H1286" s="198">
        <f>SUMIF(VA!B:B,A1286,VA!I:I)</f>
        <v>359.46</v>
      </c>
      <c r="I1286" s="32">
        <f>SUMIF(VR!B:B,A1286,VR!I:I)</f>
        <v>657.5</v>
      </c>
      <c r="J1286" s="4">
        <f t="shared" si="20"/>
        <v>1016.96</v>
      </c>
      <c r="K1286" s="179">
        <f>SUMIF(FALTAS!A:A,A1286,FALTAS!D:D)</f>
        <v>0</v>
      </c>
    </row>
    <row r="1287" spans="1:11" x14ac:dyDescent="0.25">
      <c r="A1287" s="235">
        <v>116237</v>
      </c>
      <c r="B1287" s="162" t="s">
        <v>1197</v>
      </c>
      <c r="C1287" s="162" t="s">
        <v>2</v>
      </c>
      <c r="D1287" s="162" t="s">
        <v>8</v>
      </c>
      <c r="E1287" s="231">
        <v>44273</v>
      </c>
      <c r="F1287" s="162" t="s">
        <v>1229</v>
      </c>
      <c r="G1287" s="231">
        <v>44744</v>
      </c>
      <c r="H1287" s="198">
        <f>SUMIF(VA!B:B,A1287,VA!I:I)</f>
        <v>359.46</v>
      </c>
      <c r="I1287" s="32">
        <f>SUMIF(VR!B:B,A1287,VR!I:I)</f>
        <v>657.5</v>
      </c>
      <c r="J1287" s="4">
        <f t="shared" si="20"/>
        <v>1016.96</v>
      </c>
      <c r="K1287" s="179">
        <f>SUMIF(FALTAS!A:A,A1287,FALTAS!D:D)</f>
        <v>0</v>
      </c>
    </row>
    <row r="1288" spans="1:11" x14ac:dyDescent="0.25">
      <c r="A1288" s="235">
        <v>121946</v>
      </c>
      <c r="B1288" s="162" t="s">
        <v>1615</v>
      </c>
      <c r="C1288" s="162" t="s">
        <v>1456</v>
      </c>
      <c r="D1288" s="162" t="s">
        <v>1580</v>
      </c>
      <c r="E1288" s="231">
        <v>45040</v>
      </c>
      <c r="F1288" s="162" t="s">
        <v>1229</v>
      </c>
      <c r="G1288" s="231">
        <v>45040</v>
      </c>
      <c r="H1288" s="198">
        <f>SUMIF(VA!B:B,A1288,VA!I:I)</f>
        <v>0</v>
      </c>
      <c r="I1288" s="32">
        <f>SUMIF(VR!B:B,A1288,VR!I:I)</f>
        <v>657.5</v>
      </c>
      <c r="J1288" s="4">
        <f t="shared" si="20"/>
        <v>657.5</v>
      </c>
      <c r="K1288" s="179">
        <f>SUMIF(FALTAS!A:A,A1288,FALTAS!D:D)</f>
        <v>0</v>
      </c>
    </row>
    <row r="1289" spans="1:11" x14ac:dyDescent="0.25">
      <c r="A1289" s="235">
        <v>119241</v>
      </c>
      <c r="B1289" s="162" t="s">
        <v>1450</v>
      </c>
      <c r="C1289" s="162" t="s">
        <v>1449</v>
      </c>
      <c r="D1289" s="162" t="s">
        <v>1580</v>
      </c>
      <c r="E1289" s="231">
        <v>44658</v>
      </c>
      <c r="F1289" s="162" t="s">
        <v>1229</v>
      </c>
      <c r="G1289" s="231">
        <v>44658</v>
      </c>
      <c r="H1289" s="198">
        <f>SUMIF(VA!B:B,A1289,VA!I:I)</f>
        <v>359.46</v>
      </c>
      <c r="I1289" s="32">
        <f>SUMIF(VR!B:B,A1289,VR!I:I)</f>
        <v>657.5</v>
      </c>
      <c r="J1289" s="4">
        <f t="shared" si="20"/>
        <v>1016.96</v>
      </c>
      <c r="K1289" s="179">
        <f>SUMIF(FALTAS!A:A,A1289,FALTAS!D:D)</f>
        <v>0</v>
      </c>
    </row>
    <row r="1290" spans="1:11" x14ac:dyDescent="0.25">
      <c r="A1290" s="235">
        <v>122030</v>
      </c>
      <c r="B1290" s="162" t="s">
        <v>1575</v>
      </c>
      <c r="C1290" s="162" t="s">
        <v>963</v>
      </c>
      <c r="D1290" s="162" t="s">
        <v>1578</v>
      </c>
      <c r="E1290" s="231">
        <v>45054</v>
      </c>
      <c r="F1290" s="162" t="s">
        <v>1229</v>
      </c>
      <c r="G1290" s="231">
        <v>45054</v>
      </c>
      <c r="H1290" s="198">
        <f>SUMIF(VA!B:B,A1290,VA!I:I)</f>
        <v>359.46</v>
      </c>
      <c r="I1290" s="32">
        <f>SUMIF(VR!B:B,A1290,VR!I:I)</f>
        <v>657.5</v>
      </c>
      <c r="J1290" s="4">
        <f t="shared" si="20"/>
        <v>1016.96</v>
      </c>
      <c r="K1290" s="179">
        <f>SUMIF(FALTAS!A:A,A1290,FALTAS!D:D)</f>
        <v>0</v>
      </c>
    </row>
    <row r="1291" spans="1:11" x14ac:dyDescent="0.25">
      <c r="A1291" s="235">
        <v>121815</v>
      </c>
      <c r="B1291" s="162" t="s">
        <v>1597</v>
      </c>
      <c r="C1291" s="162" t="s">
        <v>1456</v>
      </c>
      <c r="D1291" s="162" t="s">
        <v>1580</v>
      </c>
      <c r="E1291" s="231">
        <v>45019</v>
      </c>
      <c r="F1291" s="162" t="s">
        <v>1229</v>
      </c>
      <c r="G1291" s="231">
        <v>45019</v>
      </c>
      <c r="H1291" s="198">
        <f>SUMIF(VA!B:B,A1291,VA!I:I)</f>
        <v>0</v>
      </c>
      <c r="I1291" s="32">
        <f>SUMIF(VR!B:B,A1291,VR!I:I)</f>
        <v>657.5</v>
      </c>
      <c r="J1291" s="4">
        <f t="shared" si="20"/>
        <v>657.5</v>
      </c>
      <c r="K1291" s="179">
        <f>SUMIF(FALTAS!A:A,A1291,FALTAS!D:D)</f>
        <v>0</v>
      </c>
    </row>
    <row r="1292" spans="1:11" x14ac:dyDescent="0.25">
      <c r="A1292" s="235">
        <v>112217</v>
      </c>
      <c r="B1292" s="162" t="s">
        <v>40</v>
      </c>
      <c r="C1292" s="162" t="s">
        <v>2</v>
      </c>
      <c r="D1292" s="162" t="s">
        <v>19</v>
      </c>
      <c r="E1292" s="231">
        <v>43617</v>
      </c>
      <c r="F1292" s="162" t="s">
        <v>1229</v>
      </c>
      <c r="G1292" s="231">
        <v>44776</v>
      </c>
      <c r="H1292" s="198">
        <f>SUMIF(VA!B:B,A1292,VA!I:I)</f>
        <v>359.46</v>
      </c>
      <c r="I1292" s="32">
        <f>SUMIF(VR!B:B,A1292,VR!I:I)</f>
        <v>657.5</v>
      </c>
      <c r="J1292" s="4">
        <f t="shared" si="20"/>
        <v>1016.96</v>
      </c>
      <c r="K1292" s="179">
        <f>SUMIF(FALTAS!A:A,A1292,FALTAS!D:D)</f>
        <v>0</v>
      </c>
    </row>
    <row r="1293" spans="1:11" x14ac:dyDescent="0.25">
      <c r="A1293" s="235">
        <v>112434</v>
      </c>
      <c r="B1293" s="162" t="s">
        <v>177</v>
      </c>
      <c r="C1293" s="162" t="s">
        <v>2</v>
      </c>
      <c r="D1293" s="162" t="s">
        <v>8</v>
      </c>
      <c r="E1293" s="231">
        <v>43617</v>
      </c>
      <c r="F1293" s="162" t="s">
        <v>1229</v>
      </c>
      <c r="G1293" s="231">
        <v>45056</v>
      </c>
      <c r="H1293" s="198">
        <f>SUMIF(VA!B:B,A1293,VA!I:I)</f>
        <v>359.46</v>
      </c>
      <c r="I1293" s="32">
        <f>SUMIF(VR!B:B,A1293,VR!I:I)</f>
        <v>657.5</v>
      </c>
      <c r="J1293" s="4">
        <f t="shared" si="20"/>
        <v>1016.96</v>
      </c>
      <c r="K1293" s="179">
        <f>SUMIF(FALTAS!A:A,A1293,FALTAS!D:D)</f>
        <v>0</v>
      </c>
    </row>
    <row r="1294" spans="1:11" x14ac:dyDescent="0.25">
      <c r="A1294" s="235">
        <v>112698</v>
      </c>
      <c r="B1294" s="162" t="s">
        <v>348</v>
      </c>
      <c r="C1294" s="162" t="s">
        <v>2</v>
      </c>
      <c r="D1294" s="162" t="s">
        <v>0</v>
      </c>
      <c r="E1294" s="231">
        <v>43617</v>
      </c>
      <c r="F1294" s="162" t="s">
        <v>1229</v>
      </c>
      <c r="G1294" s="231">
        <v>44989</v>
      </c>
      <c r="H1294" s="198">
        <f>SUMIF(VA!B:B,A1294,VA!I:I)</f>
        <v>359.46</v>
      </c>
      <c r="I1294" s="32">
        <f>SUMIF(VR!B:B,A1294,VR!I:I)</f>
        <v>657.5</v>
      </c>
      <c r="J1294" s="4">
        <f t="shared" si="20"/>
        <v>1016.96</v>
      </c>
      <c r="K1294" s="179">
        <f>SUMIF(FALTAS!A:A,A1294,FALTAS!D:D)</f>
        <v>0</v>
      </c>
    </row>
    <row r="1295" spans="1:11" x14ac:dyDescent="0.25">
      <c r="A1295" s="235">
        <v>112444</v>
      </c>
      <c r="B1295" s="162" t="s">
        <v>185</v>
      </c>
      <c r="C1295" s="162" t="s">
        <v>5</v>
      </c>
      <c r="D1295" s="162" t="s">
        <v>8</v>
      </c>
      <c r="E1295" s="231">
        <v>43617</v>
      </c>
      <c r="F1295" s="162" t="s">
        <v>1229</v>
      </c>
      <c r="G1295" s="231">
        <v>45056</v>
      </c>
      <c r="H1295" s="198">
        <f>SUMIF(VA!B:B,A1295,VA!I:I)</f>
        <v>359.46</v>
      </c>
      <c r="I1295" s="32">
        <f>SUMIF(VR!B:B,A1295,VR!I:I)</f>
        <v>657.5</v>
      </c>
      <c r="J1295" s="4">
        <f t="shared" si="20"/>
        <v>1016.96</v>
      </c>
      <c r="K1295" s="179">
        <f>SUMIF(FALTAS!A:A,A1295,FALTAS!D:D)</f>
        <v>0</v>
      </c>
    </row>
    <row r="1296" spans="1:11" x14ac:dyDescent="0.25">
      <c r="A1296" s="235">
        <v>112220</v>
      </c>
      <c r="B1296" s="162" t="s">
        <v>41</v>
      </c>
      <c r="C1296" s="162" t="s">
        <v>2</v>
      </c>
      <c r="D1296" s="162" t="s">
        <v>19</v>
      </c>
      <c r="E1296" s="231">
        <v>43617</v>
      </c>
      <c r="F1296" s="162" t="s">
        <v>1229</v>
      </c>
      <c r="G1296" s="231">
        <v>44776</v>
      </c>
      <c r="H1296" s="198">
        <f>SUMIF(VA!B:B,A1296,VA!I:I)</f>
        <v>359.46</v>
      </c>
      <c r="I1296" s="32">
        <f>SUMIF(VR!B:B,A1296,VR!I:I)</f>
        <v>657.5</v>
      </c>
      <c r="J1296" s="4">
        <f t="shared" si="20"/>
        <v>1016.96</v>
      </c>
      <c r="K1296" s="179">
        <f>SUMIF(FALTAS!A:A,A1296,FALTAS!D:D)</f>
        <v>0</v>
      </c>
    </row>
    <row r="1297" spans="1:11" x14ac:dyDescent="0.25">
      <c r="A1297" s="235">
        <v>112704</v>
      </c>
      <c r="B1297" s="162" t="s">
        <v>353</v>
      </c>
      <c r="C1297" s="162" t="s">
        <v>22</v>
      </c>
      <c r="D1297" s="162" t="s">
        <v>1578</v>
      </c>
      <c r="E1297" s="231">
        <v>43617</v>
      </c>
      <c r="F1297" s="162" t="s">
        <v>1229</v>
      </c>
      <c r="G1297" s="231">
        <v>45056</v>
      </c>
      <c r="H1297" s="198">
        <f>SUMIF(VA!B:B,A1297,VA!I:I)</f>
        <v>359.46</v>
      </c>
      <c r="I1297" s="32">
        <f>SUMIF(VR!B:B,A1297,VR!I:I)</f>
        <v>657.5</v>
      </c>
      <c r="J1297" s="4">
        <f t="shared" si="20"/>
        <v>1016.96</v>
      </c>
      <c r="K1297" s="179">
        <f>SUMIF(FALTAS!A:A,A1297,FALTAS!D:D)</f>
        <v>0</v>
      </c>
    </row>
    <row r="1298" spans="1:11" x14ac:dyDescent="0.25">
      <c r="A1298" s="235">
        <v>113732</v>
      </c>
      <c r="B1298" s="162" t="s">
        <v>945</v>
      </c>
      <c r="C1298" s="162" t="s">
        <v>182</v>
      </c>
      <c r="D1298" s="162" t="s">
        <v>0</v>
      </c>
      <c r="E1298" s="231">
        <v>43617</v>
      </c>
      <c r="F1298" s="162" t="s">
        <v>1229</v>
      </c>
      <c r="G1298" s="231">
        <v>45023</v>
      </c>
      <c r="H1298" s="198">
        <f>SUMIF(VA!B:B,A1298,VA!I:I)</f>
        <v>359.46</v>
      </c>
      <c r="I1298" s="32">
        <f>SUMIF(VR!B:B,A1298,VR!I:I)</f>
        <v>657.5</v>
      </c>
      <c r="J1298" s="4">
        <f t="shared" si="20"/>
        <v>1016.96</v>
      </c>
      <c r="K1298" s="179">
        <f>SUMIF(FALTAS!A:A,A1298,FALTAS!D:D)</f>
        <v>0</v>
      </c>
    </row>
    <row r="1299" spans="1:11" x14ac:dyDescent="0.25">
      <c r="A1299" s="235">
        <v>112454</v>
      </c>
      <c r="B1299" s="162" t="s">
        <v>192</v>
      </c>
      <c r="C1299" s="162" t="s">
        <v>5</v>
      </c>
      <c r="D1299" s="162" t="s">
        <v>10</v>
      </c>
      <c r="E1299" s="231">
        <v>43617</v>
      </c>
      <c r="F1299" s="162" t="s">
        <v>1229</v>
      </c>
      <c r="G1299" s="231">
        <v>45023</v>
      </c>
      <c r="H1299" s="198">
        <f>SUMIF(VA!B:B,A1299,VA!I:I)</f>
        <v>0</v>
      </c>
      <c r="I1299" s="32">
        <f>SUMIF(VR!B:B,A1299,VR!I:I)</f>
        <v>0</v>
      </c>
      <c r="J1299" s="4">
        <f t="shared" si="20"/>
        <v>0</v>
      </c>
      <c r="K1299" s="179">
        <f>SUMIF(FALTAS!A:A,A1299,FALTAS!D:D)</f>
        <v>26</v>
      </c>
    </row>
    <row r="1300" spans="1:11" x14ac:dyDescent="0.25">
      <c r="A1300" s="235">
        <v>112457</v>
      </c>
      <c r="B1300" s="162" t="s">
        <v>193</v>
      </c>
      <c r="C1300" s="162" t="s">
        <v>2</v>
      </c>
      <c r="D1300" s="162" t="s">
        <v>8</v>
      </c>
      <c r="E1300" s="231">
        <v>43617</v>
      </c>
      <c r="F1300" s="162" t="s">
        <v>1229</v>
      </c>
      <c r="G1300" s="231">
        <v>44806</v>
      </c>
      <c r="H1300" s="198">
        <f>SUMIF(VA!B:B,A1300,VA!I:I)</f>
        <v>359.46</v>
      </c>
      <c r="I1300" s="32">
        <f>SUMIF(VR!B:B,A1300,VR!I:I)</f>
        <v>657.5</v>
      </c>
      <c r="J1300" s="4">
        <f t="shared" si="20"/>
        <v>1016.96</v>
      </c>
      <c r="K1300" s="179">
        <f>SUMIF(FALTAS!A:A,A1300,FALTAS!D:D)</f>
        <v>0</v>
      </c>
    </row>
    <row r="1301" spans="1:11" x14ac:dyDescent="0.25">
      <c r="A1301" s="235">
        <v>112706</v>
      </c>
      <c r="B1301" s="162" t="s">
        <v>354</v>
      </c>
      <c r="C1301" s="162" t="s">
        <v>2</v>
      </c>
      <c r="D1301" s="162" t="s">
        <v>0</v>
      </c>
      <c r="E1301" s="231">
        <v>43617</v>
      </c>
      <c r="F1301" s="162" t="s">
        <v>1229</v>
      </c>
      <c r="G1301" s="231">
        <v>44993</v>
      </c>
      <c r="H1301" s="198">
        <f>SUMIF(VA!B:B,A1301,VA!I:I)</f>
        <v>359.46</v>
      </c>
      <c r="I1301" s="32">
        <f>SUMIF(VR!B:B,A1301,VR!I:I)</f>
        <v>657.5</v>
      </c>
      <c r="J1301" s="4">
        <f t="shared" si="20"/>
        <v>1016.96</v>
      </c>
      <c r="K1301" s="179">
        <f>SUMIF(FALTAS!A:A,A1301,FALTAS!D:D)</f>
        <v>0</v>
      </c>
    </row>
    <row r="1302" spans="1:11" x14ac:dyDescent="0.25">
      <c r="A1302" s="235">
        <v>113003</v>
      </c>
      <c r="B1302" s="162" t="s">
        <v>540</v>
      </c>
      <c r="C1302" s="162" t="s">
        <v>15</v>
      </c>
      <c r="D1302" s="162" t="s">
        <v>1578</v>
      </c>
      <c r="E1302" s="231">
        <v>43617</v>
      </c>
      <c r="F1302" s="162" t="s">
        <v>1229</v>
      </c>
      <c r="G1302" s="231">
        <v>45119</v>
      </c>
      <c r="H1302" s="198">
        <f>SUMIF(VA!B:B,A1302,VA!I:I)</f>
        <v>359.46</v>
      </c>
      <c r="I1302" s="32">
        <f>SUMIF(VR!B:B,A1302,VR!I:I)</f>
        <v>657.5</v>
      </c>
      <c r="J1302" s="4">
        <f t="shared" si="20"/>
        <v>1016.96</v>
      </c>
      <c r="K1302" s="179">
        <f>SUMIF(FALTAS!A:A,A1302,FALTAS!D:D)</f>
        <v>0</v>
      </c>
    </row>
    <row r="1303" spans="1:11" x14ac:dyDescent="0.25">
      <c r="A1303" s="235">
        <v>112707</v>
      </c>
      <c r="B1303" s="162" t="s">
        <v>356</v>
      </c>
      <c r="C1303" s="162" t="s">
        <v>22</v>
      </c>
      <c r="D1303" s="162" t="s">
        <v>1578</v>
      </c>
      <c r="E1303" s="231">
        <v>43617</v>
      </c>
      <c r="F1303" s="162" t="s">
        <v>1229</v>
      </c>
      <c r="G1303" s="231">
        <v>45056</v>
      </c>
      <c r="H1303" s="198">
        <f>SUMIF(VA!B:B,A1303,VA!I:I)</f>
        <v>359.46</v>
      </c>
      <c r="I1303" s="32">
        <f>SUMIF(VR!B:B,A1303,VR!I:I)</f>
        <v>657.5</v>
      </c>
      <c r="J1303" s="4">
        <f t="shared" si="20"/>
        <v>1016.96</v>
      </c>
      <c r="K1303" s="179">
        <f>SUMIF(FALTAS!A:A,A1303,FALTAS!D:D)</f>
        <v>0</v>
      </c>
    </row>
    <row r="1304" spans="1:11" x14ac:dyDescent="0.25">
      <c r="A1304" s="235">
        <v>112290</v>
      </c>
      <c r="B1304" s="162" t="s">
        <v>91</v>
      </c>
      <c r="C1304" s="162" t="s">
        <v>2</v>
      </c>
      <c r="D1304" s="162" t="s">
        <v>10</v>
      </c>
      <c r="E1304" s="231">
        <v>43617</v>
      </c>
      <c r="F1304" s="162" t="s">
        <v>1229</v>
      </c>
      <c r="G1304" s="231">
        <v>45056</v>
      </c>
      <c r="H1304" s="198">
        <f>SUMIF(VA!B:B,A1304,VA!I:I)</f>
        <v>359.46</v>
      </c>
      <c r="I1304" s="32">
        <f>SUMIF(VR!B:B,A1304,VR!I:I)</f>
        <v>657.5</v>
      </c>
      <c r="J1304" s="4">
        <f t="shared" si="20"/>
        <v>1016.96</v>
      </c>
      <c r="K1304" s="179">
        <f>SUMIF(FALTAS!A:A,A1304,FALTAS!D:D)</f>
        <v>0</v>
      </c>
    </row>
    <row r="1305" spans="1:11" x14ac:dyDescent="0.25">
      <c r="A1305" s="235">
        <v>112461</v>
      </c>
      <c r="B1305" s="162" t="s">
        <v>196</v>
      </c>
      <c r="C1305" s="162" t="s">
        <v>39</v>
      </c>
      <c r="D1305" s="162" t="s">
        <v>10</v>
      </c>
      <c r="E1305" s="231">
        <v>43617</v>
      </c>
      <c r="F1305" s="162" t="s">
        <v>1229</v>
      </c>
      <c r="G1305" s="231">
        <v>44806</v>
      </c>
      <c r="H1305" s="198">
        <f>SUMIF(VA!B:B,A1305,VA!I:I)</f>
        <v>359.46</v>
      </c>
      <c r="I1305" s="32">
        <f>SUMIF(VR!B:B,A1305,VR!I:I)</f>
        <v>657.5</v>
      </c>
      <c r="J1305" s="4">
        <f t="shared" si="20"/>
        <v>1016.96</v>
      </c>
      <c r="K1305" s="179">
        <f>SUMIF(FALTAS!A:A,A1305,FALTAS!D:D)</f>
        <v>0</v>
      </c>
    </row>
    <row r="1306" spans="1:11" x14ac:dyDescent="0.25">
      <c r="A1306" s="235">
        <v>112714</v>
      </c>
      <c r="B1306" s="162" t="s">
        <v>358</v>
      </c>
      <c r="C1306" s="162" t="s">
        <v>2</v>
      </c>
      <c r="D1306" s="162" t="s">
        <v>0</v>
      </c>
      <c r="E1306" s="231">
        <v>43617</v>
      </c>
      <c r="F1306" s="162" t="s">
        <v>1229</v>
      </c>
      <c r="G1306" s="231">
        <v>45023</v>
      </c>
      <c r="H1306" s="198">
        <f>SUMIF(VA!B:B,A1306,VA!I:I)</f>
        <v>359.46</v>
      </c>
      <c r="I1306" s="32">
        <f>SUMIF(VR!B:B,A1306,VR!I:I)</f>
        <v>657.5</v>
      </c>
      <c r="J1306" s="4">
        <f t="shared" si="20"/>
        <v>1016.96</v>
      </c>
      <c r="K1306" s="179">
        <f>SUMIF(FALTAS!A:A,A1306,FALTAS!D:D)</f>
        <v>0</v>
      </c>
    </row>
    <row r="1307" spans="1:11" x14ac:dyDescent="0.25">
      <c r="A1307" s="235">
        <v>112224</v>
      </c>
      <c r="B1307" s="162" t="s">
        <v>46</v>
      </c>
      <c r="C1307" s="162" t="s">
        <v>2</v>
      </c>
      <c r="D1307" s="162" t="s">
        <v>19</v>
      </c>
      <c r="E1307" s="231">
        <v>43617</v>
      </c>
      <c r="F1307" s="162" t="s">
        <v>1229</v>
      </c>
      <c r="G1307" s="231">
        <v>44835</v>
      </c>
      <c r="H1307" s="198">
        <f>SUMIF(VA!B:B,A1307,VA!I:I)</f>
        <v>359.46</v>
      </c>
      <c r="I1307" s="32">
        <f>SUMIF(VR!B:B,A1307,VR!I:I)</f>
        <v>657.5</v>
      </c>
      <c r="J1307" s="4">
        <f t="shared" si="20"/>
        <v>1016.96</v>
      </c>
      <c r="K1307" s="179">
        <f>SUMIF(FALTAS!A:A,A1307,FALTAS!D:D)</f>
        <v>0</v>
      </c>
    </row>
    <row r="1308" spans="1:11" x14ac:dyDescent="0.25">
      <c r="A1308" s="235">
        <v>112294</v>
      </c>
      <c r="B1308" s="162" t="s">
        <v>93</v>
      </c>
      <c r="C1308" s="162" t="s">
        <v>2</v>
      </c>
      <c r="D1308" s="162" t="s">
        <v>10</v>
      </c>
      <c r="E1308" s="231">
        <v>43617</v>
      </c>
      <c r="F1308" s="162" t="s">
        <v>1229</v>
      </c>
      <c r="G1308" s="231">
        <v>44806</v>
      </c>
      <c r="H1308" s="198">
        <f>SUMIF(VA!B:B,A1308,VA!I:I)</f>
        <v>359.46</v>
      </c>
      <c r="I1308" s="32">
        <f>SUMIF(VR!B:B,A1308,VR!I:I)</f>
        <v>657.5</v>
      </c>
      <c r="J1308" s="4">
        <f t="shared" si="20"/>
        <v>1016.96</v>
      </c>
      <c r="K1308" s="179">
        <f>SUMIF(FALTAS!A:A,A1308,FALTAS!D:D)</f>
        <v>0</v>
      </c>
    </row>
    <row r="1309" spans="1:11" x14ac:dyDescent="0.25">
      <c r="A1309" s="235">
        <v>112717</v>
      </c>
      <c r="B1309" s="162" t="s">
        <v>360</v>
      </c>
      <c r="C1309" s="162" t="s">
        <v>22</v>
      </c>
      <c r="D1309" s="162" t="s">
        <v>1578</v>
      </c>
      <c r="E1309" s="231">
        <v>43617</v>
      </c>
      <c r="F1309" s="162" t="s">
        <v>1229</v>
      </c>
      <c r="G1309" s="231">
        <v>45119</v>
      </c>
      <c r="H1309" s="198">
        <f>SUMIF(VA!B:B,A1309,VA!I:I)</f>
        <v>359.46</v>
      </c>
      <c r="I1309" s="32">
        <f>SUMIF(VR!B:B,A1309,VR!I:I)</f>
        <v>657.5</v>
      </c>
      <c r="J1309" s="4">
        <f t="shared" si="20"/>
        <v>1016.96</v>
      </c>
      <c r="K1309" s="179">
        <f>SUMIF(FALTAS!A:A,A1309,FALTAS!D:D)</f>
        <v>0</v>
      </c>
    </row>
    <row r="1310" spans="1:11" x14ac:dyDescent="0.25">
      <c r="A1310" s="235">
        <v>112472</v>
      </c>
      <c r="B1310" s="162" t="s">
        <v>201</v>
      </c>
      <c r="C1310" s="162" t="s">
        <v>5</v>
      </c>
      <c r="D1310" s="162" t="s">
        <v>8</v>
      </c>
      <c r="E1310" s="231">
        <v>43617</v>
      </c>
      <c r="F1310" s="162" t="s">
        <v>1229</v>
      </c>
      <c r="G1310" s="231">
        <v>45023</v>
      </c>
      <c r="H1310" s="198">
        <f>SUMIF(VA!B:B,A1310,VA!I:I)</f>
        <v>359.46</v>
      </c>
      <c r="I1310" s="32">
        <f>SUMIF(VR!B:B,A1310,VR!I:I)</f>
        <v>657.5</v>
      </c>
      <c r="J1310" s="4">
        <f t="shared" si="20"/>
        <v>1016.96</v>
      </c>
      <c r="K1310" s="179">
        <f>SUMIF(FALTAS!A:A,A1310,FALTAS!D:D)</f>
        <v>0</v>
      </c>
    </row>
    <row r="1311" spans="1:11" x14ac:dyDescent="0.25">
      <c r="A1311" s="235">
        <v>112228</v>
      </c>
      <c r="B1311" s="162" t="s">
        <v>50</v>
      </c>
      <c r="C1311" s="162" t="s">
        <v>2</v>
      </c>
      <c r="D1311" s="162" t="s">
        <v>19</v>
      </c>
      <c r="E1311" s="231">
        <v>43617</v>
      </c>
      <c r="F1311" s="162" t="s">
        <v>1229</v>
      </c>
      <c r="G1311" s="231">
        <v>44776</v>
      </c>
      <c r="H1311" s="198">
        <f>SUMIF(VA!B:B,A1311,VA!I:I)</f>
        <v>359.46</v>
      </c>
      <c r="I1311" s="32">
        <f>SUMIF(VR!B:B,A1311,VR!I:I)</f>
        <v>657.5</v>
      </c>
      <c r="J1311" s="4">
        <f t="shared" si="20"/>
        <v>1016.96</v>
      </c>
      <c r="K1311" s="179">
        <f>SUMIF(FALTAS!A:A,A1311,FALTAS!D:D)</f>
        <v>0</v>
      </c>
    </row>
    <row r="1312" spans="1:11" x14ac:dyDescent="0.25">
      <c r="A1312" s="235">
        <v>112229</v>
      </c>
      <c r="B1312" s="162" t="s">
        <v>51</v>
      </c>
      <c r="C1312" s="162" t="s">
        <v>2</v>
      </c>
      <c r="D1312" s="162" t="s">
        <v>19</v>
      </c>
      <c r="E1312" s="231">
        <v>43617</v>
      </c>
      <c r="F1312" s="162" t="s">
        <v>1229</v>
      </c>
      <c r="G1312" s="231">
        <v>44776</v>
      </c>
      <c r="H1312" s="198">
        <f>SUMIF(VA!B:B,A1312,VA!I:I)</f>
        <v>359.46</v>
      </c>
      <c r="I1312" s="32">
        <f>SUMIF(VR!B:B,A1312,VR!I:I)</f>
        <v>657.5</v>
      </c>
      <c r="J1312" s="4">
        <f t="shared" si="20"/>
        <v>1016.96</v>
      </c>
      <c r="K1312" s="179">
        <f>SUMIF(FALTAS!A:A,A1312,FALTAS!D:D)</f>
        <v>0</v>
      </c>
    </row>
    <row r="1313" spans="1:11" x14ac:dyDescent="0.25">
      <c r="A1313" s="235">
        <v>112475</v>
      </c>
      <c r="B1313" s="162" t="s">
        <v>203</v>
      </c>
      <c r="C1313" s="162" t="s">
        <v>2</v>
      </c>
      <c r="D1313" s="162" t="s">
        <v>8</v>
      </c>
      <c r="E1313" s="231">
        <v>43617</v>
      </c>
      <c r="F1313" s="162" t="s">
        <v>1229</v>
      </c>
      <c r="G1313" s="231">
        <v>45023</v>
      </c>
      <c r="H1313" s="198">
        <f>SUMIF(VA!B:B,A1313,VA!I:I)</f>
        <v>359.46</v>
      </c>
      <c r="I1313" s="32">
        <f>SUMIF(VR!B:B,A1313,VR!I:I)</f>
        <v>657.5</v>
      </c>
      <c r="J1313" s="4">
        <f t="shared" si="20"/>
        <v>1016.96</v>
      </c>
      <c r="K1313" s="179">
        <f>SUMIF(FALTAS!A:A,A1313,FALTAS!D:D)</f>
        <v>0</v>
      </c>
    </row>
    <row r="1314" spans="1:11" x14ac:dyDescent="0.25">
      <c r="A1314" s="235">
        <v>118994</v>
      </c>
      <c r="B1314" s="162" t="s">
        <v>1428</v>
      </c>
      <c r="C1314" s="162" t="s">
        <v>15</v>
      </c>
      <c r="D1314" s="162" t="s">
        <v>1578</v>
      </c>
      <c r="E1314" s="231">
        <v>44613</v>
      </c>
      <c r="F1314" s="162" t="s">
        <v>1229</v>
      </c>
      <c r="G1314" s="231">
        <v>45023</v>
      </c>
      <c r="H1314" s="198">
        <f>SUMIF(VA!B:B,A1314,VA!I:I)</f>
        <v>359.46</v>
      </c>
      <c r="I1314" s="32">
        <f>SUMIF(VR!B:B,A1314,VR!I:I)</f>
        <v>657.5</v>
      </c>
      <c r="J1314" s="4">
        <f t="shared" si="20"/>
        <v>1016.96</v>
      </c>
      <c r="K1314" s="179">
        <f>SUMIF(FALTAS!A:A,A1314,FALTAS!D:D)</f>
        <v>0</v>
      </c>
    </row>
    <row r="1315" spans="1:11" x14ac:dyDescent="0.25">
      <c r="A1315" s="235">
        <v>116112</v>
      </c>
      <c r="B1315" s="162" t="s">
        <v>1185</v>
      </c>
      <c r="C1315" s="162" t="s">
        <v>15</v>
      </c>
      <c r="D1315" s="162" t="s">
        <v>1578</v>
      </c>
      <c r="E1315" s="231">
        <v>44236</v>
      </c>
      <c r="F1315" s="162" t="s">
        <v>1229</v>
      </c>
      <c r="G1315" s="231">
        <v>45149</v>
      </c>
      <c r="H1315" s="198">
        <f>SUMIF(VA!B:B,A1315,VA!I:I)</f>
        <v>359.46</v>
      </c>
      <c r="I1315" s="32">
        <f>SUMIF(VR!B:B,A1315,VR!I:I)</f>
        <v>657.5</v>
      </c>
      <c r="J1315" s="4">
        <f t="shared" si="20"/>
        <v>1016.96</v>
      </c>
      <c r="K1315" s="179">
        <f>SUMIF(FALTAS!A:A,A1315,FALTAS!D:D)</f>
        <v>0</v>
      </c>
    </row>
    <row r="1316" spans="1:11" x14ac:dyDescent="0.25">
      <c r="A1316" s="235">
        <v>112722</v>
      </c>
      <c r="B1316" s="162" t="s">
        <v>364</v>
      </c>
      <c r="C1316" s="162" t="s">
        <v>5</v>
      </c>
      <c r="D1316" s="162" t="s">
        <v>1578</v>
      </c>
      <c r="E1316" s="231">
        <v>43617</v>
      </c>
      <c r="F1316" s="162" t="s">
        <v>1229</v>
      </c>
      <c r="G1316" s="231">
        <v>44993</v>
      </c>
      <c r="H1316" s="198">
        <f>SUMIF(VA!B:B,A1316,VA!I:I)</f>
        <v>359.46</v>
      </c>
      <c r="I1316" s="32">
        <f>SUMIF(VR!B:B,A1316,VR!I:I)</f>
        <v>657.5</v>
      </c>
      <c r="J1316" s="4">
        <f t="shared" si="20"/>
        <v>1016.96</v>
      </c>
      <c r="K1316" s="179">
        <f>SUMIF(FALTAS!A:A,A1316,FALTAS!D:D)</f>
        <v>0</v>
      </c>
    </row>
    <row r="1317" spans="1:11" x14ac:dyDescent="0.25">
      <c r="A1317" s="235">
        <v>112298</v>
      </c>
      <c r="B1317" s="162" t="s">
        <v>96</v>
      </c>
      <c r="C1317" s="162" t="s">
        <v>2</v>
      </c>
      <c r="D1317" s="162" t="s">
        <v>10</v>
      </c>
      <c r="E1317" s="231">
        <v>43617</v>
      </c>
      <c r="F1317" s="162" t="s">
        <v>1229</v>
      </c>
      <c r="G1317" s="231">
        <v>44835</v>
      </c>
      <c r="H1317" s="198">
        <f>SUMIF(VA!B:B,A1317,VA!I:I)</f>
        <v>359.46</v>
      </c>
      <c r="I1317" s="32">
        <f>SUMIF(VR!B:B,A1317,VR!I:I)</f>
        <v>657.5</v>
      </c>
      <c r="J1317" s="4">
        <f t="shared" si="20"/>
        <v>1016.96</v>
      </c>
      <c r="K1317" s="179">
        <f>SUMIF(FALTAS!A:A,A1317,FALTAS!D:D)</f>
        <v>0</v>
      </c>
    </row>
    <row r="1318" spans="1:11" x14ac:dyDescent="0.25">
      <c r="A1318" s="235">
        <v>113008</v>
      </c>
      <c r="B1318" s="162" t="s">
        <v>542</v>
      </c>
      <c r="C1318" s="162" t="s">
        <v>15</v>
      </c>
      <c r="D1318" s="162" t="s">
        <v>1578</v>
      </c>
      <c r="E1318" s="231">
        <v>43617</v>
      </c>
      <c r="F1318" s="162" t="s">
        <v>1229</v>
      </c>
      <c r="G1318" s="231">
        <v>45119</v>
      </c>
      <c r="H1318" s="198">
        <f>SUMIF(VA!B:B,A1318,VA!I:I)</f>
        <v>359.46</v>
      </c>
      <c r="I1318" s="32">
        <f>SUMIF(VR!B:B,A1318,VR!I:I)</f>
        <v>657.5</v>
      </c>
      <c r="J1318" s="4">
        <f t="shared" si="20"/>
        <v>1016.96</v>
      </c>
      <c r="K1318" s="179">
        <f>SUMIF(FALTAS!A:A,A1318,FALTAS!D:D)</f>
        <v>0</v>
      </c>
    </row>
    <row r="1319" spans="1:11" x14ac:dyDescent="0.25">
      <c r="A1319" s="235">
        <v>112725</v>
      </c>
      <c r="B1319" s="162" t="s">
        <v>366</v>
      </c>
      <c r="C1319" s="162" t="s">
        <v>39</v>
      </c>
      <c r="D1319" s="162" t="s">
        <v>0</v>
      </c>
      <c r="E1319" s="231">
        <v>43617</v>
      </c>
      <c r="F1319" s="162" t="s">
        <v>1229</v>
      </c>
      <c r="G1319" s="231">
        <v>45177</v>
      </c>
      <c r="H1319" s="198">
        <f>SUMIF(VA!B:B,A1319,VA!I:I)</f>
        <v>359.46</v>
      </c>
      <c r="I1319" s="32">
        <f>SUMIF(VR!B:B,A1319,VR!I:I)</f>
        <v>657.5</v>
      </c>
      <c r="J1319" s="4">
        <f t="shared" si="20"/>
        <v>1016.96</v>
      </c>
      <c r="K1319" s="179">
        <f>SUMIF(FALTAS!A:A,A1319,FALTAS!D:D)</f>
        <v>0</v>
      </c>
    </row>
    <row r="1320" spans="1:11" x14ac:dyDescent="0.25">
      <c r="A1320" s="235">
        <v>122823</v>
      </c>
      <c r="B1320" s="162" t="s">
        <v>1728</v>
      </c>
      <c r="C1320" s="162" t="s">
        <v>5</v>
      </c>
      <c r="D1320" s="162" t="s">
        <v>8</v>
      </c>
      <c r="E1320" s="231">
        <v>45180</v>
      </c>
      <c r="F1320" s="162" t="s">
        <v>1229</v>
      </c>
      <c r="G1320" s="231">
        <v>45180</v>
      </c>
      <c r="H1320" s="198">
        <f>SUMIF(VA!B:B,A1320,VA!I:I)</f>
        <v>359.46</v>
      </c>
      <c r="I1320" s="32">
        <f>SUMIF(VR!B:B,A1320,VR!I:I)</f>
        <v>657.5</v>
      </c>
      <c r="J1320" s="4">
        <f t="shared" si="20"/>
        <v>1016.96</v>
      </c>
      <c r="K1320" s="179">
        <f>SUMIF(FALTAS!A:A,A1320,FALTAS!D:D)</f>
        <v>0</v>
      </c>
    </row>
    <row r="1321" spans="1:11" x14ac:dyDescent="0.25">
      <c r="A1321" s="235">
        <v>112481</v>
      </c>
      <c r="B1321" s="162" t="s">
        <v>207</v>
      </c>
      <c r="C1321" s="162" t="s">
        <v>39</v>
      </c>
      <c r="D1321" s="162" t="s">
        <v>32</v>
      </c>
      <c r="E1321" s="231">
        <v>43617</v>
      </c>
      <c r="F1321" s="162" t="s">
        <v>1229</v>
      </c>
      <c r="G1321" s="231">
        <v>44960</v>
      </c>
      <c r="H1321" s="198">
        <f>SUMIF(VA!B:B,A1321,VA!I:I)</f>
        <v>359.46</v>
      </c>
      <c r="I1321" s="32">
        <f>SUMIF(VR!B:B,A1321,VR!I:I)</f>
        <v>657.5</v>
      </c>
      <c r="J1321" s="4">
        <f t="shared" si="20"/>
        <v>1016.96</v>
      </c>
      <c r="K1321" s="179">
        <f>SUMIF(FALTAS!A:A,A1321,FALTAS!D:D)</f>
        <v>0</v>
      </c>
    </row>
    <row r="1322" spans="1:11" x14ac:dyDescent="0.25">
      <c r="A1322" s="235">
        <v>113013</v>
      </c>
      <c r="B1322" s="162" t="s">
        <v>543</v>
      </c>
      <c r="C1322" s="162" t="s">
        <v>15</v>
      </c>
      <c r="D1322" s="162" t="s">
        <v>1578</v>
      </c>
      <c r="E1322" s="231">
        <v>43620</v>
      </c>
      <c r="F1322" s="162" t="s">
        <v>1229</v>
      </c>
      <c r="G1322" s="231">
        <v>44960</v>
      </c>
      <c r="H1322" s="198">
        <f>SUMIF(VA!B:B,A1322,VA!I:I)</f>
        <v>359.46</v>
      </c>
      <c r="I1322" s="32">
        <f>SUMIF(VR!B:B,A1322,VR!I:I)</f>
        <v>657.5</v>
      </c>
      <c r="J1322" s="4">
        <f t="shared" si="20"/>
        <v>1016.96</v>
      </c>
      <c r="K1322" s="179">
        <f>SUMIF(FALTAS!A:A,A1322,FALTAS!D:D)</f>
        <v>0</v>
      </c>
    </row>
    <row r="1323" spans="1:11" x14ac:dyDescent="0.25">
      <c r="A1323" s="235">
        <v>115400</v>
      </c>
      <c r="B1323" s="162" t="s">
        <v>1152</v>
      </c>
      <c r="C1323" s="162" t="s">
        <v>5</v>
      </c>
      <c r="D1323" s="162" t="s">
        <v>0</v>
      </c>
      <c r="E1323" s="231">
        <v>44048</v>
      </c>
      <c r="F1323" s="162" t="s">
        <v>1229</v>
      </c>
      <c r="G1323" s="231">
        <v>45086</v>
      </c>
      <c r="H1323" s="198">
        <f>SUMIF(VA!B:B,A1323,VA!I:I)</f>
        <v>359.46</v>
      </c>
      <c r="I1323" s="32">
        <f>SUMIF(VR!B:B,A1323,VR!I:I)</f>
        <v>657.5</v>
      </c>
      <c r="J1323" s="4">
        <f t="shared" si="20"/>
        <v>1016.96</v>
      </c>
      <c r="K1323" s="179">
        <f>SUMIF(FALTAS!A:A,A1323,FALTAS!D:D)</f>
        <v>0</v>
      </c>
    </row>
    <row r="1324" spans="1:11" x14ac:dyDescent="0.25">
      <c r="A1324" s="235">
        <v>116021</v>
      </c>
      <c r="B1324" s="162" t="s">
        <v>1173</v>
      </c>
      <c r="C1324" s="162" t="s">
        <v>5</v>
      </c>
      <c r="D1324" s="162" t="s">
        <v>10</v>
      </c>
      <c r="E1324" s="231">
        <v>44207</v>
      </c>
      <c r="F1324" s="162" t="s">
        <v>1229</v>
      </c>
      <c r="G1324" s="231">
        <v>45119</v>
      </c>
      <c r="H1324" s="198">
        <f>SUMIF(VA!B:B,A1324,VA!I:I)</f>
        <v>359.46</v>
      </c>
      <c r="I1324" s="32">
        <f>SUMIF(VR!B:B,A1324,VR!I:I)</f>
        <v>657.5</v>
      </c>
      <c r="J1324" s="4">
        <f t="shared" si="20"/>
        <v>1016.96</v>
      </c>
      <c r="K1324" s="179">
        <f>SUMIF(FALTAS!A:A,A1324,FALTAS!D:D)</f>
        <v>0</v>
      </c>
    </row>
    <row r="1325" spans="1:11" x14ac:dyDescent="0.25">
      <c r="A1325" s="235">
        <v>112727</v>
      </c>
      <c r="B1325" s="162" t="s">
        <v>368</v>
      </c>
      <c r="C1325" s="162" t="s">
        <v>2</v>
      </c>
      <c r="D1325" s="162" t="s">
        <v>0</v>
      </c>
      <c r="E1325" s="231">
        <v>43617</v>
      </c>
      <c r="F1325" s="162" t="s">
        <v>1229</v>
      </c>
      <c r="G1325" s="231">
        <v>44806</v>
      </c>
      <c r="H1325" s="198">
        <f>SUMIF(VA!B:B,A1325,VA!I:I)</f>
        <v>359.46</v>
      </c>
      <c r="I1325" s="32">
        <f>SUMIF(VR!B:B,A1325,VR!I:I)</f>
        <v>657.5</v>
      </c>
      <c r="J1325" s="4">
        <f t="shared" si="20"/>
        <v>1016.96</v>
      </c>
      <c r="K1325" s="179">
        <f>SUMIF(FALTAS!A:A,A1325,FALTAS!D:D)</f>
        <v>0</v>
      </c>
    </row>
    <row r="1326" spans="1:11" x14ac:dyDescent="0.25">
      <c r="A1326" s="235">
        <v>121458</v>
      </c>
      <c r="B1326" s="162" t="s">
        <v>1569</v>
      </c>
      <c r="C1326" s="162" t="s">
        <v>5</v>
      </c>
      <c r="D1326" s="162" t="s">
        <v>19</v>
      </c>
      <c r="E1326" s="231">
        <v>44967</v>
      </c>
      <c r="F1326" s="162" t="s">
        <v>1229</v>
      </c>
      <c r="G1326" s="231">
        <v>44967</v>
      </c>
      <c r="H1326" s="198">
        <f>SUMIF(VA!B:B,A1326,VA!I:I)</f>
        <v>359.46</v>
      </c>
      <c r="I1326" s="32">
        <f>SUMIF(VR!B:B,A1326,VR!I:I)</f>
        <v>657.5</v>
      </c>
      <c r="J1326" s="4">
        <f t="shared" si="20"/>
        <v>1016.96</v>
      </c>
      <c r="K1326" s="179">
        <f>SUMIF(FALTAS!A:A,A1326,FALTAS!D:D)</f>
        <v>0</v>
      </c>
    </row>
    <row r="1327" spans="1:11" x14ac:dyDescent="0.25">
      <c r="A1327" s="235">
        <v>121318</v>
      </c>
      <c r="B1327" s="162" t="s">
        <v>1538</v>
      </c>
      <c r="C1327" s="162" t="s">
        <v>2</v>
      </c>
      <c r="D1327" s="162" t="s">
        <v>10</v>
      </c>
      <c r="E1327" s="231">
        <v>44945</v>
      </c>
      <c r="F1327" s="162" t="s">
        <v>1229</v>
      </c>
      <c r="G1327" s="231">
        <v>44945</v>
      </c>
      <c r="H1327" s="198">
        <f>SUMIF(VA!B:B,A1327,VA!I:I)</f>
        <v>359.46</v>
      </c>
      <c r="I1327" s="32">
        <f>SUMIF(VR!B:B,A1327,VR!I:I)</f>
        <v>657.5</v>
      </c>
      <c r="J1327" s="4">
        <f t="shared" si="20"/>
        <v>1016.96</v>
      </c>
      <c r="K1327" s="179">
        <f>SUMIF(FALTAS!A:A,A1327,FALTAS!D:D)</f>
        <v>0</v>
      </c>
    </row>
    <row r="1328" spans="1:11" x14ac:dyDescent="0.25">
      <c r="A1328" s="235">
        <v>112678</v>
      </c>
      <c r="B1328" s="162" t="s">
        <v>334</v>
      </c>
      <c r="C1328" s="162" t="s">
        <v>5</v>
      </c>
      <c r="D1328" s="162" t="s">
        <v>0</v>
      </c>
      <c r="E1328" s="231">
        <v>43617</v>
      </c>
      <c r="F1328" s="162" t="s">
        <v>1229</v>
      </c>
      <c r="G1328" s="231">
        <v>45023</v>
      </c>
      <c r="H1328" s="198">
        <f>SUMIF(VA!B:B,A1328,VA!I:I)</f>
        <v>359.46</v>
      </c>
      <c r="I1328" s="32">
        <f>SUMIF(VR!B:B,A1328,VR!I:I)</f>
        <v>657.5</v>
      </c>
      <c r="J1328" s="4">
        <f t="shared" si="20"/>
        <v>1016.96</v>
      </c>
      <c r="K1328" s="179">
        <f>SUMIF(FALTAS!A:A,A1328,FALTAS!D:D)</f>
        <v>0</v>
      </c>
    </row>
    <row r="1329" spans="1:11" x14ac:dyDescent="0.25">
      <c r="A1329" s="235">
        <v>119753</v>
      </c>
      <c r="B1329" s="162" t="s">
        <v>1473</v>
      </c>
      <c r="C1329" s="162" t="s">
        <v>1456</v>
      </c>
      <c r="D1329" s="162" t="s">
        <v>1580</v>
      </c>
      <c r="E1329" s="231">
        <v>44734</v>
      </c>
      <c r="F1329" s="162" t="s">
        <v>1229</v>
      </c>
      <c r="G1329" s="231">
        <v>44734</v>
      </c>
      <c r="H1329" s="198">
        <f>SUMIF(VA!B:B,A1329,VA!I:I)</f>
        <v>0</v>
      </c>
      <c r="I1329" s="32">
        <f>SUMIF(VR!B:B,A1329,VR!I:I)</f>
        <v>657.5</v>
      </c>
      <c r="J1329" s="4">
        <f t="shared" si="20"/>
        <v>657.5</v>
      </c>
      <c r="K1329" s="179">
        <f>SUMIF(FALTAS!A:A,A1329,FALTAS!D:D)</f>
        <v>0</v>
      </c>
    </row>
    <row r="1330" spans="1:11" x14ac:dyDescent="0.25">
      <c r="A1330" s="235">
        <v>122083</v>
      </c>
      <c r="B1330" s="162" t="s">
        <v>1634</v>
      </c>
      <c r="C1330" s="162" t="s">
        <v>5</v>
      </c>
      <c r="D1330" s="162" t="s">
        <v>19</v>
      </c>
      <c r="E1330" s="231">
        <v>45061</v>
      </c>
      <c r="F1330" s="162" t="s">
        <v>1229</v>
      </c>
      <c r="G1330" s="231">
        <v>45061</v>
      </c>
      <c r="H1330" s="198">
        <f>SUMIF(VA!B:B,A1330,VA!I:I)</f>
        <v>359.46</v>
      </c>
      <c r="I1330" s="32">
        <f>SUMIF(VR!B:B,A1330,VR!I:I)</f>
        <v>657.5</v>
      </c>
      <c r="J1330" s="4">
        <f t="shared" si="20"/>
        <v>1016.96</v>
      </c>
      <c r="K1330" s="179">
        <f>SUMIF(FALTAS!A:A,A1330,FALTAS!D:D)</f>
        <v>0</v>
      </c>
    </row>
    <row r="1331" spans="1:11" x14ac:dyDescent="0.25">
      <c r="A1331" s="235">
        <v>121850</v>
      </c>
      <c r="B1331" s="162" t="s">
        <v>1616</v>
      </c>
      <c r="C1331" s="162" t="s">
        <v>5</v>
      </c>
      <c r="D1331" s="162" t="s">
        <v>8</v>
      </c>
      <c r="E1331" s="231">
        <v>45022</v>
      </c>
      <c r="F1331" s="162" t="s">
        <v>1229</v>
      </c>
      <c r="G1331" s="231">
        <v>45022</v>
      </c>
      <c r="H1331" s="198">
        <f>SUMIF(VA!B:B,A1331,VA!I:I)</f>
        <v>359.46</v>
      </c>
      <c r="I1331" s="32">
        <f>SUMIF(VR!B:B,A1331,VR!I:I)</f>
        <v>657.5</v>
      </c>
      <c r="J1331" s="4">
        <f t="shared" si="20"/>
        <v>1016.96</v>
      </c>
      <c r="K1331" s="179">
        <f>SUMIF(FALTAS!A:A,A1331,FALTAS!D:D)</f>
        <v>0</v>
      </c>
    </row>
    <row r="1332" spans="1:11" x14ac:dyDescent="0.25">
      <c r="A1332" s="235">
        <v>117406</v>
      </c>
      <c r="B1332" s="162" t="s">
        <v>1268</v>
      </c>
      <c r="C1332" s="162" t="s">
        <v>2</v>
      </c>
      <c r="D1332" s="162" t="s">
        <v>10</v>
      </c>
      <c r="E1332" s="231">
        <v>44522</v>
      </c>
      <c r="F1332" s="162" t="s">
        <v>1229</v>
      </c>
      <c r="G1332" s="231">
        <v>45086</v>
      </c>
      <c r="H1332" s="198">
        <f>SUMIF(VA!B:B,A1332,VA!I:I)</f>
        <v>359.46</v>
      </c>
      <c r="I1332" s="32">
        <f>SUMIF(VR!B:B,A1332,VR!I:I)</f>
        <v>657.5</v>
      </c>
      <c r="J1332" s="4">
        <f t="shared" si="20"/>
        <v>1016.96</v>
      </c>
      <c r="K1332" s="179">
        <f>SUMIF(FALTAS!A:A,A1332,FALTAS!D:D)</f>
        <v>0</v>
      </c>
    </row>
    <row r="1333" spans="1:11" x14ac:dyDescent="0.25">
      <c r="A1333" s="235">
        <v>113016</v>
      </c>
      <c r="B1333" s="162" t="s">
        <v>544</v>
      </c>
      <c r="C1333" s="162" t="s">
        <v>15</v>
      </c>
      <c r="D1333" s="162" t="s">
        <v>1578</v>
      </c>
      <c r="E1333" s="231">
        <v>43617</v>
      </c>
      <c r="F1333" s="162" t="s">
        <v>1229</v>
      </c>
      <c r="G1333" s="231">
        <v>45056</v>
      </c>
      <c r="H1333" s="198">
        <f>SUMIF(VA!B:B,A1333,VA!I:I)</f>
        <v>359.46</v>
      </c>
      <c r="I1333" s="32">
        <f>SUMIF(VR!B:B,A1333,VR!I:I)</f>
        <v>657.5</v>
      </c>
      <c r="J1333" s="4">
        <f t="shared" si="20"/>
        <v>1016.96</v>
      </c>
      <c r="K1333" s="179">
        <f>SUMIF(FALTAS!A:A,A1333,FALTAS!D:D)</f>
        <v>0</v>
      </c>
    </row>
    <row r="1334" spans="1:11" x14ac:dyDescent="0.25">
      <c r="A1334" s="235">
        <v>113030</v>
      </c>
      <c r="B1334" s="162" t="s">
        <v>550</v>
      </c>
      <c r="C1334" s="162" t="s">
        <v>15</v>
      </c>
      <c r="D1334" s="162" t="s">
        <v>1578</v>
      </c>
      <c r="E1334" s="231">
        <v>43617</v>
      </c>
      <c r="F1334" s="162" t="s">
        <v>1229</v>
      </c>
      <c r="G1334" s="231">
        <v>44806</v>
      </c>
      <c r="H1334" s="198">
        <f>SUMIF(VA!B:B,A1334,VA!I:I)</f>
        <v>359.46</v>
      </c>
      <c r="I1334" s="32">
        <f>SUMIF(VR!B:B,A1334,VR!I:I)</f>
        <v>657.5</v>
      </c>
      <c r="J1334" s="4">
        <f t="shared" si="20"/>
        <v>1016.96</v>
      </c>
      <c r="K1334" s="179">
        <f>SUMIF(FALTAS!A:A,A1334,FALTAS!D:D)</f>
        <v>0</v>
      </c>
    </row>
    <row r="1335" spans="1:11" x14ac:dyDescent="0.25">
      <c r="A1335" s="235">
        <v>116988</v>
      </c>
      <c r="B1335" s="162" t="s">
        <v>1245</v>
      </c>
      <c r="C1335" s="162" t="s">
        <v>5</v>
      </c>
      <c r="D1335" s="162" t="s">
        <v>8</v>
      </c>
      <c r="E1335" s="231">
        <v>44419</v>
      </c>
      <c r="F1335" s="162" t="s">
        <v>1229</v>
      </c>
      <c r="G1335" s="231">
        <v>45119</v>
      </c>
      <c r="H1335" s="198">
        <f>SUMIF(VA!B:B,A1335,VA!I:I)</f>
        <v>359.46</v>
      </c>
      <c r="I1335" s="32">
        <f>SUMIF(VR!B:B,A1335,VR!I:I)</f>
        <v>657.5</v>
      </c>
      <c r="J1335" s="4">
        <f t="shared" si="20"/>
        <v>1016.96</v>
      </c>
      <c r="K1335" s="179">
        <f>SUMIF(FALTAS!A:A,A1335,FALTAS!D:D)</f>
        <v>0</v>
      </c>
    </row>
    <row r="1336" spans="1:11" x14ac:dyDescent="0.25">
      <c r="A1336" s="235">
        <v>121951</v>
      </c>
      <c r="B1336" s="162" t="s">
        <v>1617</v>
      </c>
      <c r="C1336" s="162" t="s">
        <v>1456</v>
      </c>
      <c r="D1336" s="162" t="s">
        <v>1580</v>
      </c>
      <c r="E1336" s="231">
        <v>45040</v>
      </c>
      <c r="F1336" s="162" t="s">
        <v>1229</v>
      </c>
      <c r="G1336" s="231">
        <v>45040</v>
      </c>
      <c r="H1336" s="198">
        <f>SUMIF(VA!B:B,A1336,VA!I:I)</f>
        <v>0</v>
      </c>
      <c r="I1336" s="32">
        <f>SUMIF(VR!B:B,A1336,VR!I:I)</f>
        <v>657.5</v>
      </c>
      <c r="J1336" s="4">
        <f t="shared" si="20"/>
        <v>657.5</v>
      </c>
      <c r="K1336" s="179">
        <f>SUMIF(FALTAS!A:A,A1336,FALTAS!D:D)</f>
        <v>0</v>
      </c>
    </row>
    <row r="1337" spans="1:11" x14ac:dyDescent="0.25">
      <c r="A1337" s="235">
        <v>116109</v>
      </c>
      <c r="B1337" s="162" t="s">
        <v>1182</v>
      </c>
      <c r="C1337" s="162" t="s">
        <v>15</v>
      </c>
      <c r="D1337" s="162" t="s">
        <v>1578</v>
      </c>
      <c r="E1337" s="231">
        <v>44236</v>
      </c>
      <c r="F1337" s="162" t="s">
        <v>1229</v>
      </c>
      <c r="G1337" s="231">
        <v>45023</v>
      </c>
      <c r="H1337" s="198">
        <f>SUMIF(VA!B:B,A1337,VA!I:I)</f>
        <v>359.46</v>
      </c>
      <c r="I1337" s="32">
        <f>SUMIF(VR!B:B,A1337,VR!I:I)</f>
        <v>657.5</v>
      </c>
      <c r="J1337" s="4">
        <f t="shared" si="20"/>
        <v>1016.96</v>
      </c>
      <c r="K1337" s="179">
        <f>SUMIF(FALTAS!A:A,A1337,FALTAS!D:D)</f>
        <v>0</v>
      </c>
    </row>
    <row r="1338" spans="1:11" x14ac:dyDescent="0.25">
      <c r="A1338" s="235">
        <v>114262</v>
      </c>
      <c r="B1338" s="162" t="s">
        <v>1024</v>
      </c>
      <c r="C1338" s="162" t="s">
        <v>5</v>
      </c>
      <c r="D1338" s="162" t="s">
        <v>0</v>
      </c>
      <c r="E1338" s="231">
        <v>43804</v>
      </c>
      <c r="F1338" s="162" t="s">
        <v>1229</v>
      </c>
      <c r="G1338" s="231">
        <v>45149</v>
      </c>
      <c r="H1338" s="198">
        <f>SUMIF(VA!B:B,A1338,VA!I:I)</f>
        <v>359.46</v>
      </c>
      <c r="I1338" s="32">
        <f>SUMIF(VR!B:B,A1338,VR!I:I)</f>
        <v>657.5</v>
      </c>
      <c r="J1338" s="4">
        <f t="shared" si="20"/>
        <v>1016.96</v>
      </c>
      <c r="K1338" s="179">
        <f>SUMIF(FALTAS!A:A,A1338,FALTAS!D:D)</f>
        <v>0</v>
      </c>
    </row>
    <row r="1339" spans="1:11" x14ac:dyDescent="0.25">
      <c r="A1339" s="235">
        <v>122078</v>
      </c>
      <c r="B1339" s="162" t="s">
        <v>1635</v>
      </c>
      <c r="C1339" s="162" t="s">
        <v>5</v>
      </c>
      <c r="D1339" s="162" t="s">
        <v>8</v>
      </c>
      <c r="E1339" s="231">
        <v>45061</v>
      </c>
      <c r="F1339" s="162" t="s">
        <v>1279</v>
      </c>
      <c r="G1339" s="231">
        <v>45163</v>
      </c>
      <c r="H1339" s="198">
        <f>SUMIF(VA!B:B,A1339,VA!I:I)</f>
        <v>0</v>
      </c>
      <c r="I1339" s="32">
        <f>SUMIF(VR!B:B,A1339,VR!I:I)</f>
        <v>0</v>
      </c>
      <c r="J1339" s="4">
        <f t="shared" si="20"/>
        <v>0</v>
      </c>
      <c r="K1339" s="179">
        <f>SUMIF(FALTAS!A:A,A1339,FALTAS!D:D)</f>
        <v>4</v>
      </c>
    </row>
    <row r="1340" spans="1:11" x14ac:dyDescent="0.25">
      <c r="A1340" s="235">
        <v>116384</v>
      </c>
      <c r="B1340" s="162" t="s">
        <v>1208</v>
      </c>
      <c r="C1340" s="162" t="s">
        <v>5</v>
      </c>
      <c r="D1340" s="162" t="s">
        <v>19</v>
      </c>
      <c r="E1340" s="231">
        <v>44328</v>
      </c>
      <c r="F1340" s="162" t="s">
        <v>1229</v>
      </c>
      <c r="G1340" s="231">
        <v>45143</v>
      </c>
      <c r="H1340" s="198">
        <f>SUMIF(VA!B:B,A1340,VA!I:I)</f>
        <v>359.46</v>
      </c>
      <c r="I1340" s="32">
        <f>SUMIF(VR!B:B,A1340,VR!I:I)</f>
        <v>657.5</v>
      </c>
      <c r="J1340" s="4">
        <f t="shared" si="20"/>
        <v>1016.96</v>
      </c>
      <c r="K1340" s="179">
        <f>SUMIF(FALTAS!A:A,A1340,FALTAS!D:D)</f>
        <v>0</v>
      </c>
    </row>
    <row r="1341" spans="1:11" x14ac:dyDescent="0.25">
      <c r="A1341" s="235">
        <v>112483</v>
      </c>
      <c r="B1341" s="162" t="s">
        <v>208</v>
      </c>
      <c r="C1341" s="162" t="s">
        <v>39</v>
      </c>
      <c r="D1341" s="162" t="s">
        <v>8</v>
      </c>
      <c r="E1341" s="231">
        <v>43617</v>
      </c>
      <c r="F1341" s="162" t="s">
        <v>1229</v>
      </c>
      <c r="G1341" s="231">
        <v>44993</v>
      </c>
      <c r="H1341" s="198">
        <f>SUMIF(VA!B:B,A1341,VA!I:I)</f>
        <v>359.46</v>
      </c>
      <c r="I1341" s="32">
        <f>SUMIF(VR!B:B,A1341,VR!I:I)</f>
        <v>657.5</v>
      </c>
      <c r="J1341" s="4">
        <f t="shared" si="20"/>
        <v>1016.96</v>
      </c>
      <c r="K1341" s="179">
        <f>SUMIF(FALTAS!A:A,A1341,FALTAS!D:D)</f>
        <v>0</v>
      </c>
    </row>
    <row r="1342" spans="1:11" x14ac:dyDescent="0.25">
      <c r="A1342" s="235">
        <v>112485</v>
      </c>
      <c r="B1342" s="162" t="s">
        <v>209</v>
      </c>
      <c r="C1342" s="162" t="s">
        <v>2</v>
      </c>
      <c r="D1342" s="162" t="s">
        <v>8</v>
      </c>
      <c r="E1342" s="231">
        <v>43617</v>
      </c>
      <c r="F1342" s="162" t="s">
        <v>1229</v>
      </c>
      <c r="G1342" s="231">
        <v>45023</v>
      </c>
      <c r="H1342" s="198">
        <f>SUMIF(VA!B:B,A1342,VA!I:I)</f>
        <v>347.47</v>
      </c>
      <c r="I1342" s="32">
        <f>SUMIF(VR!B:B,A1342,VR!I:I)</f>
        <v>631.20000000000005</v>
      </c>
      <c r="J1342" s="4">
        <f t="shared" si="20"/>
        <v>978.67000000000007</v>
      </c>
      <c r="K1342" s="179">
        <f>SUMIF(FALTAS!A:A,A1342,FALTAS!D:D)</f>
        <v>1</v>
      </c>
    </row>
    <row r="1343" spans="1:11" x14ac:dyDescent="0.25">
      <c r="A1343" s="235">
        <v>112733</v>
      </c>
      <c r="B1343" s="162" t="s">
        <v>372</v>
      </c>
      <c r="C1343" s="162" t="s">
        <v>15</v>
      </c>
      <c r="D1343" s="162" t="s">
        <v>1578</v>
      </c>
      <c r="E1343" s="231">
        <v>43617</v>
      </c>
      <c r="F1343" s="162" t="s">
        <v>1229</v>
      </c>
      <c r="G1343" s="231">
        <v>45177</v>
      </c>
      <c r="H1343" s="198">
        <f>SUMIF(VA!B:B,A1343,VA!I:I)</f>
        <v>359.46</v>
      </c>
      <c r="I1343" s="32">
        <f>SUMIF(VR!B:B,A1343,VR!I:I)</f>
        <v>657.5</v>
      </c>
      <c r="J1343" s="4">
        <f t="shared" si="20"/>
        <v>1016.96</v>
      </c>
      <c r="K1343" s="179">
        <f>SUMIF(FALTAS!A:A,A1343,FALTAS!D:D)</f>
        <v>0</v>
      </c>
    </row>
    <row r="1344" spans="1:11" x14ac:dyDescent="0.25">
      <c r="A1344" s="235">
        <v>121847</v>
      </c>
      <c r="B1344" s="162" t="s">
        <v>1618</v>
      </c>
      <c r="C1344" s="162" t="s">
        <v>5</v>
      </c>
      <c r="D1344" s="162" t="s">
        <v>32</v>
      </c>
      <c r="E1344" s="231">
        <v>45022</v>
      </c>
      <c r="F1344" s="162" t="s">
        <v>1229</v>
      </c>
      <c r="G1344" s="231">
        <v>45022</v>
      </c>
      <c r="H1344" s="198">
        <f>SUMIF(VA!B:B,A1344,VA!I:I)</f>
        <v>359.46</v>
      </c>
      <c r="I1344" s="32">
        <f>SUMIF(VR!B:B,A1344,VR!I:I)</f>
        <v>657.5</v>
      </c>
      <c r="J1344" s="4">
        <f t="shared" si="20"/>
        <v>1016.96</v>
      </c>
      <c r="K1344" s="179">
        <f>SUMIF(FALTAS!A:A,A1344,FALTAS!D:D)</f>
        <v>0</v>
      </c>
    </row>
    <row r="1345" spans="1:11" x14ac:dyDescent="0.25">
      <c r="A1345" s="235">
        <v>121460</v>
      </c>
      <c r="B1345" s="162" t="s">
        <v>1570</v>
      </c>
      <c r="C1345" s="162" t="s">
        <v>5</v>
      </c>
      <c r="D1345" s="162" t="s">
        <v>19</v>
      </c>
      <c r="E1345" s="231">
        <v>44967</v>
      </c>
      <c r="F1345" s="162" t="s">
        <v>1229</v>
      </c>
      <c r="G1345" s="231">
        <v>44967</v>
      </c>
      <c r="H1345" s="198">
        <f>SUMIF(VA!B:B,A1345,VA!I:I)</f>
        <v>347.47</v>
      </c>
      <c r="I1345" s="32">
        <f>SUMIF(VR!B:B,A1345,VR!I:I)</f>
        <v>631.20000000000005</v>
      </c>
      <c r="J1345" s="4">
        <f t="shared" ref="J1345:J1408" si="21">H1345+I1345</f>
        <v>978.67000000000007</v>
      </c>
      <c r="K1345" s="179">
        <f>SUMIF(FALTAS!A:A,A1345,FALTAS!D:D)</f>
        <v>1</v>
      </c>
    </row>
    <row r="1346" spans="1:11" x14ac:dyDescent="0.25">
      <c r="A1346" s="235">
        <v>112489</v>
      </c>
      <c r="B1346" s="162" t="s">
        <v>211</v>
      </c>
      <c r="C1346" s="162" t="s">
        <v>2</v>
      </c>
      <c r="D1346" s="162" t="s">
        <v>32</v>
      </c>
      <c r="E1346" s="231">
        <v>43617</v>
      </c>
      <c r="F1346" s="162" t="s">
        <v>1229</v>
      </c>
      <c r="G1346" s="231">
        <v>45023</v>
      </c>
      <c r="H1346" s="198">
        <f>SUMIF(VA!B:B,A1346,VA!I:I)</f>
        <v>359.46</v>
      </c>
      <c r="I1346" s="32">
        <f>SUMIF(VR!B:B,A1346,VR!I:I)</f>
        <v>657.5</v>
      </c>
      <c r="J1346" s="4">
        <f t="shared" si="21"/>
        <v>1016.96</v>
      </c>
      <c r="K1346" s="179">
        <f>SUMIF(FALTAS!A:A,A1346,FALTAS!D:D)</f>
        <v>0</v>
      </c>
    </row>
    <row r="1347" spans="1:11" x14ac:dyDescent="0.25">
      <c r="A1347" s="235">
        <v>112235</v>
      </c>
      <c r="B1347" s="162" t="s">
        <v>54</v>
      </c>
      <c r="C1347" s="162" t="s">
        <v>5</v>
      </c>
      <c r="D1347" s="162" t="s">
        <v>19</v>
      </c>
      <c r="E1347" s="231">
        <v>43617</v>
      </c>
      <c r="F1347" s="162" t="s">
        <v>1229</v>
      </c>
      <c r="G1347" s="231">
        <v>44776</v>
      </c>
      <c r="H1347" s="198">
        <f>SUMIF(VA!B:B,A1347,VA!I:I)</f>
        <v>359.46</v>
      </c>
      <c r="I1347" s="32">
        <f>SUMIF(VR!B:B,A1347,VR!I:I)</f>
        <v>657.5</v>
      </c>
      <c r="J1347" s="4">
        <f t="shared" si="21"/>
        <v>1016.96</v>
      </c>
      <c r="K1347" s="179">
        <f>SUMIF(FALTAS!A:A,A1347,FALTAS!D:D)</f>
        <v>0</v>
      </c>
    </row>
    <row r="1348" spans="1:11" x14ac:dyDescent="0.25">
      <c r="A1348" s="235">
        <v>112322</v>
      </c>
      <c r="B1348" s="162" t="s">
        <v>106</v>
      </c>
      <c r="C1348" s="162" t="s">
        <v>39</v>
      </c>
      <c r="D1348" s="162" t="s">
        <v>0</v>
      </c>
      <c r="E1348" s="231">
        <v>43617</v>
      </c>
      <c r="F1348" s="162" t="s">
        <v>1229</v>
      </c>
      <c r="G1348" s="231">
        <v>45056</v>
      </c>
      <c r="H1348" s="198">
        <f>SUMIF(VA!B:B,A1348,VA!I:I)</f>
        <v>359.46</v>
      </c>
      <c r="I1348" s="32">
        <f>SUMIF(VR!B:B,A1348,VR!I:I)</f>
        <v>657.5</v>
      </c>
      <c r="J1348" s="4">
        <f t="shared" si="21"/>
        <v>1016.96</v>
      </c>
      <c r="K1348" s="179">
        <f>SUMIF(FALTAS!A:A,A1348,FALTAS!D:D)</f>
        <v>0</v>
      </c>
    </row>
    <row r="1349" spans="1:11" x14ac:dyDescent="0.25">
      <c r="A1349" s="235">
        <v>112237</v>
      </c>
      <c r="B1349" s="162" t="s">
        <v>56</v>
      </c>
      <c r="C1349" s="162" t="s">
        <v>5</v>
      </c>
      <c r="D1349" s="162" t="s">
        <v>19</v>
      </c>
      <c r="E1349" s="231">
        <v>43617</v>
      </c>
      <c r="F1349" s="162" t="s">
        <v>1229</v>
      </c>
      <c r="G1349" s="231">
        <v>45063</v>
      </c>
      <c r="H1349" s="198">
        <f>SUMIF(VA!B:B,A1349,VA!I:I)</f>
        <v>359.46</v>
      </c>
      <c r="I1349" s="32">
        <f>SUMIF(VR!B:B,A1349,VR!I:I)</f>
        <v>657.5</v>
      </c>
      <c r="J1349" s="4">
        <f t="shared" si="21"/>
        <v>1016.96</v>
      </c>
      <c r="K1349" s="179">
        <f>SUMIF(FALTAS!A:A,A1349,FALTAS!D:D)</f>
        <v>0</v>
      </c>
    </row>
    <row r="1350" spans="1:11" x14ac:dyDescent="0.25">
      <c r="A1350" s="235">
        <v>112759</v>
      </c>
      <c r="B1350" s="162" t="s">
        <v>387</v>
      </c>
      <c r="C1350" s="162" t="s">
        <v>15</v>
      </c>
      <c r="D1350" s="162" t="s">
        <v>1578</v>
      </c>
      <c r="E1350" s="231">
        <v>43617</v>
      </c>
      <c r="F1350" s="162" t="s">
        <v>1229</v>
      </c>
      <c r="G1350" s="231">
        <v>45023</v>
      </c>
      <c r="H1350" s="198">
        <f>SUMIF(VA!B:B,A1350,VA!I:I)</f>
        <v>359.46</v>
      </c>
      <c r="I1350" s="32">
        <f>SUMIF(VR!B:B,A1350,VR!I:I)</f>
        <v>657.5</v>
      </c>
      <c r="J1350" s="4">
        <f t="shared" si="21"/>
        <v>1016.96</v>
      </c>
      <c r="K1350" s="179">
        <f>SUMIF(FALTAS!A:A,A1350,FALTAS!D:D)</f>
        <v>0</v>
      </c>
    </row>
    <row r="1351" spans="1:11" x14ac:dyDescent="0.25">
      <c r="A1351" s="235">
        <v>112329</v>
      </c>
      <c r="B1351" s="162" t="s">
        <v>111</v>
      </c>
      <c r="C1351" s="162" t="s">
        <v>5</v>
      </c>
      <c r="D1351" s="162" t="s">
        <v>10</v>
      </c>
      <c r="E1351" s="231">
        <v>43617</v>
      </c>
      <c r="F1351" s="162" t="s">
        <v>1229</v>
      </c>
      <c r="G1351" s="231">
        <v>44867</v>
      </c>
      <c r="H1351" s="198">
        <f>SUMIF(VA!B:B,A1351,VA!I:I)</f>
        <v>359.46</v>
      </c>
      <c r="I1351" s="32">
        <f>SUMIF(VR!B:B,A1351,VR!I:I)</f>
        <v>657.5</v>
      </c>
      <c r="J1351" s="4">
        <f t="shared" si="21"/>
        <v>1016.96</v>
      </c>
      <c r="K1351" s="179">
        <f>SUMIF(FALTAS!A:A,A1351,FALTAS!D:D)</f>
        <v>0</v>
      </c>
    </row>
    <row r="1352" spans="1:11" x14ac:dyDescent="0.25">
      <c r="A1352" s="235">
        <v>114127</v>
      </c>
      <c r="B1352" s="162" t="s">
        <v>1013</v>
      </c>
      <c r="C1352" s="162" t="s">
        <v>15</v>
      </c>
      <c r="D1352" s="162" t="s">
        <v>1578</v>
      </c>
      <c r="E1352" s="231">
        <v>43739</v>
      </c>
      <c r="F1352" s="162" t="s">
        <v>1229</v>
      </c>
      <c r="G1352" s="231">
        <v>44898</v>
      </c>
      <c r="H1352" s="198">
        <f>SUMIF(VA!B:B,A1352,VA!I:I)</f>
        <v>359.46</v>
      </c>
      <c r="I1352" s="32">
        <f>SUMIF(VR!B:B,A1352,VR!I:I)</f>
        <v>657.5</v>
      </c>
      <c r="J1352" s="4">
        <f t="shared" si="21"/>
        <v>1016.96</v>
      </c>
      <c r="K1352" s="179">
        <f>SUMIF(FALTAS!A:A,A1352,FALTAS!D:D)</f>
        <v>0</v>
      </c>
    </row>
    <row r="1353" spans="1:11" x14ac:dyDescent="0.25">
      <c r="A1353" s="235">
        <v>122836</v>
      </c>
      <c r="B1353" s="162" t="s">
        <v>1729</v>
      </c>
      <c r="C1353" s="162" t="s">
        <v>5</v>
      </c>
      <c r="D1353" s="162" t="s">
        <v>0</v>
      </c>
      <c r="E1353" s="231">
        <v>45180</v>
      </c>
      <c r="F1353" s="162" t="s">
        <v>1229</v>
      </c>
      <c r="G1353" s="231">
        <v>45180</v>
      </c>
      <c r="H1353" s="198">
        <f>SUMIF(VA!B:B,A1353,VA!I:I)</f>
        <v>359.46</v>
      </c>
      <c r="I1353" s="32">
        <f>SUMIF(VR!B:B,A1353,VR!I:I)</f>
        <v>657.5</v>
      </c>
      <c r="J1353" s="4">
        <f t="shared" si="21"/>
        <v>1016.96</v>
      </c>
      <c r="K1353" s="179">
        <f>SUMIF(FALTAS!A:A,A1353,FALTAS!D:D)</f>
        <v>0</v>
      </c>
    </row>
    <row r="1354" spans="1:11" x14ac:dyDescent="0.25">
      <c r="A1354" s="235">
        <v>114939</v>
      </c>
      <c r="B1354" s="162" t="s">
        <v>1119</v>
      </c>
      <c r="C1354" s="162" t="s">
        <v>5</v>
      </c>
      <c r="D1354" s="162" t="s">
        <v>1578</v>
      </c>
      <c r="E1354" s="231">
        <v>43916</v>
      </c>
      <c r="F1354" s="162" t="s">
        <v>1229</v>
      </c>
      <c r="G1354" s="231">
        <v>45119</v>
      </c>
      <c r="H1354" s="198">
        <f>SUMIF(VA!B:B,A1354,VA!I:I)</f>
        <v>359.46</v>
      </c>
      <c r="I1354" s="32">
        <f>SUMIF(VR!B:B,A1354,VR!I:I)</f>
        <v>657.5</v>
      </c>
      <c r="J1354" s="4">
        <f t="shared" si="21"/>
        <v>1016.96</v>
      </c>
      <c r="K1354" s="179">
        <f>SUMIF(FALTAS!A:A,A1354,FALTAS!D:D)</f>
        <v>0</v>
      </c>
    </row>
    <row r="1355" spans="1:11" x14ac:dyDescent="0.25">
      <c r="A1355" s="235">
        <v>113034</v>
      </c>
      <c r="B1355" s="162" t="s">
        <v>552</v>
      </c>
      <c r="C1355" s="162" t="s">
        <v>15</v>
      </c>
      <c r="D1355" s="162" t="s">
        <v>1578</v>
      </c>
      <c r="E1355" s="231">
        <v>43617</v>
      </c>
      <c r="F1355" s="162" t="s">
        <v>1229</v>
      </c>
      <c r="G1355" s="231">
        <v>44867</v>
      </c>
      <c r="H1355" s="198">
        <f>SUMIF(VA!B:B,A1355,VA!I:I)</f>
        <v>359.46</v>
      </c>
      <c r="I1355" s="32">
        <f>SUMIF(VR!B:B,A1355,VR!I:I)</f>
        <v>657.5</v>
      </c>
      <c r="J1355" s="4">
        <f t="shared" si="21"/>
        <v>1016.96</v>
      </c>
      <c r="K1355" s="179">
        <f>SUMIF(FALTAS!A:A,A1355,FALTAS!D:D)</f>
        <v>0</v>
      </c>
    </row>
    <row r="1356" spans="1:11" x14ac:dyDescent="0.25">
      <c r="A1356" s="235">
        <v>112498</v>
      </c>
      <c r="B1356" s="162" t="s">
        <v>217</v>
      </c>
      <c r="C1356" s="162" t="s">
        <v>2</v>
      </c>
      <c r="D1356" s="162" t="s">
        <v>8</v>
      </c>
      <c r="E1356" s="231">
        <v>43617</v>
      </c>
      <c r="F1356" s="162" t="s">
        <v>1229</v>
      </c>
      <c r="G1356" s="231">
        <v>45023</v>
      </c>
      <c r="H1356" s="198">
        <f>SUMIF(VA!B:B,A1356,VA!I:I)</f>
        <v>359.46</v>
      </c>
      <c r="I1356" s="32">
        <f>SUMIF(VR!B:B,A1356,VR!I:I)</f>
        <v>657.5</v>
      </c>
      <c r="J1356" s="4">
        <f t="shared" si="21"/>
        <v>1016.96</v>
      </c>
      <c r="K1356" s="179">
        <f>SUMIF(FALTAS!A:A,A1356,FALTAS!D:D)</f>
        <v>0</v>
      </c>
    </row>
    <row r="1357" spans="1:11" x14ac:dyDescent="0.25">
      <c r="A1357" s="235">
        <v>112776</v>
      </c>
      <c r="B1357" s="162" t="s">
        <v>400</v>
      </c>
      <c r="C1357" s="162" t="s">
        <v>2</v>
      </c>
      <c r="D1357" s="162" t="s">
        <v>0</v>
      </c>
      <c r="E1357" s="231">
        <v>43617</v>
      </c>
      <c r="F1357" s="162" t="s">
        <v>1229</v>
      </c>
      <c r="G1357" s="231">
        <v>44835</v>
      </c>
      <c r="H1357" s="198">
        <f>SUMIF(VA!B:B,A1357,VA!I:I)</f>
        <v>359.46</v>
      </c>
      <c r="I1357" s="32">
        <f>SUMIF(VR!B:B,A1357,VR!I:I)</f>
        <v>657.5</v>
      </c>
      <c r="J1357" s="4">
        <f t="shared" si="21"/>
        <v>1016.96</v>
      </c>
      <c r="K1357" s="179">
        <f>SUMIF(FALTAS!A:A,A1357,FALTAS!D:D)</f>
        <v>0</v>
      </c>
    </row>
    <row r="1358" spans="1:11" x14ac:dyDescent="0.25">
      <c r="A1358" s="235">
        <v>112504</v>
      </c>
      <c r="B1358" s="162" t="s">
        <v>222</v>
      </c>
      <c r="C1358" s="162" t="s">
        <v>2</v>
      </c>
      <c r="D1358" s="162" t="s">
        <v>8</v>
      </c>
      <c r="E1358" s="231">
        <v>43617</v>
      </c>
      <c r="F1358" s="162" t="s">
        <v>1229</v>
      </c>
      <c r="G1358" s="231">
        <v>44835</v>
      </c>
      <c r="H1358" s="198">
        <f>SUMIF(VA!B:B,A1358,VA!I:I)</f>
        <v>359.46</v>
      </c>
      <c r="I1358" s="32">
        <f>SUMIF(VR!B:B,A1358,VR!I:I)</f>
        <v>657.5</v>
      </c>
      <c r="J1358" s="4">
        <f t="shared" si="21"/>
        <v>1016.96</v>
      </c>
      <c r="K1358" s="179">
        <f>SUMIF(FALTAS!A:A,A1358,FALTAS!D:D)</f>
        <v>0</v>
      </c>
    </row>
    <row r="1359" spans="1:11" x14ac:dyDescent="0.25">
      <c r="A1359" s="235">
        <v>112507</v>
      </c>
      <c r="B1359" s="162" t="s">
        <v>225</v>
      </c>
      <c r="C1359" s="162" t="s">
        <v>2</v>
      </c>
      <c r="D1359" s="162" t="s">
        <v>8</v>
      </c>
      <c r="E1359" s="231">
        <v>43617</v>
      </c>
      <c r="F1359" s="162" t="s">
        <v>1229</v>
      </c>
      <c r="G1359" s="231">
        <v>44835</v>
      </c>
      <c r="H1359" s="198">
        <f>SUMIF(VA!B:B,A1359,VA!I:I)</f>
        <v>359.46</v>
      </c>
      <c r="I1359" s="32">
        <f>SUMIF(VR!B:B,A1359,VR!I:I)</f>
        <v>657.5</v>
      </c>
      <c r="J1359" s="4">
        <f t="shared" si="21"/>
        <v>1016.96</v>
      </c>
      <c r="K1359" s="179">
        <f>SUMIF(FALTAS!A:A,A1359,FALTAS!D:D)</f>
        <v>0</v>
      </c>
    </row>
    <row r="1360" spans="1:11" x14ac:dyDescent="0.25">
      <c r="A1360" s="235">
        <v>114751</v>
      </c>
      <c r="B1360" s="162" t="s">
        <v>1091</v>
      </c>
      <c r="C1360" s="162" t="s">
        <v>2</v>
      </c>
      <c r="D1360" s="162" t="s">
        <v>0</v>
      </c>
      <c r="E1360" s="231">
        <v>43874</v>
      </c>
      <c r="F1360" s="162" t="s">
        <v>1229</v>
      </c>
      <c r="G1360" s="231">
        <v>44776</v>
      </c>
      <c r="H1360" s="198">
        <f>SUMIF(VA!B:B,A1360,VA!I:I)</f>
        <v>359.46</v>
      </c>
      <c r="I1360" s="32">
        <f>SUMIF(VR!B:B,A1360,VR!I:I)</f>
        <v>657.5</v>
      </c>
      <c r="J1360" s="4">
        <f t="shared" si="21"/>
        <v>1016.96</v>
      </c>
      <c r="K1360" s="179">
        <f>SUMIF(FALTAS!A:A,A1360,FALTAS!D:D)</f>
        <v>0</v>
      </c>
    </row>
    <row r="1361" spans="1:11" x14ac:dyDescent="0.25">
      <c r="A1361" s="235">
        <v>112331</v>
      </c>
      <c r="B1361" s="162" t="s">
        <v>113</v>
      </c>
      <c r="C1361" s="162" t="s">
        <v>2</v>
      </c>
      <c r="D1361" s="162" t="s">
        <v>10</v>
      </c>
      <c r="E1361" s="231">
        <v>43617</v>
      </c>
      <c r="F1361" s="162" t="s">
        <v>1229</v>
      </c>
      <c r="G1361" s="231">
        <v>44835</v>
      </c>
      <c r="H1361" s="198">
        <f>SUMIF(VA!B:B,A1361,VA!I:I)</f>
        <v>359.46</v>
      </c>
      <c r="I1361" s="32">
        <f>SUMIF(VR!B:B,A1361,VR!I:I)</f>
        <v>657.5</v>
      </c>
      <c r="J1361" s="4">
        <f t="shared" si="21"/>
        <v>1016.96</v>
      </c>
      <c r="K1361" s="179">
        <f>SUMIF(FALTAS!A:A,A1361,FALTAS!D:D)</f>
        <v>0</v>
      </c>
    </row>
    <row r="1362" spans="1:11" x14ac:dyDescent="0.25">
      <c r="A1362" s="235">
        <v>112512</v>
      </c>
      <c r="B1362" s="162" t="s">
        <v>229</v>
      </c>
      <c r="C1362" s="162" t="s">
        <v>5</v>
      </c>
      <c r="D1362" s="162" t="s">
        <v>8</v>
      </c>
      <c r="E1362" s="231">
        <v>43617</v>
      </c>
      <c r="F1362" s="162" t="s">
        <v>1229</v>
      </c>
      <c r="G1362" s="231">
        <v>44806</v>
      </c>
      <c r="H1362" s="198">
        <f>SUMIF(VA!B:B,A1362,VA!I:I)</f>
        <v>359.46</v>
      </c>
      <c r="I1362" s="32">
        <f>SUMIF(VR!B:B,A1362,VR!I:I)</f>
        <v>657.5</v>
      </c>
      <c r="J1362" s="4">
        <f t="shared" si="21"/>
        <v>1016.96</v>
      </c>
      <c r="K1362" s="179">
        <f>SUMIF(FALTAS!A:A,A1362,FALTAS!D:D)</f>
        <v>0</v>
      </c>
    </row>
    <row r="1363" spans="1:11" x14ac:dyDescent="0.25">
      <c r="A1363" s="235">
        <v>112779</v>
      </c>
      <c r="B1363" s="162" t="s">
        <v>402</v>
      </c>
      <c r="C1363" s="162" t="s">
        <v>5</v>
      </c>
      <c r="D1363" s="162" t="s">
        <v>1578</v>
      </c>
      <c r="E1363" s="231">
        <v>43617</v>
      </c>
      <c r="F1363" s="162" t="s">
        <v>1229</v>
      </c>
      <c r="G1363" s="231">
        <v>45177</v>
      </c>
      <c r="H1363" s="198">
        <f>SUMIF(VA!B:B,A1363,VA!I:I)</f>
        <v>359.46</v>
      </c>
      <c r="I1363" s="32">
        <f>SUMIF(VR!B:B,A1363,VR!I:I)</f>
        <v>657.5</v>
      </c>
      <c r="J1363" s="4">
        <f t="shared" si="21"/>
        <v>1016.96</v>
      </c>
      <c r="K1363" s="179">
        <f>SUMIF(FALTAS!A:A,A1363,FALTAS!D:D)</f>
        <v>0</v>
      </c>
    </row>
    <row r="1364" spans="1:11" x14ac:dyDescent="0.25">
      <c r="A1364" s="235">
        <v>112782</v>
      </c>
      <c r="B1364" s="162" t="s">
        <v>405</v>
      </c>
      <c r="C1364" s="162" t="s">
        <v>5</v>
      </c>
      <c r="D1364" s="162" t="s">
        <v>0</v>
      </c>
      <c r="E1364" s="231">
        <v>43617</v>
      </c>
      <c r="F1364" s="162" t="s">
        <v>1229</v>
      </c>
      <c r="G1364" s="231">
        <v>45056</v>
      </c>
      <c r="H1364" s="198">
        <f>SUMIF(VA!B:B,A1364,VA!I:I)</f>
        <v>359.46</v>
      </c>
      <c r="I1364" s="32">
        <f>SUMIF(VR!B:B,A1364,VR!I:I)</f>
        <v>657.5</v>
      </c>
      <c r="J1364" s="4">
        <f t="shared" si="21"/>
        <v>1016.96</v>
      </c>
      <c r="K1364" s="179">
        <f>SUMIF(FALTAS!A:A,A1364,FALTAS!D:D)</f>
        <v>0</v>
      </c>
    </row>
    <row r="1365" spans="1:11" x14ac:dyDescent="0.25">
      <c r="A1365" s="235">
        <v>112786</v>
      </c>
      <c r="B1365" s="162" t="s">
        <v>408</v>
      </c>
      <c r="C1365" s="162" t="s">
        <v>5</v>
      </c>
      <c r="D1365" s="162" t="s">
        <v>0</v>
      </c>
      <c r="E1365" s="231">
        <v>43617</v>
      </c>
      <c r="F1365" s="162" t="s">
        <v>1229</v>
      </c>
      <c r="G1365" s="231">
        <v>45023</v>
      </c>
      <c r="H1365" s="198">
        <f>SUMIF(VA!B:B,A1365,VA!I:I)</f>
        <v>359.46</v>
      </c>
      <c r="I1365" s="32">
        <f>SUMIF(VR!B:B,A1365,VR!I:I)</f>
        <v>657.5</v>
      </c>
      <c r="J1365" s="4">
        <f t="shared" si="21"/>
        <v>1016.96</v>
      </c>
      <c r="K1365" s="179">
        <f>SUMIF(FALTAS!A:A,A1365,FALTAS!D:D)</f>
        <v>0</v>
      </c>
    </row>
    <row r="1366" spans="1:11" x14ac:dyDescent="0.25">
      <c r="A1366" s="235">
        <v>122828</v>
      </c>
      <c r="B1366" s="162" t="s">
        <v>1730</v>
      </c>
      <c r="C1366" s="162" t="s">
        <v>5</v>
      </c>
      <c r="D1366" s="162" t="s">
        <v>8</v>
      </c>
      <c r="E1366" s="231">
        <v>45180</v>
      </c>
      <c r="F1366" s="162" t="s">
        <v>1229</v>
      </c>
      <c r="G1366" s="231">
        <v>45180</v>
      </c>
      <c r="H1366" s="198">
        <f>SUMIF(VA!B:B,A1366,VA!I:I)</f>
        <v>359.46</v>
      </c>
      <c r="I1366" s="32">
        <f>SUMIF(VR!B:B,A1366,VR!I:I)</f>
        <v>657.5</v>
      </c>
      <c r="J1366" s="4">
        <f t="shared" si="21"/>
        <v>1016.96</v>
      </c>
      <c r="K1366" s="179">
        <f>SUMIF(FALTAS!A:A,A1366,FALTAS!D:D)</f>
        <v>0</v>
      </c>
    </row>
    <row r="1367" spans="1:11" x14ac:dyDescent="0.25">
      <c r="A1367" s="235">
        <v>116133</v>
      </c>
      <c r="B1367" s="162" t="s">
        <v>1187</v>
      </c>
      <c r="C1367" s="162" t="s">
        <v>205</v>
      </c>
      <c r="D1367" s="162" t="s">
        <v>1578</v>
      </c>
      <c r="E1367" s="231">
        <v>44249</v>
      </c>
      <c r="F1367" s="162" t="s">
        <v>1229</v>
      </c>
      <c r="G1367" s="231">
        <v>45198</v>
      </c>
      <c r="H1367" s="198">
        <f>SUMIF(VA!B:B,A1367,VA!I:I)</f>
        <v>359.46</v>
      </c>
      <c r="I1367" s="32">
        <f>SUMIF(VR!B:B,A1367,VR!I:I)</f>
        <v>657.5</v>
      </c>
      <c r="J1367" s="4">
        <f t="shared" si="21"/>
        <v>1016.96</v>
      </c>
      <c r="K1367" s="179">
        <f>SUMIF(FALTAS!A:A,A1367,FALTAS!D:D)</f>
        <v>0</v>
      </c>
    </row>
    <row r="1368" spans="1:11" x14ac:dyDescent="0.25">
      <c r="A1368" s="235">
        <v>112332</v>
      </c>
      <c r="B1368" s="162" t="s">
        <v>114</v>
      </c>
      <c r="C1368" s="162" t="s">
        <v>2</v>
      </c>
      <c r="D1368" s="162" t="s">
        <v>10</v>
      </c>
      <c r="E1368" s="231">
        <v>43617</v>
      </c>
      <c r="F1368" s="162" t="s">
        <v>1229</v>
      </c>
      <c r="G1368" s="231">
        <v>44835</v>
      </c>
      <c r="H1368" s="198">
        <f>SUMIF(VA!B:B,A1368,VA!I:I)</f>
        <v>359.46</v>
      </c>
      <c r="I1368" s="32">
        <f>SUMIF(VR!B:B,A1368,VR!I:I)</f>
        <v>657.5</v>
      </c>
      <c r="J1368" s="4">
        <f t="shared" si="21"/>
        <v>1016.96</v>
      </c>
      <c r="K1368" s="179">
        <f>SUMIF(FALTAS!A:A,A1368,FALTAS!D:D)</f>
        <v>0</v>
      </c>
    </row>
    <row r="1369" spans="1:11" x14ac:dyDescent="0.25">
      <c r="A1369" s="235">
        <v>112566</v>
      </c>
      <c r="B1369" s="162" t="s">
        <v>268</v>
      </c>
      <c r="C1369" s="162" t="s">
        <v>2</v>
      </c>
      <c r="D1369" s="162" t="s">
        <v>8</v>
      </c>
      <c r="E1369" s="231">
        <v>43617</v>
      </c>
      <c r="F1369" s="162" t="s">
        <v>1229</v>
      </c>
      <c r="G1369" s="231">
        <v>45177</v>
      </c>
      <c r="H1369" s="198">
        <f>SUMIF(VA!B:B,A1369,VA!I:I)</f>
        <v>359.46</v>
      </c>
      <c r="I1369" s="32">
        <f>SUMIF(VR!B:B,A1369,VR!I:I)</f>
        <v>657.5</v>
      </c>
      <c r="J1369" s="4">
        <f t="shared" si="21"/>
        <v>1016.96</v>
      </c>
      <c r="K1369" s="179">
        <f>SUMIF(FALTAS!A:A,A1369,FALTAS!D:D)</f>
        <v>0</v>
      </c>
    </row>
    <row r="1370" spans="1:11" x14ac:dyDescent="0.25">
      <c r="A1370" s="235">
        <v>112569</v>
      </c>
      <c r="B1370" s="162" t="s">
        <v>271</v>
      </c>
      <c r="C1370" s="162" t="s">
        <v>2</v>
      </c>
      <c r="D1370" s="162" t="s">
        <v>8</v>
      </c>
      <c r="E1370" s="231">
        <v>43617</v>
      </c>
      <c r="F1370" s="162" t="s">
        <v>1230</v>
      </c>
      <c r="G1370" s="231">
        <v>45180</v>
      </c>
      <c r="H1370" s="198">
        <f>SUMIF(VA!B:B,A1370,VA!I:I)</f>
        <v>359.46</v>
      </c>
      <c r="I1370" s="32">
        <f>SUMIF(VR!B:B,A1370,VR!I:I)</f>
        <v>657.5</v>
      </c>
      <c r="J1370" s="4">
        <f t="shared" si="21"/>
        <v>1016.96</v>
      </c>
      <c r="K1370" s="179">
        <f>SUMIF(FALTAS!A:A,A1370,FALTAS!D:D)</f>
        <v>0</v>
      </c>
    </row>
    <row r="1371" spans="1:11" x14ac:dyDescent="0.25">
      <c r="A1371" s="235">
        <v>114124</v>
      </c>
      <c r="B1371" s="162" t="s">
        <v>1011</v>
      </c>
      <c r="C1371" s="162" t="s">
        <v>15</v>
      </c>
      <c r="D1371" s="162" t="s">
        <v>1578</v>
      </c>
      <c r="E1371" s="231">
        <v>43739</v>
      </c>
      <c r="F1371" s="162" t="s">
        <v>1229</v>
      </c>
      <c r="G1371" s="231">
        <v>44960</v>
      </c>
      <c r="H1371" s="198">
        <f>SUMIF(VA!B:B,A1371,VA!I:I)</f>
        <v>359.46</v>
      </c>
      <c r="I1371" s="32">
        <f>SUMIF(VR!B:B,A1371,VR!I:I)</f>
        <v>657.5</v>
      </c>
      <c r="J1371" s="4">
        <f t="shared" si="21"/>
        <v>1016.96</v>
      </c>
      <c r="K1371" s="179">
        <f>SUMIF(FALTAS!A:A,A1371,FALTAS!D:D)</f>
        <v>0</v>
      </c>
    </row>
    <row r="1372" spans="1:11" x14ac:dyDescent="0.25">
      <c r="A1372" s="235">
        <v>112814</v>
      </c>
      <c r="B1372" s="162" t="s">
        <v>429</v>
      </c>
      <c r="C1372" s="162" t="s">
        <v>2</v>
      </c>
      <c r="D1372" s="162" t="s">
        <v>0</v>
      </c>
      <c r="E1372" s="231">
        <v>43617</v>
      </c>
      <c r="F1372" s="162" t="s">
        <v>1229</v>
      </c>
      <c r="G1372" s="231">
        <v>44835</v>
      </c>
      <c r="H1372" s="198">
        <f>SUMIF(VA!B:B,A1372,VA!I:I)</f>
        <v>359.46</v>
      </c>
      <c r="I1372" s="32">
        <f>SUMIF(VR!B:B,A1372,VR!I:I)</f>
        <v>657.5</v>
      </c>
      <c r="J1372" s="4">
        <f t="shared" si="21"/>
        <v>1016.96</v>
      </c>
      <c r="K1372" s="179">
        <f>SUMIF(FALTAS!A:A,A1372,FALTAS!D:D)</f>
        <v>0</v>
      </c>
    </row>
    <row r="1373" spans="1:11" x14ac:dyDescent="0.25">
      <c r="A1373" s="235">
        <v>112573</v>
      </c>
      <c r="B1373" s="162" t="s">
        <v>272</v>
      </c>
      <c r="C1373" s="162" t="s">
        <v>5</v>
      </c>
      <c r="D1373" s="162" t="s">
        <v>32</v>
      </c>
      <c r="E1373" s="231">
        <v>43617</v>
      </c>
      <c r="F1373" s="162" t="s">
        <v>1229</v>
      </c>
      <c r="G1373" s="231">
        <v>45119</v>
      </c>
      <c r="H1373" s="198">
        <f>SUMIF(VA!B:B,A1373,VA!I:I)</f>
        <v>359.46</v>
      </c>
      <c r="I1373" s="32">
        <f>SUMIF(VR!B:B,A1373,VR!I:I)</f>
        <v>657.5</v>
      </c>
      <c r="J1373" s="4">
        <f t="shared" si="21"/>
        <v>1016.96</v>
      </c>
      <c r="K1373" s="179">
        <f>SUMIF(FALTAS!A:A,A1373,FALTAS!D:D)</f>
        <v>0</v>
      </c>
    </row>
    <row r="1374" spans="1:11" x14ac:dyDescent="0.25">
      <c r="A1374" s="235">
        <v>112242</v>
      </c>
      <c r="B1374" s="162" t="s">
        <v>59</v>
      </c>
      <c r="C1374" s="162" t="s">
        <v>5</v>
      </c>
      <c r="D1374" s="162" t="s">
        <v>10</v>
      </c>
      <c r="E1374" s="231">
        <v>43617</v>
      </c>
      <c r="F1374" s="162" t="s">
        <v>1229</v>
      </c>
      <c r="G1374" s="231">
        <v>44867</v>
      </c>
      <c r="H1374" s="198">
        <f>SUMIF(VA!B:B,A1374,VA!I:I)</f>
        <v>359.46</v>
      </c>
      <c r="I1374" s="32">
        <f>SUMIF(VR!B:B,A1374,VR!I:I)</f>
        <v>657.5</v>
      </c>
      <c r="J1374" s="4">
        <f t="shared" si="21"/>
        <v>1016.96</v>
      </c>
      <c r="K1374" s="179">
        <f>SUMIF(FALTAS!A:A,A1374,FALTAS!D:D)</f>
        <v>0</v>
      </c>
    </row>
    <row r="1375" spans="1:11" x14ac:dyDescent="0.25">
      <c r="A1375" s="235">
        <v>112795</v>
      </c>
      <c r="B1375" s="162" t="s">
        <v>414</v>
      </c>
      <c r="C1375" s="162" t="s">
        <v>415</v>
      </c>
      <c r="D1375" s="162" t="s">
        <v>1578</v>
      </c>
      <c r="E1375" s="231">
        <v>43617</v>
      </c>
      <c r="F1375" s="162" t="s">
        <v>1229</v>
      </c>
      <c r="G1375" s="231">
        <v>45174</v>
      </c>
      <c r="H1375" s="198">
        <f>SUMIF(VA!B:B,A1375,VA!I:I)</f>
        <v>359.46</v>
      </c>
      <c r="I1375" s="32">
        <f>SUMIF(VR!B:B,A1375,VR!I:I)</f>
        <v>657.5</v>
      </c>
      <c r="J1375" s="4">
        <f t="shared" si="21"/>
        <v>1016.96</v>
      </c>
      <c r="K1375" s="179">
        <f>SUMIF(FALTAS!A:A,A1375,FALTAS!D:D)</f>
        <v>0</v>
      </c>
    </row>
    <row r="1376" spans="1:11" x14ac:dyDescent="0.25">
      <c r="A1376" s="235">
        <v>112333</v>
      </c>
      <c r="B1376" s="162" t="s">
        <v>115</v>
      </c>
      <c r="C1376" s="162" t="s">
        <v>2</v>
      </c>
      <c r="D1376" s="162" t="s">
        <v>8</v>
      </c>
      <c r="E1376" s="231">
        <v>43617</v>
      </c>
      <c r="F1376" s="162" t="s">
        <v>1229</v>
      </c>
      <c r="G1376" s="231">
        <v>44806</v>
      </c>
      <c r="H1376" s="198">
        <f>SUMIF(VA!B:B,A1376,VA!I:I)</f>
        <v>359.46</v>
      </c>
      <c r="I1376" s="32">
        <f>SUMIF(VR!B:B,A1376,VR!I:I)</f>
        <v>657.5</v>
      </c>
      <c r="J1376" s="4">
        <f t="shared" si="21"/>
        <v>1016.96</v>
      </c>
      <c r="K1376" s="179">
        <f>SUMIF(FALTAS!A:A,A1376,FALTAS!D:D)</f>
        <v>0</v>
      </c>
    </row>
    <row r="1377" spans="1:11" x14ac:dyDescent="0.25">
      <c r="A1377" s="235">
        <v>116111</v>
      </c>
      <c r="B1377" s="162" t="s">
        <v>1184</v>
      </c>
      <c r="C1377" s="162" t="s">
        <v>15</v>
      </c>
      <c r="D1377" s="162" t="s">
        <v>1578</v>
      </c>
      <c r="E1377" s="231">
        <v>44236</v>
      </c>
      <c r="F1377" s="162" t="s">
        <v>1229</v>
      </c>
      <c r="G1377" s="231">
        <v>45056</v>
      </c>
      <c r="H1377" s="198">
        <f>SUMIF(VA!B:B,A1377,VA!I:I)</f>
        <v>359.46</v>
      </c>
      <c r="I1377" s="32">
        <f>SUMIF(VR!B:B,A1377,VR!I:I)</f>
        <v>657.5</v>
      </c>
      <c r="J1377" s="4">
        <f t="shared" si="21"/>
        <v>1016.96</v>
      </c>
      <c r="K1377" s="179">
        <f>SUMIF(FALTAS!A:A,A1377,FALTAS!D:D)</f>
        <v>0</v>
      </c>
    </row>
    <row r="1378" spans="1:11" x14ac:dyDescent="0.25">
      <c r="A1378" s="235">
        <v>113725</v>
      </c>
      <c r="B1378" s="162" t="s">
        <v>940</v>
      </c>
      <c r="C1378" s="162" t="s">
        <v>941</v>
      </c>
      <c r="D1378" s="162" t="s">
        <v>1578</v>
      </c>
      <c r="E1378" s="231">
        <v>43619</v>
      </c>
      <c r="F1378" s="162" t="s">
        <v>1229</v>
      </c>
      <c r="G1378" s="231">
        <v>45071</v>
      </c>
      <c r="H1378" s="198">
        <f>SUMIF(VA!B:B,A1378,VA!I:I)</f>
        <v>359.46</v>
      </c>
      <c r="I1378" s="32">
        <f>SUMIF(VR!B:B,A1378,VR!I:I)</f>
        <v>657.5</v>
      </c>
      <c r="J1378" s="4">
        <f t="shared" si="21"/>
        <v>1016.96</v>
      </c>
      <c r="K1378" s="179">
        <f>SUMIF(FALTAS!A:A,A1378,FALTAS!D:D)</f>
        <v>0</v>
      </c>
    </row>
    <row r="1379" spans="1:11" x14ac:dyDescent="0.25">
      <c r="A1379" s="235">
        <v>112579</v>
      </c>
      <c r="B1379" s="162" t="s">
        <v>276</v>
      </c>
      <c r="C1379" s="162" t="s">
        <v>2</v>
      </c>
      <c r="D1379" s="162" t="s">
        <v>19</v>
      </c>
      <c r="E1379" s="231">
        <v>43617</v>
      </c>
      <c r="F1379" s="162" t="s">
        <v>1229</v>
      </c>
      <c r="G1379" s="231">
        <v>44835</v>
      </c>
      <c r="H1379" s="198">
        <f>SUMIF(VA!B:B,A1379,VA!I:I)</f>
        <v>359.46</v>
      </c>
      <c r="I1379" s="32">
        <f>SUMIF(VR!B:B,A1379,VR!I:I)</f>
        <v>657.5</v>
      </c>
      <c r="J1379" s="4">
        <f t="shared" si="21"/>
        <v>1016.96</v>
      </c>
      <c r="K1379" s="179">
        <f>SUMIF(FALTAS!A:A,A1379,FALTAS!D:D)</f>
        <v>0</v>
      </c>
    </row>
    <row r="1380" spans="1:11" x14ac:dyDescent="0.25">
      <c r="A1380" s="235">
        <v>112820</v>
      </c>
      <c r="B1380" s="162" t="s">
        <v>433</v>
      </c>
      <c r="C1380" s="162" t="s">
        <v>22</v>
      </c>
      <c r="D1380" s="162" t="s">
        <v>1578</v>
      </c>
      <c r="E1380" s="231">
        <v>43617</v>
      </c>
      <c r="F1380" s="162" t="s">
        <v>1230</v>
      </c>
      <c r="G1380" s="231">
        <v>45180</v>
      </c>
      <c r="H1380" s="198">
        <f>SUMIF(VA!B:B,A1380,VA!I:I)</f>
        <v>359.46</v>
      </c>
      <c r="I1380" s="32">
        <f>SUMIF(VR!B:B,A1380,VR!I:I)</f>
        <v>657.5</v>
      </c>
      <c r="J1380" s="4">
        <f t="shared" si="21"/>
        <v>1016.96</v>
      </c>
      <c r="K1380" s="179">
        <f>SUMIF(FALTAS!A:A,A1380,FALTAS!D:D)</f>
        <v>0</v>
      </c>
    </row>
    <row r="1381" spans="1:11" x14ac:dyDescent="0.25">
      <c r="A1381" s="235">
        <v>113041</v>
      </c>
      <c r="B1381" s="162" t="s">
        <v>555</v>
      </c>
      <c r="C1381" s="162" t="s">
        <v>15</v>
      </c>
      <c r="D1381" s="162" t="s">
        <v>1578</v>
      </c>
      <c r="E1381" s="231">
        <v>43617</v>
      </c>
      <c r="F1381" s="162" t="s">
        <v>1229</v>
      </c>
      <c r="G1381" s="231">
        <v>45149</v>
      </c>
      <c r="H1381" s="198">
        <f>SUMIF(VA!B:B,A1381,VA!I:I)</f>
        <v>359.46</v>
      </c>
      <c r="I1381" s="32">
        <f>SUMIF(VR!B:B,A1381,VR!I:I)</f>
        <v>657.5</v>
      </c>
      <c r="J1381" s="4">
        <f t="shared" si="21"/>
        <v>1016.96</v>
      </c>
      <c r="K1381" s="179">
        <f>SUMIF(FALTAS!A:A,A1381,FALTAS!D:D)</f>
        <v>0</v>
      </c>
    </row>
    <row r="1382" spans="1:11" x14ac:dyDescent="0.25">
      <c r="A1382" s="235">
        <v>112801</v>
      </c>
      <c r="B1382" s="162" t="s">
        <v>419</v>
      </c>
      <c r="C1382" s="162" t="s">
        <v>412</v>
      </c>
      <c r="D1382" s="162" t="s">
        <v>1578</v>
      </c>
      <c r="E1382" s="231">
        <v>43617</v>
      </c>
      <c r="F1382" s="162" t="s">
        <v>1229</v>
      </c>
      <c r="G1382" s="231">
        <v>44898</v>
      </c>
      <c r="H1382" s="198">
        <f>SUMIF(VA!B:B,A1382,VA!I:I)</f>
        <v>359.46</v>
      </c>
      <c r="I1382" s="32">
        <f>SUMIF(VR!B:B,A1382,VR!I:I)</f>
        <v>657.5</v>
      </c>
      <c r="J1382" s="4">
        <f t="shared" si="21"/>
        <v>1016.96</v>
      </c>
      <c r="K1382" s="179">
        <f>SUMIF(FALTAS!A:A,A1382,FALTAS!D:D)</f>
        <v>0</v>
      </c>
    </row>
    <row r="1383" spans="1:11" x14ac:dyDescent="0.25">
      <c r="A1383" s="235">
        <v>114941</v>
      </c>
      <c r="B1383" s="162" t="s">
        <v>1698</v>
      </c>
      <c r="C1383" s="162" t="s">
        <v>5</v>
      </c>
      <c r="D1383" s="162" t="s">
        <v>1578</v>
      </c>
      <c r="E1383" s="231">
        <v>43916</v>
      </c>
      <c r="F1383" s="162" t="s">
        <v>1229</v>
      </c>
      <c r="G1383" s="231">
        <v>45086</v>
      </c>
      <c r="H1383" s="198">
        <f>SUMIF(VA!B:B,A1383,VA!I:I)</f>
        <v>359.46</v>
      </c>
      <c r="I1383" s="32">
        <f>SUMIF(VR!B:B,A1383,VR!I:I)</f>
        <v>657.5</v>
      </c>
      <c r="J1383" s="4">
        <f t="shared" si="21"/>
        <v>1016.96</v>
      </c>
      <c r="K1383" s="179">
        <f>SUMIF(FALTAS!A:A,A1383,FALTAS!D:D)</f>
        <v>0</v>
      </c>
    </row>
    <row r="1384" spans="1:11" x14ac:dyDescent="0.25">
      <c r="A1384" s="235">
        <v>119342</v>
      </c>
      <c r="B1384" s="162" t="s">
        <v>1451</v>
      </c>
      <c r="C1384" s="162" t="s">
        <v>985</v>
      </c>
      <c r="D1384" s="162" t="s">
        <v>1578</v>
      </c>
      <c r="E1384" s="231">
        <v>44678</v>
      </c>
      <c r="F1384" s="162" t="s">
        <v>1229</v>
      </c>
      <c r="G1384" s="231">
        <v>45147</v>
      </c>
      <c r="H1384" s="198">
        <f>SUMIF(VA!B:B,A1384,VA!I:I)</f>
        <v>359.46</v>
      </c>
      <c r="I1384" s="32">
        <f>SUMIF(VR!B:B,A1384,VR!I:I)</f>
        <v>657.5</v>
      </c>
      <c r="J1384" s="4">
        <f t="shared" si="21"/>
        <v>1016.96</v>
      </c>
      <c r="K1384" s="179">
        <f>SUMIF(FALTAS!A:A,A1384,FALTAS!D:D)</f>
        <v>0</v>
      </c>
    </row>
    <row r="1385" spans="1:11" x14ac:dyDescent="0.25">
      <c r="A1385" s="235">
        <v>114004</v>
      </c>
      <c r="B1385" s="162" t="s">
        <v>994</v>
      </c>
      <c r="C1385" s="162" t="s">
        <v>933</v>
      </c>
      <c r="D1385" s="162" t="s">
        <v>1578</v>
      </c>
      <c r="E1385" s="231">
        <v>43696</v>
      </c>
      <c r="F1385" s="162" t="s">
        <v>1229</v>
      </c>
      <c r="G1385" s="231">
        <v>44993</v>
      </c>
      <c r="H1385" s="198">
        <f>SUMIF(VA!B:B,A1385,VA!I:I)</f>
        <v>359.46</v>
      </c>
      <c r="I1385" s="32">
        <f>SUMIF(VR!B:B,A1385,VR!I:I)</f>
        <v>657.5</v>
      </c>
      <c r="J1385" s="4">
        <f t="shared" si="21"/>
        <v>1016.96</v>
      </c>
      <c r="K1385" s="179">
        <f>SUMIF(FALTAS!A:A,A1385,FALTAS!D:D)</f>
        <v>0</v>
      </c>
    </row>
    <row r="1386" spans="1:11" x14ac:dyDescent="0.25">
      <c r="A1386" s="235">
        <v>112873</v>
      </c>
      <c r="B1386" s="162" t="s">
        <v>465</v>
      </c>
      <c r="C1386" s="162" t="s">
        <v>2</v>
      </c>
      <c r="D1386" s="162" t="s">
        <v>0</v>
      </c>
      <c r="E1386" s="231">
        <v>43617</v>
      </c>
      <c r="F1386" s="162" t="s">
        <v>1229</v>
      </c>
      <c r="G1386" s="231">
        <v>44835</v>
      </c>
      <c r="H1386" s="198">
        <f>SUMIF(VA!B:B,A1386,VA!I:I)</f>
        <v>359.46</v>
      </c>
      <c r="I1386" s="32">
        <f>SUMIF(VR!B:B,A1386,VR!I:I)</f>
        <v>657.5</v>
      </c>
      <c r="J1386" s="4">
        <f t="shared" si="21"/>
        <v>1016.96</v>
      </c>
      <c r="K1386" s="179">
        <f>SUMIF(FALTAS!A:A,A1386,FALTAS!D:D)</f>
        <v>0</v>
      </c>
    </row>
    <row r="1387" spans="1:11" x14ac:dyDescent="0.25">
      <c r="A1387" s="235">
        <v>116322</v>
      </c>
      <c r="B1387" s="162" t="s">
        <v>1203</v>
      </c>
      <c r="C1387" s="162" t="s">
        <v>5</v>
      </c>
      <c r="D1387" s="162" t="s">
        <v>8</v>
      </c>
      <c r="E1387" s="231">
        <v>44308</v>
      </c>
      <c r="F1387" s="162" t="s">
        <v>1229</v>
      </c>
      <c r="G1387" s="231">
        <v>44990</v>
      </c>
      <c r="H1387" s="198">
        <f>SUMIF(VA!B:B,A1387,VA!I:I)</f>
        <v>359.46</v>
      </c>
      <c r="I1387" s="32">
        <f>SUMIF(VR!B:B,A1387,VR!I:I)</f>
        <v>657.5</v>
      </c>
      <c r="J1387" s="4">
        <f t="shared" si="21"/>
        <v>1016.96</v>
      </c>
      <c r="K1387" s="179">
        <f>SUMIF(FALTAS!A:A,A1387,FALTAS!D:D)</f>
        <v>0</v>
      </c>
    </row>
    <row r="1388" spans="1:11" x14ac:dyDescent="0.25">
      <c r="A1388" s="235">
        <v>119118</v>
      </c>
      <c r="B1388" s="162" t="s">
        <v>1443</v>
      </c>
      <c r="C1388" s="162" t="s">
        <v>5</v>
      </c>
      <c r="D1388" s="162" t="s">
        <v>32</v>
      </c>
      <c r="E1388" s="231">
        <v>44630</v>
      </c>
      <c r="F1388" s="162" t="s">
        <v>1229</v>
      </c>
      <c r="G1388" s="231">
        <v>45177</v>
      </c>
      <c r="H1388" s="198">
        <f>SUMIF(VA!B:B,A1388,VA!I:I)</f>
        <v>359.46</v>
      </c>
      <c r="I1388" s="32">
        <f>SUMIF(VR!B:B,A1388,VR!I:I)</f>
        <v>657.5</v>
      </c>
      <c r="J1388" s="4">
        <f t="shared" si="21"/>
        <v>1016.96</v>
      </c>
      <c r="K1388" s="179">
        <f>SUMIF(FALTAS!A:A,A1388,FALTAS!D:D)</f>
        <v>0</v>
      </c>
    </row>
    <row r="1389" spans="1:11" x14ac:dyDescent="0.25">
      <c r="A1389" s="235">
        <v>116653</v>
      </c>
      <c r="B1389" s="162" t="s">
        <v>954</v>
      </c>
      <c r="C1389" s="162" t="s">
        <v>955</v>
      </c>
      <c r="D1389" s="162" t="s">
        <v>1246</v>
      </c>
      <c r="E1389" s="231">
        <v>44370</v>
      </c>
      <c r="F1389" s="162" t="s">
        <v>1229</v>
      </c>
      <c r="G1389" s="231">
        <v>44370</v>
      </c>
      <c r="H1389" s="198">
        <f>SUMIF(VA!B:B,A1389,VA!I:I)</f>
        <v>359.46</v>
      </c>
      <c r="I1389" s="32">
        <f>SUMIF(VR!B:B,A1389,VR!I:I)</f>
        <v>657.5</v>
      </c>
      <c r="J1389" s="4">
        <f t="shared" si="21"/>
        <v>1016.96</v>
      </c>
      <c r="K1389" s="179">
        <f>SUMIF(FALTAS!A:A,A1389,FALTAS!D:D)</f>
        <v>0</v>
      </c>
    </row>
    <row r="1390" spans="1:11" x14ac:dyDescent="0.25">
      <c r="A1390" s="235">
        <v>121952</v>
      </c>
      <c r="B1390" s="162" t="s">
        <v>1619</v>
      </c>
      <c r="C1390" s="162" t="s">
        <v>1456</v>
      </c>
      <c r="D1390" s="162" t="s">
        <v>1580</v>
      </c>
      <c r="E1390" s="231">
        <v>45040</v>
      </c>
      <c r="F1390" s="162" t="s">
        <v>1229</v>
      </c>
      <c r="G1390" s="231">
        <v>45040</v>
      </c>
      <c r="H1390" s="198">
        <f>SUMIF(VA!B:B,A1390,VA!I:I)</f>
        <v>0</v>
      </c>
      <c r="I1390" s="32">
        <f>SUMIF(VR!B:B,A1390,VR!I:I)</f>
        <v>657.5</v>
      </c>
      <c r="J1390" s="4">
        <f t="shared" si="21"/>
        <v>657.5</v>
      </c>
      <c r="K1390" s="179">
        <f>SUMIF(FALTAS!A:A,A1390,FALTAS!D:D)</f>
        <v>0</v>
      </c>
    </row>
    <row r="1391" spans="1:11" x14ac:dyDescent="0.25">
      <c r="A1391" s="235">
        <v>114039</v>
      </c>
      <c r="B1391" s="162" t="s">
        <v>998</v>
      </c>
      <c r="C1391" s="162" t="s">
        <v>5</v>
      </c>
      <c r="D1391" s="162" t="s">
        <v>8</v>
      </c>
      <c r="E1391" s="231">
        <v>43712</v>
      </c>
      <c r="F1391" s="162" t="s">
        <v>1229</v>
      </c>
      <c r="G1391" s="231">
        <v>45119</v>
      </c>
      <c r="H1391" s="198">
        <f>SUMIF(VA!B:B,A1391,VA!I:I)</f>
        <v>347.47</v>
      </c>
      <c r="I1391" s="32">
        <f>SUMIF(VR!B:B,A1391,VR!I:I)</f>
        <v>631.20000000000005</v>
      </c>
      <c r="J1391" s="4">
        <f t="shared" si="21"/>
        <v>978.67000000000007</v>
      </c>
      <c r="K1391" s="179">
        <f>SUMIF(FALTAS!A:A,A1391,FALTAS!D:D)</f>
        <v>1</v>
      </c>
    </row>
    <row r="1392" spans="1:11" x14ac:dyDescent="0.25">
      <c r="A1392" s="235">
        <v>114404</v>
      </c>
      <c r="B1392" s="162" t="s">
        <v>1035</v>
      </c>
      <c r="C1392" s="162" t="s">
        <v>5</v>
      </c>
      <c r="D1392" s="162" t="s">
        <v>0</v>
      </c>
      <c r="E1392" s="231">
        <v>43811</v>
      </c>
      <c r="F1392" s="162" t="s">
        <v>1229</v>
      </c>
      <c r="G1392" s="231">
        <v>45086</v>
      </c>
      <c r="H1392" s="198">
        <f>SUMIF(VA!B:B,A1392,VA!I:I)</f>
        <v>359.46</v>
      </c>
      <c r="I1392" s="32">
        <f>SUMIF(VR!B:B,A1392,VR!I:I)</f>
        <v>657.5</v>
      </c>
      <c r="J1392" s="4">
        <f t="shared" si="21"/>
        <v>1016.96</v>
      </c>
      <c r="K1392" s="179">
        <f>SUMIF(FALTAS!A:A,A1392,FALTAS!D:D)</f>
        <v>0</v>
      </c>
    </row>
    <row r="1393" spans="1:11" x14ac:dyDescent="0.25">
      <c r="A1393" s="235">
        <v>112876</v>
      </c>
      <c r="B1393" s="162" t="s">
        <v>468</v>
      </c>
      <c r="C1393" s="162" t="s">
        <v>469</v>
      </c>
      <c r="D1393" s="162" t="s">
        <v>1580</v>
      </c>
      <c r="E1393" s="231">
        <v>43617</v>
      </c>
      <c r="F1393" s="162" t="s">
        <v>1229</v>
      </c>
      <c r="G1393" s="231">
        <v>44898</v>
      </c>
      <c r="H1393" s="198">
        <f>SUMIF(VA!B:B,A1393,VA!I:I)</f>
        <v>359.46</v>
      </c>
      <c r="I1393" s="32">
        <f>SUMIF(VR!B:B,A1393,VR!I:I)</f>
        <v>657.5</v>
      </c>
      <c r="J1393" s="4">
        <f t="shared" si="21"/>
        <v>1016.96</v>
      </c>
      <c r="K1393" s="179">
        <f>SUMIF(FALTAS!A:A,A1393,FALTAS!D:D)</f>
        <v>0</v>
      </c>
    </row>
    <row r="1394" spans="1:11" x14ac:dyDescent="0.25">
      <c r="A1394" s="235">
        <v>121853</v>
      </c>
      <c r="B1394" s="162" t="s">
        <v>1620</v>
      </c>
      <c r="C1394" s="162" t="s">
        <v>5</v>
      </c>
      <c r="D1394" s="162" t="s">
        <v>19</v>
      </c>
      <c r="E1394" s="231">
        <v>45022</v>
      </c>
      <c r="F1394" s="162" t="s">
        <v>1229</v>
      </c>
      <c r="G1394" s="231">
        <v>45022</v>
      </c>
      <c r="H1394" s="198">
        <f>SUMIF(VA!B:B,A1394,VA!I:I)</f>
        <v>227.65</v>
      </c>
      <c r="I1394" s="32">
        <f>SUMIF(VR!B:B,A1394,VR!I:I)</f>
        <v>368.2</v>
      </c>
      <c r="J1394" s="4">
        <f t="shared" si="21"/>
        <v>595.85</v>
      </c>
      <c r="K1394" s="179">
        <f>SUMIF(FALTAS!A:A,A1394,FALTAS!D:D)</f>
        <v>11</v>
      </c>
    </row>
    <row r="1395" spans="1:11" x14ac:dyDescent="0.25">
      <c r="A1395" s="235">
        <v>122240</v>
      </c>
      <c r="B1395" s="162" t="s">
        <v>1661</v>
      </c>
      <c r="C1395" s="162" t="s">
        <v>15</v>
      </c>
      <c r="D1395" s="162" t="s">
        <v>1578</v>
      </c>
      <c r="E1395" s="231">
        <v>45089</v>
      </c>
      <c r="F1395" s="162" t="s">
        <v>1229</v>
      </c>
      <c r="G1395" s="231">
        <v>45089</v>
      </c>
      <c r="H1395" s="198">
        <f>SUMIF(VA!B:B,A1395,VA!I:I)</f>
        <v>359.46</v>
      </c>
      <c r="I1395" s="32">
        <f>SUMIF(VR!B:B,A1395,VR!I:I)</f>
        <v>657.5</v>
      </c>
      <c r="J1395" s="4">
        <f t="shared" si="21"/>
        <v>1016.96</v>
      </c>
      <c r="K1395" s="179">
        <f>SUMIF(FALTAS!A:A,A1395,FALTAS!D:D)</f>
        <v>0</v>
      </c>
    </row>
    <row r="1396" spans="1:11" x14ac:dyDescent="0.25">
      <c r="A1396" s="235">
        <v>122346</v>
      </c>
      <c r="B1396" s="162" t="s">
        <v>1662</v>
      </c>
      <c r="C1396" s="162" t="s">
        <v>2</v>
      </c>
      <c r="D1396" s="162" t="s">
        <v>8</v>
      </c>
      <c r="E1396" s="231">
        <v>45098</v>
      </c>
      <c r="F1396" s="162" t="s">
        <v>1229</v>
      </c>
      <c r="G1396" s="231">
        <v>45098</v>
      </c>
      <c r="H1396" s="198">
        <f>SUMIF(VA!B:B,A1396,VA!I:I)</f>
        <v>359.46</v>
      </c>
      <c r="I1396" s="32">
        <f>SUMIF(VR!B:B,A1396,VR!I:I)</f>
        <v>657.5</v>
      </c>
      <c r="J1396" s="4">
        <f t="shared" si="21"/>
        <v>1016.96</v>
      </c>
      <c r="K1396" s="179">
        <f>SUMIF(FALTAS!A:A,A1396,FALTAS!D:D)</f>
        <v>0</v>
      </c>
    </row>
    <row r="1397" spans="1:11" x14ac:dyDescent="0.25">
      <c r="A1397" s="235">
        <v>114509</v>
      </c>
      <c r="B1397" s="162" t="s">
        <v>1044</v>
      </c>
      <c r="C1397" s="162" t="s">
        <v>5</v>
      </c>
      <c r="D1397" s="162" t="s">
        <v>0</v>
      </c>
      <c r="E1397" s="231">
        <v>43811</v>
      </c>
      <c r="F1397" s="162" t="s">
        <v>1229</v>
      </c>
      <c r="G1397" s="231">
        <v>45119</v>
      </c>
      <c r="H1397" s="198">
        <f>SUMIF(VA!B:B,A1397,VA!I:I)</f>
        <v>359.46</v>
      </c>
      <c r="I1397" s="32">
        <f>SUMIF(VR!B:B,A1397,VR!I:I)</f>
        <v>657.5</v>
      </c>
      <c r="J1397" s="4">
        <f t="shared" si="21"/>
        <v>1016.96</v>
      </c>
      <c r="K1397" s="179">
        <f>SUMIF(FALTAS!A:A,A1397,FALTAS!D:D)</f>
        <v>0</v>
      </c>
    </row>
    <row r="1398" spans="1:11" x14ac:dyDescent="0.25">
      <c r="A1398" s="235">
        <v>113049</v>
      </c>
      <c r="B1398" s="162" t="s">
        <v>559</v>
      </c>
      <c r="C1398" s="162" t="s">
        <v>15</v>
      </c>
      <c r="D1398" s="162" t="s">
        <v>1578</v>
      </c>
      <c r="E1398" s="231">
        <v>43617</v>
      </c>
      <c r="F1398" s="162" t="s">
        <v>1229</v>
      </c>
      <c r="G1398" s="231">
        <v>44835</v>
      </c>
      <c r="H1398" s="198">
        <f>SUMIF(VA!B:B,A1398,VA!I:I)</f>
        <v>359.46</v>
      </c>
      <c r="I1398" s="32">
        <f>SUMIF(VR!B:B,A1398,VR!I:I)</f>
        <v>657.5</v>
      </c>
      <c r="J1398" s="4">
        <f t="shared" si="21"/>
        <v>1016.96</v>
      </c>
      <c r="K1398" s="179">
        <f>SUMIF(FALTAS!A:A,A1398,FALTAS!D:D)</f>
        <v>0</v>
      </c>
    </row>
    <row r="1399" spans="1:11" x14ac:dyDescent="0.25">
      <c r="A1399" s="235">
        <v>113059</v>
      </c>
      <c r="B1399" s="162" t="s">
        <v>564</v>
      </c>
      <c r="C1399" s="162" t="s">
        <v>15</v>
      </c>
      <c r="D1399" s="162" t="s">
        <v>1578</v>
      </c>
      <c r="E1399" s="231">
        <v>43617</v>
      </c>
      <c r="F1399" s="162" t="s">
        <v>1229</v>
      </c>
      <c r="G1399" s="231">
        <v>44867</v>
      </c>
      <c r="H1399" s="198">
        <f>SUMIF(VA!B:B,A1399,VA!I:I)</f>
        <v>359.46</v>
      </c>
      <c r="I1399" s="32">
        <f>SUMIF(VR!B:B,A1399,VR!I:I)</f>
        <v>657.5</v>
      </c>
      <c r="J1399" s="4">
        <f t="shared" si="21"/>
        <v>1016.96</v>
      </c>
      <c r="K1399" s="179">
        <f>SUMIF(FALTAS!A:A,A1399,FALTAS!D:D)</f>
        <v>0</v>
      </c>
    </row>
    <row r="1400" spans="1:11" x14ac:dyDescent="0.25">
      <c r="A1400" s="235">
        <v>118635</v>
      </c>
      <c r="B1400" s="162" t="s">
        <v>1409</v>
      </c>
      <c r="C1400" s="162" t="s">
        <v>5</v>
      </c>
      <c r="D1400" s="162" t="s">
        <v>0</v>
      </c>
      <c r="E1400" s="231">
        <v>44582</v>
      </c>
      <c r="F1400" s="162" t="s">
        <v>1229</v>
      </c>
      <c r="G1400" s="231">
        <v>44582</v>
      </c>
      <c r="H1400" s="198">
        <f>SUMIF(VA!B:B,A1400,VA!I:I)</f>
        <v>359.46</v>
      </c>
      <c r="I1400" s="32">
        <f>SUMIF(VR!B:B,A1400,VR!I:I)</f>
        <v>657.5</v>
      </c>
      <c r="J1400" s="4">
        <f t="shared" si="21"/>
        <v>1016.96</v>
      </c>
      <c r="K1400" s="179">
        <f>SUMIF(FALTAS!A:A,A1400,FALTAS!D:D)</f>
        <v>0</v>
      </c>
    </row>
    <row r="1401" spans="1:11" x14ac:dyDescent="0.25">
      <c r="A1401" s="235">
        <v>113063</v>
      </c>
      <c r="B1401" s="162" t="s">
        <v>565</v>
      </c>
      <c r="C1401" s="162" t="s">
        <v>15</v>
      </c>
      <c r="D1401" s="162" t="s">
        <v>1578</v>
      </c>
      <c r="E1401" s="231">
        <v>43617</v>
      </c>
      <c r="F1401" s="162" t="s">
        <v>1229</v>
      </c>
      <c r="G1401" s="231">
        <v>45119</v>
      </c>
      <c r="H1401" s="198">
        <f>SUMIF(VA!B:B,A1401,VA!I:I)</f>
        <v>359.46</v>
      </c>
      <c r="I1401" s="32">
        <f>SUMIF(VR!B:B,A1401,VR!I:I)</f>
        <v>657.5</v>
      </c>
      <c r="J1401" s="4">
        <f t="shared" si="21"/>
        <v>1016.96</v>
      </c>
      <c r="K1401" s="179">
        <f>SUMIF(FALTAS!A:A,A1401,FALTAS!D:D)</f>
        <v>0</v>
      </c>
    </row>
    <row r="1402" spans="1:11" x14ac:dyDescent="0.25">
      <c r="A1402" s="235">
        <v>114981</v>
      </c>
      <c r="B1402" s="162" t="s">
        <v>1135</v>
      </c>
      <c r="C1402" s="162" t="s">
        <v>15</v>
      </c>
      <c r="D1402" s="162" t="s">
        <v>1578</v>
      </c>
      <c r="E1402" s="231">
        <v>43917</v>
      </c>
      <c r="F1402" s="162" t="s">
        <v>1229</v>
      </c>
      <c r="G1402" s="231">
        <v>45086</v>
      </c>
      <c r="H1402" s="198">
        <f>SUMIF(VA!B:B,A1402,VA!I:I)</f>
        <v>359.46</v>
      </c>
      <c r="I1402" s="32">
        <f>SUMIF(VR!B:B,A1402,VR!I:I)</f>
        <v>657.5</v>
      </c>
      <c r="J1402" s="4">
        <f t="shared" si="21"/>
        <v>1016.96</v>
      </c>
      <c r="K1402" s="179">
        <f>SUMIF(FALTAS!A:A,A1402,FALTAS!D:D)</f>
        <v>0</v>
      </c>
    </row>
    <row r="1403" spans="1:11" x14ac:dyDescent="0.25">
      <c r="A1403" s="235">
        <v>114943</v>
      </c>
      <c r="B1403" s="162" t="s">
        <v>1122</v>
      </c>
      <c r="C1403" s="162" t="s">
        <v>5</v>
      </c>
      <c r="D1403" s="162" t="s">
        <v>1578</v>
      </c>
      <c r="E1403" s="231">
        <v>43916</v>
      </c>
      <c r="F1403" s="162" t="s">
        <v>1229</v>
      </c>
      <c r="G1403" s="231">
        <v>45149</v>
      </c>
      <c r="H1403" s="198">
        <f>SUMIF(VA!B:B,A1403,VA!I:I)</f>
        <v>359.46</v>
      </c>
      <c r="I1403" s="32">
        <f>SUMIF(VR!B:B,A1403,VR!I:I)</f>
        <v>657.5</v>
      </c>
      <c r="J1403" s="4">
        <f t="shared" si="21"/>
        <v>1016.96</v>
      </c>
      <c r="K1403" s="179">
        <f>SUMIF(FALTAS!A:A,A1403,FALTAS!D:D)</f>
        <v>0</v>
      </c>
    </row>
    <row r="1404" spans="1:11" x14ac:dyDescent="0.25">
      <c r="A1404" s="235">
        <v>122234</v>
      </c>
      <c r="B1404" s="162" t="s">
        <v>1663</v>
      </c>
      <c r="C1404" s="162" t="s">
        <v>15</v>
      </c>
      <c r="D1404" s="162" t="s">
        <v>1578</v>
      </c>
      <c r="E1404" s="231">
        <v>45089</v>
      </c>
      <c r="F1404" s="162" t="s">
        <v>1229</v>
      </c>
      <c r="G1404" s="231">
        <v>45089</v>
      </c>
      <c r="H1404" s="198">
        <f>SUMIF(VA!B:B,A1404,VA!I:I)</f>
        <v>359.46</v>
      </c>
      <c r="I1404" s="32">
        <f>SUMIF(VR!B:B,A1404,VR!I:I)</f>
        <v>657.5</v>
      </c>
      <c r="J1404" s="4">
        <f t="shared" si="21"/>
        <v>1016.96</v>
      </c>
      <c r="K1404" s="179">
        <f>SUMIF(FALTAS!A:A,A1404,FALTAS!D:D)</f>
        <v>0</v>
      </c>
    </row>
    <row r="1405" spans="1:11" x14ac:dyDescent="0.25">
      <c r="A1405" s="235">
        <v>112597</v>
      </c>
      <c r="B1405" s="162" t="s">
        <v>285</v>
      </c>
      <c r="C1405" s="162" t="s">
        <v>2</v>
      </c>
      <c r="D1405" s="162" t="s">
        <v>8</v>
      </c>
      <c r="E1405" s="231">
        <v>43617</v>
      </c>
      <c r="F1405" s="162" t="s">
        <v>1229</v>
      </c>
      <c r="G1405" s="231">
        <v>44835</v>
      </c>
      <c r="H1405" s="198">
        <f>SUMIF(VA!B:B,A1405,VA!I:I)</f>
        <v>359.46</v>
      </c>
      <c r="I1405" s="32">
        <f>SUMIF(VR!B:B,A1405,VR!I:I)</f>
        <v>657.5</v>
      </c>
      <c r="J1405" s="4">
        <f t="shared" si="21"/>
        <v>1016.96</v>
      </c>
      <c r="K1405" s="179">
        <f>SUMIF(FALTAS!A:A,A1405,FALTAS!D:D)</f>
        <v>0</v>
      </c>
    </row>
    <row r="1406" spans="1:11" x14ac:dyDescent="0.25">
      <c r="A1406" s="235">
        <v>112882</v>
      </c>
      <c r="B1406" s="162" t="s">
        <v>473</v>
      </c>
      <c r="C1406" s="162" t="s">
        <v>5</v>
      </c>
      <c r="D1406" s="162" t="s">
        <v>0</v>
      </c>
      <c r="E1406" s="231">
        <v>43617</v>
      </c>
      <c r="F1406" s="162" t="s">
        <v>1229</v>
      </c>
      <c r="G1406" s="231">
        <v>45023</v>
      </c>
      <c r="H1406" s="198">
        <f>SUMIF(VA!B:B,A1406,VA!I:I)</f>
        <v>359.46</v>
      </c>
      <c r="I1406" s="32">
        <f>SUMIF(VR!B:B,A1406,VR!I:I)</f>
        <v>657.5</v>
      </c>
      <c r="J1406" s="4">
        <f t="shared" si="21"/>
        <v>1016.96</v>
      </c>
      <c r="K1406" s="179">
        <f>SUMIF(FALTAS!A:A,A1406,FALTAS!D:D)</f>
        <v>0</v>
      </c>
    </row>
    <row r="1407" spans="1:11" x14ac:dyDescent="0.25">
      <c r="A1407" s="235">
        <v>121684</v>
      </c>
      <c r="B1407" s="162" t="s">
        <v>1592</v>
      </c>
      <c r="C1407" s="162" t="s">
        <v>963</v>
      </c>
      <c r="D1407" s="162" t="s">
        <v>1578</v>
      </c>
      <c r="E1407" s="231">
        <v>44994</v>
      </c>
      <c r="F1407" s="162" t="s">
        <v>1229</v>
      </c>
      <c r="G1407" s="231">
        <v>44994</v>
      </c>
      <c r="H1407" s="198">
        <f>SUMIF(VA!B:B,A1407,VA!I:I)</f>
        <v>359.46</v>
      </c>
      <c r="I1407" s="32">
        <f>SUMIF(VR!B:B,A1407,VR!I:I)</f>
        <v>657.5</v>
      </c>
      <c r="J1407" s="4">
        <f t="shared" si="21"/>
        <v>1016.96</v>
      </c>
      <c r="K1407" s="179">
        <f>SUMIF(FALTAS!A:A,A1407,FALTAS!D:D)</f>
        <v>0</v>
      </c>
    </row>
    <row r="1408" spans="1:11" x14ac:dyDescent="0.25">
      <c r="A1408" s="235">
        <v>112345</v>
      </c>
      <c r="B1408" s="162" t="s">
        <v>122</v>
      </c>
      <c r="C1408" s="162" t="s">
        <v>39</v>
      </c>
      <c r="D1408" s="162" t="s">
        <v>10</v>
      </c>
      <c r="E1408" s="231">
        <v>43617</v>
      </c>
      <c r="F1408" s="162" t="s">
        <v>1229</v>
      </c>
      <c r="G1408" s="231">
        <v>44993</v>
      </c>
      <c r="H1408" s="198">
        <f>SUMIF(VA!B:B,A1408,VA!I:I)</f>
        <v>359.46</v>
      </c>
      <c r="I1408" s="32">
        <f>SUMIF(VR!B:B,A1408,VR!I:I)</f>
        <v>657.5</v>
      </c>
      <c r="J1408" s="4">
        <f t="shared" si="21"/>
        <v>1016.96</v>
      </c>
      <c r="K1408" s="179">
        <f>SUMIF(FALTAS!A:A,A1408,FALTAS!D:D)</f>
        <v>0</v>
      </c>
    </row>
    <row r="1409" spans="1:11" x14ac:dyDescent="0.25">
      <c r="A1409" s="235">
        <v>112599</v>
      </c>
      <c r="B1409" s="162" t="s">
        <v>287</v>
      </c>
      <c r="C1409" s="162" t="s">
        <v>5</v>
      </c>
      <c r="D1409" s="162" t="s">
        <v>19</v>
      </c>
      <c r="E1409" s="231">
        <v>43617</v>
      </c>
      <c r="F1409" s="162" t="s">
        <v>1229</v>
      </c>
      <c r="G1409" s="231">
        <v>44806</v>
      </c>
      <c r="H1409" s="198">
        <f>SUMIF(VA!B:B,A1409,VA!I:I)</f>
        <v>359.46</v>
      </c>
      <c r="I1409" s="32">
        <f>SUMIF(VR!B:B,A1409,VR!I:I)</f>
        <v>657.5</v>
      </c>
      <c r="J1409" s="4">
        <f t="shared" ref="J1409:J1450" si="22">H1409+I1409</f>
        <v>1016.96</v>
      </c>
      <c r="K1409" s="179">
        <f>SUMIF(FALTAS!A:A,A1409,FALTAS!D:D)</f>
        <v>0</v>
      </c>
    </row>
    <row r="1410" spans="1:11" x14ac:dyDescent="0.25">
      <c r="A1410" s="235">
        <v>121324</v>
      </c>
      <c r="B1410" s="162" t="s">
        <v>1539</v>
      </c>
      <c r="C1410" s="162" t="s">
        <v>2</v>
      </c>
      <c r="D1410" s="162" t="s">
        <v>8</v>
      </c>
      <c r="E1410" s="231">
        <v>44945</v>
      </c>
      <c r="F1410" s="162" t="s">
        <v>1229</v>
      </c>
      <c r="G1410" s="231">
        <v>44945</v>
      </c>
      <c r="H1410" s="198">
        <f>SUMIF(VA!B:B,A1410,VA!I:I)</f>
        <v>359.46</v>
      </c>
      <c r="I1410" s="32">
        <f>SUMIF(VR!B:B,A1410,VR!I:I)</f>
        <v>657.5</v>
      </c>
      <c r="J1410" s="4">
        <f t="shared" si="22"/>
        <v>1016.96</v>
      </c>
      <c r="K1410" s="179">
        <f>SUMIF(FALTAS!A:A,A1410,FALTAS!D:D)</f>
        <v>0</v>
      </c>
    </row>
    <row r="1411" spans="1:11" x14ac:dyDescent="0.25">
      <c r="A1411" s="235">
        <v>122333</v>
      </c>
      <c r="B1411" s="162" t="s">
        <v>1664</v>
      </c>
      <c r="C1411" s="162" t="s">
        <v>2</v>
      </c>
      <c r="D1411" s="162" t="s">
        <v>8</v>
      </c>
      <c r="E1411" s="231">
        <v>45098</v>
      </c>
      <c r="F1411" s="162" t="s">
        <v>1229</v>
      </c>
      <c r="G1411" s="231">
        <v>45098</v>
      </c>
      <c r="H1411" s="198">
        <f>SUMIF(VA!B:B,A1411,VA!I:I)</f>
        <v>359.46</v>
      </c>
      <c r="I1411" s="32">
        <f>SUMIF(VR!B:B,A1411,VR!I:I)</f>
        <v>657.5</v>
      </c>
      <c r="J1411" s="4">
        <f t="shared" si="22"/>
        <v>1016.96</v>
      </c>
      <c r="K1411" s="179">
        <f>SUMIF(FALTAS!A:A,A1411,FALTAS!D:D)</f>
        <v>0</v>
      </c>
    </row>
    <row r="1412" spans="1:11" x14ac:dyDescent="0.25">
      <c r="A1412" s="235">
        <v>119936</v>
      </c>
      <c r="B1412" s="162" t="s">
        <v>1486</v>
      </c>
      <c r="C1412" s="162" t="s">
        <v>5</v>
      </c>
      <c r="D1412" s="162" t="s">
        <v>0</v>
      </c>
      <c r="E1412" s="231">
        <v>44760</v>
      </c>
      <c r="F1412" s="162" t="s">
        <v>1229</v>
      </c>
      <c r="G1412" s="231">
        <v>44760</v>
      </c>
      <c r="H1412" s="198">
        <f>SUMIF(VA!B:B,A1412,VA!I:I)</f>
        <v>359.46</v>
      </c>
      <c r="I1412" s="32">
        <f>SUMIF(VR!B:B,A1412,VR!I:I)</f>
        <v>657.5</v>
      </c>
      <c r="J1412" s="4">
        <f t="shared" si="22"/>
        <v>1016.96</v>
      </c>
      <c r="K1412" s="179">
        <f>SUMIF(FALTAS!A:A,A1412,FALTAS!D:D)</f>
        <v>0</v>
      </c>
    </row>
    <row r="1413" spans="1:11" x14ac:dyDescent="0.25">
      <c r="A1413" s="235">
        <v>112888</v>
      </c>
      <c r="B1413" s="162" t="s">
        <v>477</v>
      </c>
      <c r="C1413" s="162" t="s">
        <v>22</v>
      </c>
      <c r="D1413" s="162" t="s">
        <v>1578</v>
      </c>
      <c r="E1413" s="231">
        <v>43617</v>
      </c>
      <c r="F1413" s="162" t="s">
        <v>1229</v>
      </c>
      <c r="G1413" s="231">
        <v>44960</v>
      </c>
      <c r="H1413" s="198">
        <f>SUMIF(VA!B:B,A1413,VA!I:I)</f>
        <v>359.46</v>
      </c>
      <c r="I1413" s="32">
        <f>SUMIF(VR!B:B,A1413,VR!I:I)</f>
        <v>657.5</v>
      </c>
      <c r="J1413" s="4">
        <f t="shared" si="22"/>
        <v>1016.96</v>
      </c>
      <c r="K1413" s="179">
        <f>SUMIF(FALTAS!A:A,A1413,FALTAS!D:D)</f>
        <v>0</v>
      </c>
    </row>
    <row r="1414" spans="1:11" x14ac:dyDescent="0.25">
      <c r="A1414" s="235">
        <v>118053</v>
      </c>
      <c r="B1414" s="162" t="s">
        <v>1410</v>
      </c>
      <c r="C1414" s="162" t="s">
        <v>5</v>
      </c>
      <c r="D1414" s="162" t="s">
        <v>10</v>
      </c>
      <c r="E1414" s="231">
        <v>44567</v>
      </c>
      <c r="F1414" s="162" t="s">
        <v>1229</v>
      </c>
      <c r="G1414" s="231">
        <v>45119</v>
      </c>
      <c r="H1414" s="198">
        <f>SUMIF(VA!B:B,A1414,VA!I:I)</f>
        <v>359.46</v>
      </c>
      <c r="I1414" s="32">
        <f>SUMIF(VR!B:B,A1414,VR!I:I)</f>
        <v>657.5</v>
      </c>
      <c r="J1414" s="4">
        <f t="shared" si="22"/>
        <v>1016.96</v>
      </c>
      <c r="K1414" s="179">
        <f>SUMIF(FALTAS!A:A,A1414,FALTAS!D:D)</f>
        <v>0</v>
      </c>
    </row>
    <row r="1415" spans="1:11" x14ac:dyDescent="0.25">
      <c r="A1415" s="235">
        <v>112607</v>
      </c>
      <c r="B1415" s="162" t="s">
        <v>291</v>
      </c>
      <c r="C1415" s="162" t="s">
        <v>5</v>
      </c>
      <c r="D1415" s="162" t="s">
        <v>8</v>
      </c>
      <c r="E1415" s="231">
        <v>43617</v>
      </c>
      <c r="F1415" s="162" t="s">
        <v>1229</v>
      </c>
      <c r="G1415" s="231">
        <v>44835</v>
      </c>
      <c r="H1415" s="198">
        <f>SUMIF(VA!B:B,A1415,VA!I:I)</f>
        <v>359.46</v>
      </c>
      <c r="I1415" s="32">
        <f>SUMIF(VR!B:B,A1415,VR!I:I)</f>
        <v>657.5</v>
      </c>
      <c r="J1415" s="4">
        <f t="shared" si="22"/>
        <v>1016.96</v>
      </c>
      <c r="K1415" s="179">
        <f>SUMIF(FALTAS!A:A,A1415,FALTAS!D:D)</f>
        <v>0</v>
      </c>
    </row>
    <row r="1416" spans="1:11" x14ac:dyDescent="0.25">
      <c r="A1416" s="235">
        <v>112612</v>
      </c>
      <c r="B1416" s="162" t="s">
        <v>296</v>
      </c>
      <c r="C1416" s="162" t="s">
        <v>5</v>
      </c>
      <c r="D1416" s="162" t="s">
        <v>10</v>
      </c>
      <c r="E1416" s="231">
        <v>43617</v>
      </c>
      <c r="F1416" s="162" t="s">
        <v>1229</v>
      </c>
      <c r="G1416" s="231">
        <v>44960</v>
      </c>
      <c r="H1416" s="198">
        <f>SUMIF(VA!B:B,A1416,VA!I:I)</f>
        <v>359.46</v>
      </c>
      <c r="I1416" s="32">
        <f>SUMIF(VR!B:B,A1416,VR!I:I)</f>
        <v>657.5</v>
      </c>
      <c r="J1416" s="4">
        <f t="shared" si="22"/>
        <v>1016.96</v>
      </c>
      <c r="K1416" s="179">
        <f>SUMIF(FALTAS!A:A,A1416,FALTAS!D:D)</f>
        <v>0</v>
      </c>
    </row>
    <row r="1417" spans="1:11" x14ac:dyDescent="0.25">
      <c r="A1417" s="235">
        <v>121480</v>
      </c>
      <c r="B1417" s="162" t="s">
        <v>1571</v>
      </c>
      <c r="C1417" s="162" t="s">
        <v>5</v>
      </c>
      <c r="D1417" s="162" t="s">
        <v>19</v>
      </c>
      <c r="E1417" s="231">
        <v>44967</v>
      </c>
      <c r="F1417" s="162" t="s">
        <v>1229</v>
      </c>
      <c r="G1417" s="231">
        <v>44967</v>
      </c>
      <c r="H1417" s="198">
        <f>SUMIF(VA!B:B,A1417,VA!I:I)</f>
        <v>359.46</v>
      </c>
      <c r="I1417" s="32">
        <f>SUMIF(VR!B:B,A1417,VR!I:I)</f>
        <v>657.5</v>
      </c>
      <c r="J1417" s="4">
        <f t="shared" si="22"/>
        <v>1016.96</v>
      </c>
      <c r="K1417" s="179">
        <f>SUMIF(FALTAS!A:A,A1417,FALTAS!D:D)</f>
        <v>0</v>
      </c>
    </row>
    <row r="1418" spans="1:11" x14ac:dyDescent="0.25">
      <c r="A1418" s="235">
        <v>112614</v>
      </c>
      <c r="B1418" s="162" t="s">
        <v>298</v>
      </c>
      <c r="C1418" s="162" t="s">
        <v>5</v>
      </c>
      <c r="D1418" s="162" t="s">
        <v>8</v>
      </c>
      <c r="E1418" s="231">
        <v>43617</v>
      </c>
      <c r="F1418" s="162" t="s">
        <v>1229</v>
      </c>
      <c r="G1418" s="231">
        <v>45023</v>
      </c>
      <c r="H1418" s="198">
        <f>SUMIF(VA!B:B,A1418,VA!I:I)</f>
        <v>359.46</v>
      </c>
      <c r="I1418" s="32">
        <f>SUMIF(VR!B:B,A1418,VR!I:I)</f>
        <v>657.5</v>
      </c>
      <c r="J1418" s="4">
        <f t="shared" si="22"/>
        <v>1016.96</v>
      </c>
      <c r="K1418" s="179">
        <f>SUMIF(FALTAS!A:A,A1418,FALTAS!D:D)</f>
        <v>0</v>
      </c>
    </row>
    <row r="1419" spans="1:11" x14ac:dyDescent="0.25">
      <c r="A1419" s="235">
        <v>112354</v>
      </c>
      <c r="B1419" s="162" t="s">
        <v>128</v>
      </c>
      <c r="C1419" s="162" t="s">
        <v>5</v>
      </c>
      <c r="D1419" s="162" t="s">
        <v>10</v>
      </c>
      <c r="E1419" s="231">
        <v>43617</v>
      </c>
      <c r="F1419" s="162" t="s">
        <v>1229</v>
      </c>
      <c r="G1419" s="231">
        <v>44989</v>
      </c>
      <c r="H1419" s="198">
        <f>SUMIF(VA!B:B,A1419,VA!I:I)</f>
        <v>359.46</v>
      </c>
      <c r="I1419" s="32">
        <f>SUMIF(VR!B:B,A1419,VR!I:I)</f>
        <v>657.5</v>
      </c>
      <c r="J1419" s="4">
        <f t="shared" si="22"/>
        <v>1016.96</v>
      </c>
      <c r="K1419" s="179">
        <f>SUMIF(FALTAS!A:A,A1419,FALTAS!D:D)</f>
        <v>0</v>
      </c>
    </row>
    <row r="1420" spans="1:11" x14ac:dyDescent="0.25">
      <c r="A1420" s="235">
        <v>119678</v>
      </c>
      <c r="B1420" s="162" t="s">
        <v>1474</v>
      </c>
      <c r="C1420" s="162" t="s">
        <v>5</v>
      </c>
      <c r="D1420" s="162" t="s">
        <v>19</v>
      </c>
      <c r="E1420" s="231">
        <v>44725</v>
      </c>
      <c r="F1420" s="162" t="s">
        <v>1229</v>
      </c>
      <c r="G1420" s="231">
        <v>44725</v>
      </c>
      <c r="H1420" s="198">
        <f>SUMIF(VA!B:B,A1420,VA!I:I)</f>
        <v>359.46</v>
      </c>
      <c r="I1420" s="32">
        <f>SUMIF(VR!B:B,A1420,VR!I:I)</f>
        <v>657.5</v>
      </c>
      <c r="J1420" s="4">
        <f t="shared" si="22"/>
        <v>1016.96</v>
      </c>
      <c r="K1420" s="179">
        <f>SUMIF(FALTAS!A:A,A1420,FALTAS!D:D)</f>
        <v>0</v>
      </c>
    </row>
    <row r="1421" spans="1:11" x14ac:dyDescent="0.25">
      <c r="A1421" s="235">
        <v>122029</v>
      </c>
      <c r="B1421" s="162" t="s">
        <v>1636</v>
      </c>
      <c r="C1421" s="162" t="s">
        <v>120</v>
      </c>
      <c r="D1421" s="162" t="s">
        <v>1578</v>
      </c>
      <c r="E1421" s="231">
        <v>45054</v>
      </c>
      <c r="F1421" s="162" t="s">
        <v>1229</v>
      </c>
      <c r="G1421" s="231">
        <v>45054</v>
      </c>
      <c r="H1421" s="198">
        <f>SUMIF(VA!B:B,A1421,VA!I:I)</f>
        <v>359.46</v>
      </c>
      <c r="I1421" s="32">
        <f>SUMIF(VR!B:B,A1421,VR!I:I)</f>
        <v>657.5</v>
      </c>
      <c r="J1421" s="4">
        <f t="shared" si="22"/>
        <v>1016.96</v>
      </c>
      <c r="K1421" s="179">
        <f>SUMIF(FALTAS!A:A,A1421,FALTAS!D:D)</f>
        <v>0</v>
      </c>
    </row>
    <row r="1422" spans="1:11" x14ac:dyDescent="0.25">
      <c r="A1422" s="235">
        <v>114360</v>
      </c>
      <c r="B1422" s="162" t="s">
        <v>1033</v>
      </c>
      <c r="C1422" s="162" t="s">
        <v>5</v>
      </c>
      <c r="D1422" s="162" t="s">
        <v>0</v>
      </c>
      <c r="E1422" s="231">
        <v>43811</v>
      </c>
      <c r="F1422" s="162" t="s">
        <v>1230</v>
      </c>
      <c r="G1422" s="231">
        <v>45180</v>
      </c>
      <c r="H1422" s="198">
        <f>SUMIF(VA!B:B,A1422,VA!I:I)</f>
        <v>359.46</v>
      </c>
      <c r="I1422" s="32">
        <f>SUMIF(VR!B:B,A1422,VR!I:I)</f>
        <v>657.5</v>
      </c>
      <c r="J1422" s="4">
        <f t="shared" si="22"/>
        <v>1016.96</v>
      </c>
      <c r="K1422" s="179">
        <f>SUMIF(FALTAS!A:A,A1422,FALTAS!D:D)</f>
        <v>0</v>
      </c>
    </row>
    <row r="1423" spans="1:11" x14ac:dyDescent="0.25">
      <c r="A1423" s="235">
        <v>122554</v>
      </c>
      <c r="B1423" s="162" t="s">
        <v>1699</v>
      </c>
      <c r="C1423" s="162" t="s">
        <v>5</v>
      </c>
      <c r="D1423" s="162" t="s">
        <v>0</v>
      </c>
      <c r="E1423" s="231">
        <v>45131</v>
      </c>
      <c r="F1423" s="162" t="s">
        <v>1229</v>
      </c>
      <c r="G1423" s="231">
        <v>45131</v>
      </c>
      <c r="H1423" s="198">
        <f>SUMIF(VA!B:B,A1423,VA!I:I)</f>
        <v>359.46</v>
      </c>
      <c r="I1423" s="32">
        <f>SUMIF(VR!B:B,A1423,VR!I:I)</f>
        <v>657.5</v>
      </c>
      <c r="J1423" s="4">
        <f t="shared" si="22"/>
        <v>1016.96</v>
      </c>
      <c r="K1423" s="179">
        <f>SUMIF(FALTAS!A:A,A1423,FALTAS!D:D)</f>
        <v>0</v>
      </c>
    </row>
    <row r="1424" spans="1:11" x14ac:dyDescent="0.25">
      <c r="A1424" s="235">
        <v>122553</v>
      </c>
      <c r="B1424" s="162" t="s">
        <v>1700</v>
      </c>
      <c r="C1424" s="162" t="s">
        <v>5</v>
      </c>
      <c r="D1424" s="162" t="s">
        <v>0</v>
      </c>
      <c r="E1424" s="231">
        <v>45131</v>
      </c>
      <c r="F1424" s="162" t="s">
        <v>1229</v>
      </c>
      <c r="G1424" s="231">
        <v>45131</v>
      </c>
      <c r="H1424" s="198">
        <f>SUMIF(VA!B:B,A1424,VA!I:I)</f>
        <v>359.46</v>
      </c>
      <c r="I1424" s="32">
        <f>SUMIF(VR!B:B,A1424,VR!I:I)</f>
        <v>657.5</v>
      </c>
      <c r="J1424" s="4">
        <f t="shared" si="22"/>
        <v>1016.96</v>
      </c>
      <c r="K1424" s="179">
        <f>SUMIF(FALTAS!A:A,A1424,FALTAS!D:D)</f>
        <v>0</v>
      </c>
    </row>
    <row r="1425" spans="1:11" x14ac:dyDescent="0.25">
      <c r="A1425" s="235">
        <v>113074</v>
      </c>
      <c r="B1425" s="162" t="s">
        <v>571</v>
      </c>
      <c r="C1425" s="162" t="s">
        <v>15</v>
      </c>
      <c r="D1425" s="162" t="s">
        <v>1578</v>
      </c>
      <c r="E1425" s="231">
        <v>43617</v>
      </c>
      <c r="F1425" s="162" t="s">
        <v>1229</v>
      </c>
      <c r="G1425" s="231">
        <v>45119</v>
      </c>
      <c r="H1425" s="198">
        <f>SUMIF(VA!B:B,A1425,VA!I:I)</f>
        <v>359.46</v>
      </c>
      <c r="I1425" s="32">
        <f>SUMIF(VR!B:B,A1425,VR!I:I)</f>
        <v>657.5</v>
      </c>
      <c r="J1425" s="4">
        <f t="shared" si="22"/>
        <v>1016.96</v>
      </c>
      <c r="K1425" s="179">
        <f>SUMIF(FALTAS!A:A,A1425,FALTAS!D:D)</f>
        <v>0</v>
      </c>
    </row>
    <row r="1426" spans="1:11" x14ac:dyDescent="0.25">
      <c r="A1426" s="235">
        <v>112363</v>
      </c>
      <c r="B1426" s="162" t="s">
        <v>131</v>
      </c>
      <c r="C1426" s="162" t="s">
        <v>5</v>
      </c>
      <c r="D1426" s="162" t="s">
        <v>10</v>
      </c>
      <c r="E1426" s="231">
        <v>43617</v>
      </c>
      <c r="F1426" s="162" t="s">
        <v>1229</v>
      </c>
      <c r="G1426" s="231">
        <v>44898</v>
      </c>
      <c r="H1426" s="198">
        <f>SUMIF(VA!B:B,A1426,VA!I:I)</f>
        <v>359.46</v>
      </c>
      <c r="I1426" s="32">
        <f>SUMIF(VR!B:B,A1426,VR!I:I)</f>
        <v>657.5</v>
      </c>
      <c r="J1426" s="4">
        <f t="shared" si="22"/>
        <v>1016.96</v>
      </c>
      <c r="K1426" s="179">
        <f>SUMIF(FALTAS!A:A,A1426,FALTAS!D:D)</f>
        <v>0</v>
      </c>
    </row>
    <row r="1427" spans="1:11" x14ac:dyDescent="0.25">
      <c r="A1427" s="235">
        <v>114092</v>
      </c>
      <c r="B1427" s="162" t="s">
        <v>1000</v>
      </c>
      <c r="C1427" s="162" t="s">
        <v>5</v>
      </c>
      <c r="D1427" s="162" t="s">
        <v>19</v>
      </c>
      <c r="E1427" s="231">
        <v>43728</v>
      </c>
      <c r="F1427" s="162" t="s">
        <v>1229</v>
      </c>
      <c r="G1427" s="231">
        <v>45086</v>
      </c>
      <c r="H1427" s="198">
        <f>SUMIF(VA!B:B,A1427,VA!I:I)</f>
        <v>359.46</v>
      </c>
      <c r="I1427" s="32">
        <f>SUMIF(VR!B:B,A1427,VR!I:I)</f>
        <v>657.5</v>
      </c>
      <c r="J1427" s="4">
        <f t="shared" si="22"/>
        <v>1016.96</v>
      </c>
      <c r="K1427" s="179">
        <f>SUMIF(FALTAS!A:A,A1427,FALTAS!D:D)</f>
        <v>0</v>
      </c>
    </row>
    <row r="1428" spans="1:11" x14ac:dyDescent="0.25">
      <c r="A1428" s="235">
        <v>112250</v>
      </c>
      <c r="B1428" s="162" t="s">
        <v>62</v>
      </c>
      <c r="C1428" s="162" t="s">
        <v>5</v>
      </c>
      <c r="D1428" s="162" t="s">
        <v>19</v>
      </c>
      <c r="E1428" s="231">
        <v>43617</v>
      </c>
      <c r="F1428" s="162" t="s">
        <v>1229</v>
      </c>
      <c r="G1428" s="231">
        <v>44776</v>
      </c>
      <c r="H1428" s="198">
        <f>SUMIF(VA!B:B,A1428,VA!I:I)</f>
        <v>359.46</v>
      </c>
      <c r="I1428" s="32">
        <f>SUMIF(VR!B:B,A1428,VR!I:I)</f>
        <v>657.5</v>
      </c>
      <c r="J1428" s="4">
        <f t="shared" si="22"/>
        <v>1016.96</v>
      </c>
      <c r="K1428" s="179">
        <f>SUMIF(FALTAS!A:A,A1428,FALTAS!D:D)</f>
        <v>0</v>
      </c>
    </row>
    <row r="1429" spans="1:11" x14ac:dyDescent="0.25">
      <c r="A1429" s="235">
        <v>112893</v>
      </c>
      <c r="B1429" s="162" t="s">
        <v>481</v>
      </c>
      <c r="C1429" s="162" t="s">
        <v>146</v>
      </c>
      <c r="D1429" s="162" t="s">
        <v>0</v>
      </c>
      <c r="E1429" s="231">
        <v>43617</v>
      </c>
      <c r="F1429" s="162" t="s">
        <v>1229</v>
      </c>
      <c r="G1429" s="231">
        <v>45195</v>
      </c>
      <c r="H1429" s="198">
        <f>SUMIF(VA!B:B,A1429,VA!I:I)</f>
        <v>359.46</v>
      </c>
      <c r="I1429" s="32">
        <f>SUMIF(VR!B:B,A1429,VR!I:I)</f>
        <v>657.5</v>
      </c>
      <c r="J1429" s="4">
        <f t="shared" si="22"/>
        <v>1016.96</v>
      </c>
      <c r="K1429" s="179">
        <f>SUMIF(FALTAS!A:A,A1429,FALTAS!D:D)</f>
        <v>0</v>
      </c>
    </row>
    <row r="1430" spans="1:11" x14ac:dyDescent="0.25">
      <c r="A1430" s="235">
        <v>112896</v>
      </c>
      <c r="B1430" s="162" t="s">
        <v>483</v>
      </c>
      <c r="C1430" s="162" t="s">
        <v>22</v>
      </c>
      <c r="D1430" s="162" t="s">
        <v>1578</v>
      </c>
      <c r="E1430" s="231">
        <v>43617</v>
      </c>
      <c r="F1430" s="162" t="s">
        <v>1229</v>
      </c>
      <c r="G1430" s="231">
        <v>44960</v>
      </c>
      <c r="H1430" s="198">
        <f>SUMIF(VA!B:B,A1430,VA!I:I)</f>
        <v>359.46</v>
      </c>
      <c r="I1430" s="32">
        <f>SUMIF(VR!B:B,A1430,VR!I:I)</f>
        <v>657.5</v>
      </c>
      <c r="J1430" s="4">
        <f t="shared" si="22"/>
        <v>1016.96</v>
      </c>
      <c r="K1430" s="179">
        <f>SUMIF(FALTAS!A:A,A1430,FALTAS!D:D)</f>
        <v>0</v>
      </c>
    </row>
    <row r="1431" spans="1:11" x14ac:dyDescent="0.25">
      <c r="A1431" s="235">
        <v>112368</v>
      </c>
      <c r="B1431" s="162" t="s">
        <v>134</v>
      </c>
      <c r="C1431" s="162" t="s">
        <v>5</v>
      </c>
      <c r="D1431" s="162" t="s">
        <v>10</v>
      </c>
      <c r="E1431" s="231">
        <v>43617</v>
      </c>
      <c r="F1431" s="162" t="s">
        <v>1229</v>
      </c>
      <c r="G1431" s="231">
        <v>44911</v>
      </c>
      <c r="H1431" s="198">
        <f>SUMIF(VA!B:B,A1431,VA!I:I)</f>
        <v>359.46</v>
      </c>
      <c r="I1431" s="32">
        <f>SUMIF(VR!B:B,A1431,VR!I:I)</f>
        <v>657.5</v>
      </c>
      <c r="J1431" s="4">
        <f t="shared" si="22"/>
        <v>1016.96</v>
      </c>
      <c r="K1431" s="179">
        <f>SUMIF(FALTAS!A:A,A1431,FALTAS!D:D)</f>
        <v>0</v>
      </c>
    </row>
    <row r="1432" spans="1:11" x14ac:dyDescent="0.25">
      <c r="A1432" s="235">
        <v>112626</v>
      </c>
      <c r="B1432" s="162" t="s">
        <v>306</v>
      </c>
      <c r="C1432" s="162" t="s">
        <v>5</v>
      </c>
      <c r="D1432" s="162" t="s">
        <v>8</v>
      </c>
      <c r="E1432" s="231">
        <v>43617</v>
      </c>
      <c r="F1432" s="162" t="s">
        <v>1229</v>
      </c>
      <c r="G1432" s="231">
        <v>44806</v>
      </c>
      <c r="H1432" s="198">
        <f>SUMIF(VA!B:B,A1432,VA!I:I)</f>
        <v>359.46</v>
      </c>
      <c r="I1432" s="32">
        <f>SUMIF(VR!B:B,A1432,VR!I:I)</f>
        <v>657.5</v>
      </c>
      <c r="J1432" s="4">
        <f t="shared" si="22"/>
        <v>1016.96</v>
      </c>
      <c r="K1432" s="179">
        <f>SUMIF(FALTAS!A:A,A1432,FALTAS!D:D)</f>
        <v>0</v>
      </c>
    </row>
    <row r="1433" spans="1:11" x14ac:dyDescent="0.25">
      <c r="A1433" s="235">
        <v>113846</v>
      </c>
      <c r="B1433" s="162" t="s">
        <v>984</v>
      </c>
      <c r="C1433" s="162" t="s">
        <v>1444</v>
      </c>
      <c r="D1433" s="162" t="s">
        <v>1580</v>
      </c>
      <c r="E1433" s="231">
        <v>43648</v>
      </c>
      <c r="F1433" s="162" t="s">
        <v>1229</v>
      </c>
      <c r="G1433" s="231">
        <v>45160</v>
      </c>
      <c r="H1433" s="198">
        <f>SUMIF(VA!B:B,A1433,VA!I:I)</f>
        <v>359.46</v>
      </c>
      <c r="I1433" s="32">
        <f>SUMIF(VR!B:B,A1433,VR!I:I)</f>
        <v>657.5</v>
      </c>
      <c r="J1433" s="4">
        <f t="shared" si="22"/>
        <v>1016.96</v>
      </c>
      <c r="K1433" s="179">
        <f>SUMIF(FALTAS!A:A,A1433,FALTAS!D:D)</f>
        <v>0</v>
      </c>
    </row>
    <row r="1434" spans="1:11" x14ac:dyDescent="0.25">
      <c r="A1434" s="235">
        <v>112898</v>
      </c>
      <c r="B1434" s="162" t="s">
        <v>485</v>
      </c>
      <c r="C1434" s="162" t="s">
        <v>22</v>
      </c>
      <c r="D1434" s="162" t="s">
        <v>1578</v>
      </c>
      <c r="E1434" s="231">
        <v>43617</v>
      </c>
      <c r="F1434" s="162" t="s">
        <v>1229</v>
      </c>
      <c r="G1434" s="231">
        <v>45119</v>
      </c>
      <c r="H1434" s="198">
        <f>SUMIF(VA!B:B,A1434,VA!I:I)</f>
        <v>359.46</v>
      </c>
      <c r="I1434" s="32">
        <f>SUMIF(VR!B:B,A1434,VR!I:I)</f>
        <v>657.5</v>
      </c>
      <c r="J1434" s="4">
        <f t="shared" si="22"/>
        <v>1016.96</v>
      </c>
      <c r="K1434" s="179">
        <f>SUMIF(FALTAS!A:A,A1434,FALTAS!D:D)</f>
        <v>0</v>
      </c>
    </row>
    <row r="1435" spans="1:11" x14ac:dyDescent="0.25">
      <c r="A1435" s="235">
        <v>112618</v>
      </c>
      <c r="B1435" s="162" t="s">
        <v>301</v>
      </c>
      <c r="C1435" s="162" t="s">
        <v>146</v>
      </c>
      <c r="D1435" s="162" t="s">
        <v>8</v>
      </c>
      <c r="E1435" s="231">
        <v>43617</v>
      </c>
      <c r="F1435" s="162" t="s">
        <v>1229</v>
      </c>
      <c r="G1435" s="231">
        <v>45177</v>
      </c>
      <c r="H1435" s="198">
        <f>SUMIF(VA!B:B,A1435,VA!I:I)</f>
        <v>359.46</v>
      </c>
      <c r="I1435" s="32">
        <f>SUMIF(VR!B:B,A1435,VR!I:I)</f>
        <v>657.5</v>
      </c>
      <c r="J1435" s="4">
        <f t="shared" si="22"/>
        <v>1016.96</v>
      </c>
      <c r="K1435" s="179">
        <f>SUMIF(FALTAS!A:A,A1435,FALTAS!D:D)</f>
        <v>0</v>
      </c>
    </row>
    <row r="1436" spans="1:11" x14ac:dyDescent="0.25">
      <c r="A1436" s="235">
        <v>112628</v>
      </c>
      <c r="B1436" s="162" t="s">
        <v>307</v>
      </c>
      <c r="C1436" s="162" t="s">
        <v>5</v>
      </c>
      <c r="D1436" s="162" t="s">
        <v>8</v>
      </c>
      <c r="E1436" s="231">
        <v>43617</v>
      </c>
      <c r="F1436" s="162" t="s">
        <v>1229</v>
      </c>
      <c r="G1436" s="231">
        <v>45056</v>
      </c>
      <c r="H1436" s="198">
        <f>SUMIF(VA!B:B,A1436,VA!I:I)</f>
        <v>359.46</v>
      </c>
      <c r="I1436" s="32">
        <f>SUMIF(VR!B:B,A1436,VR!I:I)</f>
        <v>657.5</v>
      </c>
      <c r="J1436" s="4">
        <f t="shared" si="22"/>
        <v>1016.96</v>
      </c>
      <c r="K1436" s="179">
        <f>SUMIF(FALTAS!A:A,A1436,FALTAS!D:D)</f>
        <v>0</v>
      </c>
    </row>
    <row r="1437" spans="1:11" x14ac:dyDescent="0.25">
      <c r="A1437" s="235">
        <v>113932</v>
      </c>
      <c r="B1437" s="162" t="s">
        <v>993</v>
      </c>
      <c r="C1437" s="162" t="s">
        <v>228</v>
      </c>
      <c r="D1437" s="162" t="s">
        <v>1578</v>
      </c>
      <c r="E1437" s="231">
        <v>43683</v>
      </c>
      <c r="F1437" s="162" t="s">
        <v>1229</v>
      </c>
      <c r="G1437" s="231">
        <v>45023</v>
      </c>
      <c r="H1437" s="198">
        <f>SUMIF(VA!B:B,A1437,VA!I:I)</f>
        <v>359.46</v>
      </c>
      <c r="I1437" s="32">
        <f>SUMIF(VR!B:B,A1437,VR!I:I)</f>
        <v>657.5</v>
      </c>
      <c r="J1437" s="4">
        <f t="shared" si="22"/>
        <v>1016.96</v>
      </c>
      <c r="K1437" s="179">
        <f>SUMIF(FALTAS!A:A,A1437,FALTAS!D:D)</f>
        <v>0</v>
      </c>
    </row>
    <row r="1438" spans="1:11" x14ac:dyDescent="0.25">
      <c r="A1438" s="235">
        <v>119110</v>
      </c>
      <c r="B1438" s="162" t="s">
        <v>1445</v>
      </c>
      <c r="C1438" s="162" t="s">
        <v>5</v>
      </c>
      <c r="D1438" s="162" t="s">
        <v>8</v>
      </c>
      <c r="E1438" s="231">
        <v>44630</v>
      </c>
      <c r="F1438" s="162" t="s">
        <v>1229</v>
      </c>
      <c r="G1438" s="231">
        <v>45177</v>
      </c>
      <c r="H1438" s="198">
        <f>SUMIF(VA!B:B,A1438,VA!I:I)</f>
        <v>359.46</v>
      </c>
      <c r="I1438" s="32">
        <f>SUMIF(VR!B:B,A1438,VR!I:I)</f>
        <v>657.5</v>
      </c>
      <c r="J1438" s="4">
        <f t="shared" si="22"/>
        <v>1016.96</v>
      </c>
      <c r="K1438" s="179">
        <f>SUMIF(FALTAS!A:A,A1438,FALTAS!D:D)</f>
        <v>0</v>
      </c>
    </row>
    <row r="1439" spans="1:11" x14ac:dyDescent="0.25">
      <c r="A1439" s="235">
        <v>114265</v>
      </c>
      <c r="B1439" s="162" t="s">
        <v>1026</v>
      </c>
      <c r="C1439" s="162" t="s">
        <v>5</v>
      </c>
      <c r="D1439" s="162" t="s">
        <v>0</v>
      </c>
      <c r="E1439" s="231">
        <v>43804</v>
      </c>
      <c r="F1439" s="162" t="s">
        <v>1229</v>
      </c>
      <c r="G1439" s="231">
        <v>45149</v>
      </c>
      <c r="H1439" s="198">
        <f>SUMIF(VA!B:B,A1439,VA!I:I)</f>
        <v>359.46</v>
      </c>
      <c r="I1439" s="32">
        <f>SUMIF(VR!B:B,A1439,VR!I:I)</f>
        <v>657.5</v>
      </c>
      <c r="J1439" s="4">
        <f t="shared" si="22"/>
        <v>1016.96</v>
      </c>
      <c r="K1439" s="179">
        <f>SUMIF(FALTAS!A:A,A1439,FALTAS!D:D)</f>
        <v>0</v>
      </c>
    </row>
    <row r="1440" spans="1:11" x14ac:dyDescent="0.25">
      <c r="A1440" s="235">
        <v>112905</v>
      </c>
      <c r="B1440" s="162" t="s">
        <v>489</v>
      </c>
      <c r="C1440" s="162" t="s">
        <v>5</v>
      </c>
      <c r="D1440" s="162" t="s">
        <v>0</v>
      </c>
      <c r="E1440" s="231">
        <v>43617</v>
      </c>
      <c r="F1440" s="162" t="s">
        <v>1229</v>
      </c>
      <c r="G1440" s="231">
        <v>44867</v>
      </c>
      <c r="H1440" s="198">
        <f>SUMIF(VA!B:B,A1440,VA!I:I)</f>
        <v>359.46</v>
      </c>
      <c r="I1440" s="32">
        <f>SUMIF(VR!B:B,A1440,VR!I:I)</f>
        <v>657.5</v>
      </c>
      <c r="J1440" s="4">
        <f t="shared" si="22"/>
        <v>1016.96</v>
      </c>
      <c r="K1440" s="179">
        <f>SUMIF(FALTAS!A:A,A1440,FALTAS!D:D)</f>
        <v>0</v>
      </c>
    </row>
    <row r="1441" spans="1:13" x14ac:dyDescent="0.25">
      <c r="A1441" s="235">
        <v>112907</v>
      </c>
      <c r="B1441" s="162" t="s">
        <v>490</v>
      </c>
      <c r="C1441" s="162" t="s">
        <v>22</v>
      </c>
      <c r="D1441" s="162" t="s">
        <v>1578</v>
      </c>
      <c r="E1441" s="231">
        <v>43617</v>
      </c>
      <c r="F1441" s="162" t="s">
        <v>1229</v>
      </c>
      <c r="G1441" s="231">
        <v>45177</v>
      </c>
      <c r="H1441" s="198">
        <f>SUMIF(VA!B:B,A1441,VA!I:I)</f>
        <v>359.46</v>
      </c>
      <c r="I1441" s="32">
        <f>SUMIF(VR!B:B,A1441,VR!I:I)</f>
        <v>657.5</v>
      </c>
      <c r="J1441" s="4">
        <f t="shared" si="22"/>
        <v>1016.96</v>
      </c>
      <c r="K1441" s="179">
        <f>SUMIF(FALTAS!A:A,A1441,FALTAS!D:D)</f>
        <v>0</v>
      </c>
    </row>
    <row r="1442" spans="1:13" x14ac:dyDescent="0.25">
      <c r="A1442" s="235">
        <v>114748</v>
      </c>
      <c r="B1442" s="162" t="s">
        <v>1088</v>
      </c>
      <c r="C1442" s="162" t="s">
        <v>5</v>
      </c>
      <c r="D1442" s="162" t="s">
        <v>0</v>
      </c>
      <c r="E1442" s="231">
        <v>43874</v>
      </c>
      <c r="F1442" s="162" t="s">
        <v>1230</v>
      </c>
      <c r="G1442" s="231">
        <v>45180</v>
      </c>
      <c r="H1442" s="198">
        <f>SUMIF(VA!B:B,A1442,VA!I:I)</f>
        <v>359.46</v>
      </c>
      <c r="I1442" s="32">
        <f>SUMIF(VR!B:B,A1442,VR!I:I)</f>
        <v>657.5</v>
      </c>
      <c r="J1442" s="4">
        <f t="shared" si="22"/>
        <v>1016.96</v>
      </c>
      <c r="K1442" s="179">
        <f>SUMIF(FALTAS!A:A,A1442,FALTAS!D:D)</f>
        <v>0</v>
      </c>
    </row>
    <row r="1443" spans="1:13" x14ac:dyDescent="0.25">
      <c r="A1443" s="235">
        <v>114949</v>
      </c>
      <c r="B1443" s="162" t="s">
        <v>1098</v>
      </c>
      <c r="C1443" s="162" t="s">
        <v>15</v>
      </c>
      <c r="D1443" s="162" t="s">
        <v>1578</v>
      </c>
      <c r="E1443" s="231">
        <v>43916</v>
      </c>
      <c r="F1443" s="162" t="s">
        <v>1229</v>
      </c>
      <c r="G1443" s="231">
        <v>45056</v>
      </c>
      <c r="H1443" s="198">
        <f>SUMIF(VA!B:B,A1443,VA!I:I)</f>
        <v>359.46</v>
      </c>
      <c r="I1443" s="32">
        <f>SUMIF(VR!B:B,A1443,VR!I:I)</f>
        <v>657.5</v>
      </c>
      <c r="J1443" s="4">
        <f t="shared" si="22"/>
        <v>1016.96</v>
      </c>
      <c r="K1443" s="179">
        <f>SUMIF(FALTAS!A:A,A1443,FALTAS!D:D)</f>
        <v>0</v>
      </c>
    </row>
    <row r="1444" spans="1:13" x14ac:dyDescent="0.25">
      <c r="A1444" s="235">
        <v>113883</v>
      </c>
      <c r="B1444" s="162" t="s">
        <v>1247</v>
      </c>
      <c r="C1444" s="162" t="s">
        <v>1248</v>
      </c>
      <c r="D1444" s="162" t="s">
        <v>1246</v>
      </c>
      <c r="E1444" s="231">
        <v>43578</v>
      </c>
      <c r="F1444" s="162" t="s">
        <v>1229</v>
      </c>
      <c r="G1444" s="231">
        <v>43578</v>
      </c>
      <c r="H1444" s="198">
        <f>SUMIF(VA!B:B,A1444,VA!I:I)</f>
        <v>0</v>
      </c>
      <c r="I1444" s="32">
        <f>SUMIF(VR!B:B,A1444,VR!I:I)</f>
        <v>1260</v>
      </c>
      <c r="J1444" s="4">
        <f t="shared" si="22"/>
        <v>1260</v>
      </c>
      <c r="K1444" s="179">
        <f>SUMIF(FALTAS!A:A,A1444,FALTAS!D:D)</f>
        <v>0</v>
      </c>
    </row>
    <row r="1445" spans="1:13" x14ac:dyDescent="0.25">
      <c r="A1445" s="235">
        <v>112376</v>
      </c>
      <c r="B1445" s="162" t="s">
        <v>138</v>
      </c>
      <c r="C1445" s="162" t="s">
        <v>139</v>
      </c>
      <c r="D1445" s="162" t="s">
        <v>1578</v>
      </c>
      <c r="E1445" s="231">
        <v>43617</v>
      </c>
      <c r="F1445" s="162" t="s">
        <v>1229</v>
      </c>
      <c r="G1445" s="231">
        <v>45023</v>
      </c>
      <c r="H1445" s="198">
        <f>SUMIF(VA!B:B,A1445,VA!I:I)</f>
        <v>347.47</v>
      </c>
      <c r="I1445" s="32">
        <f>SUMIF(VR!B:B,A1445,VR!I:I)</f>
        <v>631.20000000000005</v>
      </c>
      <c r="J1445" s="4">
        <f t="shared" si="22"/>
        <v>978.67000000000007</v>
      </c>
      <c r="K1445" s="179">
        <f>SUMIF(FALTAS!A:A,A1445,FALTAS!D:D)</f>
        <v>1</v>
      </c>
    </row>
    <row r="1446" spans="1:13" x14ac:dyDescent="0.25">
      <c r="A1446" s="235">
        <v>112911</v>
      </c>
      <c r="B1446" s="162" t="s">
        <v>493</v>
      </c>
      <c r="C1446" s="162" t="s">
        <v>22</v>
      </c>
      <c r="D1446" s="162" t="s">
        <v>1578</v>
      </c>
      <c r="E1446" s="231">
        <v>43617</v>
      </c>
      <c r="F1446" s="162" t="s">
        <v>1229</v>
      </c>
      <c r="G1446" s="231">
        <v>45177</v>
      </c>
      <c r="H1446" s="198">
        <f>SUMIF(VA!B:B,A1446,VA!I:I)</f>
        <v>359.46</v>
      </c>
      <c r="I1446" s="32">
        <f>SUMIF(VR!B:B,A1446,VR!I:I)</f>
        <v>657.5</v>
      </c>
      <c r="J1446" s="4">
        <f t="shared" si="22"/>
        <v>1016.96</v>
      </c>
      <c r="K1446" s="179">
        <f>SUMIF(FALTAS!A:A,A1446,FALTAS!D:D)</f>
        <v>0</v>
      </c>
    </row>
    <row r="1447" spans="1:13" x14ac:dyDescent="0.25">
      <c r="A1447" s="235">
        <v>112683</v>
      </c>
      <c r="B1447" s="162" t="s">
        <v>338</v>
      </c>
      <c r="C1447" s="162" t="s">
        <v>5</v>
      </c>
      <c r="D1447" s="162" t="s">
        <v>0</v>
      </c>
      <c r="E1447" s="231">
        <v>43617</v>
      </c>
      <c r="F1447" s="162" t="s">
        <v>1230</v>
      </c>
      <c r="G1447" s="231">
        <v>45180</v>
      </c>
      <c r="H1447" s="198">
        <f>SUMIF(VA!B:B,A1447,VA!I:I)</f>
        <v>359.46</v>
      </c>
      <c r="I1447" s="32">
        <f>SUMIF(VR!B:B,A1447,VR!I:I)</f>
        <v>657.5</v>
      </c>
      <c r="J1447" s="4">
        <f t="shared" si="22"/>
        <v>1016.96</v>
      </c>
      <c r="K1447" s="179">
        <f>SUMIF(FALTAS!A:A,A1447,FALTAS!D:D)</f>
        <v>0</v>
      </c>
    </row>
    <row r="1448" spans="1:13" x14ac:dyDescent="0.25">
      <c r="A1448" s="235">
        <v>112805</v>
      </c>
      <c r="B1448" s="162" t="s">
        <v>423</v>
      </c>
      <c r="C1448" s="162" t="s">
        <v>424</v>
      </c>
      <c r="D1448" s="162" t="s">
        <v>1578</v>
      </c>
      <c r="E1448" s="231">
        <v>43617</v>
      </c>
      <c r="F1448" s="162" t="s">
        <v>1229</v>
      </c>
      <c r="G1448" s="231">
        <v>45149</v>
      </c>
      <c r="H1448" s="198">
        <f>SUMIF(VA!B:B,A1448,VA!I:I)</f>
        <v>359.46</v>
      </c>
      <c r="I1448" s="32">
        <f>SUMIF(VR!B:B,A1448,VR!I:I)</f>
        <v>657.5</v>
      </c>
      <c r="J1448" s="4">
        <f t="shared" si="22"/>
        <v>1016.96</v>
      </c>
      <c r="K1448" s="179">
        <f>SUMIF(FALTAS!A:A,A1448,FALTAS!D:D)</f>
        <v>0</v>
      </c>
    </row>
    <row r="1449" spans="1:13" x14ac:dyDescent="0.25">
      <c r="A1449" s="235">
        <v>112685</v>
      </c>
      <c r="B1449" s="162" t="s">
        <v>340</v>
      </c>
      <c r="C1449" s="162" t="s">
        <v>5</v>
      </c>
      <c r="D1449" s="162" t="s">
        <v>10</v>
      </c>
      <c r="E1449" s="231">
        <v>43617</v>
      </c>
      <c r="F1449" s="162" t="s">
        <v>1229</v>
      </c>
      <c r="G1449" s="231">
        <v>44835</v>
      </c>
      <c r="H1449" s="198">
        <f>SUMIF(VA!B:B,A1449,VA!I:I)</f>
        <v>359.46</v>
      </c>
      <c r="I1449" s="32">
        <f>SUMIF(VR!B:B,A1449,VR!I:I)</f>
        <v>657.5</v>
      </c>
      <c r="J1449" s="4">
        <f t="shared" si="22"/>
        <v>1016.96</v>
      </c>
      <c r="K1449" s="179">
        <f>SUMIF(FALTAS!A:A,A1449,FALTAS!D:D)</f>
        <v>0</v>
      </c>
    </row>
    <row r="1450" spans="1:13" ht="11" thickBot="1" x14ac:dyDescent="0.3">
      <c r="A1450" s="236">
        <v>112918</v>
      </c>
      <c r="B1450" s="233" t="s">
        <v>496</v>
      </c>
      <c r="C1450" s="233" t="s">
        <v>22</v>
      </c>
      <c r="D1450" s="233" t="s">
        <v>1578</v>
      </c>
      <c r="E1450" s="234">
        <v>43617</v>
      </c>
      <c r="F1450" s="162" t="s">
        <v>1229</v>
      </c>
      <c r="G1450" s="231">
        <v>44930</v>
      </c>
      <c r="H1450" s="249">
        <f>SUMIF(VA!B:B,A1450,VA!I:I)</f>
        <v>359.46</v>
      </c>
      <c r="I1450" s="32">
        <f>SUMIF(VR!B:B,A1450,VR!I:I)</f>
        <v>657.5</v>
      </c>
      <c r="J1450" s="4">
        <f t="shared" si="22"/>
        <v>1016.96</v>
      </c>
      <c r="K1450" s="179">
        <f>SUMIF(FALTAS!A:A,A1450,FALTAS!D:D)</f>
        <v>0</v>
      </c>
    </row>
    <row r="1451" spans="1:13" s="1" customFormat="1" ht="18.5" thickBot="1" x14ac:dyDescent="0.3">
      <c r="A1451" s="65"/>
      <c r="B1451" s="9"/>
      <c r="C1451" s="9"/>
      <c r="E1451" s="28"/>
      <c r="F1451" s="141"/>
      <c r="G1451" s="28"/>
      <c r="H1451" s="248">
        <f>SUBTOTAL(9,H2:H1450)</f>
        <v>504346.04000001156</v>
      </c>
      <c r="I1451" s="188">
        <f>SUBTOTAL(9,I2:I1450)</f>
        <v>932990.09999999963</v>
      </c>
      <c r="J1451" s="188">
        <f>SUBTOTAL(9,J2:J1450)</f>
        <v>1437336.139999972</v>
      </c>
      <c r="K1451" s="189">
        <f>SUM(K2:K1450)</f>
        <v>178</v>
      </c>
      <c r="M1451" s="266"/>
    </row>
    <row r="1452" spans="1:13" x14ac:dyDescent="0.25">
      <c r="H1452" s="40"/>
      <c r="I1452" s="39"/>
      <c r="J1452" s="39"/>
      <c r="K1452" s="39"/>
    </row>
    <row r="1454" spans="1:13" ht="14.5" x14ac:dyDescent="0.25">
      <c r="A1454" s="34" t="s">
        <v>1225</v>
      </c>
      <c r="B1454" s="35" t="s">
        <v>1227</v>
      </c>
      <c r="C1454" s="35" t="s">
        <v>1228</v>
      </c>
      <c r="D1454" s="35" t="s">
        <v>1226</v>
      </c>
      <c r="E1454" s="36" t="s">
        <v>1446</v>
      </c>
      <c r="F1454" s="142" t="s">
        <v>1303</v>
      </c>
      <c r="G1454" s="36" t="s">
        <v>1446</v>
      </c>
      <c r="H1454" s="54" t="s">
        <v>1296</v>
      </c>
      <c r="I1454" s="54" t="s">
        <v>1296</v>
      </c>
      <c r="J1454" s="55" t="s">
        <v>1447</v>
      </c>
      <c r="K1454" s="39"/>
    </row>
    <row r="1455" spans="1:13" s="79" customFormat="1" ht="13.5" customHeight="1" x14ac:dyDescent="0.25">
      <c r="A1455" s="130">
        <v>113884</v>
      </c>
      <c r="B1455" s="131" t="s">
        <v>1249</v>
      </c>
      <c r="C1455" s="131" t="s">
        <v>1250</v>
      </c>
      <c r="D1455" s="131" t="s">
        <v>1246</v>
      </c>
      <c r="E1455" s="132">
        <v>43663</v>
      </c>
      <c r="F1455" s="143" t="s">
        <v>1665</v>
      </c>
      <c r="G1455" s="132">
        <v>43663</v>
      </c>
      <c r="H1455" s="133">
        <v>1260</v>
      </c>
      <c r="I1455" s="133">
        <v>0</v>
      </c>
      <c r="J1455" s="134">
        <f t="shared" ref="J1455:J1471" si="23">H1455+I1455</f>
        <v>1260</v>
      </c>
      <c r="K1455" s="39"/>
    </row>
    <row r="1456" spans="1:13" s="79" customFormat="1" ht="13.5" customHeight="1" x14ac:dyDescent="0.25">
      <c r="A1456" s="84">
        <v>115814</v>
      </c>
      <c r="B1456" s="85" t="s">
        <v>1163</v>
      </c>
      <c r="C1456" s="85" t="s">
        <v>120</v>
      </c>
      <c r="D1456" s="85" t="s">
        <v>1578</v>
      </c>
      <c r="E1456" s="86">
        <v>44154</v>
      </c>
      <c r="F1456" s="144" t="s">
        <v>1739</v>
      </c>
      <c r="G1456" s="86">
        <v>45170</v>
      </c>
      <c r="H1456" s="87">
        <v>1016.95</v>
      </c>
      <c r="I1456" s="133">
        <v>0</v>
      </c>
      <c r="J1456" s="134">
        <f t="shared" si="23"/>
        <v>1016.95</v>
      </c>
      <c r="K1456" s="39"/>
    </row>
    <row r="1457" spans="1:11" s="79" customFormat="1" ht="13.5" customHeight="1" x14ac:dyDescent="0.25">
      <c r="A1457" s="84">
        <v>112171</v>
      </c>
      <c r="B1457" s="85" t="s">
        <v>4</v>
      </c>
      <c r="C1457" s="85" t="s">
        <v>5</v>
      </c>
      <c r="D1457" s="85" t="s">
        <v>0</v>
      </c>
      <c r="E1457" s="86">
        <v>43617</v>
      </c>
      <c r="F1457" s="144" t="s">
        <v>1740</v>
      </c>
      <c r="G1457" s="86">
        <v>45200</v>
      </c>
      <c r="H1457" s="87">
        <v>38.29</v>
      </c>
      <c r="I1457" s="133"/>
      <c r="J1457" s="134">
        <f t="shared" si="23"/>
        <v>38.29</v>
      </c>
      <c r="K1457" s="39"/>
    </row>
    <row r="1458" spans="1:11" s="79" customFormat="1" ht="13.5" customHeight="1" x14ac:dyDescent="0.25">
      <c r="A1458" s="84">
        <v>119929</v>
      </c>
      <c r="B1458" s="85" t="s">
        <v>1485</v>
      </c>
      <c r="C1458" s="85" t="s">
        <v>5</v>
      </c>
      <c r="D1458" s="85" t="s">
        <v>0</v>
      </c>
      <c r="E1458" s="86">
        <v>44760</v>
      </c>
      <c r="F1458" s="144" t="s">
        <v>1740</v>
      </c>
      <c r="G1458" s="86">
        <v>45200</v>
      </c>
      <c r="H1458" s="87">
        <v>38.29</v>
      </c>
      <c r="I1458" s="133"/>
      <c r="J1458" s="134">
        <f t="shared" si="23"/>
        <v>38.29</v>
      </c>
      <c r="K1458" s="39"/>
    </row>
    <row r="1459" spans="1:11" s="79" customFormat="1" ht="13.5" customHeight="1" x14ac:dyDescent="0.25">
      <c r="A1459" s="84">
        <v>112843</v>
      </c>
      <c r="B1459" s="85" t="s">
        <v>448</v>
      </c>
      <c r="C1459" s="85" t="s">
        <v>5</v>
      </c>
      <c r="D1459" s="85" t="s">
        <v>0</v>
      </c>
      <c r="E1459" s="86">
        <v>43617</v>
      </c>
      <c r="F1459" s="144" t="s">
        <v>1740</v>
      </c>
      <c r="G1459" s="86">
        <v>45200</v>
      </c>
      <c r="H1459" s="87">
        <v>38.29</v>
      </c>
      <c r="I1459" s="133"/>
      <c r="J1459" s="134">
        <f t="shared" si="23"/>
        <v>38.29</v>
      </c>
      <c r="K1459" s="39"/>
    </row>
    <row r="1460" spans="1:11" s="79" customFormat="1" ht="13.5" customHeight="1" x14ac:dyDescent="0.25">
      <c r="A1460" s="84">
        <v>121673</v>
      </c>
      <c r="B1460" s="85" t="s">
        <v>1583</v>
      </c>
      <c r="C1460" s="85" t="s">
        <v>5</v>
      </c>
      <c r="D1460" s="85" t="s">
        <v>0</v>
      </c>
      <c r="E1460" s="86">
        <v>44994</v>
      </c>
      <c r="F1460" s="144" t="s">
        <v>1741</v>
      </c>
      <c r="G1460" s="86">
        <v>45184</v>
      </c>
      <c r="H1460" s="87">
        <v>368.2</v>
      </c>
      <c r="I1460" s="133"/>
      <c r="J1460" s="134">
        <f t="shared" si="23"/>
        <v>368.2</v>
      </c>
      <c r="K1460" s="39"/>
    </row>
    <row r="1461" spans="1:11" s="79" customFormat="1" ht="13.5" customHeight="1" x14ac:dyDescent="0.25">
      <c r="A1461" s="84">
        <v>112930</v>
      </c>
      <c r="B1461" s="85" t="s">
        <v>503</v>
      </c>
      <c r="C1461" s="85" t="s">
        <v>5</v>
      </c>
      <c r="D1461" s="85" t="s">
        <v>10</v>
      </c>
      <c r="E1461" s="86">
        <v>43617</v>
      </c>
      <c r="F1461" s="144" t="s">
        <v>1741</v>
      </c>
      <c r="G1461" s="86">
        <v>45184</v>
      </c>
      <c r="H1461" s="87">
        <v>368.2</v>
      </c>
      <c r="I1461" s="133"/>
      <c r="J1461" s="134">
        <f t="shared" si="23"/>
        <v>368.2</v>
      </c>
      <c r="K1461" s="39"/>
    </row>
    <row r="1462" spans="1:11" s="79" customFormat="1" ht="13.5" customHeight="1" x14ac:dyDescent="0.25">
      <c r="A1462" s="84">
        <v>114101</v>
      </c>
      <c r="B1462" s="85" t="s">
        <v>1004</v>
      </c>
      <c r="C1462" s="85" t="s">
        <v>5</v>
      </c>
      <c r="D1462" s="85" t="s">
        <v>19</v>
      </c>
      <c r="E1462" s="86">
        <v>43728</v>
      </c>
      <c r="F1462" s="144" t="s">
        <v>1741</v>
      </c>
      <c r="G1462" s="86">
        <v>45196</v>
      </c>
      <c r="H1462" s="87">
        <v>105.2</v>
      </c>
      <c r="I1462" s="133"/>
      <c r="J1462" s="134">
        <f t="shared" si="23"/>
        <v>105.2</v>
      </c>
      <c r="K1462" s="39"/>
    </row>
    <row r="1463" spans="1:11" s="79" customFormat="1" ht="13.5" customHeight="1" x14ac:dyDescent="0.25">
      <c r="A1463" s="84">
        <v>116225</v>
      </c>
      <c r="B1463" s="85" t="s">
        <v>1189</v>
      </c>
      <c r="C1463" s="85" t="s">
        <v>5</v>
      </c>
      <c r="D1463" s="85" t="s">
        <v>0</v>
      </c>
      <c r="E1463" s="86">
        <v>44273</v>
      </c>
      <c r="F1463" s="144" t="s">
        <v>1741</v>
      </c>
      <c r="G1463" s="86">
        <v>45129</v>
      </c>
      <c r="H1463" s="87">
        <v>52.6</v>
      </c>
      <c r="I1463" s="133"/>
      <c r="J1463" s="134">
        <f t="shared" si="23"/>
        <v>52.6</v>
      </c>
      <c r="K1463" s="39"/>
    </row>
    <row r="1464" spans="1:11" s="79" customFormat="1" ht="13.5" customHeight="1" x14ac:dyDescent="0.25">
      <c r="A1464" s="84">
        <v>113082</v>
      </c>
      <c r="B1464" s="85" t="s">
        <v>577</v>
      </c>
      <c r="C1464" s="85" t="s">
        <v>2</v>
      </c>
      <c r="D1464" s="85" t="s">
        <v>0</v>
      </c>
      <c r="E1464" s="86">
        <v>43617</v>
      </c>
      <c r="F1464" s="144" t="s">
        <v>1279</v>
      </c>
      <c r="G1464" s="86">
        <v>45128</v>
      </c>
      <c r="H1464" s="87">
        <v>359.46</v>
      </c>
      <c r="I1464" s="133"/>
      <c r="J1464" s="134">
        <f t="shared" si="23"/>
        <v>359.46</v>
      </c>
      <c r="K1464" s="39"/>
    </row>
    <row r="1465" spans="1:11" s="79" customFormat="1" ht="13.5" customHeight="1" x14ac:dyDescent="0.25">
      <c r="A1465" s="84">
        <v>112225</v>
      </c>
      <c r="B1465" s="85" t="s">
        <v>47</v>
      </c>
      <c r="C1465" s="85" t="s">
        <v>5</v>
      </c>
      <c r="D1465" s="85" t="s">
        <v>1578</v>
      </c>
      <c r="E1465" s="86">
        <v>43617</v>
      </c>
      <c r="F1465" s="144" t="s">
        <v>1279</v>
      </c>
      <c r="G1465" s="86">
        <v>45164</v>
      </c>
      <c r="H1465" s="87">
        <v>359.46</v>
      </c>
      <c r="I1465" s="133"/>
      <c r="J1465" s="134">
        <f t="shared" si="23"/>
        <v>359.46</v>
      </c>
      <c r="K1465" s="39"/>
    </row>
    <row r="1466" spans="1:11" s="79" customFormat="1" ht="13.5" customHeight="1" x14ac:dyDescent="0.25">
      <c r="A1466" s="84">
        <v>114616</v>
      </c>
      <c r="B1466" s="85" t="s">
        <v>1060</v>
      </c>
      <c r="C1466" s="85" t="s">
        <v>15</v>
      </c>
      <c r="D1466" s="85" t="s">
        <v>1578</v>
      </c>
      <c r="E1466" s="86">
        <v>43840</v>
      </c>
      <c r="F1466" s="144" t="s">
        <v>1279</v>
      </c>
      <c r="G1466" s="86">
        <v>45171</v>
      </c>
      <c r="H1466" s="87">
        <v>359.46</v>
      </c>
      <c r="I1466" s="133"/>
      <c r="J1466" s="134">
        <f t="shared" si="23"/>
        <v>359.46</v>
      </c>
      <c r="K1466" s="39"/>
    </row>
    <row r="1467" spans="1:11" s="79" customFormat="1" ht="13.5" customHeight="1" x14ac:dyDescent="0.25">
      <c r="A1467" s="84">
        <v>113403</v>
      </c>
      <c r="B1467" s="85" t="s">
        <v>756</v>
      </c>
      <c r="C1467" s="85" t="s">
        <v>2</v>
      </c>
      <c r="D1467" s="85" t="s">
        <v>0</v>
      </c>
      <c r="E1467" s="86">
        <v>43617</v>
      </c>
      <c r="F1467" s="144" t="s">
        <v>1279</v>
      </c>
      <c r="G1467" s="86">
        <v>45141</v>
      </c>
      <c r="H1467" s="87">
        <v>136.75</v>
      </c>
      <c r="I1467" s="133"/>
      <c r="J1467" s="134">
        <f t="shared" si="23"/>
        <v>136.75</v>
      </c>
      <c r="K1467" s="39"/>
    </row>
    <row r="1468" spans="1:11" s="79" customFormat="1" ht="13.5" customHeight="1" x14ac:dyDescent="0.25">
      <c r="A1468" s="84">
        <v>122078</v>
      </c>
      <c r="B1468" s="85" t="s">
        <v>1635</v>
      </c>
      <c r="C1468" s="85" t="s">
        <v>5</v>
      </c>
      <c r="D1468" s="85" t="s">
        <v>8</v>
      </c>
      <c r="E1468" s="86">
        <v>45061</v>
      </c>
      <c r="F1468" s="144" t="s">
        <v>1279</v>
      </c>
      <c r="G1468" s="86">
        <v>45163</v>
      </c>
      <c r="H1468" s="87">
        <v>359.46</v>
      </c>
      <c r="I1468" s="133"/>
      <c r="J1468" s="134">
        <f t="shared" si="23"/>
        <v>359.46</v>
      </c>
      <c r="K1468" s="39"/>
    </row>
    <row r="1469" spans="1:11" s="79" customFormat="1" ht="13.5" customHeight="1" x14ac:dyDescent="0.25">
      <c r="A1469" s="84">
        <v>116389</v>
      </c>
      <c r="B1469" s="85" t="s">
        <v>1212</v>
      </c>
      <c r="C1469" s="85" t="s">
        <v>2</v>
      </c>
      <c r="D1469" s="85" t="s">
        <v>0</v>
      </c>
      <c r="E1469" s="86">
        <v>44328</v>
      </c>
      <c r="F1469" s="144" t="s">
        <v>1279</v>
      </c>
      <c r="G1469" s="86">
        <v>45175</v>
      </c>
      <c r="H1469" s="87">
        <v>359.46</v>
      </c>
      <c r="I1469" s="133"/>
      <c r="J1469" s="134">
        <f t="shared" si="23"/>
        <v>359.46</v>
      </c>
      <c r="K1469" s="39"/>
    </row>
    <row r="1470" spans="1:11" s="79" customFormat="1" ht="13.5" customHeight="1" x14ac:dyDescent="0.25">
      <c r="A1470" s="84">
        <v>113077</v>
      </c>
      <c r="B1470" s="85" t="s">
        <v>573</v>
      </c>
      <c r="C1470" s="85" t="s">
        <v>5</v>
      </c>
      <c r="D1470" s="85" t="s">
        <v>0</v>
      </c>
      <c r="E1470" s="86">
        <v>43617</v>
      </c>
      <c r="F1470" s="144" t="s">
        <v>1279</v>
      </c>
      <c r="G1470" s="86">
        <v>45185</v>
      </c>
      <c r="H1470" s="87">
        <v>359.46</v>
      </c>
      <c r="I1470" s="133"/>
      <c r="J1470" s="134">
        <f t="shared" si="23"/>
        <v>359.46</v>
      </c>
      <c r="K1470" s="39"/>
    </row>
    <row r="1471" spans="1:11" s="79" customFormat="1" ht="13.5" customHeight="1" x14ac:dyDescent="0.25">
      <c r="A1471" s="84">
        <v>120178</v>
      </c>
      <c r="B1471" s="85" t="s">
        <v>1496</v>
      </c>
      <c r="C1471" s="85" t="s">
        <v>5</v>
      </c>
      <c r="D1471" s="85" t="s">
        <v>1578</v>
      </c>
      <c r="E1471" s="86">
        <v>44791</v>
      </c>
      <c r="F1471" s="144" t="s">
        <v>1279</v>
      </c>
      <c r="G1471" s="86">
        <v>45186</v>
      </c>
      <c r="H1471" s="87">
        <v>359.46</v>
      </c>
      <c r="I1471" s="133"/>
      <c r="J1471" s="134">
        <f t="shared" si="23"/>
        <v>359.46</v>
      </c>
      <c r="K1471" s="39"/>
    </row>
    <row r="1472" spans="1:11" s="79" customFormat="1" ht="13.5" customHeight="1" thickBot="1" x14ac:dyDescent="0.3">
      <c r="A1472" s="84"/>
      <c r="B1472" s="85"/>
      <c r="C1472" s="85"/>
      <c r="D1472" s="85"/>
      <c r="E1472" s="86"/>
      <c r="F1472" s="144"/>
      <c r="G1472" s="86"/>
      <c r="H1472" s="87"/>
      <c r="I1472" s="133"/>
      <c r="J1472" s="134"/>
      <c r="K1472" s="39"/>
    </row>
    <row r="1473" spans="8:11" ht="19" thickTop="1" thickBot="1" x14ac:dyDescent="0.3">
      <c r="H1473" s="61">
        <f>SUM(H1455:H1472)</f>
        <v>5938.9899999999989</v>
      </c>
      <c r="I1473" s="61">
        <f>SUBTOTAL(9,I1455:I1472)</f>
        <v>0</v>
      </c>
      <c r="J1473" s="61">
        <f>SUM(J1455:J1472)</f>
        <v>5938.9899999999989</v>
      </c>
      <c r="K1473" s="39"/>
    </row>
    <row r="1474" spans="8:11" ht="11.5" thickTop="1" thickBot="1" x14ac:dyDescent="0.3">
      <c r="H1474" s="40"/>
      <c r="I1474" s="40"/>
      <c r="J1474" s="41"/>
      <c r="K1474" s="39"/>
    </row>
    <row r="1475" spans="8:11" ht="19" thickTop="1" thickBot="1" x14ac:dyDescent="0.3">
      <c r="H1475" s="60">
        <f>H1451+H1473</f>
        <v>510285.03000001155</v>
      </c>
      <c r="I1475" s="60">
        <f>I1451+I1473</f>
        <v>932990.09999999963</v>
      </c>
      <c r="J1475" s="60">
        <f>J1451+J1473</f>
        <v>1443275.1299999719</v>
      </c>
      <c r="K1475" s="39"/>
    </row>
    <row r="1476" spans="8:11" ht="11" thickTop="1" x14ac:dyDescent="0.25">
      <c r="H1476" s="40"/>
      <c r="I1476" s="40"/>
      <c r="J1476" s="41"/>
      <c r="K1476" s="39"/>
    </row>
  </sheetData>
  <autoFilter ref="A1:K1451" xr:uid="{98B53E00-903C-47EF-8DC1-FC83ECB8350F}"/>
  <pageMargins left="0.511811024" right="0.511811024" top="0.78740157499999996" bottom="0.78740157499999996" header="0.31496062000000002" footer="0.31496062000000002"/>
  <pageSetup paperSize="9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74266-BDC8-400B-B854-5AB35CA0155D}">
  <sheetPr codeName="Planilha2"/>
  <dimension ref="A1:I61"/>
  <sheetViews>
    <sheetView workbookViewId="0">
      <pane ySplit="1" topLeftCell="A35" activePane="bottomLeft" state="frozen"/>
      <selection pane="bottomLeft" activeCell="D48" sqref="D48"/>
    </sheetView>
  </sheetViews>
  <sheetFormatPr defaultColWidth="9.1796875" defaultRowHeight="10.5" x14ac:dyDescent="0.25"/>
  <cols>
    <col min="1" max="1" width="10.453125" style="110" customWidth="1"/>
    <col min="2" max="2" width="31.7265625" style="109" customWidth="1"/>
    <col min="3" max="3" width="32.26953125" style="109" bestFit="1" customWidth="1"/>
    <col min="4" max="4" width="9.81640625" style="110" bestFit="1" customWidth="1"/>
    <col min="5" max="5" width="24.7265625" style="109" bestFit="1" customWidth="1"/>
    <col min="6" max="6" width="11.1796875" style="109" customWidth="1"/>
    <col min="7" max="7" width="17.54296875" style="109" bestFit="1" customWidth="1"/>
    <col min="8" max="8" width="22.81640625" style="110" bestFit="1" customWidth="1"/>
    <col min="9" max="9" width="15.1796875" style="109" bestFit="1" customWidth="1"/>
    <col min="10" max="16384" width="9.1796875" style="109"/>
  </cols>
  <sheetData>
    <row r="1" spans="1:9" ht="13" thickBot="1" x14ac:dyDescent="0.3">
      <c r="A1" s="126" t="s">
        <v>1412</v>
      </c>
      <c r="B1" s="244" t="s">
        <v>1414</v>
      </c>
      <c r="C1" s="127" t="s">
        <v>1430</v>
      </c>
      <c r="D1" s="126" t="s">
        <v>1733</v>
      </c>
      <c r="E1" s="128" t="s">
        <v>1734</v>
      </c>
      <c r="G1" s="241" t="s">
        <v>1288</v>
      </c>
      <c r="H1" s="184" t="s">
        <v>1735</v>
      </c>
      <c r="I1"/>
    </row>
    <row r="2" spans="1:9" ht="12.5" x14ac:dyDescent="0.25">
      <c r="A2" s="243">
        <v>112377</v>
      </c>
      <c r="B2" s="199" t="s">
        <v>140</v>
      </c>
      <c r="C2" s="199" t="s">
        <v>39</v>
      </c>
      <c r="D2" s="125">
        <v>1</v>
      </c>
      <c r="E2" s="199" t="e">
        <f>VLOOKUP(A2,[1]QUADRO!$D:$M,7,0)</f>
        <v>#N/A</v>
      </c>
      <c r="G2" s="242" t="s">
        <v>1279</v>
      </c>
      <c r="H2" s="246">
        <v>4</v>
      </c>
      <c r="I2"/>
    </row>
    <row r="3" spans="1:9" ht="12.5" x14ac:dyDescent="0.25">
      <c r="A3" s="243">
        <v>116076</v>
      </c>
      <c r="B3" s="199" t="s">
        <v>1179</v>
      </c>
      <c r="C3" s="199" t="s">
        <v>139</v>
      </c>
      <c r="D3" s="125">
        <v>1</v>
      </c>
      <c r="E3" s="199" t="e">
        <f>VLOOKUP(A3,[1]QUADRO!$D:$M,7,0)</f>
        <v>#N/A</v>
      </c>
      <c r="G3" s="242" t="s">
        <v>1287</v>
      </c>
      <c r="H3" s="247">
        <v>35</v>
      </c>
      <c r="I3"/>
    </row>
    <row r="4" spans="1:9" ht="12.5" x14ac:dyDescent="0.25">
      <c r="A4" s="243">
        <v>121954</v>
      </c>
      <c r="B4" s="199" t="s">
        <v>1601</v>
      </c>
      <c r="C4" s="199" t="s">
        <v>5</v>
      </c>
      <c r="D4" s="125">
        <v>4</v>
      </c>
      <c r="E4" s="199" t="e">
        <f>VLOOKUP(A4,[1]QUADRO!$D:$M,7,0)</f>
        <v>#N/A</v>
      </c>
      <c r="G4" s="242" t="s">
        <v>1229</v>
      </c>
      <c r="H4" s="247">
        <v>167</v>
      </c>
      <c r="I4"/>
    </row>
    <row r="5" spans="1:9" ht="13" thickBot="1" x14ac:dyDescent="0.3">
      <c r="A5" s="243">
        <v>112664</v>
      </c>
      <c r="B5" s="199" t="s">
        <v>326</v>
      </c>
      <c r="C5" s="199" t="s">
        <v>2</v>
      </c>
      <c r="D5" s="125">
        <v>1</v>
      </c>
      <c r="E5" s="199" t="e">
        <f>VLOOKUP(A5,[1]QUADRO!$D:$M,7,0)</f>
        <v>#N/A</v>
      </c>
      <c r="G5" s="242" t="s">
        <v>1230</v>
      </c>
      <c r="H5" s="247">
        <v>7</v>
      </c>
      <c r="I5"/>
    </row>
    <row r="6" spans="1:9" ht="13" thickBot="1" x14ac:dyDescent="0.3">
      <c r="A6" s="243">
        <v>114273</v>
      </c>
      <c r="B6" s="199" t="s">
        <v>1030</v>
      </c>
      <c r="C6" s="199" t="s">
        <v>5</v>
      </c>
      <c r="D6" s="125">
        <v>1</v>
      </c>
      <c r="E6" s="199" t="e">
        <f>VLOOKUP(A6,[1]QUADRO!$D:$M,7,0)</f>
        <v>#N/A</v>
      </c>
      <c r="G6" s="185" t="s">
        <v>1286</v>
      </c>
      <c r="H6" s="184">
        <v>213</v>
      </c>
      <c r="I6"/>
    </row>
    <row r="7" spans="1:9" ht="12.5" x14ac:dyDescent="0.25">
      <c r="A7" s="243">
        <v>118049</v>
      </c>
      <c r="B7" s="199" t="s">
        <v>1576</v>
      </c>
      <c r="C7" s="199" t="s">
        <v>5</v>
      </c>
      <c r="D7" s="125">
        <v>23</v>
      </c>
      <c r="E7" s="199" t="e">
        <f>VLOOKUP(A7,[1]QUADRO!$D:$M,7,0)</f>
        <v>#N/A</v>
      </c>
      <c r="G7"/>
      <c r="H7"/>
      <c r="I7"/>
    </row>
    <row r="8" spans="1:9" ht="12.5" x14ac:dyDescent="0.25">
      <c r="A8" s="243">
        <v>121449</v>
      </c>
      <c r="B8" s="199" t="s">
        <v>1548</v>
      </c>
      <c r="C8" s="199" t="s">
        <v>5</v>
      </c>
      <c r="D8" s="125">
        <v>1</v>
      </c>
      <c r="E8" s="199" t="e">
        <f>VLOOKUP(A8,[1]QUADRO!$D:$M,7,0)</f>
        <v>#N/A</v>
      </c>
      <c r="G8"/>
      <c r="H8"/>
      <c r="I8"/>
    </row>
    <row r="9" spans="1:9" ht="12.5" x14ac:dyDescent="0.25">
      <c r="A9" s="243">
        <v>114685</v>
      </c>
      <c r="B9" s="199" t="s">
        <v>1066</v>
      </c>
      <c r="C9" s="199" t="s">
        <v>2</v>
      </c>
      <c r="D9" s="125">
        <v>1</v>
      </c>
      <c r="E9" s="199" t="e">
        <f>VLOOKUP(A9,[1]QUADRO!$D:$M,7,0)</f>
        <v>#N/A</v>
      </c>
      <c r="G9"/>
      <c r="H9"/>
      <c r="I9"/>
    </row>
    <row r="10" spans="1:9" ht="12.5" x14ac:dyDescent="0.25">
      <c r="A10" s="243">
        <v>118646</v>
      </c>
      <c r="B10" s="199" t="s">
        <v>1393</v>
      </c>
      <c r="C10" s="199" t="s">
        <v>5</v>
      </c>
      <c r="D10" s="125">
        <v>1</v>
      </c>
      <c r="E10" s="199" t="e">
        <f>VLOOKUP(A10,[1]QUADRO!$D:$M,7,0)</f>
        <v>#N/A</v>
      </c>
      <c r="G10"/>
      <c r="H10"/>
      <c r="I10"/>
    </row>
    <row r="11" spans="1:9" ht="12.5" x14ac:dyDescent="0.25">
      <c r="A11" s="243">
        <v>121673</v>
      </c>
      <c r="B11" s="199" t="s">
        <v>1583</v>
      </c>
      <c r="C11" s="199" t="s">
        <v>5</v>
      </c>
      <c r="D11" s="125">
        <v>3</v>
      </c>
      <c r="E11" s="199" t="e">
        <f>VLOOKUP(A11,[1]QUADRO!$D:$M,7,0)</f>
        <v>#N/A</v>
      </c>
      <c r="G11"/>
      <c r="H11"/>
      <c r="I11"/>
    </row>
    <row r="12" spans="1:9" ht="12.5" x14ac:dyDescent="0.25">
      <c r="A12" s="243">
        <v>113549</v>
      </c>
      <c r="B12" s="199" t="s">
        <v>840</v>
      </c>
      <c r="C12" s="199" t="s">
        <v>5</v>
      </c>
      <c r="D12" s="125">
        <v>3</v>
      </c>
      <c r="E12" s="199" t="e">
        <f>VLOOKUP(A12,[1]QUADRO!$D:$M,7,0)</f>
        <v>#N/A</v>
      </c>
      <c r="G12"/>
      <c r="H12"/>
      <c r="I12"/>
    </row>
    <row r="13" spans="1:9" ht="12.5" x14ac:dyDescent="0.25">
      <c r="A13" s="243">
        <v>121849</v>
      </c>
      <c r="B13" s="199" t="s">
        <v>1602</v>
      </c>
      <c r="C13" s="199" t="s">
        <v>5</v>
      </c>
      <c r="D13" s="125">
        <v>1</v>
      </c>
      <c r="E13" s="199" t="e">
        <f>VLOOKUP(A13,[1]QUADRO!$D:$M,7,0)</f>
        <v>#N/A</v>
      </c>
      <c r="G13"/>
      <c r="H13"/>
      <c r="I13"/>
    </row>
    <row r="14" spans="1:9" ht="12.5" x14ac:dyDescent="0.25">
      <c r="A14" s="243">
        <v>114691</v>
      </c>
      <c r="B14" s="199" t="s">
        <v>1068</v>
      </c>
      <c r="C14" s="199" t="s">
        <v>5</v>
      </c>
      <c r="D14" s="125">
        <v>15</v>
      </c>
      <c r="E14" s="199" t="e">
        <f>VLOOKUP(A14,[1]QUADRO!$D:$M,7,0)</f>
        <v>#N/A</v>
      </c>
      <c r="G14"/>
      <c r="H14"/>
      <c r="I14"/>
    </row>
    <row r="15" spans="1:9" ht="12.5" x14ac:dyDescent="0.25">
      <c r="A15" s="243">
        <v>112883</v>
      </c>
      <c r="B15" s="199" t="s">
        <v>474</v>
      </c>
      <c r="C15" s="199" t="s">
        <v>5</v>
      </c>
      <c r="D15" s="125">
        <v>1</v>
      </c>
      <c r="E15" s="199" t="e">
        <f>VLOOKUP(A15,[1]QUADRO!$D:$M,7,0)</f>
        <v>#N/A</v>
      </c>
      <c r="G15"/>
      <c r="H15"/>
      <c r="I15"/>
    </row>
    <row r="16" spans="1:9" ht="12.5" x14ac:dyDescent="0.25">
      <c r="A16" s="243">
        <v>116331</v>
      </c>
      <c r="B16" s="199" t="s">
        <v>1553</v>
      </c>
      <c r="C16" s="199" t="s">
        <v>5</v>
      </c>
      <c r="D16" s="125">
        <v>8</v>
      </c>
      <c r="E16" s="199" t="e">
        <f>VLOOKUP(A16,[1]QUADRO!$D:$M,7,0)</f>
        <v>#N/A</v>
      </c>
      <c r="G16"/>
      <c r="H16"/>
      <c r="I16"/>
    </row>
    <row r="17" spans="1:9" ht="12.5" x14ac:dyDescent="0.25">
      <c r="A17" s="243">
        <v>112956</v>
      </c>
      <c r="B17" s="199" t="s">
        <v>518</v>
      </c>
      <c r="C17" s="199" t="s">
        <v>5</v>
      </c>
      <c r="D17" s="125">
        <v>1</v>
      </c>
      <c r="E17" s="199" t="e">
        <f>VLOOKUP(A17,[1]QUADRO!$D:$M,7,0)</f>
        <v>#N/A</v>
      </c>
      <c r="G17"/>
      <c r="H17"/>
      <c r="I17"/>
    </row>
    <row r="18" spans="1:9" ht="12.5" x14ac:dyDescent="0.25">
      <c r="A18" s="243">
        <v>114500</v>
      </c>
      <c r="B18" s="199" t="s">
        <v>1040</v>
      </c>
      <c r="C18" s="199" t="s">
        <v>5</v>
      </c>
      <c r="D18" s="125">
        <v>1</v>
      </c>
      <c r="E18" s="199" t="e">
        <f>VLOOKUP(A18,[1]QUADRO!$D:$M,7,0)</f>
        <v>#N/A</v>
      </c>
      <c r="G18"/>
      <c r="H18"/>
      <c r="I18"/>
    </row>
    <row r="19" spans="1:9" x14ac:dyDescent="0.25">
      <c r="A19" s="243">
        <v>113498</v>
      </c>
      <c r="B19" s="199" t="s">
        <v>810</v>
      </c>
      <c r="C19" s="199" t="s">
        <v>5</v>
      </c>
      <c r="D19" s="125">
        <v>1</v>
      </c>
      <c r="E19" s="199" t="e">
        <f>VLOOKUP(A19,[1]QUADRO!$D:$M,7,0)</f>
        <v>#N/A</v>
      </c>
    </row>
    <row r="20" spans="1:9" x14ac:dyDescent="0.25">
      <c r="A20" s="243">
        <v>119649</v>
      </c>
      <c r="B20" s="199" t="s">
        <v>1459</v>
      </c>
      <c r="C20" s="199" t="s">
        <v>5</v>
      </c>
      <c r="D20" s="125">
        <v>1</v>
      </c>
      <c r="E20" s="199" t="e">
        <f>VLOOKUP(A20,[1]QUADRO!$D:$M,7,0)</f>
        <v>#N/A</v>
      </c>
    </row>
    <row r="21" spans="1:9" x14ac:dyDescent="0.25">
      <c r="A21" s="243">
        <v>116726</v>
      </c>
      <c r="B21" s="199" t="s">
        <v>1218</v>
      </c>
      <c r="C21" s="199" t="s">
        <v>2</v>
      </c>
      <c r="D21" s="125">
        <v>5</v>
      </c>
      <c r="E21" s="199" t="e">
        <f>VLOOKUP(A21,[1]QUADRO!$D:$M,7,0)</f>
        <v>#N/A</v>
      </c>
    </row>
    <row r="22" spans="1:9" x14ac:dyDescent="0.25">
      <c r="A22" s="243">
        <v>116027</v>
      </c>
      <c r="B22" s="199" t="s">
        <v>1176</v>
      </c>
      <c r="C22" s="199" t="s">
        <v>5</v>
      </c>
      <c r="D22" s="125">
        <v>2</v>
      </c>
      <c r="E22" s="199" t="e">
        <f>VLOOKUP(A22,[1]QUADRO!$D:$M,7,0)</f>
        <v>#N/A</v>
      </c>
    </row>
    <row r="23" spans="1:9" x14ac:dyDescent="0.25">
      <c r="A23" s="243">
        <v>114702</v>
      </c>
      <c r="B23" s="199" t="s">
        <v>1075</v>
      </c>
      <c r="C23" s="199" t="s">
        <v>2</v>
      </c>
      <c r="D23" s="125">
        <v>4</v>
      </c>
      <c r="E23" s="199" t="e">
        <f>VLOOKUP(A23,[1]QUADRO!$D:$M,7,0)</f>
        <v>#N/A</v>
      </c>
    </row>
    <row r="24" spans="1:9" x14ac:dyDescent="0.25">
      <c r="A24" s="243">
        <v>115397</v>
      </c>
      <c r="B24" s="199" t="s">
        <v>1150</v>
      </c>
      <c r="C24" s="199" t="s">
        <v>5</v>
      </c>
      <c r="D24" s="125">
        <v>4</v>
      </c>
      <c r="E24" s="199" t="e">
        <f>VLOOKUP(A24,[1]QUADRO!$D:$M,7,0)</f>
        <v>#N/A</v>
      </c>
    </row>
    <row r="25" spans="1:9" x14ac:dyDescent="0.25">
      <c r="A25" s="243">
        <v>114316</v>
      </c>
      <c r="B25" s="199" t="s">
        <v>1032</v>
      </c>
      <c r="C25" s="199" t="s">
        <v>5</v>
      </c>
      <c r="D25" s="125">
        <v>2</v>
      </c>
      <c r="E25" s="199" t="e">
        <f>VLOOKUP(A25,[1]QUADRO!$D:$M,7,0)</f>
        <v>#N/A</v>
      </c>
    </row>
    <row r="26" spans="1:9" x14ac:dyDescent="0.25">
      <c r="A26" s="243">
        <v>117235</v>
      </c>
      <c r="B26" s="199" t="s">
        <v>1252</v>
      </c>
      <c r="C26" s="199" t="s">
        <v>5</v>
      </c>
      <c r="D26" s="125">
        <v>2</v>
      </c>
      <c r="E26" s="199" t="e">
        <f>VLOOKUP(A26,[1]QUADRO!$D:$M,7,0)</f>
        <v>#N/A</v>
      </c>
    </row>
    <row r="27" spans="1:9" x14ac:dyDescent="0.25">
      <c r="A27" s="243">
        <v>120191</v>
      </c>
      <c r="B27" s="199" t="s">
        <v>1493</v>
      </c>
      <c r="C27" s="199" t="s">
        <v>15</v>
      </c>
      <c r="D27" s="125">
        <v>1</v>
      </c>
      <c r="E27" s="199" t="e">
        <f>VLOOKUP(A27,[1]QUADRO!$D:$M,7,0)</f>
        <v>#N/A</v>
      </c>
    </row>
    <row r="28" spans="1:9" x14ac:dyDescent="0.25">
      <c r="A28" s="243">
        <v>113486</v>
      </c>
      <c r="B28" s="199" t="s">
        <v>804</v>
      </c>
      <c r="C28" s="199" t="s">
        <v>15</v>
      </c>
      <c r="D28" s="125">
        <v>3</v>
      </c>
      <c r="E28" s="199" t="e">
        <f>VLOOKUP(A28,[1]QUADRO!$D:$M,7,0)</f>
        <v>#N/A</v>
      </c>
    </row>
    <row r="29" spans="1:9" x14ac:dyDescent="0.25">
      <c r="A29" s="243">
        <v>121689</v>
      </c>
      <c r="B29" s="199" t="s">
        <v>1587</v>
      </c>
      <c r="C29" s="199" t="s">
        <v>5</v>
      </c>
      <c r="D29" s="125">
        <v>2</v>
      </c>
      <c r="E29" s="199" t="e">
        <f>VLOOKUP(A29,[1]QUADRO!$D:$M,7,0)</f>
        <v>#N/A</v>
      </c>
    </row>
    <row r="30" spans="1:9" x14ac:dyDescent="0.25">
      <c r="A30" s="243">
        <v>118059</v>
      </c>
      <c r="B30" s="199" t="s">
        <v>1424</v>
      </c>
      <c r="C30" s="199" t="s">
        <v>5</v>
      </c>
      <c r="D30" s="125">
        <v>1</v>
      </c>
      <c r="E30" s="199" t="e">
        <f>VLOOKUP(A30,[1]QUADRO!$D:$M,7,0)</f>
        <v>#N/A</v>
      </c>
    </row>
    <row r="31" spans="1:9" x14ac:dyDescent="0.25">
      <c r="A31" s="243">
        <v>112303</v>
      </c>
      <c r="B31" s="199" t="s">
        <v>99</v>
      </c>
      <c r="C31" s="199" t="s">
        <v>2</v>
      </c>
      <c r="D31" s="125">
        <v>1</v>
      </c>
      <c r="E31" s="199" t="e">
        <f>VLOOKUP(A31,[1]QUADRO!$D:$M,7,0)</f>
        <v>#N/A</v>
      </c>
    </row>
    <row r="32" spans="1:9" x14ac:dyDescent="0.25">
      <c r="A32" s="243">
        <v>113081</v>
      </c>
      <c r="B32" s="199" t="s">
        <v>576</v>
      </c>
      <c r="C32" s="199" t="s">
        <v>5</v>
      </c>
      <c r="D32" s="125">
        <v>1</v>
      </c>
      <c r="E32" s="199" t="e">
        <f>VLOOKUP(A32,[1]QUADRO!$D:$M,7,0)</f>
        <v>#N/A</v>
      </c>
    </row>
    <row r="33" spans="1:5" x14ac:dyDescent="0.25">
      <c r="A33" s="243">
        <v>114493</v>
      </c>
      <c r="B33" s="199" t="s">
        <v>1039</v>
      </c>
      <c r="C33" s="199" t="s">
        <v>2</v>
      </c>
      <c r="D33" s="125">
        <v>1</v>
      </c>
      <c r="E33" s="199" t="e">
        <f>VLOOKUP(A33,[1]QUADRO!$D:$M,7,0)</f>
        <v>#N/A</v>
      </c>
    </row>
    <row r="34" spans="1:5" x14ac:dyDescent="0.25">
      <c r="A34" s="243">
        <v>116004</v>
      </c>
      <c r="B34" s="199" t="s">
        <v>1168</v>
      </c>
      <c r="C34" s="199" t="s">
        <v>5</v>
      </c>
      <c r="D34" s="125">
        <v>3</v>
      </c>
      <c r="E34" s="199" t="e">
        <f>VLOOKUP(A34,[1]QUADRO!$D:$M,7,0)</f>
        <v>#N/A</v>
      </c>
    </row>
    <row r="35" spans="1:5" x14ac:dyDescent="0.25">
      <c r="A35" s="243">
        <v>112690</v>
      </c>
      <c r="B35" s="199" t="s">
        <v>1543</v>
      </c>
      <c r="C35" s="199" t="s">
        <v>5</v>
      </c>
      <c r="D35" s="125">
        <v>1</v>
      </c>
      <c r="E35" s="199" t="e">
        <f>VLOOKUP(A35,[1]QUADRO!$D:$M,7,0)</f>
        <v>#N/A</v>
      </c>
    </row>
    <row r="36" spans="1:5" x14ac:dyDescent="0.25">
      <c r="A36" s="243">
        <v>121317</v>
      </c>
      <c r="B36" s="199" t="s">
        <v>1533</v>
      </c>
      <c r="C36" s="199" t="s">
        <v>5</v>
      </c>
      <c r="D36" s="125">
        <v>1</v>
      </c>
      <c r="E36" s="199" t="e">
        <f>VLOOKUP(A36,[1]QUADRO!$D:$M,7,0)</f>
        <v>#N/A</v>
      </c>
    </row>
    <row r="37" spans="1:5" x14ac:dyDescent="0.25">
      <c r="A37" s="243">
        <v>115012</v>
      </c>
      <c r="B37" s="199" t="s">
        <v>1139</v>
      </c>
      <c r="C37" s="199" t="s">
        <v>5</v>
      </c>
      <c r="D37" s="125">
        <v>3</v>
      </c>
      <c r="E37" s="199" t="e">
        <f>VLOOKUP(A37,[1]QUADRO!$D:$M,7,0)</f>
        <v>#N/A</v>
      </c>
    </row>
    <row r="38" spans="1:5" x14ac:dyDescent="0.25">
      <c r="A38" s="243">
        <v>114733</v>
      </c>
      <c r="B38" s="199" t="s">
        <v>1082</v>
      </c>
      <c r="C38" s="199" t="s">
        <v>5</v>
      </c>
      <c r="D38" s="125">
        <v>1</v>
      </c>
      <c r="E38" s="199" t="e">
        <f>VLOOKUP(A38,[1]QUADRO!$D:$M,7,0)</f>
        <v>#N/A</v>
      </c>
    </row>
    <row r="39" spans="1:5" x14ac:dyDescent="0.25">
      <c r="A39" s="243">
        <v>121686</v>
      </c>
      <c r="B39" s="199" t="s">
        <v>1591</v>
      </c>
      <c r="C39" s="199" t="s">
        <v>5</v>
      </c>
      <c r="D39" s="125">
        <v>14</v>
      </c>
      <c r="E39" s="199" t="e">
        <f>VLOOKUP(A39,[1]QUADRO!$D:$M,7,0)</f>
        <v>#N/A</v>
      </c>
    </row>
    <row r="40" spans="1:5" x14ac:dyDescent="0.25">
      <c r="A40" s="243">
        <v>122250</v>
      </c>
      <c r="B40" s="199" t="s">
        <v>1658</v>
      </c>
      <c r="C40" s="199" t="s">
        <v>5</v>
      </c>
      <c r="D40" s="125">
        <v>3</v>
      </c>
      <c r="E40" s="199" t="e">
        <f>VLOOKUP(A40,[1]QUADRO!$D:$M,7,0)</f>
        <v>#N/A</v>
      </c>
    </row>
    <row r="41" spans="1:5" x14ac:dyDescent="0.25">
      <c r="A41" s="243">
        <v>113669</v>
      </c>
      <c r="B41" s="199" t="s">
        <v>906</v>
      </c>
      <c r="C41" s="199" t="s">
        <v>2</v>
      </c>
      <c r="D41" s="125">
        <v>1</v>
      </c>
      <c r="E41" s="199" t="e">
        <f>VLOOKUP(A41,[1]QUADRO!$D:$M,7,0)</f>
        <v>#N/A</v>
      </c>
    </row>
    <row r="42" spans="1:5" x14ac:dyDescent="0.25">
      <c r="A42" s="243">
        <v>114980</v>
      </c>
      <c r="B42" s="199" t="s">
        <v>1134</v>
      </c>
      <c r="C42" s="199" t="s">
        <v>5</v>
      </c>
      <c r="D42" s="125">
        <v>2</v>
      </c>
      <c r="E42" s="199" t="e">
        <f>VLOOKUP(A42,[1]QUADRO!$D:$M,7,0)</f>
        <v>#N/A</v>
      </c>
    </row>
    <row r="43" spans="1:5" x14ac:dyDescent="0.25">
      <c r="A43" s="243">
        <v>114742</v>
      </c>
      <c r="B43" s="199" t="s">
        <v>1707</v>
      </c>
      <c r="C43" s="199" t="s">
        <v>5</v>
      </c>
      <c r="D43" s="125">
        <v>1</v>
      </c>
      <c r="E43" s="199" t="e">
        <f>VLOOKUP(A43,[1]QUADRO!$D:$M,7,0)</f>
        <v>#N/A</v>
      </c>
    </row>
    <row r="44" spans="1:5" x14ac:dyDescent="0.25">
      <c r="A44" s="243">
        <v>122424</v>
      </c>
      <c r="B44" s="199" t="s">
        <v>1695</v>
      </c>
      <c r="C44" s="199" t="s">
        <v>5</v>
      </c>
      <c r="D44" s="125">
        <v>4</v>
      </c>
      <c r="E44" s="199" t="e">
        <f>VLOOKUP(A44,[1]QUADRO!$D:$M,7,0)</f>
        <v>#N/A</v>
      </c>
    </row>
    <row r="45" spans="1:5" x14ac:dyDescent="0.25">
      <c r="A45" s="243">
        <v>113449</v>
      </c>
      <c r="B45" s="199" t="s">
        <v>786</v>
      </c>
      <c r="C45" s="199" t="s">
        <v>5</v>
      </c>
      <c r="D45" s="125">
        <v>2</v>
      </c>
      <c r="E45" s="199" t="e">
        <f>VLOOKUP(A45,[1]QUADRO!$D:$M,7,0)</f>
        <v>#N/A</v>
      </c>
    </row>
    <row r="46" spans="1:5" x14ac:dyDescent="0.25">
      <c r="A46" s="243">
        <v>116329</v>
      </c>
      <c r="B46" s="199" t="s">
        <v>1206</v>
      </c>
      <c r="C46" s="199" t="s">
        <v>5</v>
      </c>
      <c r="D46" s="125">
        <v>1</v>
      </c>
      <c r="E46" s="199" t="e">
        <f>VLOOKUP(A46,[1]QUADRO!$D:$M,7,0)</f>
        <v>#N/A</v>
      </c>
    </row>
    <row r="47" spans="1:5" x14ac:dyDescent="0.25">
      <c r="A47" s="243">
        <v>114031</v>
      </c>
      <c r="B47" s="199" t="s">
        <v>996</v>
      </c>
      <c r="C47" s="199" t="s">
        <v>146</v>
      </c>
      <c r="D47" s="125">
        <v>1</v>
      </c>
      <c r="E47" s="199" t="e">
        <f>VLOOKUP(A47,[1]QUADRO!$D:$M,7,0)</f>
        <v>#N/A</v>
      </c>
    </row>
    <row r="48" spans="1:5" x14ac:dyDescent="0.25">
      <c r="A48" s="243">
        <v>114093</v>
      </c>
      <c r="B48" s="199" t="s">
        <v>1001</v>
      </c>
      <c r="C48" s="199" t="s">
        <v>5</v>
      </c>
      <c r="D48" s="125">
        <v>20</v>
      </c>
      <c r="E48" s="199" t="e">
        <f>VLOOKUP(A48,[1]QUADRO!$D:$M,7,0)</f>
        <v>#N/A</v>
      </c>
    </row>
    <row r="49" spans="1:5" x14ac:dyDescent="0.25">
      <c r="A49" s="243">
        <v>119933</v>
      </c>
      <c r="B49" s="199" t="s">
        <v>1484</v>
      </c>
      <c r="C49" s="199" t="s">
        <v>5</v>
      </c>
      <c r="D49" s="125">
        <v>3</v>
      </c>
      <c r="E49" s="199" t="e">
        <f>VLOOKUP(A49,[1]QUADRO!$D:$M,7,0)</f>
        <v>#N/A</v>
      </c>
    </row>
    <row r="50" spans="1:5" x14ac:dyDescent="0.25">
      <c r="A50" s="243">
        <v>114937</v>
      </c>
      <c r="B50" s="199" t="s">
        <v>1117</v>
      </c>
      <c r="C50" s="199" t="s">
        <v>5</v>
      </c>
      <c r="D50" s="125">
        <v>5</v>
      </c>
      <c r="E50" s="199" t="e">
        <f>VLOOKUP(A50,[1]QUADRO!$D:$M,7,0)</f>
        <v>#N/A</v>
      </c>
    </row>
    <row r="51" spans="1:5" x14ac:dyDescent="0.25">
      <c r="A51" s="243">
        <v>112432</v>
      </c>
      <c r="B51" s="199" t="s">
        <v>1381</v>
      </c>
      <c r="C51" s="199" t="s">
        <v>5</v>
      </c>
      <c r="D51" s="125">
        <v>1</v>
      </c>
      <c r="E51" s="199" t="e">
        <f>VLOOKUP(A51,[1]QUADRO!$D:$M,7,0)</f>
        <v>#N/A</v>
      </c>
    </row>
    <row r="52" spans="1:5" x14ac:dyDescent="0.25">
      <c r="A52" s="243">
        <v>112454</v>
      </c>
      <c r="B52" s="199" t="s">
        <v>192</v>
      </c>
      <c r="C52" s="199" t="s">
        <v>5</v>
      </c>
      <c r="D52" s="125">
        <v>26</v>
      </c>
      <c r="E52" s="199" t="e">
        <f>VLOOKUP(A52,[1]QUADRO!$D:$M,7,0)</f>
        <v>#N/A</v>
      </c>
    </row>
    <row r="53" spans="1:5" x14ac:dyDescent="0.25">
      <c r="A53" s="243">
        <v>122087</v>
      </c>
      <c r="B53" s="199" t="s">
        <v>1641</v>
      </c>
      <c r="C53" s="199" t="s">
        <v>5</v>
      </c>
      <c r="D53" s="125">
        <v>1</v>
      </c>
      <c r="E53" s="199" t="e">
        <f>VLOOKUP(A53,[1]QUADRO!$D:$M,7,0)</f>
        <v>#N/A</v>
      </c>
    </row>
    <row r="54" spans="1:5" x14ac:dyDescent="0.25">
      <c r="A54" s="243">
        <v>122078</v>
      </c>
      <c r="B54" s="199" t="s">
        <v>1635</v>
      </c>
      <c r="C54" s="199" t="s">
        <v>5</v>
      </c>
      <c r="D54" s="125">
        <v>4</v>
      </c>
      <c r="E54" s="199" t="e">
        <f>VLOOKUP(A54,[1]QUADRO!$D:$M,7,0)</f>
        <v>#N/A</v>
      </c>
    </row>
    <row r="55" spans="1:5" x14ac:dyDescent="0.25">
      <c r="A55" s="243">
        <v>112485</v>
      </c>
      <c r="B55" s="199" t="s">
        <v>209</v>
      </c>
      <c r="C55" s="199" t="s">
        <v>2</v>
      </c>
      <c r="D55" s="125">
        <v>1</v>
      </c>
      <c r="E55" s="199" t="e">
        <f>VLOOKUP(A55,[1]QUADRO!$D:$M,7,0)</f>
        <v>#N/A</v>
      </c>
    </row>
    <row r="56" spans="1:5" x14ac:dyDescent="0.25">
      <c r="A56" s="243">
        <v>122406</v>
      </c>
      <c r="B56" s="199" t="s">
        <v>1697</v>
      </c>
      <c r="C56" s="199" t="s">
        <v>5</v>
      </c>
      <c r="D56" s="125">
        <v>2</v>
      </c>
      <c r="E56" s="199" t="e">
        <f>VLOOKUP(A56,[1]QUADRO!$D:$M,7,0)</f>
        <v>#N/A</v>
      </c>
    </row>
    <row r="57" spans="1:5" x14ac:dyDescent="0.25">
      <c r="A57" s="243">
        <v>121460</v>
      </c>
      <c r="B57" s="199" t="s">
        <v>1570</v>
      </c>
      <c r="C57" s="199" t="s">
        <v>5</v>
      </c>
      <c r="D57" s="125">
        <v>1</v>
      </c>
      <c r="E57" s="199" t="e">
        <f>VLOOKUP(A57,[1]QUADRO!$D:$M,7,0)</f>
        <v>#N/A</v>
      </c>
    </row>
    <row r="58" spans="1:5" x14ac:dyDescent="0.25">
      <c r="A58" s="243">
        <v>114039</v>
      </c>
      <c r="B58" s="199" t="s">
        <v>998</v>
      </c>
      <c r="C58" s="199" t="s">
        <v>5</v>
      </c>
      <c r="D58" s="125">
        <v>1</v>
      </c>
      <c r="E58" s="199" t="e">
        <f>VLOOKUP(A58,[1]QUADRO!$D:$M,7,0)</f>
        <v>#N/A</v>
      </c>
    </row>
    <row r="59" spans="1:5" x14ac:dyDescent="0.25">
      <c r="A59" s="243">
        <v>121853</v>
      </c>
      <c r="B59" s="199" t="s">
        <v>1620</v>
      </c>
      <c r="C59" s="199" t="s">
        <v>5</v>
      </c>
      <c r="D59" s="125">
        <v>11</v>
      </c>
      <c r="E59" s="199" t="e">
        <f>VLOOKUP(A59,[1]QUADRO!$D:$M,7,0)</f>
        <v>#N/A</v>
      </c>
    </row>
    <row r="60" spans="1:5" x14ac:dyDescent="0.25">
      <c r="A60" s="243">
        <v>112376</v>
      </c>
      <c r="B60" s="199" t="s">
        <v>138</v>
      </c>
      <c r="C60" s="199" t="s">
        <v>139</v>
      </c>
      <c r="D60" s="125">
        <v>1</v>
      </c>
      <c r="E60" s="199" t="e">
        <f>VLOOKUP(A60,[1]QUADRO!$D:$M,7,0)</f>
        <v>#N/A</v>
      </c>
    </row>
    <row r="61" spans="1:5" x14ac:dyDescent="0.25">
      <c r="D61" s="245">
        <f>SUM(D2:D60)</f>
        <v>213</v>
      </c>
    </row>
  </sheetData>
  <autoFilter ref="A1:E61" xr:uid="{12A74266-BDC8-400B-B854-5AB35CA0155D}">
    <sortState xmlns:xlrd2="http://schemas.microsoft.com/office/spreadsheetml/2017/richdata2" ref="A2:E61">
      <sortCondition ref="B1:B61"/>
    </sortState>
  </autoFilter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4AD14-36A0-4958-BA96-3259F389FD76}">
  <sheetPr codeName="Planilha3"/>
  <dimension ref="A1:M1410"/>
  <sheetViews>
    <sheetView workbookViewId="0">
      <pane ySplit="1" topLeftCell="A2" activePane="bottomLeft" state="frozen"/>
      <selection pane="bottomLeft" activeCell="A6" sqref="A6:XFD6"/>
    </sheetView>
  </sheetViews>
  <sheetFormatPr defaultColWidth="11.453125" defaultRowHeight="12.75" customHeight="1" x14ac:dyDescent="0.25"/>
  <cols>
    <col min="1" max="1" width="27.54296875" style="8" bestFit="1" customWidth="1"/>
    <col min="2" max="2" width="11.453125" style="8"/>
    <col min="3" max="3" width="18.453125" style="31" bestFit="1" customWidth="1"/>
    <col min="4" max="4" width="31.7265625" style="83" bestFit="1" customWidth="1"/>
    <col min="5" max="5" width="16.453125" style="8" bestFit="1" customWidth="1"/>
    <col min="6" max="7" width="11.453125" style="8"/>
    <col min="8" max="8" width="28.81640625" style="31" bestFit="1" customWidth="1"/>
    <col min="9" max="9" width="13.1796875" style="31" bestFit="1" customWidth="1"/>
    <col min="10" max="10" width="24.7265625" style="31" bestFit="1" customWidth="1"/>
    <col min="11" max="11" width="28.54296875" style="31" bestFit="1" customWidth="1"/>
    <col min="12" max="12" width="14.81640625" style="31" bestFit="1" customWidth="1"/>
    <col min="13" max="13" width="14.81640625" style="31" customWidth="1"/>
    <col min="14" max="16384" width="11.453125" style="8"/>
  </cols>
  <sheetData>
    <row r="1" spans="1:13" ht="18.75" customHeight="1" x14ac:dyDescent="0.25">
      <c r="A1" s="78" t="s">
        <v>1411</v>
      </c>
      <c r="B1" s="78" t="s">
        <v>1412</v>
      </c>
      <c r="C1" s="78" t="s">
        <v>1413</v>
      </c>
      <c r="D1" s="78" t="s">
        <v>1414</v>
      </c>
      <c r="E1" s="78" t="s">
        <v>1415</v>
      </c>
      <c r="F1" s="78" t="s">
        <v>1416</v>
      </c>
      <c r="G1" s="78" t="s">
        <v>1417</v>
      </c>
      <c r="H1" s="78" t="s">
        <v>1418</v>
      </c>
      <c r="I1" s="250" t="s">
        <v>1706</v>
      </c>
      <c r="J1" s="78" t="s">
        <v>1419</v>
      </c>
      <c r="K1" s="78" t="s">
        <v>1420</v>
      </c>
      <c r="L1" s="78" t="s">
        <v>1421</v>
      </c>
      <c r="M1" s="78" t="s">
        <v>1422</v>
      </c>
    </row>
    <row r="2" spans="1:13" ht="14.25" customHeight="1" x14ac:dyDescent="0.25">
      <c r="A2" s="9" t="s">
        <v>19</v>
      </c>
      <c r="B2" s="81">
        <v>112194</v>
      </c>
      <c r="C2" s="81">
        <v>10754</v>
      </c>
      <c r="D2" s="9" t="s">
        <v>26</v>
      </c>
      <c r="E2" s="81">
        <v>14563091</v>
      </c>
      <c r="F2" s="81">
        <v>28822</v>
      </c>
      <c r="G2" s="81">
        <v>1</v>
      </c>
      <c r="H2" s="82">
        <v>359.46</v>
      </c>
      <c r="I2" s="251">
        <v>359.46</v>
      </c>
      <c r="J2" s="9" t="s">
        <v>1387</v>
      </c>
      <c r="K2" s="9" t="s">
        <v>1388</v>
      </c>
      <c r="L2" s="83">
        <v>45200</v>
      </c>
      <c r="M2" s="83">
        <v>45230</v>
      </c>
    </row>
    <row r="3" spans="1:13" ht="14.25" customHeight="1" x14ac:dyDescent="0.25">
      <c r="A3" s="9" t="s">
        <v>0</v>
      </c>
      <c r="B3" s="81">
        <v>112198</v>
      </c>
      <c r="C3" s="81">
        <v>10752</v>
      </c>
      <c r="D3" s="9" t="s">
        <v>1307</v>
      </c>
      <c r="E3" s="81">
        <v>14563091</v>
      </c>
      <c r="F3" s="81">
        <v>28830</v>
      </c>
      <c r="G3" s="81">
        <v>1</v>
      </c>
      <c r="H3" s="82">
        <v>359.46</v>
      </c>
      <c r="I3" s="251">
        <v>359.46</v>
      </c>
      <c r="J3" s="9" t="s">
        <v>1387</v>
      </c>
      <c r="K3" s="9" t="s">
        <v>1388</v>
      </c>
      <c r="L3" s="83">
        <v>45200</v>
      </c>
      <c r="M3" s="83">
        <v>45230</v>
      </c>
    </row>
    <row r="4" spans="1:13" ht="14.25" customHeight="1" x14ac:dyDescent="0.25">
      <c r="A4" s="9" t="s">
        <v>1578</v>
      </c>
      <c r="B4" s="81">
        <v>121403</v>
      </c>
      <c r="C4" s="81">
        <v>10755</v>
      </c>
      <c r="D4" s="9" t="s">
        <v>1544</v>
      </c>
      <c r="E4" s="81">
        <v>14563091</v>
      </c>
      <c r="F4" s="81">
        <v>53686</v>
      </c>
      <c r="G4" s="81">
        <v>1</v>
      </c>
      <c r="H4" s="82">
        <v>359.46</v>
      </c>
      <c r="I4" s="251">
        <v>359.46</v>
      </c>
      <c r="J4" s="9" t="s">
        <v>1387</v>
      </c>
      <c r="K4" s="9" t="s">
        <v>1388</v>
      </c>
      <c r="L4" s="83">
        <v>45200</v>
      </c>
      <c r="M4" s="83">
        <v>45230</v>
      </c>
    </row>
    <row r="5" spans="1:13" ht="14.25" customHeight="1" x14ac:dyDescent="0.25">
      <c r="A5" s="9" t="s">
        <v>1578</v>
      </c>
      <c r="B5" s="81">
        <v>121531</v>
      </c>
      <c r="C5" s="81">
        <v>10763</v>
      </c>
      <c r="D5" s="9" t="s">
        <v>1545</v>
      </c>
      <c r="E5" s="81">
        <v>14563091</v>
      </c>
      <c r="F5" s="81">
        <v>53960</v>
      </c>
      <c r="G5" s="81">
        <v>1</v>
      </c>
      <c r="H5" s="82">
        <v>359.46</v>
      </c>
      <c r="I5" s="251">
        <v>359.46</v>
      </c>
      <c r="J5" s="9" t="s">
        <v>1387</v>
      </c>
      <c r="K5" s="9" t="s">
        <v>1388</v>
      </c>
      <c r="L5" s="83">
        <v>45200</v>
      </c>
      <c r="M5" s="83">
        <v>45230</v>
      </c>
    </row>
    <row r="6" spans="1:13" ht="14.25" customHeight="1" x14ac:dyDescent="0.25">
      <c r="A6" s="9" t="s">
        <v>1578</v>
      </c>
      <c r="B6" s="81">
        <v>114763</v>
      </c>
      <c r="C6" s="81">
        <v>10768</v>
      </c>
      <c r="D6" s="9" t="s">
        <v>1095</v>
      </c>
      <c r="E6" s="81">
        <v>14563091</v>
      </c>
      <c r="F6" s="81">
        <v>36974</v>
      </c>
      <c r="G6" s="81">
        <v>1</v>
      </c>
      <c r="H6" s="82">
        <v>359.46</v>
      </c>
      <c r="I6" s="251">
        <v>359.46</v>
      </c>
      <c r="J6" s="9" t="s">
        <v>1387</v>
      </c>
      <c r="K6" s="9" t="s">
        <v>1388</v>
      </c>
      <c r="L6" s="83">
        <v>45200</v>
      </c>
      <c r="M6" s="83">
        <v>45230</v>
      </c>
    </row>
    <row r="7" spans="1:13" ht="14.25" customHeight="1" x14ac:dyDescent="0.25">
      <c r="A7" s="9" t="s">
        <v>1578</v>
      </c>
      <c r="B7" s="81">
        <v>122404</v>
      </c>
      <c r="C7" s="81">
        <v>10755</v>
      </c>
      <c r="D7" s="9" t="s">
        <v>1674</v>
      </c>
      <c r="E7" s="81">
        <v>14563091</v>
      </c>
      <c r="F7" s="81">
        <v>56126</v>
      </c>
      <c r="G7" s="81">
        <v>1</v>
      </c>
      <c r="H7" s="82">
        <v>359.46</v>
      </c>
      <c r="I7" s="251">
        <v>359.46</v>
      </c>
      <c r="J7" s="9" t="s">
        <v>1387</v>
      </c>
      <c r="K7" s="9" t="s">
        <v>1388</v>
      </c>
      <c r="L7" s="83">
        <v>45200</v>
      </c>
      <c r="M7" s="83">
        <v>45230</v>
      </c>
    </row>
    <row r="8" spans="1:13" ht="14.25" customHeight="1" x14ac:dyDescent="0.25">
      <c r="A8" s="9" t="s">
        <v>1578</v>
      </c>
      <c r="B8" s="81">
        <v>112254</v>
      </c>
      <c r="C8" s="81">
        <v>10768</v>
      </c>
      <c r="D8" s="9" t="s">
        <v>65</v>
      </c>
      <c r="E8" s="81">
        <v>14563091</v>
      </c>
      <c r="F8" s="81">
        <v>28942</v>
      </c>
      <c r="G8" s="81">
        <v>1</v>
      </c>
      <c r="H8" s="82">
        <v>359.46</v>
      </c>
      <c r="I8" s="251">
        <v>359.46</v>
      </c>
      <c r="J8" s="9" t="s">
        <v>1387</v>
      </c>
      <c r="K8" s="9" t="s">
        <v>1388</v>
      </c>
      <c r="L8" s="83">
        <v>45200</v>
      </c>
      <c r="M8" s="83">
        <v>45230</v>
      </c>
    </row>
    <row r="9" spans="1:13" ht="14.25" customHeight="1" x14ac:dyDescent="0.25">
      <c r="A9" s="9" t="s">
        <v>8</v>
      </c>
      <c r="B9" s="81">
        <v>112258</v>
      </c>
      <c r="C9" s="81">
        <v>10750</v>
      </c>
      <c r="D9" s="9" t="s">
        <v>69</v>
      </c>
      <c r="E9" s="81">
        <v>14563091</v>
      </c>
      <c r="F9" s="81">
        <v>28950</v>
      </c>
      <c r="G9" s="81">
        <v>1</v>
      </c>
      <c r="H9" s="82">
        <v>359.46</v>
      </c>
      <c r="I9" s="251">
        <v>359.46</v>
      </c>
      <c r="J9" s="9" t="s">
        <v>1387</v>
      </c>
      <c r="K9" s="9" t="s">
        <v>1388</v>
      </c>
      <c r="L9" s="83">
        <v>45200</v>
      </c>
      <c r="M9" s="83">
        <v>45230</v>
      </c>
    </row>
    <row r="10" spans="1:13" ht="14.25" customHeight="1" x14ac:dyDescent="0.25">
      <c r="A10" s="9" t="s">
        <v>19</v>
      </c>
      <c r="B10" s="81">
        <v>112265</v>
      </c>
      <c r="C10" s="81">
        <v>10763</v>
      </c>
      <c r="D10" s="9" t="s">
        <v>75</v>
      </c>
      <c r="E10" s="81">
        <v>14563091</v>
      </c>
      <c r="F10" s="81">
        <v>28964</v>
      </c>
      <c r="G10" s="81">
        <v>1</v>
      </c>
      <c r="H10" s="82">
        <v>359.46</v>
      </c>
      <c r="I10" s="251">
        <v>359.46</v>
      </c>
      <c r="J10" s="9" t="s">
        <v>1387</v>
      </c>
      <c r="K10" s="9" t="s">
        <v>1388</v>
      </c>
      <c r="L10" s="83">
        <v>45200</v>
      </c>
      <c r="M10" s="83">
        <v>45230</v>
      </c>
    </row>
    <row r="11" spans="1:13" ht="14.25" customHeight="1" x14ac:dyDescent="0.25">
      <c r="A11" s="9" t="s">
        <v>32</v>
      </c>
      <c r="B11" s="81">
        <v>112271</v>
      </c>
      <c r="C11" s="81">
        <v>10766</v>
      </c>
      <c r="D11" s="9" t="s">
        <v>78</v>
      </c>
      <c r="E11" s="81">
        <v>14563091</v>
      </c>
      <c r="F11" s="81">
        <v>28976</v>
      </c>
      <c r="G11" s="81">
        <v>1</v>
      </c>
      <c r="H11" s="82">
        <v>359.46</v>
      </c>
      <c r="I11" s="251">
        <v>359.46</v>
      </c>
      <c r="J11" s="9" t="s">
        <v>1387</v>
      </c>
      <c r="K11" s="9" t="s">
        <v>1388</v>
      </c>
      <c r="L11" s="83">
        <v>45200</v>
      </c>
      <c r="M11" s="83">
        <v>45230</v>
      </c>
    </row>
    <row r="12" spans="1:13" ht="14.25" customHeight="1" x14ac:dyDescent="0.25">
      <c r="A12" s="9" t="s">
        <v>10</v>
      </c>
      <c r="B12" s="81">
        <v>115223</v>
      </c>
      <c r="C12" s="81">
        <v>10755</v>
      </c>
      <c r="D12" s="9" t="s">
        <v>1144</v>
      </c>
      <c r="E12" s="81">
        <v>14563091</v>
      </c>
      <c r="F12" s="81">
        <v>38496</v>
      </c>
      <c r="G12" s="81">
        <v>1</v>
      </c>
      <c r="H12" s="82">
        <v>359.46</v>
      </c>
      <c r="I12" s="251">
        <v>359.46</v>
      </c>
      <c r="J12" s="9" t="s">
        <v>1387</v>
      </c>
      <c r="K12" s="9" t="s">
        <v>1388</v>
      </c>
      <c r="L12" s="83">
        <v>45200</v>
      </c>
      <c r="M12" s="83">
        <v>45230</v>
      </c>
    </row>
    <row r="13" spans="1:13" ht="14.25" customHeight="1" x14ac:dyDescent="0.25">
      <c r="A13" s="9" t="s">
        <v>1578</v>
      </c>
      <c r="B13" s="81">
        <v>114910</v>
      </c>
      <c r="C13" s="81">
        <v>10761</v>
      </c>
      <c r="D13" s="9" t="s">
        <v>1104</v>
      </c>
      <c r="E13" s="81">
        <v>14563091</v>
      </c>
      <c r="F13" s="81">
        <v>37603</v>
      </c>
      <c r="G13" s="81">
        <v>1</v>
      </c>
      <c r="H13" s="82">
        <v>359.46</v>
      </c>
      <c r="I13" s="251">
        <v>359.46</v>
      </c>
      <c r="J13" s="9" t="s">
        <v>1387</v>
      </c>
      <c r="K13" s="9" t="s">
        <v>1388</v>
      </c>
      <c r="L13" s="83">
        <v>45200</v>
      </c>
      <c r="M13" s="83">
        <v>45230</v>
      </c>
    </row>
    <row r="14" spans="1:13" ht="14.25" customHeight="1" x14ac:dyDescent="0.25">
      <c r="A14" s="9" t="s">
        <v>0</v>
      </c>
      <c r="B14" s="81">
        <v>112279</v>
      </c>
      <c r="C14" s="81">
        <v>10752</v>
      </c>
      <c r="D14" s="9" t="s">
        <v>84</v>
      </c>
      <c r="E14" s="81">
        <v>14563091</v>
      </c>
      <c r="F14" s="81">
        <v>28992</v>
      </c>
      <c r="G14" s="81">
        <v>1</v>
      </c>
      <c r="H14" s="82">
        <v>359.46</v>
      </c>
      <c r="I14" s="251">
        <v>359.46</v>
      </c>
      <c r="J14" s="9" t="s">
        <v>1387</v>
      </c>
      <c r="K14" s="9" t="s">
        <v>1388</v>
      </c>
      <c r="L14" s="83">
        <v>45200</v>
      </c>
      <c r="M14" s="83">
        <v>45230</v>
      </c>
    </row>
    <row r="15" spans="1:13" ht="14.25" customHeight="1" x14ac:dyDescent="0.25">
      <c r="A15" s="9" t="s">
        <v>8</v>
      </c>
      <c r="B15" s="81">
        <v>112299</v>
      </c>
      <c r="C15" s="81">
        <v>10750</v>
      </c>
      <c r="D15" s="9" t="s">
        <v>97</v>
      </c>
      <c r="E15" s="81">
        <v>14563091</v>
      </c>
      <c r="F15" s="81">
        <v>29032</v>
      </c>
      <c r="G15" s="81">
        <v>1</v>
      </c>
      <c r="H15" s="82">
        <v>359.46</v>
      </c>
      <c r="I15" s="251">
        <v>359.46</v>
      </c>
      <c r="J15" s="9" t="s">
        <v>1387</v>
      </c>
      <c r="K15" s="9" t="s">
        <v>1388</v>
      </c>
      <c r="L15" s="83">
        <v>45200</v>
      </c>
      <c r="M15" s="83">
        <v>45230</v>
      </c>
    </row>
    <row r="16" spans="1:13" ht="14.25" customHeight="1" x14ac:dyDescent="0.25">
      <c r="A16" s="9" t="s">
        <v>1580</v>
      </c>
      <c r="B16" s="81">
        <v>121802</v>
      </c>
      <c r="C16" s="81">
        <v>10774</v>
      </c>
      <c r="D16" s="9" t="s">
        <v>1579</v>
      </c>
      <c r="E16" s="81">
        <v>14563091</v>
      </c>
      <c r="F16" s="81">
        <v>54628</v>
      </c>
      <c r="G16" s="81">
        <v>1</v>
      </c>
      <c r="H16" s="82">
        <v>359.46</v>
      </c>
      <c r="I16" s="251">
        <v>359.46</v>
      </c>
      <c r="J16" s="9" t="s">
        <v>1387</v>
      </c>
      <c r="K16" s="9" t="s">
        <v>1388</v>
      </c>
      <c r="L16" s="83">
        <v>45200</v>
      </c>
      <c r="M16" s="83">
        <v>45230</v>
      </c>
    </row>
    <row r="17" spans="1:13" ht="14.25" customHeight="1" x14ac:dyDescent="0.25">
      <c r="A17" s="9" t="s">
        <v>1578</v>
      </c>
      <c r="B17" s="81">
        <v>120186</v>
      </c>
      <c r="C17" s="81">
        <v>10762</v>
      </c>
      <c r="D17" s="9" t="s">
        <v>1489</v>
      </c>
      <c r="E17" s="81">
        <v>14563091</v>
      </c>
      <c r="F17" s="81">
        <v>50923</v>
      </c>
      <c r="G17" s="81">
        <v>1</v>
      </c>
      <c r="H17" s="82">
        <v>359.46</v>
      </c>
      <c r="I17" s="251">
        <v>359.46</v>
      </c>
      <c r="J17" s="9" t="s">
        <v>1387</v>
      </c>
      <c r="K17" s="9" t="s">
        <v>1388</v>
      </c>
      <c r="L17" s="83">
        <v>45200</v>
      </c>
      <c r="M17" s="83">
        <v>45230</v>
      </c>
    </row>
    <row r="18" spans="1:13" ht="14.25" customHeight="1" x14ac:dyDescent="0.25">
      <c r="A18" s="9" t="s">
        <v>19</v>
      </c>
      <c r="B18" s="81">
        <v>112319</v>
      </c>
      <c r="C18" s="81">
        <v>10757</v>
      </c>
      <c r="D18" s="9" t="s">
        <v>1431</v>
      </c>
      <c r="E18" s="81">
        <v>14563091</v>
      </c>
      <c r="F18" s="81">
        <v>29072</v>
      </c>
      <c r="G18" s="81">
        <v>1</v>
      </c>
      <c r="H18" s="82">
        <v>359.46</v>
      </c>
      <c r="I18" s="251">
        <v>359.46</v>
      </c>
      <c r="J18" s="9" t="s">
        <v>1387</v>
      </c>
      <c r="K18" s="9" t="s">
        <v>1388</v>
      </c>
      <c r="L18" s="83">
        <v>45200</v>
      </c>
      <c r="M18" s="83">
        <v>45230</v>
      </c>
    </row>
    <row r="19" spans="1:13" ht="14.25" customHeight="1" x14ac:dyDescent="0.25">
      <c r="A19" s="9" t="s">
        <v>1578</v>
      </c>
      <c r="B19" s="81">
        <v>116729</v>
      </c>
      <c r="C19" s="81">
        <v>10762</v>
      </c>
      <c r="D19" s="9" t="s">
        <v>1220</v>
      </c>
      <c r="E19" s="81">
        <v>14563091</v>
      </c>
      <c r="F19" s="81">
        <v>42845</v>
      </c>
      <c r="G19" s="81">
        <v>1</v>
      </c>
      <c r="H19" s="82">
        <v>359.46</v>
      </c>
      <c r="I19" s="251">
        <v>359.46</v>
      </c>
      <c r="J19" s="9" t="s">
        <v>1387</v>
      </c>
      <c r="K19" s="9" t="s">
        <v>1388</v>
      </c>
      <c r="L19" s="83">
        <v>45200</v>
      </c>
      <c r="M19" s="83">
        <v>45230</v>
      </c>
    </row>
    <row r="20" spans="1:13" ht="14.25" customHeight="1" x14ac:dyDescent="0.25">
      <c r="A20" s="9" t="s">
        <v>0</v>
      </c>
      <c r="B20" s="81">
        <v>112171</v>
      </c>
      <c r="C20" s="81">
        <v>10757</v>
      </c>
      <c r="D20" s="9" t="s">
        <v>4</v>
      </c>
      <c r="E20" s="81">
        <v>14563091</v>
      </c>
      <c r="F20" s="81">
        <v>28776</v>
      </c>
      <c r="G20" s="81">
        <v>1</v>
      </c>
      <c r="H20" s="82">
        <v>359.46</v>
      </c>
      <c r="I20" s="251">
        <v>359.46</v>
      </c>
      <c r="J20" s="9" t="s">
        <v>1387</v>
      </c>
      <c r="K20" s="9" t="s">
        <v>1388</v>
      </c>
      <c r="L20" s="83">
        <v>45200</v>
      </c>
      <c r="M20" s="83">
        <v>45230</v>
      </c>
    </row>
    <row r="21" spans="1:13" ht="14.25" customHeight="1" x14ac:dyDescent="0.25">
      <c r="A21" s="9" t="s">
        <v>10</v>
      </c>
      <c r="B21" s="81">
        <v>112355</v>
      </c>
      <c r="C21" s="81">
        <v>10750</v>
      </c>
      <c r="D21" s="9" t="s">
        <v>1283</v>
      </c>
      <c r="E21" s="81">
        <v>14563091</v>
      </c>
      <c r="F21" s="81">
        <v>29144</v>
      </c>
      <c r="G21" s="81">
        <v>1</v>
      </c>
      <c r="H21" s="82">
        <v>359.46</v>
      </c>
      <c r="I21" s="251">
        <v>359.46</v>
      </c>
      <c r="J21" s="9" t="s">
        <v>1387</v>
      </c>
      <c r="K21" s="9" t="s">
        <v>1388</v>
      </c>
      <c r="L21" s="83">
        <v>45200</v>
      </c>
      <c r="M21" s="83">
        <v>45230</v>
      </c>
    </row>
    <row r="22" spans="1:13" ht="14.25" customHeight="1" x14ac:dyDescent="0.25">
      <c r="A22" s="9" t="s">
        <v>19</v>
      </c>
      <c r="B22" s="81">
        <v>112358</v>
      </c>
      <c r="C22" s="81">
        <v>10766</v>
      </c>
      <c r="D22" s="9" t="s">
        <v>129</v>
      </c>
      <c r="E22" s="81">
        <v>14563091</v>
      </c>
      <c r="F22" s="81">
        <v>29150</v>
      </c>
      <c r="G22" s="81">
        <v>1</v>
      </c>
      <c r="H22" s="82">
        <v>359.46</v>
      </c>
      <c r="I22" s="251">
        <v>359.46</v>
      </c>
      <c r="J22" s="9" t="s">
        <v>1387</v>
      </c>
      <c r="K22" s="9" t="s">
        <v>1388</v>
      </c>
      <c r="L22" s="83">
        <v>45200</v>
      </c>
      <c r="M22" s="83">
        <v>45230</v>
      </c>
    </row>
    <row r="23" spans="1:13" ht="14.25" customHeight="1" x14ac:dyDescent="0.25">
      <c r="A23" s="9" t="s">
        <v>10</v>
      </c>
      <c r="B23" s="81">
        <v>114679</v>
      </c>
      <c r="C23" s="81">
        <v>10751</v>
      </c>
      <c r="D23" s="9" t="s">
        <v>1062</v>
      </c>
      <c r="E23" s="81">
        <v>14563091</v>
      </c>
      <c r="F23" s="81">
        <v>36797</v>
      </c>
      <c r="G23" s="81">
        <v>1</v>
      </c>
      <c r="H23" s="82">
        <v>359.46</v>
      </c>
      <c r="I23" s="251">
        <v>359.46</v>
      </c>
      <c r="J23" s="9" t="s">
        <v>1387</v>
      </c>
      <c r="K23" s="9" t="s">
        <v>1388</v>
      </c>
      <c r="L23" s="83">
        <v>45200</v>
      </c>
      <c r="M23" s="83">
        <v>45230</v>
      </c>
    </row>
    <row r="24" spans="1:13" ht="14.25" customHeight="1" x14ac:dyDescent="0.25">
      <c r="A24" s="9" t="s">
        <v>32</v>
      </c>
      <c r="B24" s="81">
        <v>114239</v>
      </c>
      <c r="C24" s="81">
        <v>10771</v>
      </c>
      <c r="D24" s="9" t="s">
        <v>1016</v>
      </c>
      <c r="E24" s="81">
        <v>14563091</v>
      </c>
      <c r="F24" s="81">
        <v>35750</v>
      </c>
      <c r="G24" s="81">
        <v>1</v>
      </c>
      <c r="H24" s="82">
        <v>359.46</v>
      </c>
      <c r="I24" s="251">
        <v>359.46</v>
      </c>
      <c r="J24" s="9" t="s">
        <v>1387</v>
      </c>
      <c r="K24" s="9" t="s">
        <v>1388</v>
      </c>
      <c r="L24" s="83">
        <v>45200</v>
      </c>
      <c r="M24" s="83">
        <v>45230</v>
      </c>
    </row>
    <row r="25" spans="1:13" ht="14.25" customHeight="1" x14ac:dyDescent="0.25">
      <c r="A25" s="9" t="s">
        <v>8</v>
      </c>
      <c r="B25" s="81">
        <v>112173</v>
      </c>
      <c r="C25" s="81">
        <v>10758</v>
      </c>
      <c r="D25" s="9" t="s">
        <v>9</v>
      </c>
      <c r="E25" s="81">
        <v>14563091</v>
      </c>
      <c r="F25" s="81">
        <v>28780</v>
      </c>
      <c r="G25" s="81">
        <v>1</v>
      </c>
      <c r="H25" s="82">
        <v>359.46</v>
      </c>
      <c r="I25" s="251">
        <v>359.46</v>
      </c>
      <c r="J25" s="9" t="s">
        <v>1387</v>
      </c>
      <c r="K25" s="9" t="s">
        <v>1388</v>
      </c>
      <c r="L25" s="83">
        <v>45200</v>
      </c>
      <c r="M25" s="83">
        <v>45230</v>
      </c>
    </row>
    <row r="26" spans="1:13" ht="14.25" customHeight="1" x14ac:dyDescent="0.25">
      <c r="A26" s="9" t="s">
        <v>10</v>
      </c>
      <c r="B26" s="81">
        <v>112377</v>
      </c>
      <c r="C26" s="81">
        <v>10756</v>
      </c>
      <c r="D26" s="9" t="s">
        <v>140</v>
      </c>
      <c r="E26" s="81">
        <v>14563091</v>
      </c>
      <c r="F26" s="81">
        <v>29188</v>
      </c>
      <c r="G26" s="81">
        <v>1</v>
      </c>
      <c r="H26" s="82">
        <v>347.47</v>
      </c>
      <c r="I26" s="251">
        <v>347.47</v>
      </c>
      <c r="J26" s="9" t="s">
        <v>1387</v>
      </c>
      <c r="K26" s="9" t="s">
        <v>1388</v>
      </c>
      <c r="L26" s="83">
        <v>45200</v>
      </c>
      <c r="M26" s="83">
        <v>45230</v>
      </c>
    </row>
    <row r="27" spans="1:13" ht="14.25" customHeight="1" x14ac:dyDescent="0.25">
      <c r="A27" s="9" t="s">
        <v>0</v>
      </c>
      <c r="B27" s="81">
        <v>116224</v>
      </c>
      <c r="C27" s="81">
        <v>10766</v>
      </c>
      <c r="D27" s="9" t="s">
        <v>1188</v>
      </c>
      <c r="E27" s="81">
        <v>14563091</v>
      </c>
      <c r="F27" s="81">
        <v>41557</v>
      </c>
      <c r="G27" s="81">
        <v>1</v>
      </c>
      <c r="H27" s="82">
        <v>359.46</v>
      </c>
      <c r="I27" s="251">
        <v>359.46</v>
      </c>
      <c r="J27" s="9" t="s">
        <v>1387</v>
      </c>
      <c r="K27" s="9" t="s">
        <v>1388</v>
      </c>
      <c r="L27" s="83">
        <v>45200</v>
      </c>
      <c r="M27" s="83">
        <v>45230</v>
      </c>
    </row>
    <row r="28" spans="1:13" ht="14.25" customHeight="1" x14ac:dyDescent="0.25">
      <c r="A28" s="9" t="s">
        <v>1578</v>
      </c>
      <c r="B28" s="81">
        <v>116087</v>
      </c>
      <c r="C28" s="81">
        <v>10757</v>
      </c>
      <c r="D28" s="9" t="s">
        <v>1181</v>
      </c>
      <c r="E28" s="81">
        <v>14563091</v>
      </c>
      <c r="F28" s="81">
        <v>41101</v>
      </c>
      <c r="G28" s="81">
        <v>1</v>
      </c>
      <c r="H28" s="82">
        <v>359.46</v>
      </c>
      <c r="I28" s="251">
        <v>359.46</v>
      </c>
      <c r="J28" s="9" t="s">
        <v>1387</v>
      </c>
      <c r="K28" s="9" t="s">
        <v>1388</v>
      </c>
      <c r="L28" s="83">
        <v>45200</v>
      </c>
      <c r="M28" s="83">
        <v>45230</v>
      </c>
    </row>
    <row r="29" spans="1:13" ht="14.25" customHeight="1" x14ac:dyDescent="0.25">
      <c r="A29" s="9" t="s">
        <v>8</v>
      </c>
      <c r="B29" s="81">
        <v>112389</v>
      </c>
      <c r="C29" s="81">
        <v>10754</v>
      </c>
      <c r="D29" s="9" t="s">
        <v>149</v>
      </c>
      <c r="E29" s="81">
        <v>14563091</v>
      </c>
      <c r="F29" s="81">
        <v>29212</v>
      </c>
      <c r="G29" s="81">
        <v>1</v>
      </c>
      <c r="H29" s="82">
        <v>359.46</v>
      </c>
      <c r="I29" s="251">
        <v>359.46</v>
      </c>
      <c r="J29" s="9" t="s">
        <v>1387</v>
      </c>
      <c r="K29" s="9" t="s">
        <v>1388</v>
      </c>
      <c r="L29" s="83">
        <v>45200</v>
      </c>
      <c r="M29" s="83">
        <v>45230</v>
      </c>
    </row>
    <row r="30" spans="1:13" ht="14.25" customHeight="1" x14ac:dyDescent="0.25">
      <c r="A30" s="9" t="s">
        <v>19</v>
      </c>
      <c r="B30" s="81">
        <v>112393</v>
      </c>
      <c r="C30" s="81">
        <v>10757</v>
      </c>
      <c r="D30" s="9" t="s">
        <v>151</v>
      </c>
      <c r="E30" s="81">
        <v>14563091</v>
      </c>
      <c r="F30" s="81">
        <v>29220</v>
      </c>
      <c r="G30" s="81">
        <v>1</v>
      </c>
      <c r="H30" s="82">
        <v>359.46</v>
      </c>
      <c r="I30" s="251">
        <v>359.46</v>
      </c>
      <c r="J30" s="9" t="s">
        <v>1387</v>
      </c>
      <c r="K30" s="9" t="s">
        <v>1388</v>
      </c>
      <c r="L30" s="83">
        <v>45200</v>
      </c>
      <c r="M30" s="83">
        <v>45230</v>
      </c>
    </row>
    <row r="31" spans="1:13" ht="14.25" customHeight="1" x14ac:dyDescent="0.25">
      <c r="A31" s="9" t="s">
        <v>1578</v>
      </c>
      <c r="B31" s="81">
        <v>114607</v>
      </c>
      <c r="C31" s="81">
        <v>10771</v>
      </c>
      <c r="D31" s="9" t="s">
        <v>1059</v>
      </c>
      <c r="E31" s="81">
        <v>14563091</v>
      </c>
      <c r="F31" s="81">
        <v>36532</v>
      </c>
      <c r="G31" s="81">
        <v>1</v>
      </c>
      <c r="H31" s="82">
        <v>359.46</v>
      </c>
      <c r="I31" s="251">
        <v>359.46</v>
      </c>
      <c r="J31" s="9" t="s">
        <v>1387</v>
      </c>
      <c r="K31" s="9" t="s">
        <v>1388</v>
      </c>
      <c r="L31" s="83">
        <v>45200</v>
      </c>
      <c r="M31" s="83">
        <v>45230</v>
      </c>
    </row>
    <row r="32" spans="1:13" ht="14.25" customHeight="1" x14ac:dyDescent="0.25">
      <c r="A32" s="9" t="s">
        <v>1578</v>
      </c>
      <c r="B32" s="81">
        <v>122411</v>
      </c>
      <c r="C32" s="81">
        <v>10758</v>
      </c>
      <c r="D32" s="9" t="s">
        <v>1675</v>
      </c>
      <c r="E32" s="81">
        <v>14563091</v>
      </c>
      <c r="F32" s="81">
        <v>56142</v>
      </c>
      <c r="G32" s="81">
        <v>1</v>
      </c>
      <c r="H32" s="82">
        <v>359.46</v>
      </c>
      <c r="I32" s="251">
        <v>359.46</v>
      </c>
      <c r="J32" s="9" t="s">
        <v>1387</v>
      </c>
      <c r="K32" s="9" t="s">
        <v>1388</v>
      </c>
      <c r="L32" s="83">
        <v>45200</v>
      </c>
      <c r="M32" s="83">
        <v>45230</v>
      </c>
    </row>
    <row r="33" spans="1:13" ht="14.25" customHeight="1" x14ac:dyDescent="0.25">
      <c r="A33" s="9" t="s">
        <v>10</v>
      </c>
      <c r="B33" s="81">
        <v>112399</v>
      </c>
      <c r="C33" s="81">
        <v>10750</v>
      </c>
      <c r="D33" s="9" t="s">
        <v>155</v>
      </c>
      <c r="E33" s="81">
        <v>14563091</v>
      </c>
      <c r="F33" s="81">
        <v>29232</v>
      </c>
      <c r="G33" s="81">
        <v>1</v>
      </c>
      <c r="H33" s="82">
        <v>359.46</v>
      </c>
      <c r="I33" s="251">
        <v>359.46</v>
      </c>
      <c r="J33" s="9" t="s">
        <v>1387</v>
      </c>
      <c r="K33" s="9" t="s">
        <v>1388</v>
      </c>
      <c r="L33" s="83">
        <v>45200</v>
      </c>
      <c r="M33" s="83">
        <v>45230</v>
      </c>
    </row>
    <row r="34" spans="1:13" ht="14.25" customHeight="1" x14ac:dyDescent="0.25">
      <c r="A34" s="9" t="s">
        <v>19</v>
      </c>
      <c r="B34" s="81">
        <v>112419</v>
      </c>
      <c r="C34" s="81">
        <v>10750</v>
      </c>
      <c r="D34" s="9" t="s">
        <v>169</v>
      </c>
      <c r="E34" s="81">
        <v>14563091</v>
      </c>
      <c r="F34" s="81">
        <v>29272</v>
      </c>
      <c r="G34" s="81">
        <v>1</v>
      </c>
      <c r="H34" s="82">
        <v>359.46</v>
      </c>
      <c r="I34" s="251">
        <v>359.46</v>
      </c>
      <c r="J34" s="9" t="s">
        <v>1387</v>
      </c>
      <c r="K34" s="9" t="s">
        <v>1388</v>
      </c>
      <c r="L34" s="83">
        <v>45200</v>
      </c>
      <c r="M34" s="83">
        <v>45230</v>
      </c>
    </row>
    <row r="35" spans="1:13" ht="14.25" customHeight="1" x14ac:dyDescent="0.25">
      <c r="A35" s="9" t="s">
        <v>10</v>
      </c>
      <c r="B35" s="81">
        <v>112422</v>
      </c>
      <c r="C35" s="81">
        <v>10750</v>
      </c>
      <c r="D35" s="9" t="s">
        <v>171</v>
      </c>
      <c r="E35" s="81">
        <v>14563091</v>
      </c>
      <c r="F35" s="81">
        <v>29278</v>
      </c>
      <c r="G35" s="81">
        <v>1</v>
      </c>
      <c r="H35" s="82">
        <v>359.46</v>
      </c>
      <c r="I35" s="251">
        <v>359.46</v>
      </c>
      <c r="J35" s="9" t="s">
        <v>1387</v>
      </c>
      <c r="K35" s="9" t="s">
        <v>1388</v>
      </c>
      <c r="L35" s="83">
        <v>45200</v>
      </c>
      <c r="M35" s="83">
        <v>45230</v>
      </c>
    </row>
    <row r="36" spans="1:13" ht="14.25" customHeight="1" x14ac:dyDescent="0.25">
      <c r="A36" s="9" t="s">
        <v>10</v>
      </c>
      <c r="B36" s="81">
        <v>112174</v>
      </c>
      <c r="C36" s="81">
        <v>10760</v>
      </c>
      <c r="D36" s="9" t="s">
        <v>11</v>
      </c>
      <c r="E36" s="81">
        <v>14563091</v>
      </c>
      <c r="F36" s="81">
        <v>28782</v>
      </c>
      <c r="G36" s="81">
        <v>1</v>
      </c>
      <c r="H36" s="82">
        <v>359.46</v>
      </c>
      <c r="I36" s="251">
        <v>359.46</v>
      </c>
      <c r="J36" s="9" t="s">
        <v>1387</v>
      </c>
      <c r="K36" s="9" t="s">
        <v>1388</v>
      </c>
      <c r="L36" s="83">
        <v>45200</v>
      </c>
      <c r="M36" s="83">
        <v>45230</v>
      </c>
    </row>
    <row r="37" spans="1:13" ht="14.25" customHeight="1" x14ac:dyDescent="0.25">
      <c r="A37" s="9" t="s">
        <v>1578</v>
      </c>
      <c r="B37" s="81">
        <v>112430</v>
      </c>
      <c r="C37" s="81">
        <v>10755</v>
      </c>
      <c r="D37" s="9" t="s">
        <v>173</v>
      </c>
      <c r="E37" s="81">
        <v>14563091</v>
      </c>
      <c r="F37" s="81">
        <v>29294</v>
      </c>
      <c r="G37" s="81">
        <v>1</v>
      </c>
      <c r="H37" s="82">
        <v>359.46</v>
      </c>
      <c r="I37" s="251">
        <v>359.46</v>
      </c>
      <c r="J37" s="9" t="s">
        <v>1387</v>
      </c>
      <c r="K37" s="9" t="s">
        <v>1388</v>
      </c>
      <c r="L37" s="83">
        <v>45200</v>
      </c>
      <c r="M37" s="83">
        <v>45230</v>
      </c>
    </row>
    <row r="38" spans="1:13" ht="14.25" customHeight="1" x14ac:dyDescent="0.25">
      <c r="A38" s="9" t="s">
        <v>1578</v>
      </c>
      <c r="B38" s="81">
        <v>112433</v>
      </c>
      <c r="C38" s="81">
        <v>10761</v>
      </c>
      <c r="D38" s="9" t="s">
        <v>1308</v>
      </c>
      <c r="E38" s="81">
        <v>14563091</v>
      </c>
      <c r="F38" s="81">
        <v>29300</v>
      </c>
      <c r="G38" s="81">
        <v>1</v>
      </c>
      <c r="H38" s="82">
        <v>359.46</v>
      </c>
      <c r="I38" s="251">
        <v>359.46</v>
      </c>
      <c r="J38" s="9" t="s">
        <v>1387</v>
      </c>
      <c r="K38" s="9" t="s">
        <v>1388</v>
      </c>
      <c r="L38" s="83">
        <v>45200</v>
      </c>
      <c r="M38" s="83">
        <v>45230</v>
      </c>
    </row>
    <row r="39" spans="1:13" ht="14.25" customHeight="1" x14ac:dyDescent="0.25">
      <c r="A39" s="9" t="s">
        <v>10</v>
      </c>
      <c r="B39" s="81">
        <v>112436</v>
      </c>
      <c r="C39" s="81">
        <v>10756</v>
      </c>
      <c r="D39" s="9" t="s">
        <v>178</v>
      </c>
      <c r="E39" s="81">
        <v>14563091</v>
      </c>
      <c r="F39" s="81">
        <v>29306</v>
      </c>
      <c r="G39" s="81">
        <v>1</v>
      </c>
      <c r="H39" s="82">
        <v>359.46</v>
      </c>
      <c r="I39" s="251">
        <v>359.46</v>
      </c>
      <c r="J39" s="9" t="s">
        <v>1387</v>
      </c>
      <c r="K39" s="9" t="s">
        <v>1388</v>
      </c>
      <c r="L39" s="83">
        <v>45200</v>
      </c>
      <c r="M39" s="83">
        <v>45230</v>
      </c>
    </row>
    <row r="40" spans="1:13" ht="14.25" customHeight="1" x14ac:dyDescent="0.25">
      <c r="A40" s="9" t="s">
        <v>1578</v>
      </c>
      <c r="B40" s="81">
        <v>112462</v>
      </c>
      <c r="C40" s="81">
        <v>10762</v>
      </c>
      <c r="D40" s="9" t="s">
        <v>190</v>
      </c>
      <c r="E40" s="81">
        <v>14563091</v>
      </c>
      <c r="F40" s="81">
        <v>29358</v>
      </c>
      <c r="G40" s="81">
        <v>1</v>
      </c>
      <c r="H40" s="82">
        <v>359.46</v>
      </c>
      <c r="I40" s="251">
        <v>359.46</v>
      </c>
      <c r="J40" s="9" t="s">
        <v>1387</v>
      </c>
      <c r="K40" s="9" t="s">
        <v>1388</v>
      </c>
      <c r="L40" s="83">
        <v>45200</v>
      </c>
      <c r="M40" s="83">
        <v>45230</v>
      </c>
    </row>
    <row r="41" spans="1:13" ht="14.25" customHeight="1" x14ac:dyDescent="0.25">
      <c r="A41" s="9" t="s">
        <v>8</v>
      </c>
      <c r="B41" s="81">
        <v>116968</v>
      </c>
      <c r="C41" s="81">
        <v>10763</v>
      </c>
      <c r="D41" s="9" t="s">
        <v>1232</v>
      </c>
      <c r="E41" s="81">
        <v>14563091</v>
      </c>
      <c r="F41" s="81">
        <v>43446</v>
      </c>
      <c r="G41" s="81">
        <v>1</v>
      </c>
      <c r="H41" s="82">
        <v>359.46</v>
      </c>
      <c r="I41" s="251">
        <v>359.46</v>
      </c>
      <c r="J41" s="9" t="s">
        <v>1387</v>
      </c>
      <c r="K41" s="9" t="s">
        <v>1388</v>
      </c>
      <c r="L41" s="83">
        <v>45200</v>
      </c>
      <c r="M41" s="83">
        <v>45230</v>
      </c>
    </row>
    <row r="42" spans="1:13" ht="14.25" customHeight="1" x14ac:dyDescent="0.25">
      <c r="A42" s="9" t="s">
        <v>10</v>
      </c>
      <c r="B42" s="81">
        <v>112547</v>
      </c>
      <c r="C42" s="81">
        <v>10750</v>
      </c>
      <c r="D42" s="9" t="s">
        <v>257</v>
      </c>
      <c r="E42" s="81">
        <v>14563091</v>
      </c>
      <c r="F42" s="81">
        <v>29528</v>
      </c>
      <c r="G42" s="81">
        <v>1</v>
      </c>
      <c r="H42" s="82">
        <v>359.46</v>
      </c>
      <c r="I42" s="251">
        <v>359.46</v>
      </c>
      <c r="J42" s="9" t="s">
        <v>1387</v>
      </c>
      <c r="K42" s="9" t="s">
        <v>1388</v>
      </c>
      <c r="L42" s="83">
        <v>45200</v>
      </c>
      <c r="M42" s="83">
        <v>45230</v>
      </c>
    </row>
    <row r="43" spans="1:13" ht="14.25" customHeight="1" x14ac:dyDescent="0.25">
      <c r="A43" s="9" t="s">
        <v>10</v>
      </c>
      <c r="B43" s="81">
        <v>112632</v>
      </c>
      <c r="C43" s="81">
        <v>10750</v>
      </c>
      <c r="D43" s="9" t="s">
        <v>310</v>
      </c>
      <c r="E43" s="81">
        <v>14563091</v>
      </c>
      <c r="F43" s="81">
        <v>29698</v>
      </c>
      <c r="G43" s="81">
        <v>1</v>
      </c>
      <c r="H43" s="82">
        <v>359.46</v>
      </c>
      <c r="I43" s="251">
        <v>359.46</v>
      </c>
      <c r="J43" s="9" t="s">
        <v>1387</v>
      </c>
      <c r="K43" s="9" t="s">
        <v>1388</v>
      </c>
      <c r="L43" s="83">
        <v>45200</v>
      </c>
      <c r="M43" s="83">
        <v>45230</v>
      </c>
    </row>
    <row r="44" spans="1:13" ht="14.25" customHeight="1" x14ac:dyDescent="0.25">
      <c r="A44" s="9" t="s">
        <v>10</v>
      </c>
      <c r="B44" s="81">
        <v>112549</v>
      </c>
      <c r="C44" s="81">
        <v>10750</v>
      </c>
      <c r="D44" s="9" t="s">
        <v>259</v>
      </c>
      <c r="E44" s="81">
        <v>14563091</v>
      </c>
      <c r="F44" s="81">
        <v>29532</v>
      </c>
      <c r="G44" s="81">
        <v>1</v>
      </c>
      <c r="H44" s="82">
        <v>359.46</v>
      </c>
      <c r="I44" s="251">
        <v>359.46</v>
      </c>
      <c r="J44" s="9" t="s">
        <v>1387</v>
      </c>
      <c r="K44" s="9" t="s">
        <v>1388</v>
      </c>
      <c r="L44" s="83">
        <v>45200</v>
      </c>
      <c r="M44" s="83">
        <v>45230</v>
      </c>
    </row>
    <row r="45" spans="1:13" ht="14.25" customHeight="1" x14ac:dyDescent="0.25">
      <c r="A45" s="9" t="s">
        <v>10</v>
      </c>
      <c r="B45" s="81">
        <v>112641</v>
      </c>
      <c r="C45" s="81">
        <v>10750</v>
      </c>
      <c r="D45" s="9" t="s">
        <v>315</v>
      </c>
      <c r="E45" s="81">
        <v>14563091</v>
      </c>
      <c r="F45" s="81">
        <v>29716</v>
      </c>
      <c r="G45" s="81">
        <v>1</v>
      </c>
      <c r="H45" s="82">
        <v>359.46</v>
      </c>
      <c r="I45" s="251">
        <v>359.46</v>
      </c>
      <c r="J45" s="9" t="s">
        <v>1387</v>
      </c>
      <c r="K45" s="9" t="s">
        <v>1388</v>
      </c>
      <c r="L45" s="83">
        <v>45200</v>
      </c>
      <c r="M45" s="83">
        <v>45230</v>
      </c>
    </row>
    <row r="46" spans="1:13" ht="14.25" customHeight="1" x14ac:dyDescent="0.25">
      <c r="A46" s="9" t="s">
        <v>1578</v>
      </c>
      <c r="B46" s="81">
        <v>114966</v>
      </c>
      <c r="C46" s="81">
        <v>10761</v>
      </c>
      <c r="D46" s="9" t="s">
        <v>1129</v>
      </c>
      <c r="E46" s="81">
        <v>14563091</v>
      </c>
      <c r="F46" s="81">
        <v>37709</v>
      </c>
      <c r="G46" s="81">
        <v>1</v>
      </c>
      <c r="H46" s="82">
        <v>359.46</v>
      </c>
      <c r="I46" s="251">
        <v>359.46</v>
      </c>
      <c r="J46" s="9" t="s">
        <v>1387</v>
      </c>
      <c r="K46" s="9" t="s">
        <v>1388</v>
      </c>
      <c r="L46" s="83">
        <v>45200</v>
      </c>
      <c r="M46" s="83">
        <v>45230</v>
      </c>
    </row>
    <row r="47" spans="1:13" ht="14.25" customHeight="1" x14ac:dyDescent="0.25">
      <c r="A47" s="9" t="s">
        <v>1578</v>
      </c>
      <c r="B47" s="81">
        <v>116076</v>
      </c>
      <c r="C47" s="81">
        <v>10771</v>
      </c>
      <c r="D47" s="9" t="s">
        <v>1179</v>
      </c>
      <c r="E47" s="81">
        <v>14563091</v>
      </c>
      <c r="F47" s="81">
        <v>41072</v>
      </c>
      <c r="G47" s="81">
        <v>1</v>
      </c>
      <c r="H47" s="82">
        <v>347.47</v>
      </c>
      <c r="I47" s="251">
        <v>347.47</v>
      </c>
      <c r="J47" s="9" t="s">
        <v>1387</v>
      </c>
      <c r="K47" s="9" t="s">
        <v>1388</v>
      </c>
      <c r="L47" s="83">
        <v>45200</v>
      </c>
      <c r="M47" s="83">
        <v>45230</v>
      </c>
    </row>
    <row r="48" spans="1:13" ht="14.25" customHeight="1" x14ac:dyDescent="0.25">
      <c r="A48" s="9" t="s">
        <v>19</v>
      </c>
      <c r="B48" s="81">
        <v>112646</v>
      </c>
      <c r="C48" s="81">
        <v>10763</v>
      </c>
      <c r="D48" s="9" t="s">
        <v>317</v>
      </c>
      <c r="E48" s="81">
        <v>14563091</v>
      </c>
      <c r="F48" s="81">
        <v>29726</v>
      </c>
      <c r="G48" s="81">
        <v>1</v>
      </c>
      <c r="H48" s="82">
        <v>359.46</v>
      </c>
      <c r="I48" s="251">
        <v>359.46</v>
      </c>
      <c r="J48" s="9" t="s">
        <v>1387</v>
      </c>
      <c r="K48" s="9" t="s">
        <v>1388</v>
      </c>
      <c r="L48" s="83">
        <v>45200</v>
      </c>
      <c r="M48" s="83">
        <v>45230</v>
      </c>
    </row>
    <row r="49" spans="1:13" ht="14.25" customHeight="1" x14ac:dyDescent="0.25">
      <c r="A49" s="9" t="s">
        <v>1578</v>
      </c>
      <c r="B49" s="81">
        <v>121954</v>
      </c>
      <c r="C49" s="81">
        <v>10761</v>
      </c>
      <c r="D49" s="9" t="s">
        <v>1601</v>
      </c>
      <c r="E49" s="81">
        <v>14563091</v>
      </c>
      <c r="F49" s="81">
        <v>54963</v>
      </c>
      <c r="G49" s="81">
        <v>1</v>
      </c>
      <c r="H49" s="82">
        <v>311.52999999999997</v>
      </c>
      <c r="I49" s="251">
        <v>311.52999999999997</v>
      </c>
      <c r="J49" s="9" t="s">
        <v>1387</v>
      </c>
      <c r="K49" s="9" t="s">
        <v>1388</v>
      </c>
      <c r="L49" s="83">
        <v>45200</v>
      </c>
      <c r="M49" s="83">
        <v>45230</v>
      </c>
    </row>
    <row r="50" spans="1:13" ht="14.25" customHeight="1" x14ac:dyDescent="0.25">
      <c r="A50" s="9" t="s">
        <v>1578</v>
      </c>
      <c r="B50" s="81">
        <v>117290</v>
      </c>
      <c r="C50" s="81">
        <v>10771</v>
      </c>
      <c r="D50" s="9" t="s">
        <v>1260</v>
      </c>
      <c r="E50" s="81">
        <v>14563091</v>
      </c>
      <c r="F50" s="81">
        <v>44211</v>
      </c>
      <c r="G50" s="81">
        <v>1</v>
      </c>
      <c r="H50" s="82">
        <v>359.46</v>
      </c>
      <c r="I50" s="251">
        <v>359.46</v>
      </c>
      <c r="J50" s="9" t="s">
        <v>1387</v>
      </c>
      <c r="K50" s="9" t="s">
        <v>1388</v>
      </c>
      <c r="L50" s="83">
        <v>45200</v>
      </c>
      <c r="M50" s="83">
        <v>45230</v>
      </c>
    </row>
    <row r="51" spans="1:13" ht="14.25" customHeight="1" x14ac:dyDescent="0.25">
      <c r="A51" s="9" t="s">
        <v>32</v>
      </c>
      <c r="B51" s="81">
        <v>112652</v>
      </c>
      <c r="C51" s="81">
        <v>10757</v>
      </c>
      <c r="D51" s="9" t="s">
        <v>320</v>
      </c>
      <c r="E51" s="81">
        <v>14563091</v>
      </c>
      <c r="F51" s="81">
        <v>29738</v>
      </c>
      <c r="G51" s="81">
        <v>1</v>
      </c>
      <c r="H51" s="82">
        <v>359.46</v>
      </c>
      <c r="I51" s="251">
        <v>359.46</v>
      </c>
      <c r="J51" s="9" t="s">
        <v>1387</v>
      </c>
      <c r="K51" s="9" t="s">
        <v>1388</v>
      </c>
      <c r="L51" s="83">
        <v>45200</v>
      </c>
      <c r="M51" s="83">
        <v>45230</v>
      </c>
    </row>
    <row r="52" spans="1:13" ht="14.25" customHeight="1" x14ac:dyDescent="0.25">
      <c r="A52" s="9" t="s">
        <v>8</v>
      </c>
      <c r="B52" s="81">
        <v>112567</v>
      </c>
      <c r="C52" s="81">
        <v>10757</v>
      </c>
      <c r="D52" s="9" t="s">
        <v>269</v>
      </c>
      <c r="E52" s="81">
        <v>14563091</v>
      </c>
      <c r="F52" s="81">
        <v>29568</v>
      </c>
      <c r="G52" s="81">
        <v>1</v>
      </c>
      <c r="H52" s="82">
        <v>359.46</v>
      </c>
      <c r="I52" s="251">
        <v>359.46</v>
      </c>
      <c r="J52" s="9" t="s">
        <v>1387</v>
      </c>
      <c r="K52" s="9" t="s">
        <v>1388</v>
      </c>
      <c r="L52" s="83">
        <v>45200</v>
      </c>
      <c r="M52" s="83">
        <v>45230</v>
      </c>
    </row>
    <row r="53" spans="1:13" ht="14.25" customHeight="1" x14ac:dyDescent="0.25">
      <c r="A53" s="9" t="s">
        <v>1578</v>
      </c>
      <c r="B53" s="81">
        <v>112656</v>
      </c>
      <c r="C53" s="81">
        <v>10768</v>
      </c>
      <c r="D53" s="9" t="s">
        <v>322</v>
      </c>
      <c r="E53" s="81">
        <v>14563091</v>
      </c>
      <c r="F53" s="81">
        <v>29746</v>
      </c>
      <c r="G53" s="81">
        <v>1</v>
      </c>
      <c r="H53" s="82">
        <v>359.46</v>
      </c>
      <c r="I53" s="251">
        <v>359.46</v>
      </c>
      <c r="J53" s="9" t="s">
        <v>1387</v>
      </c>
      <c r="K53" s="9" t="s">
        <v>1388</v>
      </c>
      <c r="L53" s="83">
        <v>45200</v>
      </c>
      <c r="M53" s="83">
        <v>45230</v>
      </c>
    </row>
    <row r="54" spans="1:13" ht="14.25" customHeight="1" x14ac:dyDescent="0.25">
      <c r="A54" s="9" t="s">
        <v>1578</v>
      </c>
      <c r="B54" s="81">
        <v>114976</v>
      </c>
      <c r="C54" s="81">
        <v>10745</v>
      </c>
      <c r="D54" s="9" t="s">
        <v>1132</v>
      </c>
      <c r="E54" s="81">
        <v>14563091</v>
      </c>
      <c r="F54" s="81">
        <v>37729</v>
      </c>
      <c r="G54" s="81">
        <v>1</v>
      </c>
      <c r="H54" s="82">
        <v>359.46</v>
      </c>
      <c r="I54" s="251">
        <v>359.46</v>
      </c>
      <c r="J54" s="9" t="s">
        <v>1387</v>
      </c>
      <c r="K54" s="9" t="s">
        <v>1388</v>
      </c>
      <c r="L54" s="83">
        <v>45200</v>
      </c>
      <c r="M54" s="83">
        <v>45230</v>
      </c>
    </row>
    <row r="55" spans="1:13" ht="14.25" customHeight="1" x14ac:dyDescent="0.25">
      <c r="A55" s="9" t="s">
        <v>0</v>
      </c>
      <c r="B55" s="81">
        <v>112664</v>
      </c>
      <c r="C55" s="81">
        <v>10752</v>
      </c>
      <c r="D55" s="9" t="s">
        <v>326</v>
      </c>
      <c r="E55" s="81">
        <v>14563091</v>
      </c>
      <c r="F55" s="81">
        <v>29762</v>
      </c>
      <c r="G55" s="81">
        <v>1</v>
      </c>
      <c r="H55" s="82">
        <v>347.47</v>
      </c>
      <c r="I55" s="251">
        <v>347.47</v>
      </c>
      <c r="J55" s="9" t="s">
        <v>1387</v>
      </c>
      <c r="K55" s="9" t="s">
        <v>1388</v>
      </c>
      <c r="L55" s="83">
        <v>45200</v>
      </c>
      <c r="M55" s="83">
        <v>45230</v>
      </c>
    </row>
    <row r="56" spans="1:13" ht="14.25" customHeight="1" x14ac:dyDescent="0.25">
      <c r="A56" s="9" t="s">
        <v>1578</v>
      </c>
      <c r="B56" s="81">
        <v>112691</v>
      </c>
      <c r="C56" s="81">
        <v>10768</v>
      </c>
      <c r="D56" s="9" t="s">
        <v>343</v>
      </c>
      <c r="E56" s="81">
        <v>14563091</v>
      </c>
      <c r="F56" s="81">
        <v>29816</v>
      </c>
      <c r="G56" s="81">
        <v>1</v>
      </c>
      <c r="H56" s="82">
        <v>359.46</v>
      </c>
      <c r="I56" s="251">
        <v>359.46</v>
      </c>
      <c r="J56" s="9" t="s">
        <v>1387</v>
      </c>
      <c r="K56" s="9" t="s">
        <v>1388</v>
      </c>
      <c r="L56" s="83">
        <v>45200</v>
      </c>
      <c r="M56" s="83">
        <v>45230</v>
      </c>
    </row>
    <row r="57" spans="1:13" ht="14.25" customHeight="1" x14ac:dyDescent="0.25">
      <c r="A57" s="9" t="s">
        <v>8</v>
      </c>
      <c r="B57" s="81">
        <v>112697</v>
      </c>
      <c r="C57" s="81">
        <v>10750</v>
      </c>
      <c r="D57" s="9" t="s">
        <v>347</v>
      </c>
      <c r="E57" s="81">
        <v>14563091</v>
      </c>
      <c r="F57" s="81">
        <v>29828</v>
      </c>
      <c r="G57" s="81">
        <v>1</v>
      </c>
      <c r="H57" s="82">
        <v>359.46</v>
      </c>
      <c r="I57" s="251">
        <v>359.46</v>
      </c>
      <c r="J57" s="9" t="s">
        <v>1387</v>
      </c>
      <c r="K57" s="9" t="s">
        <v>1388</v>
      </c>
      <c r="L57" s="83">
        <v>45200</v>
      </c>
      <c r="M57" s="83">
        <v>45230</v>
      </c>
    </row>
    <row r="58" spans="1:13" ht="14.25" customHeight="1" x14ac:dyDescent="0.25">
      <c r="A58" s="9" t="s">
        <v>8</v>
      </c>
      <c r="B58" s="81">
        <v>112700</v>
      </c>
      <c r="C58" s="81">
        <v>10754</v>
      </c>
      <c r="D58" s="9" t="s">
        <v>351</v>
      </c>
      <c r="E58" s="81">
        <v>14563091</v>
      </c>
      <c r="F58" s="81">
        <v>29834</v>
      </c>
      <c r="G58" s="81">
        <v>1</v>
      </c>
      <c r="H58" s="82">
        <v>359.46</v>
      </c>
      <c r="I58" s="251">
        <v>359.46</v>
      </c>
      <c r="J58" s="9" t="s">
        <v>1387</v>
      </c>
      <c r="K58" s="9" t="s">
        <v>1388</v>
      </c>
      <c r="L58" s="83">
        <v>45200</v>
      </c>
      <c r="M58" s="83">
        <v>45230</v>
      </c>
    </row>
    <row r="59" spans="1:13" ht="14.25" customHeight="1" x14ac:dyDescent="0.25">
      <c r="A59" s="9" t="s">
        <v>10</v>
      </c>
      <c r="B59" s="81">
        <v>112175</v>
      </c>
      <c r="C59" s="81">
        <v>10745</v>
      </c>
      <c r="D59" s="9" t="s">
        <v>12</v>
      </c>
      <c r="E59" s="81">
        <v>14563091</v>
      </c>
      <c r="F59" s="81">
        <v>28784</v>
      </c>
      <c r="G59" s="81">
        <v>1</v>
      </c>
      <c r="H59" s="82">
        <v>359.46</v>
      </c>
      <c r="I59" s="251">
        <v>359.46</v>
      </c>
      <c r="J59" s="9" t="s">
        <v>1387</v>
      </c>
      <c r="K59" s="9" t="s">
        <v>1388</v>
      </c>
      <c r="L59" s="83">
        <v>45200</v>
      </c>
      <c r="M59" s="83">
        <v>45230</v>
      </c>
    </row>
    <row r="60" spans="1:13" ht="14.25" customHeight="1" x14ac:dyDescent="0.25">
      <c r="A60" s="9" t="s">
        <v>10</v>
      </c>
      <c r="B60" s="81">
        <v>121314</v>
      </c>
      <c r="C60" s="81">
        <v>10757</v>
      </c>
      <c r="D60" s="9" t="s">
        <v>1522</v>
      </c>
      <c r="E60" s="81">
        <v>14563091</v>
      </c>
      <c r="F60" s="81">
        <v>53482</v>
      </c>
      <c r="G60" s="81">
        <v>1</v>
      </c>
      <c r="H60" s="82">
        <v>359.46</v>
      </c>
      <c r="I60" s="251">
        <v>359.46</v>
      </c>
      <c r="J60" s="9" t="s">
        <v>1387</v>
      </c>
      <c r="K60" s="9" t="s">
        <v>1388</v>
      </c>
      <c r="L60" s="83">
        <v>45200</v>
      </c>
      <c r="M60" s="83">
        <v>45230</v>
      </c>
    </row>
    <row r="61" spans="1:13" ht="14.25" customHeight="1" x14ac:dyDescent="0.25">
      <c r="A61" s="9" t="s">
        <v>1578</v>
      </c>
      <c r="B61" s="81">
        <v>112719</v>
      </c>
      <c r="C61" s="81">
        <v>10756</v>
      </c>
      <c r="D61" s="9" t="s">
        <v>362</v>
      </c>
      <c r="E61" s="81">
        <v>14563091</v>
      </c>
      <c r="F61" s="81">
        <v>29872</v>
      </c>
      <c r="G61" s="81">
        <v>1</v>
      </c>
      <c r="H61" s="82">
        <v>359.46</v>
      </c>
      <c r="I61" s="251">
        <v>359.46</v>
      </c>
      <c r="J61" s="9" t="s">
        <v>1387</v>
      </c>
      <c r="K61" s="9" t="s">
        <v>1388</v>
      </c>
      <c r="L61" s="83">
        <v>45200</v>
      </c>
      <c r="M61" s="83">
        <v>45230</v>
      </c>
    </row>
    <row r="62" spans="1:13" ht="14.25" customHeight="1" x14ac:dyDescent="0.25">
      <c r="A62" s="9" t="s">
        <v>1578</v>
      </c>
      <c r="B62" s="81">
        <v>112726</v>
      </c>
      <c r="C62" s="81">
        <v>10761</v>
      </c>
      <c r="D62" s="9" t="s">
        <v>367</v>
      </c>
      <c r="E62" s="81">
        <v>14563091</v>
      </c>
      <c r="F62" s="81">
        <v>29886</v>
      </c>
      <c r="G62" s="81">
        <v>1</v>
      </c>
      <c r="H62" s="82">
        <v>359.46</v>
      </c>
      <c r="I62" s="251">
        <v>359.46</v>
      </c>
      <c r="J62" s="9" t="s">
        <v>1387</v>
      </c>
      <c r="K62" s="9" t="s">
        <v>1388</v>
      </c>
      <c r="L62" s="83">
        <v>45200</v>
      </c>
      <c r="M62" s="83">
        <v>45230</v>
      </c>
    </row>
    <row r="63" spans="1:13" ht="14.25" customHeight="1" x14ac:dyDescent="0.25">
      <c r="A63" s="9" t="s">
        <v>1580</v>
      </c>
      <c r="B63" s="81">
        <v>113795</v>
      </c>
      <c r="C63" s="81">
        <v>10775</v>
      </c>
      <c r="D63" s="9" t="s">
        <v>981</v>
      </c>
      <c r="E63" s="81">
        <v>14563091</v>
      </c>
      <c r="F63" s="81">
        <v>32042</v>
      </c>
      <c r="G63" s="81">
        <v>1</v>
      </c>
      <c r="H63" s="82">
        <v>359.46</v>
      </c>
      <c r="I63" s="251">
        <v>359.46</v>
      </c>
      <c r="J63" s="9" t="s">
        <v>1387</v>
      </c>
      <c r="K63" s="9" t="s">
        <v>1388</v>
      </c>
      <c r="L63" s="83">
        <v>45200</v>
      </c>
      <c r="M63" s="83">
        <v>45230</v>
      </c>
    </row>
    <row r="64" spans="1:13" ht="14.25" customHeight="1" x14ac:dyDescent="0.25">
      <c r="A64" s="9" t="s">
        <v>0</v>
      </c>
      <c r="B64" s="81">
        <v>116020</v>
      </c>
      <c r="C64" s="81">
        <v>10761</v>
      </c>
      <c r="D64" s="9" t="s">
        <v>1172</v>
      </c>
      <c r="E64" s="81">
        <v>14563091</v>
      </c>
      <c r="F64" s="81">
        <v>40899</v>
      </c>
      <c r="G64" s="81">
        <v>1</v>
      </c>
      <c r="H64" s="82">
        <v>359.46</v>
      </c>
      <c r="I64" s="251">
        <v>359.46</v>
      </c>
      <c r="J64" s="9" t="s">
        <v>1387</v>
      </c>
      <c r="K64" s="9" t="s">
        <v>1388</v>
      </c>
      <c r="L64" s="83">
        <v>45200</v>
      </c>
      <c r="M64" s="83">
        <v>45230</v>
      </c>
    </row>
    <row r="65" spans="1:13" ht="14.25" customHeight="1" x14ac:dyDescent="0.25">
      <c r="A65" s="9" t="s">
        <v>19</v>
      </c>
      <c r="B65" s="81">
        <v>114101</v>
      </c>
      <c r="C65" s="81">
        <v>10758</v>
      </c>
      <c r="D65" s="9" t="s">
        <v>1004</v>
      </c>
      <c r="E65" s="81">
        <v>14563091</v>
      </c>
      <c r="F65" s="81">
        <v>34352</v>
      </c>
      <c r="G65" s="81">
        <v>1</v>
      </c>
      <c r="H65" s="82">
        <v>359.46</v>
      </c>
      <c r="I65" s="251">
        <v>359.46</v>
      </c>
      <c r="J65" s="9" t="s">
        <v>1387</v>
      </c>
      <c r="K65" s="9" t="s">
        <v>1388</v>
      </c>
      <c r="L65" s="83">
        <v>45200</v>
      </c>
      <c r="M65" s="83">
        <v>45230</v>
      </c>
    </row>
    <row r="66" spans="1:13" ht="14.25" customHeight="1" x14ac:dyDescent="0.25">
      <c r="A66" s="9" t="s">
        <v>1578</v>
      </c>
      <c r="B66" s="81">
        <v>122437</v>
      </c>
      <c r="C66" s="81">
        <v>10757</v>
      </c>
      <c r="D66" s="9" t="s">
        <v>1676</v>
      </c>
      <c r="E66" s="81">
        <v>14563091</v>
      </c>
      <c r="F66" s="81">
        <v>56194</v>
      </c>
      <c r="G66" s="81">
        <v>1</v>
      </c>
      <c r="H66" s="82">
        <v>359.46</v>
      </c>
      <c r="I66" s="251">
        <v>359.46</v>
      </c>
      <c r="J66" s="9" t="s">
        <v>1387</v>
      </c>
      <c r="K66" s="9" t="s">
        <v>1388</v>
      </c>
      <c r="L66" s="83">
        <v>45200</v>
      </c>
      <c r="M66" s="83">
        <v>45230</v>
      </c>
    </row>
    <row r="67" spans="1:13" ht="14.25" customHeight="1" x14ac:dyDescent="0.25">
      <c r="A67" s="9" t="s">
        <v>0</v>
      </c>
      <c r="B67" s="81">
        <v>114273</v>
      </c>
      <c r="C67" s="81">
        <v>10758</v>
      </c>
      <c r="D67" s="9" t="s">
        <v>1030</v>
      </c>
      <c r="E67" s="81">
        <v>14563091</v>
      </c>
      <c r="F67" s="81">
        <v>35825</v>
      </c>
      <c r="G67" s="81">
        <v>1</v>
      </c>
      <c r="H67" s="82">
        <v>347.47</v>
      </c>
      <c r="I67" s="251">
        <v>347.47</v>
      </c>
      <c r="J67" s="9" t="s">
        <v>1387</v>
      </c>
      <c r="K67" s="9" t="s">
        <v>1388</v>
      </c>
      <c r="L67" s="83">
        <v>45200</v>
      </c>
      <c r="M67" s="83">
        <v>45230</v>
      </c>
    </row>
    <row r="68" spans="1:13" ht="14.25" customHeight="1" x14ac:dyDescent="0.25">
      <c r="A68" s="9" t="s">
        <v>1578</v>
      </c>
      <c r="B68" s="81">
        <v>112763</v>
      </c>
      <c r="C68" s="81">
        <v>10768</v>
      </c>
      <c r="D68" s="9" t="s">
        <v>389</v>
      </c>
      <c r="E68" s="81">
        <v>14563091</v>
      </c>
      <c r="F68" s="81">
        <v>29960</v>
      </c>
      <c r="G68" s="81">
        <v>1</v>
      </c>
      <c r="H68" s="82">
        <v>359.46</v>
      </c>
      <c r="I68" s="251">
        <v>359.46</v>
      </c>
      <c r="J68" s="9" t="s">
        <v>1387</v>
      </c>
      <c r="K68" s="9" t="s">
        <v>1388</v>
      </c>
      <c r="L68" s="83">
        <v>45200</v>
      </c>
      <c r="M68" s="83">
        <v>45230</v>
      </c>
    </row>
    <row r="69" spans="1:13" ht="14.25" customHeight="1" x14ac:dyDescent="0.25">
      <c r="A69" s="9" t="s">
        <v>1578</v>
      </c>
      <c r="B69" s="81">
        <v>113000</v>
      </c>
      <c r="C69" s="81">
        <v>10757</v>
      </c>
      <c r="D69" s="9" t="s">
        <v>538</v>
      </c>
      <c r="E69" s="81">
        <v>14563091</v>
      </c>
      <c r="F69" s="81">
        <v>30434</v>
      </c>
      <c r="G69" s="81">
        <v>1</v>
      </c>
      <c r="H69" s="82">
        <v>359.46</v>
      </c>
      <c r="I69" s="251">
        <v>359.46</v>
      </c>
      <c r="J69" s="9" t="s">
        <v>1387</v>
      </c>
      <c r="K69" s="9" t="s">
        <v>1388</v>
      </c>
      <c r="L69" s="83">
        <v>45200</v>
      </c>
      <c r="M69" s="83">
        <v>45230</v>
      </c>
    </row>
    <row r="70" spans="1:13" ht="14.25" customHeight="1" x14ac:dyDescent="0.25">
      <c r="A70" s="9" t="s">
        <v>10</v>
      </c>
      <c r="B70" s="81">
        <v>112793</v>
      </c>
      <c r="C70" s="81">
        <v>10751</v>
      </c>
      <c r="D70" s="9" t="s">
        <v>413</v>
      </c>
      <c r="E70" s="81">
        <v>14563091</v>
      </c>
      <c r="F70" s="81">
        <v>30020</v>
      </c>
      <c r="G70" s="81">
        <v>1</v>
      </c>
      <c r="H70" s="82">
        <v>359.46</v>
      </c>
      <c r="I70" s="251">
        <v>359.46</v>
      </c>
      <c r="J70" s="9" t="s">
        <v>1387</v>
      </c>
      <c r="K70" s="9" t="s">
        <v>1388</v>
      </c>
      <c r="L70" s="83">
        <v>45200</v>
      </c>
      <c r="M70" s="83">
        <v>45230</v>
      </c>
    </row>
    <row r="71" spans="1:13" ht="14.25" customHeight="1" x14ac:dyDescent="0.25">
      <c r="A71" s="9" t="s">
        <v>1578</v>
      </c>
      <c r="B71" s="81">
        <v>117410</v>
      </c>
      <c r="C71" s="81">
        <v>10743</v>
      </c>
      <c r="D71" s="9" t="s">
        <v>1272</v>
      </c>
      <c r="E71" s="81">
        <v>14563091</v>
      </c>
      <c r="F71" s="81">
        <v>44522</v>
      </c>
      <c r="G71" s="81">
        <v>1</v>
      </c>
      <c r="H71" s="82">
        <v>359.46</v>
      </c>
      <c r="I71" s="251">
        <v>359.46</v>
      </c>
      <c r="J71" s="9" t="s">
        <v>1387</v>
      </c>
      <c r="K71" s="9" t="s">
        <v>1388</v>
      </c>
      <c r="L71" s="83">
        <v>45200</v>
      </c>
      <c r="M71" s="83">
        <v>45230</v>
      </c>
    </row>
    <row r="72" spans="1:13" ht="14.25" customHeight="1" x14ac:dyDescent="0.25">
      <c r="A72" s="9" t="s">
        <v>8</v>
      </c>
      <c r="B72" s="81">
        <v>112798</v>
      </c>
      <c r="C72" s="81">
        <v>10751</v>
      </c>
      <c r="D72" s="9" t="s">
        <v>417</v>
      </c>
      <c r="E72" s="81">
        <v>14563091</v>
      </c>
      <c r="F72" s="81">
        <v>30030</v>
      </c>
      <c r="G72" s="81">
        <v>1</v>
      </c>
      <c r="H72" s="82">
        <v>359.46</v>
      </c>
      <c r="I72" s="251">
        <v>359.46</v>
      </c>
      <c r="J72" s="9" t="s">
        <v>1387</v>
      </c>
      <c r="K72" s="9" t="s">
        <v>1388</v>
      </c>
      <c r="L72" s="83">
        <v>45200</v>
      </c>
      <c r="M72" s="83">
        <v>45230</v>
      </c>
    </row>
    <row r="73" spans="1:13" ht="14.25" customHeight="1" x14ac:dyDescent="0.25">
      <c r="A73" s="9" t="s">
        <v>19</v>
      </c>
      <c r="B73" s="81">
        <v>113028</v>
      </c>
      <c r="C73" s="81">
        <v>10771</v>
      </c>
      <c r="D73" s="9" t="s">
        <v>548</v>
      </c>
      <c r="E73" s="81">
        <v>14563091</v>
      </c>
      <c r="F73" s="81">
        <v>30490</v>
      </c>
      <c r="G73" s="81">
        <v>1</v>
      </c>
      <c r="H73" s="82">
        <v>359.46</v>
      </c>
      <c r="I73" s="251">
        <v>359.46</v>
      </c>
      <c r="J73" s="9" t="s">
        <v>1387</v>
      </c>
      <c r="K73" s="9" t="s">
        <v>1388</v>
      </c>
      <c r="L73" s="83">
        <v>45200</v>
      </c>
      <c r="M73" s="83">
        <v>45230</v>
      </c>
    </row>
    <row r="74" spans="1:13" ht="14.25" customHeight="1" x14ac:dyDescent="0.25">
      <c r="A74" s="9" t="s">
        <v>32</v>
      </c>
      <c r="B74" s="81">
        <v>112804</v>
      </c>
      <c r="C74" s="81">
        <v>10750</v>
      </c>
      <c r="D74" s="9" t="s">
        <v>422</v>
      </c>
      <c r="E74" s="81">
        <v>14563091</v>
      </c>
      <c r="F74" s="81">
        <v>30042</v>
      </c>
      <c r="G74" s="81">
        <v>1</v>
      </c>
      <c r="H74" s="82">
        <v>359.46</v>
      </c>
      <c r="I74" s="251">
        <v>359.46</v>
      </c>
      <c r="J74" s="9" t="s">
        <v>1387</v>
      </c>
      <c r="K74" s="9" t="s">
        <v>1388</v>
      </c>
      <c r="L74" s="83">
        <v>45200</v>
      </c>
      <c r="M74" s="83">
        <v>45230</v>
      </c>
    </row>
    <row r="75" spans="1:13" ht="14.25" customHeight="1" x14ac:dyDescent="0.25">
      <c r="A75" s="9" t="s">
        <v>10</v>
      </c>
      <c r="B75" s="81">
        <v>113043</v>
      </c>
      <c r="C75" s="81">
        <v>10763</v>
      </c>
      <c r="D75" s="9" t="s">
        <v>557</v>
      </c>
      <c r="E75" s="81">
        <v>14563091</v>
      </c>
      <c r="F75" s="81">
        <v>30520</v>
      </c>
      <c r="G75" s="81">
        <v>1</v>
      </c>
      <c r="H75" s="82">
        <v>359.46</v>
      </c>
      <c r="I75" s="251">
        <v>359.46</v>
      </c>
      <c r="J75" s="9" t="s">
        <v>1387</v>
      </c>
      <c r="K75" s="9" t="s">
        <v>1388</v>
      </c>
      <c r="L75" s="83">
        <v>45200</v>
      </c>
      <c r="M75" s="83">
        <v>45230</v>
      </c>
    </row>
    <row r="76" spans="1:13" ht="14.25" customHeight="1" x14ac:dyDescent="0.25">
      <c r="A76" s="9" t="s">
        <v>1578</v>
      </c>
      <c r="B76" s="81">
        <v>121482</v>
      </c>
      <c r="C76" s="81">
        <v>10755</v>
      </c>
      <c r="D76" s="9" t="s">
        <v>1573</v>
      </c>
      <c r="E76" s="81">
        <v>14563091</v>
      </c>
      <c r="F76" s="81">
        <v>53847</v>
      </c>
      <c r="G76" s="81">
        <v>1</v>
      </c>
      <c r="H76" s="82">
        <v>359.46</v>
      </c>
      <c r="I76" s="251">
        <v>359.46</v>
      </c>
      <c r="J76" s="9" t="s">
        <v>1387</v>
      </c>
      <c r="K76" s="9" t="s">
        <v>1388</v>
      </c>
      <c r="L76" s="83">
        <v>45200</v>
      </c>
      <c r="M76" s="83">
        <v>45230</v>
      </c>
    </row>
    <row r="77" spans="1:13" ht="14.25" customHeight="1" x14ac:dyDescent="0.25">
      <c r="A77" s="9" t="s">
        <v>19</v>
      </c>
      <c r="B77" s="81">
        <v>112812</v>
      </c>
      <c r="C77" s="81">
        <v>10771</v>
      </c>
      <c r="D77" s="9" t="s">
        <v>428</v>
      </c>
      <c r="E77" s="81">
        <v>14563091</v>
      </c>
      <c r="F77" s="81">
        <v>30058</v>
      </c>
      <c r="G77" s="81">
        <v>1</v>
      </c>
      <c r="H77" s="82">
        <v>359.46</v>
      </c>
      <c r="I77" s="251">
        <v>359.46</v>
      </c>
      <c r="J77" s="9" t="s">
        <v>1387</v>
      </c>
      <c r="K77" s="9" t="s">
        <v>1388</v>
      </c>
      <c r="L77" s="83">
        <v>45200</v>
      </c>
      <c r="M77" s="83">
        <v>45230</v>
      </c>
    </row>
    <row r="78" spans="1:13" ht="14.25" customHeight="1" x14ac:dyDescent="0.25">
      <c r="A78" s="9" t="s">
        <v>10</v>
      </c>
      <c r="B78" s="81">
        <v>112815</v>
      </c>
      <c r="C78" s="81">
        <v>10760</v>
      </c>
      <c r="D78" s="9" t="s">
        <v>430</v>
      </c>
      <c r="E78" s="81">
        <v>14563091</v>
      </c>
      <c r="F78" s="81">
        <v>30064</v>
      </c>
      <c r="G78" s="81">
        <v>1</v>
      </c>
      <c r="H78" s="82">
        <v>359.46</v>
      </c>
      <c r="I78" s="251">
        <v>359.46</v>
      </c>
      <c r="J78" s="9" t="s">
        <v>1387</v>
      </c>
      <c r="K78" s="9" t="s">
        <v>1388</v>
      </c>
      <c r="L78" s="83">
        <v>45200</v>
      </c>
      <c r="M78" s="83">
        <v>45230</v>
      </c>
    </row>
    <row r="79" spans="1:13" ht="14.25" customHeight="1" x14ac:dyDescent="0.25">
      <c r="A79" s="9" t="s">
        <v>0</v>
      </c>
      <c r="B79" s="81">
        <v>118049</v>
      </c>
      <c r="C79" s="81">
        <v>10757</v>
      </c>
      <c r="D79" s="9" t="s">
        <v>1576</v>
      </c>
      <c r="E79" s="81">
        <v>14563091</v>
      </c>
      <c r="F79" s="81">
        <v>45886</v>
      </c>
      <c r="G79" s="81">
        <v>1</v>
      </c>
      <c r="H79" s="82">
        <v>83.87</v>
      </c>
      <c r="I79" s="251">
        <v>83.87</v>
      </c>
      <c r="J79" s="9" t="s">
        <v>1387</v>
      </c>
      <c r="K79" s="9" t="s">
        <v>1389</v>
      </c>
      <c r="L79" s="83">
        <v>45200</v>
      </c>
      <c r="M79" s="83">
        <v>45230</v>
      </c>
    </row>
    <row r="80" spans="1:13" ht="14.25" customHeight="1" x14ac:dyDescent="0.25">
      <c r="A80" s="9" t="s">
        <v>8</v>
      </c>
      <c r="B80" s="81">
        <v>113058</v>
      </c>
      <c r="C80" s="81">
        <v>10750</v>
      </c>
      <c r="D80" s="9" t="s">
        <v>563</v>
      </c>
      <c r="E80" s="81">
        <v>14563091</v>
      </c>
      <c r="F80" s="81">
        <v>30550</v>
      </c>
      <c r="G80" s="81">
        <v>1</v>
      </c>
      <c r="H80" s="82">
        <v>359.46</v>
      </c>
      <c r="I80" s="251">
        <v>359.46</v>
      </c>
      <c r="J80" s="9" t="s">
        <v>1387</v>
      </c>
      <c r="K80" s="9" t="s">
        <v>1388</v>
      </c>
      <c r="L80" s="83">
        <v>45200</v>
      </c>
      <c r="M80" s="83">
        <v>45230</v>
      </c>
    </row>
    <row r="81" spans="1:13" ht="14.25" customHeight="1" x14ac:dyDescent="0.25">
      <c r="A81" s="9" t="s">
        <v>10</v>
      </c>
      <c r="B81" s="81">
        <v>112824</v>
      </c>
      <c r="C81" s="81">
        <v>10750</v>
      </c>
      <c r="D81" s="9" t="s">
        <v>437</v>
      </c>
      <c r="E81" s="81">
        <v>14563091</v>
      </c>
      <c r="F81" s="81">
        <v>30082</v>
      </c>
      <c r="G81" s="81">
        <v>1</v>
      </c>
      <c r="H81" s="82">
        <v>359.46</v>
      </c>
      <c r="I81" s="251">
        <v>359.46</v>
      </c>
      <c r="J81" s="9" t="s">
        <v>1387</v>
      </c>
      <c r="K81" s="9" t="s">
        <v>1388</v>
      </c>
      <c r="L81" s="83">
        <v>45200</v>
      </c>
      <c r="M81" s="83">
        <v>45230</v>
      </c>
    </row>
    <row r="82" spans="1:13" ht="14.25" customHeight="1" x14ac:dyDescent="0.25">
      <c r="A82" s="9" t="s">
        <v>1578</v>
      </c>
      <c r="B82" s="81">
        <v>113086</v>
      </c>
      <c r="C82" s="81">
        <v>10761</v>
      </c>
      <c r="D82" s="9" t="s">
        <v>579</v>
      </c>
      <c r="E82" s="81">
        <v>14563091</v>
      </c>
      <c r="F82" s="81">
        <v>30606</v>
      </c>
      <c r="G82" s="81">
        <v>1</v>
      </c>
      <c r="H82" s="82">
        <v>359.46</v>
      </c>
      <c r="I82" s="251">
        <v>359.46</v>
      </c>
      <c r="J82" s="9" t="s">
        <v>1387</v>
      </c>
      <c r="K82" s="9" t="s">
        <v>1388</v>
      </c>
      <c r="L82" s="83">
        <v>45200</v>
      </c>
      <c r="M82" s="83">
        <v>45230</v>
      </c>
    </row>
    <row r="83" spans="1:13" ht="14.25" customHeight="1" x14ac:dyDescent="0.25">
      <c r="A83" s="9" t="s">
        <v>19</v>
      </c>
      <c r="B83" s="81">
        <v>112995</v>
      </c>
      <c r="C83" s="81">
        <v>10750</v>
      </c>
      <c r="D83" s="9" t="s">
        <v>536</v>
      </c>
      <c r="E83" s="81">
        <v>14563091</v>
      </c>
      <c r="F83" s="81">
        <v>30424</v>
      </c>
      <c r="G83" s="81">
        <v>1</v>
      </c>
      <c r="H83" s="82">
        <v>359.46</v>
      </c>
      <c r="I83" s="251">
        <v>359.46</v>
      </c>
      <c r="J83" s="9" t="s">
        <v>1387</v>
      </c>
      <c r="K83" s="9" t="s">
        <v>1388</v>
      </c>
      <c r="L83" s="83">
        <v>45200</v>
      </c>
      <c r="M83" s="83">
        <v>45230</v>
      </c>
    </row>
    <row r="84" spans="1:13" ht="14.25" customHeight="1" x14ac:dyDescent="0.25">
      <c r="A84" s="9" t="s">
        <v>0</v>
      </c>
      <c r="B84" s="81">
        <v>116330</v>
      </c>
      <c r="C84" s="81">
        <v>10763</v>
      </c>
      <c r="D84" s="9" t="s">
        <v>1207</v>
      </c>
      <c r="E84" s="81">
        <v>14563091</v>
      </c>
      <c r="F84" s="81">
        <v>41870</v>
      </c>
      <c r="G84" s="81">
        <v>1</v>
      </c>
      <c r="H84" s="82">
        <v>359.46</v>
      </c>
      <c r="I84" s="251">
        <v>359.46</v>
      </c>
      <c r="J84" s="9" t="s">
        <v>1387</v>
      </c>
      <c r="K84" s="9" t="s">
        <v>1388</v>
      </c>
      <c r="L84" s="83">
        <v>45200</v>
      </c>
      <c r="M84" s="83">
        <v>45230</v>
      </c>
    </row>
    <row r="85" spans="1:13" ht="14.25" customHeight="1" x14ac:dyDescent="0.25">
      <c r="A85" s="9" t="s">
        <v>8</v>
      </c>
      <c r="B85" s="81">
        <v>113103</v>
      </c>
      <c r="C85" s="81">
        <v>10757</v>
      </c>
      <c r="D85" s="9" t="s">
        <v>586</v>
      </c>
      <c r="E85" s="81">
        <v>14563091</v>
      </c>
      <c r="F85" s="81">
        <v>30640</v>
      </c>
      <c r="G85" s="81">
        <v>1</v>
      </c>
      <c r="H85" s="82">
        <v>359.46</v>
      </c>
      <c r="I85" s="251">
        <v>359.46</v>
      </c>
      <c r="J85" s="9" t="s">
        <v>1387</v>
      </c>
      <c r="K85" s="9" t="s">
        <v>1388</v>
      </c>
      <c r="L85" s="83">
        <v>45200</v>
      </c>
      <c r="M85" s="83">
        <v>45230</v>
      </c>
    </row>
    <row r="86" spans="1:13" ht="14.25" customHeight="1" x14ac:dyDescent="0.25">
      <c r="A86" s="9" t="s">
        <v>8</v>
      </c>
      <c r="B86" s="81">
        <v>113109</v>
      </c>
      <c r="C86" s="81">
        <v>10756</v>
      </c>
      <c r="D86" s="9" t="s">
        <v>588</v>
      </c>
      <c r="E86" s="81">
        <v>14563091</v>
      </c>
      <c r="F86" s="81">
        <v>30652</v>
      </c>
      <c r="G86" s="81">
        <v>1</v>
      </c>
      <c r="H86" s="82">
        <v>359.46</v>
      </c>
      <c r="I86" s="251">
        <v>359.46</v>
      </c>
      <c r="J86" s="9" t="s">
        <v>1387</v>
      </c>
      <c r="K86" s="9" t="s">
        <v>1388</v>
      </c>
      <c r="L86" s="83">
        <v>45200</v>
      </c>
      <c r="M86" s="83">
        <v>45230</v>
      </c>
    </row>
    <row r="87" spans="1:13" ht="14.25" customHeight="1" x14ac:dyDescent="0.25">
      <c r="A87" s="9" t="s">
        <v>32</v>
      </c>
      <c r="B87" s="81">
        <v>113117</v>
      </c>
      <c r="C87" s="81">
        <v>10757</v>
      </c>
      <c r="D87" s="9" t="s">
        <v>593</v>
      </c>
      <c r="E87" s="81">
        <v>14563091</v>
      </c>
      <c r="F87" s="81">
        <v>30668</v>
      </c>
      <c r="G87" s="81">
        <v>1</v>
      </c>
      <c r="H87" s="82">
        <v>359.46</v>
      </c>
      <c r="I87" s="251">
        <v>359.46</v>
      </c>
      <c r="J87" s="9" t="s">
        <v>1387</v>
      </c>
      <c r="K87" s="9" t="s">
        <v>1388</v>
      </c>
      <c r="L87" s="83">
        <v>45200</v>
      </c>
      <c r="M87" s="83">
        <v>45230</v>
      </c>
    </row>
    <row r="88" spans="1:13" ht="14.25" customHeight="1" x14ac:dyDescent="0.25">
      <c r="A88" s="9" t="s">
        <v>1578</v>
      </c>
      <c r="B88" s="81">
        <v>113124</v>
      </c>
      <c r="C88" s="81">
        <v>10768</v>
      </c>
      <c r="D88" s="9" t="s">
        <v>598</v>
      </c>
      <c r="E88" s="81">
        <v>14563091</v>
      </c>
      <c r="F88" s="81">
        <v>30682</v>
      </c>
      <c r="G88" s="81">
        <v>1</v>
      </c>
      <c r="H88" s="82">
        <v>359.46</v>
      </c>
      <c r="I88" s="251">
        <v>359.46</v>
      </c>
      <c r="J88" s="9" t="s">
        <v>1387</v>
      </c>
      <c r="K88" s="9" t="s">
        <v>1388</v>
      </c>
      <c r="L88" s="83">
        <v>45200</v>
      </c>
      <c r="M88" s="83">
        <v>45230</v>
      </c>
    </row>
    <row r="89" spans="1:13" ht="14.25" customHeight="1" x14ac:dyDescent="0.25">
      <c r="A89" s="9" t="s">
        <v>19</v>
      </c>
      <c r="B89" s="81">
        <v>113135</v>
      </c>
      <c r="C89" s="81">
        <v>10750</v>
      </c>
      <c r="D89" s="9" t="s">
        <v>603</v>
      </c>
      <c r="E89" s="81">
        <v>14563091</v>
      </c>
      <c r="F89" s="81">
        <v>30704</v>
      </c>
      <c r="G89" s="81">
        <v>1</v>
      </c>
      <c r="H89" s="82">
        <v>359.46</v>
      </c>
      <c r="I89" s="251">
        <v>359.46</v>
      </c>
      <c r="J89" s="9" t="s">
        <v>1387</v>
      </c>
      <c r="K89" s="9" t="s">
        <v>1388</v>
      </c>
      <c r="L89" s="83">
        <v>45200</v>
      </c>
      <c r="M89" s="83">
        <v>45230</v>
      </c>
    </row>
    <row r="90" spans="1:13" ht="14.25" customHeight="1" x14ac:dyDescent="0.25">
      <c r="A90" s="9" t="s">
        <v>32</v>
      </c>
      <c r="B90" s="81">
        <v>121672</v>
      </c>
      <c r="C90" s="81">
        <v>10757</v>
      </c>
      <c r="D90" s="9" t="s">
        <v>1582</v>
      </c>
      <c r="E90" s="81">
        <v>14563091</v>
      </c>
      <c r="F90" s="81">
        <v>54363</v>
      </c>
      <c r="G90" s="81">
        <v>1</v>
      </c>
      <c r="H90" s="82">
        <v>359.46</v>
      </c>
      <c r="I90" s="251">
        <v>359.46</v>
      </c>
      <c r="J90" s="9" t="s">
        <v>1387</v>
      </c>
      <c r="K90" s="9" t="s">
        <v>1388</v>
      </c>
      <c r="L90" s="83">
        <v>45200</v>
      </c>
      <c r="M90" s="83">
        <v>45230</v>
      </c>
    </row>
    <row r="91" spans="1:13" ht="14.25" customHeight="1" x14ac:dyDescent="0.25">
      <c r="A91" s="9" t="s">
        <v>10</v>
      </c>
      <c r="B91" s="81">
        <v>113139</v>
      </c>
      <c r="C91" s="81">
        <v>10750</v>
      </c>
      <c r="D91" s="9" t="s">
        <v>606</v>
      </c>
      <c r="E91" s="81">
        <v>14563091</v>
      </c>
      <c r="F91" s="81">
        <v>30712</v>
      </c>
      <c r="G91" s="81">
        <v>1</v>
      </c>
      <c r="H91" s="82">
        <v>359.46</v>
      </c>
      <c r="I91" s="251">
        <v>359.46</v>
      </c>
      <c r="J91" s="9" t="s">
        <v>1387</v>
      </c>
      <c r="K91" s="9" t="s">
        <v>1388</v>
      </c>
      <c r="L91" s="83">
        <v>45200</v>
      </c>
      <c r="M91" s="83">
        <v>45230</v>
      </c>
    </row>
    <row r="92" spans="1:13" ht="14.25" customHeight="1" x14ac:dyDescent="0.25">
      <c r="A92" s="9" t="s">
        <v>1578</v>
      </c>
      <c r="B92" s="81">
        <v>113760</v>
      </c>
      <c r="C92" s="81">
        <v>10743</v>
      </c>
      <c r="D92" s="9" t="s">
        <v>1509</v>
      </c>
      <c r="E92" s="81">
        <v>14563091</v>
      </c>
      <c r="F92" s="81">
        <v>31961</v>
      </c>
      <c r="G92" s="81">
        <v>1</v>
      </c>
      <c r="H92" s="82">
        <v>359.46</v>
      </c>
      <c r="I92" s="251">
        <v>359.46</v>
      </c>
      <c r="J92" s="9" t="s">
        <v>1387</v>
      </c>
      <c r="K92" s="9" t="s">
        <v>1389</v>
      </c>
      <c r="L92" s="83">
        <v>45200</v>
      </c>
      <c r="M92" s="83">
        <v>45230</v>
      </c>
    </row>
    <row r="93" spans="1:13" ht="14.25" customHeight="1" x14ac:dyDescent="0.25">
      <c r="A93" s="9" t="s">
        <v>10</v>
      </c>
      <c r="B93" s="81">
        <v>114682</v>
      </c>
      <c r="C93" s="81">
        <v>10758</v>
      </c>
      <c r="D93" s="9" t="s">
        <v>1063</v>
      </c>
      <c r="E93" s="81">
        <v>14563091</v>
      </c>
      <c r="F93" s="81">
        <v>36811</v>
      </c>
      <c r="G93" s="81">
        <v>1</v>
      </c>
      <c r="H93" s="82">
        <v>359.46</v>
      </c>
      <c r="I93" s="251">
        <v>359.46</v>
      </c>
      <c r="J93" s="9" t="s">
        <v>1387</v>
      </c>
      <c r="K93" s="9" t="s">
        <v>1388</v>
      </c>
      <c r="L93" s="83">
        <v>45200</v>
      </c>
      <c r="M93" s="83">
        <v>45230</v>
      </c>
    </row>
    <row r="94" spans="1:13" ht="14.25" customHeight="1" x14ac:dyDescent="0.25">
      <c r="A94" s="9" t="s">
        <v>32</v>
      </c>
      <c r="B94" s="81">
        <v>113151</v>
      </c>
      <c r="C94" s="81">
        <v>10755</v>
      </c>
      <c r="D94" s="9" t="s">
        <v>613</v>
      </c>
      <c r="E94" s="81">
        <v>14563091</v>
      </c>
      <c r="F94" s="81">
        <v>30736</v>
      </c>
      <c r="G94" s="81">
        <v>1</v>
      </c>
      <c r="H94" s="82">
        <v>359.46</v>
      </c>
      <c r="I94" s="251">
        <v>359.46</v>
      </c>
      <c r="J94" s="9" t="s">
        <v>1387</v>
      </c>
      <c r="K94" s="9" t="s">
        <v>1388</v>
      </c>
      <c r="L94" s="83">
        <v>45200</v>
      </c>
      <c r="M94" s="83">
        <v>45230</v>
      </c>
    </row>
    <row r="95" spans="1:13" ht="14.25" customHeight="1" x14ac:dyDescent="0.25">
      <c r="A95" s="9" t="s">
        <v>1578</v>
      </c>
      <c r="B95" s="81">
        <v>122440</v>
      </c>
      <c r="C95" s="81">
        <v>10755</v>
      </c>
      <c r="D95" s="9" t="s">
        <v>1677</v>
      </c>
      <c r="E95" s="81">
        <v>14563091</v>
      </c>
      <c r="F95" s="81">
        <v>56200</v>
      </c>
      <c r="G95" s="81">
        <v>1</v>
      </c>
      <c r="H95" s="82">
        <v>359.46</v>
      </c>
      <c r="I95" s="251">
        <v>359.46</v>
      </c>
      <c r="J95" s="9" t="s">
        <v>1387</v>
      </c>
      <c r="K95" s="9" t="s">
        <v>1388</v>
      </c>
      <c r="L95" s="83">
        <v>45200</v>
      </c>
      <c r="M95" s="83">
        <v>45230</v>
      </c>
    </row>
    <row r="96" spans="1:13" s="38" customFormat="1" ht="14.25" customHeight="1" x14ac:dyDescent="0.25">
      <c r="A96" s="9" t="s">
        <v>1578</v>
      </c>
      <c r="B96" s="81">
        <v>114968</v>
      </c>
      <c r="C96" s="81">
        <v>10758</v>
      </c>
      <c r="D96" s="9" t="s">
        <v>1130</v>
      </c>
      <c r="E96" s="81">
        <v>14563091</v>
      </c>
      <c r="F96" s="81">
        <v>37713</v>
      </c>
      <c r="G96" s="81">
        <v>1</v>
      </c>
      <c r="H96" s="82">
        <v>359.46</v>
      </c>
      <c r="I96" s="251">
        <v>359.46</v>
      </c>
      <c r="J96" s="9" t="s">
        <v>1387</v>
      </c>
      <c r="K96" s="9" t="s">
        <v>1388</v>
      </c>
      <c r="L96" s="83">
        <v>45200</v>
      </c>
      <c r="M96" s="83">
        <v>45230</v>
      </c>
    </row>
    <row r="97" spans="1:13" ht="14.25" customHeight="1" x14ac:dyDescent="0.25">
      <c r="A97" s="9" t="s">
        <v>1578</v>
      </c>
      <c r="B97" s="81">
        <v>113171</v>
      </c>
      <c r="C97" s="81">
        <v>10766</v>
      </c>
      <c r="D97" s="9" t="s">
        <v>626</v>
      </c>
      <c r="E97" s="81">
        <v>14563091</v>
      </c>
      <c r="F97" s="81">
        <v>30776</v>
      </c>
      <c r="G97" s="81">
        <v>1</v>
      </c>
      <c r="H97" s="82">
        <v>359.46</v>
      </c>
      <c r="I97" s="251">
        <v>359.46</v>
      </c>
      <c r="J97" s="9" t="s">
        <v>1387</v>
      </c>
      <c r="K97" s="9" t="s">
        <v>1388</v>
      </c>
      <c r="L97" s="83">
        <v>45200</v>
      </c>
      <c r="M97" s="83">
        <v>45230</v>
      </c>
    </row>
    <row r="98" spans="1:13" ht="14.25" customHeight="1" x14ac:dyDescent="0.25">
      <c r="A98" s="9" t="s">
        <v>19</v>
      </c>
      <c r="B98" s="81">
        <v>114683</v>
      </c>
      <c r="C98" s="81">
        <v>10750</v>
      </c>
      <c r="D98" s="9" t="s">
        <v>1064</v>
      </c>
      <c r="E98" s="81">
        <v>14563091</v>
      </c>
      <c r="F98" s="81">
        <v>36813</v>
      </c>
      <c r="G98" s="81">
        <v>1</v>
      </c>
      <c r="H98" s="82">
        <v>359.46</v>
      </c>
      <c r="I98" s="251">
        <v>359.46</v>
      </c>
      <c r="J98" s="9" t="s">
        <v>1387</v>
      </c>
      <c r="K98" s="9" t="s">
        <v>1388</v>
      </c>
      <c r="L98" s="83">
        <v>45200</v>
      </c>
      <c r="M98" s="83">
        <v>45230</v>
      </c>
    </row>
    <row r="99" spans="1:13" ht="14.25" customHeight="1" x14ac:dyDescent="0.25">
      <c r="A99" s="9" t="s">
        <v>19</v>
      </c>
      <c r="B99" s="81">
        <v>113173</v>
      </c>
      <c r="C99" s="81">
        <v>10755</v>
      </c>
      <c r="D99" s="9" t="s">
        <v>628</v>
      </c>
      <c r="E99" s="81">
        <v>14563091</v>
      </c>
      <c r="F99" s="81">
        <v>30780</v>
      </c>
      <c r="G99" s="81">
        <v>1</v>
      </c>
      <c r="H99" s="82">
        <v>359.46</v>
      </c>
      <c r="I99" s="251">
        <v>359.46</v>
      </c>
      <c r="J99" s="9" t="s">
        <v>1387</v>
      </c>
      <c r="K99" s="9" t="s">
        <v>1388</v>
      </c>
      <c r="L99" s="83">
        <v>45200</v>
      </c>
      <c r="M99" s="83">
        <v>45230</v>
      </c>
    </row>
    <row r="100" spans="1:13" ht="14.25" customHeight="1" x14ac:dyDescent="0.25">
      <c r="A100" s="9" t="s">
        <v>1578</v>
      </c>
      <c r="B100" s="81">
        <v>122438</v>
      </c>
      <c r="C100" s="81">
        <v>10758</v>
      </c>
      <c r="D100" s="9" t="s">
        <v>1678</v>
      </c>
      <c r="E100" s="81">
        <v>14563091</v>
      </c>
      <c r="F100" s="81">
        <v>56196</v>
      </c>
      <c r="G100" s="81">
        <v>1</v>
      </c>
      <c r="H100" s="82">
        <v>359.46</v>
      </c>
      <c r="I100" s="251">
        <v>359.46</v>
      </c>
      <c r="J100" s="9" t="s">
        <v>1387</v>
      </c>
      <c r="K100" s="9" t="s">
        <v>1388</v>
      </c>
      <c r="L100" s="83">
        <v>45200</v>
      </c>
      <c r="M100" s="83">
        <v>45230</v>
      </c>
    </row>
    <row r="101" spans="1:13" ht="14.25" customHeight="1" x14ac:dyDescent="0.25">
      <c r="A101" s="9" t="s">
        <v>1578</v>
      </c>
      <c r="B101" s="81">
        <v>114529</v>
      </c>
      <c r="C101" s="81">
        <v>10757</v>
      </c>
      <c r="D101" s="9" t="s">
        <v>1049</v>
      </c>
      <c r="E101" s="81">
        <v>14563091</v>
      </c>
      <c r="F101" s="81">
        <v>36336</v>
      </c>
      <c r="G101" s="81">
        <v>1</v>
      </c>
      <c r="H101" s="82">
        <v>359.46</v>
      </c>
      <c r="I101" s="251">
        <v>359.46</v>
      </c>
      <c r="J101" s="9" t="s">
        <v>1387</v>
      </c>
      <c r="K101" s="9" t="s">
        <v>1388</v>
      </c>
      <c r="L101" s="83">
        <v>45200</v>
      </c>
      <c r="M101" s="83">
        <v>45230</v>
      </c>
    </row>
    <row r="102" spans="1:13" ht="14.25" customHeight="1" x14ac:dyDescent="0.25">
      <c r="A102" s="9" t="s">
        <v>8</v>
      </c>
      <c r="B102" s="81">
        <v>113186</v>
      </c>
      <c r="C102" s="81">
        <v>10750</v>
      </c>
      <c r="D102" s="9" t="s">
        <v>634</v>
      </c>
      <c r="E102" s="81">
        <v>14563091</v>
      </c>
      <c r="F102" s="81">
        <v>30806</v>
      </c>
      <c r="G102" s="81">
        <v>1</v>
      </c>
      <c r="H102" s="82">
        <v>359.46</v>
      </c>
      <c r="I102" s="251">
        <v>359.46</v>
      </c>
      <c r="J102" s="9" t="s">
        <v>1387</v>
      </c>
      <c r="K102" s="9" t="s">
        <v>1388</v>
      </c>
      <c r="L102" s="83">
        <v>45200</v>
      </c>
      <c r="M102" s="83">
        <v>45230</v>
      </c>
    </row>
    <row r="103" spans="1:13" ht="14.25" customHeight="1" x14ac:dyDescent="0.25">
      <c r="A103" s="9" t="s">
        <v>1578</v>
      </c>
      <c r="B103" s="81">
        <v>120187</v>
      </c>
      <c r="C103" s="81">
        <v>10766</v>
      </c>
      <c r="D103" s="9" t="s">
        <v>1490</v>
      </c>
      <c r="E103" s="81">
        <v>14563091</v>
      </c>
      <c r="F103" s="81">
        <v>50925</v>
      </c>
      <c r="G103" s="81">
        <v>1</v>
      </c>
      <c r="H103" s="82">
        <v>359.46</v>
      </c>
      <c r="I103" s="251">
        <v>359.46</v>
      </c>
      <c r="J103" s="9" t="s">
        <v>1387</v>
      </c>
      <c r="K103" s="9" t="s">
        <v>1388</v>
      </c>
      <c r="L103" s="83">
        <v>45200</v>
      </c>
      <c r="M103" s="83">
        <v>45230</v>
      </c>
    </row>
    <row r="104" spans="1:13" ht="14.25" customHeight="1" x14ac:dyDescent="0.25">
      <c r="A104" s="9" t="s">
        <v>1578</v>
      </c>
      <c r="B104" s="81">
        <v>113792</v>
      </c>
      <c r="C104" s="81">
        <v>10771</v>
      </c>
      <c r="D104" s="9" t="s">
        <v>980</v>
      </c>
      <c r="E104" s="81">
        <v>14563091</v>
      </c>
      <c r="F104" s="81">
        <v>32035</v>
      </c>
      <c r="G104" s="81">
        <v>1</v>
      </c>
      <c r="H104" s="82">
        <v>359.46</v>
      </c>
      <c r="I104" s="251">
        <v>359.46</v>
      </c>
      <c r="J104" s="9" t="s">
        <v>1387</v>
      </c>
      <c r="K104" s="9" t="s">
        <v>1388</v>
      </c>
      <c r="L104" s="83">
        <v>45200</v>
      </c>
      <c r="M104" s="83">
        <v>45230</v>
      </c>
    </row>
    <row r="105" spans="1:13" ht="14.25" customHeight="1" x14ac:dyDescent="0.25">
      <c r="A105" s="9" t="s">
        <v>1578</v>
      </c>
      <c r="B105" s="81">
        <v>114760</v>
      </c>
      <c r="C105" s="81">
        <v>10768</v>
      </c>
      <c r="D105" s="9" t="s">
        <v>1093</v>
      </c>
      <c r="E105" s="81">
        <v>14563091</v>
      </c>
      <c r="F105" s="81">
        <v>36968</v>
      </c>
      <c r="G105" s="81">
        <v>1</v>
      </c>
      <c r="H105" s="82">
        <v>359.46</v>
      </c>
      <c r="I105" s="251">
        <v>359.46</v>
      </c>
      <c r="J105" s="9" t="s">
        <v>1387</v>
      </c>
      <c r="K105" s="9" t="s">
        <v>1388</v>
      </c>
      <c r="L105" s="83">
        <v>45200</v>
      </c>
      <c r="M105" s="83">
        <v>45230</v>
      </c>
    </row>
    <row r="106" spans="1:13" ht="14.25" customHeight="1" x14ac:dyDescent="0.25">
      <c r="A106" s="9" t="s">
        <v>1578</v>
      </c>
      <c r="B106" s="81">
        <v>113213</v>
      </c>
      <c r="C106" s="81">
        <v>10758</v>
      </c>
      <c r="D106" s="9" t="s">
        <v>650</v>
      </c>
      <c r="E106" s="81">
        <v>14563091</v>
      </c>
      <c r="F106" s="81">
        <v>30860</v>
      </c>
      <c r="G106" s="81">
        <v>1</v>
      </c>
      <c r="H106" s="82">
        <v>359.46</v>
      </c>
      <c r="I106" s="251">
        <v>359.46</v>
      </c>
      <c r="J106" s="9" t="s">
        <v>1387</v>
      </c>
      <c r="K106" s="9" t="s">
        <v>1388</v>
      </c>
      <c r="L106" s="83">
        <v>45200</v>
      </c>
      <c r="M106" s="83">
        <v>45230</v>
      </c>
    </row>
    <row r="107" spans="1:13" ht="14.25" customHeight="1" x14ac:dyDescent="0.25">
      <c r="A107" s="9" t="s">
        <v>1578</v>
      </c>
      <c r="B107" s="81">
        <v>113219</v>
      </c>
      <c r="C107" s="81">
        <v>10768</v>
      </c>
      <c r="D107" s="9" t="s">
        <v>653</v>
      </c>
      <c r="E107" s="81">
        <v>14563091</v>
      </c>
      <c r="F107" s="81">
        <v>30872</v>
      </c>
      <c r="G107" s="81">
        <v>1</v>
      </c>
      <c r="H107" s="82">
        <v>359.46</v>
      </c>
      <c r="I107" s="251">
        <v>359.46</v>
      </c>
      <c r="J107" s="9" t="s">
        <v>1387</v>
      </c>
      <c r="K107" s="9" t="s">
        <v>1388</v>
      </c>
      <c r="L107" s="83">
        <v>45200</v>
      </c>
      <c r="M107" s="83">
        <v>45230</v>
      </c>
    </row>
    <row r="108" spans="1:13" ht="14.25" customHeight="1" x14ac:dyDescent="0.25">
      <c r="A108" s="9" t="s">
        <v>8</v>
      </c>
      <c r="B108" s="81">
        <v>113223</v>
      </c>
      <c r="C108" s="81">
        <v>10755</v>
      </c>
      <c r="D108" s="9" t="s">
        <v>654</v>
      </c>
      <c r="E108" s="81">
        <v>14563091</v>
      </c>
      <c r="F108" s="81">
        <v>30880</v>
      </c>
      <c r="G108" s="81">
        <v>1</v>
      </c>
      <c r="H108" s="82">
        <v>359.46</v>
      </c>
      <c r="I108" s="251">
        <v>359.46</v>
      </c>
      <c r="J108" s="9" t="s">
        <v>1387</v>
      </c>
      <c r="K108" s="9" t="s">
        <v>1388</v>
      </c>
      <c r="L108" s="83">
        <v>45200</v>
      </c>
      <c r="M108" s="83">
        <v>45230</v>
      </c>
    </row>
    <row r="109" spans="1:13" ht="14.25" customHeight="1" x14ac:dyDescent="0.25">
      <c r="A109" s="9" t="s">
        <v>0</v>
      </c>
      <c r="B109" s="81">
        <v>114684</v>
      </c>
      <c r="C109" s="81">
        <v>10750</v>
      </c>
      <c r="D109" s="9" t="s">
        <v>1065</v>
      </c>
      <c r="E109" s="81">
        <v>14563091</v>
      </c>
      <c r="F109" s="81">
        <v>36815</v>
      </c>
      <c r="G109" s="81">
        <v>1</v>
      </c>
      <c r="H109" s="82">
        <v>359.46</v>
      </c>
      <c r="I109" s="251">
        <v>359.46</v>
      </c>
      <c r="J109" s="9" t="s">
        <v>1387</v>
      </c>
      <c r="K109" s="9" t="s">
        <v>1388</v>
      </c>
      <c r="L109" s="83">
        <v>45200</v>
      </c>
      <c r="M109" s="83">
        <v>45230</v>
      </c>
    </row>
    <row r="110" spans="1:13" ht="14.25" customHeight="1" x14ac:dyDescent="0.25">
      <c r="A110" s="9" t="s">
        <v>1578</v>
      </c>
      <c r="B110" s="81">
        <v>121449</v>
      </c>
      <c r="C110" s="81">
        <v>10755</v>
      </c>
      <c r="D110" s="9" t="s">
        <v>1548</v>
      </c>
      <c r="E110" s="81">
        <v>14563091</v>
      </c>
      <c r="F110" s="81">
        <v>53778</v>
      </c>
      <c r="G110" s="81">
        <v>1</v>
      </c>
      <c r="H110" s="82">
        <v>347.47</v>
      </c>
      <c r="I110" s="251">
        <v>347.47</v>
      </c>
      <c r="J110" s="9" t="s">
        <v>1387</v>
      </c>
      <c r="K110" s="9" t="s">
        <v>1388</v>
      </c>
      <c r="L110" s="83">
        <v>45200</v>
      </c>
      <c r="M110" s="83">
        <v>45230</v>
      </c>
    </row>
    <row r="111" spans="1:13" ht="14.25" customHeight="1" x14ac:dyDescent="0.25">
      <c r="A111" s="9" t="s">
        <v>0</v>
      </c>
      <c r="B111" s="81">
        <v>113226</v>
      </c>
      <c r="C111" s="81">
        <v>10750</v>
      </c>
      <c r="D111" s="9" t="s">
        <v>657</v>
      </c>
      <c r="E111" s="81">
        <v>14563091</v>
      </c>
      <c r="F111" s="81">
        <v>30886</v>
      </c>
      <c r="G111" s="81">
        <v>1</v>
      </c>
      <c r="H111" s="82">
        <v>359.46</v>
      </c>
      <c r="I111" s="251">
        <v>359.46</v>
      </c>
      <c r="J111" s="9" t="s">
        <v>1387</v>
      </c>
      <c r="K111" s="9" t="s">
        <v>1388</v>
      </c>
      <c r="L111" s="83">
        <v>45200</v>
      </c>
      <c r="M111" s="83">
        <v>45230</v>
      </c>
    </row>
    <row r="112" spans="1:13" ht="14.25" customHeight="1" x14ac:dyDescent="0.25">
      <c r="A112" s="9" t="s">
        <v>8</v>
      </c>
      <c r="B112" s="81">
        <v>114546</v>
      </c>
      <c r="C112" s="81">
        <v>10750</v>
      </c>
      <c r="D112" s="9" t="s">
        <v>1053</v>
      </c>
      <c r="E112" s="81">
        <v>14563091</v>
      </c>
      <c r="F112" s="81">
        <v>36369</v>
      </c>
      <c r="G112" s="81">
        <v>1</v>
      </c>
      <c r="H112" s="82">
        <v>359.46</v>
      </c>
      <c r="I112" s="251">
        <v>359.46</v>
      </c>
      <c r="J112" s="9" t="s">
        <v>1387</v>
      </c>
      <c r="K112" s="9" t="s">
        <v>1388</v>
      </c>
      <c r="L112" s="83">
        <v>45200</v>
      </c>
      <c r="M112" s="83">
        <v>45230</v>
      </c>
    </row>
    <row r="113" spans="1:13" ht="14.25" customHeight="1" x14ac:dyDescent="0.25">
      <c r="A113" s="9" t="s">
        <v>1578</v>
      </c>
      <c r="B113" s="81">
        <v>113232</v>
      </c>
      <c r="C113" s="81">
        <v>10771</v>
      </c>
      <c r="D113" s="9" t="s">
        <v>660</v>
      </c>
      <c r="E113" s="81">
        <v>14563091</v>
      </c>
      <c r="F113" s="81">
        <v>30898</v>
      </c>
      <c r="G113" s="81">
        <v>1</v>
      </c>
      <c r="H113" s="82">
        <v>359.46</v>
      </c>
      <c r="I113" s="251">
        <v>359.46</v>
      </c>
      <c r="J113" s="9" t="s">
        <v>1387</v>
      </c>
      <c r="K113" s="9" t="s">
        <v>1388</v>
      </c>
      <c r="L113" s="83">
        <v>45200</v>
      </c>
      <c r="M113" s="83">
        <v>45230</v>
      </c>
    </row>
    <row r="114" spans="1:13" ht="14.25" customHeight="1" x14ac:dyDescent="0.25">
      <c r="A114" s="9" t="s">
        <v>10</v>
      </c>
      <c r="B114" s="81">
        <v>114685</v>
      </c>
      <c r="C114" s="81">
        <v>10754</v>
      </c>
      <c r="D114" s="9" t="s">
        <v>1066</v>
      </c>
      <c r="E114" s="81">
        <v>14563091</v>
      </c>
      <c r="F114" s="81">
        <v>36817</v>
      </c>
      <c r="G114" s="81">
        <v>1</v>
      </c>
      <c r="H114" s="82">
        <v>347.47</v>
      </c>
      <c r="I114" s="251">
        <v>347.47</v>
      </c>
      <c r="J114" s="9" t="s">
        <v>1387</v>
      </c>
      <c r="K114" s="9" t="s">
        <v>1388</v>
      </c>
      <c r="L114" s="83">
        <v>45200</v>
      </c>
      <c r="M114" s="83">
        <v>45230</v>
      </c>
    </row>
    <row r="115" spans="1:13" ht="14.25" customHeight="1" x14ac:dyDescent="0.25">
      <c r="A115" s="9" t="s">
        <v>8</v>
      </c>
      <c r="B115" s="81">
        <v>120163</v>
      </c>
      <c r="C115" s="81">
        <v>10756</v>
      </c>
      <c r="D115" s="9" t="s">
        <v>1491</v>
      </c>
      <c r="E115" s="81">
        <v>14563091</v>
      </c>
      <c r="F115" s="81">
        <v>50872</v>
      </c>
      <c r="G115" s="81">
        <v>1</v>
      </c>
      <c r="H115" s="82">
        <v>359.46</v>
      </c>
      <c r="I115" s="251">
        <v>359.46</v>
      </c>
      <c r="J115" s="9" t="s">
        <v>1387</v>
      </c>
      <c r="K115" s="9" t="s">
        <v>1388</v>
      </c>
      <c r="L115" s="83">
        <v>45200</v>
      </c>
      <c r="M115" s="83">
        <v>45230</v>
      </c>
    </row>
    <row r="116" spans="1:13" ht="14.25" customHeight="1" x14ac:dyDescent="0.25">
      <c r="A116" s="9" t="s">
        <v>1578</v>
      </c>
      <c r="B116" s="81">
        <v>113251</v>
      </c>
      <c r="C116" s="81">
        <v>10745</v>
      </c>
      <c r="D116" s="9" t="s">
        <v>669</v>
      </c>
      <c r="E116" s="81">
        <v>14563091</v>
      </c>
      <c r="F116" s="81">
        <v>30936</v>
      </c>
      <c r="G116" s="81">
        <v>1</v>
      </c>
      <c r="H116" s="82">
        <v>359.46</v>
      </c>
      <c r="I116" s="251">
        <v>359.46</v>
      </c>
      <c r="J116" s="9" t="s">
        <v>1387</v>
      </c>
      <c r="K116" s="9" t="s">
        <v>1388</v>
      </c>
      <c r="L116" s="83">
        <v>45200</v>
      </c>
      <c r="M116" s="83">
        <v>45230</v>
      </c>
    </row>
    <row r="117" spans="1:13" ht="14.25" customHeight="1" x14ac:dyDescent="0.25">
      <c r="A117" s="9" t="s">
        <v>0</v>
      </c>
      <c r="B117" s="81">
        <v>118646</v>
      </c>
      <c r="C117" s="81">
        <v>10757</v>
      </c>
      <c r="D117" s="9" t="s">
        <v>1393</v>
      </c>
      <c r="E117" s="81">
        <v>14563091</v>
      </c>
      <c r="F117" s="81">
        <v>47185</v>
      </c>
      <c r="G117" s="81">
        <v>1</v>
      </c>
      <c r="H117" s="82">
        <v>347.47</v>
      </c>
      <c r="I117" s="251">
        <v>347.47</v>
      </c>
      <c r="J117" s="9" t="s">
        <v>1387</v>
      </c>
      <c r="K117" s="9" t="s">
        <v>1388</v>
      </c>
      <c r="L117" s="83">
        <v>45200</v>
      </c>
      <c r="M117" s="83">
        <v>45230</v>
      </c>
    </row>
    <row r="118" spans="1:13" ht="14.25" customHeight="1" x14ac:dyDescent="0.25">
      <c r="A118" s="9" t="s">
        <v>8</v>
      </c>
      <c r="B118" s="81">
        <v>113253</v>
      </c>
      <c r="C118" s="81">
        <v>10771</v>
      </c>
      <c r="D118" s="9" t="s">
        <v>670</v>
      </c>
      <c r="E118" s="81">
        <v>14563091</v>
      </c>
      <c r="F118" s="81">
        <v>30940</v>
      </c>
      <c r="G118" s="81">
        <v>1</v>
      </c>
      <c r="H118" s="82">
        <v>359.46</v>
      </c>
      <c r="I118" s="251">
        <v>359.46</v>
      </c>
      <c r="J118" s="9" t="s">
        <v>1387</v>
      </c>
      <c r="K118" s="9" t="s">
        <v>1388</v>
      </c>
      <c r="L118" s="83">
        <v>45200</v>
      </c>
      <c r="M118" s="83">
        <v>45230</v>
      </c>
    </row>
    <row r="119" spans="1:13" ht="14.25" customHeight="1" x14ac:dyDescent="0.25">
      <c r="A119" s="9" t="s">
        <v>19</v>
      </c>
      <c r="B119" s="81">
        <v>114687</v>
      </c>
      <c r="C119" s="81">
        <v>10754</v>
      </c>
      <c r="D119" s="9" t="s">
        <v>1067</v>
      </c>
      <c r="E119" s="81">
        <v>14563091</v>
      </c>
      <c r="F119" s="81">
        <v>36821</v>
      </c>
      <c r="G119" s="81">
        <v>1</v>
      </c>
      <c r="H119" s="82">
        <v>359.46</v>
      </c>
      <c r="I119" s="251">
        <v>359.46</v>
      </c>
      <c r="J119" s="9" t="s">
        <v>1387</v>
      </c>
      <c r="K119" s="9" t="s">
        <v>1388</v>
      </c>
      <c r="L119" s="83">
        <v>45200</v>
      </c>
      <c r="M119" s="83">
        <v>45230</v>
      </c>
    </row>
    <row r="120" spans="1:13" ht="14.25" customHeight="1" x14ac:dyDescent="0.25">
      <c r="A120" s="9" t="s">
        <v>1578</v>
      </c>
      <c r="B120" s="81">
        <v>113899</v>
      </c>
      <c r="C120" s="81">
        <v>10761</v>
      </c>
      <c r="D120" s="9" t="s">
        <v>986</v>
      </c>
      <c r="E120" s="81">
        <v>14563091</v>
      </c>
      <c r="F120" s="81">
        <v>33755</v>
      </c>
      <c r="G120" s="81">
        <v>1</v>
      </c>
      <c r="H120" s="82">
        <v>359.46</v>
      </c>
      <c r="I120" s="251">
        <v>359.46</v>
      </c>
      <c r="J120" s="9" t="s">
        <v>1387</v>
      </c>
      <c r="K120" s="9" t="s">
        <v>1388</v>
      </c>
      <c r="L120" s="83">
        <v>45200</v>
      </c>
      <c r="M120" s="83">
        <v>45230</v>
      </c>
    </row>
    <row r="121" spans="1:13" ht="14.25" customHeight="1" x14ac:dyDescent="0.25">
      <c r="A121" s="9" t="s">
        <v>1578</v>
      </c>
      <c r="B121" s="81">
        <v>122832</v>
      </c>
      <c r="C121" s="81">
        <v>10755</v>
      </c>
      <c r="D121" s="9" t="s">
        <v>1714</v>
      </c>
      <c r="E121" s="81">
        <v>14563091</v>
      </c>
      <c r="F121" s="81">
        <v>57231</v>
      </c>
      <c r="G121" s="81">
        <v>1</v>
      </c>
      <c r="H121" s="82">
        <v>359.46</v>
      </c>
      <c r="I121" s="251">
        <v>359.46</v>
      </c>
      <c r="J121" s="9" t="s">
        <v>1387</v>
      </c>
      <c r="K121" s="9" t="s">
        <v>1388</v>
      </c>
      <c r="L121" s="83">
        <v>45200</v>
      </c>
      <c r="M121" s="83">
        <v>45230</v>
      </c>
    </row>
    <row r="122" spans="1:13" ht="14.25" customHeight="1" x14ac:dyDescent="0.25">
      <c r="A122" s="9" t="s">
        <v>8</v>
      </c>
      <c r="B122" s="81">
        <v>113258</v>
      </c>
      <c r="C122" s="81">
        <v>10757</v>
      </c>
      <c r="D122" s="9" t="s">
        <v>672</v>
      </c>
      <c r="E122" s="81">
        <v>14563091</v>
      </c>
      <c r="F122" s="81">
        <v>30950</v>
      </c>
      <c r="G122" s="81">
        <v>1</v>
      </c>
      <c r="H122" s="82">
        <v>359.46</v>
      </c>
      <c r="I122" s="251">
        <v>359.46</v>
      </c>
      <c r="J122" s="9" t="s">
        <v>1387</v>
      </c>
      <c r="K122" s="9" t="s">
        <v>1388</v>
      </c>
      <c r="L122" s="83">
        <v>45200</v>
      </c>
      <c r="M122" s="83">
        <v>45230</v>
      </c>
    </row>
    <row r="123" spans="1:13" ht="14.25" customHeight="1" x14ac:dyDescent="0.25">
      <c r="A123" s="9" t="s">
        <v>8</v>
      </c>
      <c r="B123" s="81">
        <v>113302</v>
      </c>
      <c r="C123" s="81">
        <v>10751</v>
      </c>
      <c r="D123" s="9" t="s">
        <v>694</v>
      </c>
      <c r="E123" s="81">
        <v>14563091</v>
      </c>
      <c r="F123" s="81">
        <v>31038</v>
      </c>
      <c r="G123" s="81">
        <v>1</v>
      </c>
      <c r="H123" s="82">
        <v>359.46</v>
      </c>
      <c r="I123" s="251">
        <v>359.46</v>
      </c>
      <c r="J123" s="9" t="s">
        <v>1387</v>
      </c>
      <c r="K123" s="9" t="s">
        <v>1388</v>
      </c>
      <c r="L123" s="83">
        <v>45200</v>
      </c>
      <c r="M123" s="83">
        <v>45230</v>
      </c>
    </row>
    <row r="124" spans="1:13" ht="14.25" customHeight="1" x14ac:dyDescent="0.25">
      <c r="A124" s="9" t="s">
        <v>0</v>
      </c>
      <c r="B124" s="81">
        <v>113415</v>
      </c>
      <c r="C124" s="81">
        <v>10750</v>
      </c>
      <c r="D124" s="9" t="s">
        <v>764</v>
      </c>
      <c r="E124" s="81">
        <v>14563091</v>
      </c>
      <c r="F124" s="81">
        <v>31264</v>
      </c>
      <c r="G124" s="81">
        <v>1</v>
      </c>
      <c r="H124" s="82">
        <v>359.46</v>
      </c>
      <c r="I124" s="251">
        <v>359.46</v>
      </c>
      <c r="J124" s="9" t="s">
        <v>1387</v>
      </c>
      <c r="K124" s="9" t="s">
        <v>1388</v>
      </c>
      <c r="L124" s="83">
        <v>45200</v>
      </c>
      <c r="M124" s="83">
        <v>45230</v>
      </c>
    </row>
    <row r="125" spans="1:13" ht="14.25" customHeight="1" x14ac:dyDescent="0.25">
      <c r="A125" s="9" t="s">
        <v>1578</v>
      </c>
      <c r="B125" s="81">
        <v>113310</v>
      </c>
      <c r="C125" s="81">
        <v>10767</v>
      </c>
      <c r="D125" s="9" t="s">
        <v>700</v>
      </c>
      <c r="E125" s="81">
        <v>14563091</v>
      </c>
      <c r="F125" s="81">
        <v>31054</v>
      </c>
      <c r="G125" s="81">
        <v>1</v>
      </c>
      <c r="H125" s="82">
        <v>359.46</v>
      </c>
      <c r="I125" s="251">
        <v>359.46</v>
      </c>
      <c r="J125" s="9" t="s">
        <v>1387</v>
      </c>
      <c r="K125" s="9" t="s">
        <v>1388</v>
      </c>
      <c r="L125" s="83">
        <v>45200</v>
      </c>
      <c r="M125" s="83">
        <v>45230</v>
      </c>
    </row>
    <row r="126" spans="1:13" ht="14.25" customHeight="1" x14ac:dyDescent="0.25">
      <c r="A126" s="9" t="s">
        <v>1578</v>
      </c>
      <c r="B126" s="81">
        <v>113419</v>
      </c>
      <c r="C126" s="81">
        <v>10743</v>
      </c>
      <c r="D126" s="9" t="s">
        <v>1310</v>
      </c>
      <c r="E126" s="81">
        <v>14563091</v>
      </c>
      <c r="F126" s="81">
        <v>31272</v>
      </c>
      <c r="G126" s="81">
        <v>1</v>
      </c>
      <c r="H126" s="82">
        <v>359.46</v>
      </c>
      <c r="I126" s="251">
        <v>359.46</v>
      </c>
      <c r="J126" s="9" t="s">
        <v>1387</v>
      </c>
      <c r="K126" s="9" t="s">
        <v>1388</v>
      </c>
      <c r="L126" s="83">
        <v>45200</v>
      </c>
      <c r="M126" s="83">
        <v>45230</v>
      </c>
    </row>
    <row r="127" spans="1:13" ht="14.25" customHeight="1" x14ac:dyDescent="0.25">
      <c r="A127" s="9" t="s">
        <v>1578</v>
      </c>
      <c r="B127" s="81">
        <v>113334</v>
      </c>
      <c r="C127" s="81">
        <v>10745</v>
      </c>
      <c r="D127" s="9" t="s">
        <v>712</v>
      </c>
      <c r="E127" s="81">
        <v>14563091</v>
      </c>
      <c r="F127" s="81">
        <v>31102</v>
      </c>
      <c r="G127" s="81">
        <v>1</v>
      </c>
      <c r="H127" s="82">
        <v>359.46</v>
      </c>
      <c r="I127" s="251">
        <v>359.46</v>
      </c>
      <c r="J127" s="9" t="s">
        <v>1387</v>
      </c>
      <c r="K127" s="9" t="s">
        <v>1388</v>
      </c>
      <c r="L127" s="83">
        <v>45200</v>
      </c>
      <c r="M127" s="83">
        <v>45230</v>
      </c>
    </row>
    <row r="128" spans="1:13" ht="14.25" customHeight="1" x14ac:dyDescent="0.25">
      <c r="A128" s="9" t="s">
        <v>0</v>
      </c>
      <c r="B128" s="81">
        <v>113355</v>
      </c>
      <c r="C128" s="81">
        <v>10758</v>
      </c>
      <c r="D128" s="9" t="s">
        <v>1311</v>
      </c>
      <c r="E128" s="81">
        <v>14563091</v>
      </c>
      <c r="F128" s="81">
        <v>31144</v>
      </c>
      <c r="G128" s="81">
        <v>1</v>
      </c>
      <c r="H128" s="82">
        <v>359.46</v>
      </c>
      <c r="I128" s="251">
        <v>359.46</v>
      </c>
      <c r="J128" s="9" t="s">
        <v>1387</v>
      </c>
      <c r="K128" s="9" t="s">
        <v>1388</v>
      </c>
      <c r="L128" s="83">
        <v>45200</v>
      </c>
      <c r="M128" s="83">
        <v>45230</v>
      </c>
    </row>
    <row r="129" spans="1:13" ht="14.25" customHeight="1" x14ac:dyDescent="0.25">
      <c r="A129" s="9" t="s">
        <v>8</v>
      </c>
      <c r="B129" s="81">
        <v>116969</v>
      </c>
      <c r="C129" s="81">
        <v>10763</v>
      </c>
      <c r="D129" s="9" t="s">
        <v>1233</v>
      </c>
      <c r="E129" s="81">
        <v>14563091</v>
      </c>
      <c r="F129" s="81">
        <v>43448</v>
      </c>
      <c r="G129" s="81">
        <v>1</v>
      </c>
      <c r="H129" s="82">
        <v>359.46</v>
      </c>
      <c r="I129" s="251">
        <v>359.46</v>
      </c>
      <c r="J129" s="9" t="s">
        <v>1387</v>
      </c>
      <c r="K129" s="9" t="s">
        <v>1388</v>
      </c>
      <c r="L129" s="83">
        <v>45200</v>
      </c>
      <c r="M129" s="83">
        <v>45230</v>
      </c>
    </row>
    <row r="130" spans="1:13" ht="14.25" customHeight="1" x14ac:dyDescent="0.25">
      <c r="A130" s="9" t="s">
        <v>0</v>
      </c>
      <c r="B130" s="81">
        <v>113431</v>
      </c>
      <c r="C130" s="81">
        <v>10750</v>
      </c>
      <c r="D130" s="9" t="s">
        <v>774</v>
      </c>
      <c r="E130" s="81">
        <v>14563091</v>
      </c>
      <c r="F130" s="81">
        <v>31296</v>
      </c>
      <c r="G130" s="81">
        <v>1</v>
      </c>
      <c r="H130" s="82">
        <v>359.46</v>
      </c>
      <c r="I130" s="251">
        <v>359.46</v>
      </c>
      <c r="J130" s="9" t="s">
        <v>1387</v>
      </c>
      <c r="K130" s="9" t="s">
        <v>1388</v>
      </c>
      <c r="L130" s="83">
        <v>45200</v>
      </c>
      <c r="M130" s="83">
        <v>45230</v>
      </c>
    </row>
    <row r="131" spans="1:13" ht="14.25" customHeight="1" x14ac:dyDescent="0.25">
      <c r="A131" s="9" t="s">
        <v>10</v>
      </c>
      <c r="B131" s="81">
        <v>113369</v>
      </c>
      <c r="C131" s="81">
        <v>10750</v>
      </c>
      <c r="D131" s="9" t="s">
        <v>734</v>
      </c>
      <c r="E131" s="81">
        <v>14563091</v>
      </c>
      <c r="F131" s="81">
        <v>31172</v>
      </c>
      <c r="G131" s="81">
        <v>1</v>
      </c>
      <c r="H131" s="82">
        <v>359.46</v>
      </c>
      <c r="I131" s="251">
        <v>359.46</v>
      </c>
      <c r="J131" s="9" t="s">
        <v>1387</v>
      </c>
      <c r="K131" s="9" t="s">
        <v>1388</v>
      </c>
      <c r="L131" s="83">
        <v>45200</v>
      </c>
      <c r="M131" s="83">
        <v>45230</v>
      </c>
    </row>
    <row r="132" spans="1:13" ht="14.25" customHeight="1" x14ac:dyDescent="0.25">
      <c r="A132" s="9" t="s">
        <v>0</v>
      </c>
      <c r="B132" s="81">
        <v>121673</v>
      </c>
      <c r="C132" s="81">
        <v>10760</v>
      </c>
      <c r="D132" s="9" t="s">
        <v>1583</v>
      </c>
      <c r="E132" s="81">
        <v>14563091</v>
      </c>
      <c r="F132" s="81">
        <v>54310</v>
      </c>
      <c r="G132" s="81">
        <v>1</v>
      </c>
      <c r="H132" s="82">
        <v>323.51</v>
      </c>
      <c r="I132" s="251">
        <v>323.51</v>
      </c>
      <c r="J132" s="9" t="s">
        <v>1387</v>
      </c>
      <c r="K132" s="9" t="s">
        <v>1388</v>
      </c>
      <c r="L132" s="83">
        <v>45200</v>
      </c>
      <c r="M132" s="83">
        <v>45230</v>
      </c>
    </row>
    <row r="133" spans="1:13" ht="14.25" customHeight="1" x14ac:dyDescent="0.25">
      <c r="A133" s="9" t="s">
        <v>19</v>
      </c>
      <c r="B133" s="81">
        <v>113438</v>
      </c>
      <c r="C133" s="81">
        <v>10766</v>
      </c>
      <c r="D133" s="9" t="s">
        <v>780</v>
      </c>
      <c r="E133" s="81">
        <v>14563091</v>
      </c>
      <c r="F133" s="81">
        <v>31310</v>
      </c>
      <c r="G133" s="81">
        <v>1</v>
      </c>
      <c r="H133" s="82">
        <v>359.46</v>
      </c>
      <c r="I133" s="251">
        <v>359.46</v>
      </c>
      <c r="J133" s="9" t="s">
        <v>1387</v>
      </c>
      <c r="K133" s="9" t="s">
        <v>1388</v>
      </c>
      <c r="L133" s="83">
        <v>45200</v>
      </c>
      <c r="M133" s="83">
        <v>45230</v>
      </c>
    </row>
    <row r="134" spans="1:13" ht="14.25" customHeight="1" x14ac:dyDescent="0.25">
      <c r="A134" s="9" t="s">
        <v>8</v>
      </c>
      <c r="B134" s="81">
        <v>113379</v>
      </c>
      <c r="C134" s="81">
        <v>10756</v>
      </c>
      <c r="D134" s="9" t="s">
        <v>740</v>
      </c>
      <c r="E134" s="81">
        <v>14563091</v>
      </c>
      <c r="F134" s="81">
        <v>31192</v>
      </c>
      <c r="G134" s="81">
        <v>1</v>
      </c>
      <c r="H134" s="82">
        <v>359.46</v>
      </c>
      <c r="I134" s="251">
        <v>359.46</v>
      </c>
      <c r="J134" s="9" t="s">
        <v>1387</v>
      </c>
      <c r="K134" s="9" t="s">
        <v>1388</v>
      </c>
      <c r="L134" s="83">
        <v>45200</v>
      </c>
      <c r="M134" s="83">
        <v>45230</v>
      </c>
    </row>
    <row r="135" spans="1:13" ht="14.25" customHeight="1" x14ac:dyDescent="0.25">
      <c r="A135" s="9" t="s">
        <v>8</v>
      </c>
      <c r="B135" s="81">
        <v>113445</v>
      </c>
      <c r="C135" s="81">
        <v>10757</v>
      </c>
      <c r="D135" s="9" t="s">
        <v>783</v>
      </c>
      <c r="E135" s="81">
        <v>14563091</v>
      </c>
      <c r="F135" s="81">
        <v>31324</v>
      </c>
      <c r="G135" s="81">
        <v>1</v>
      </c>
      <c r="H135" s="82">
        <v>359.46</v>
      </c>
      <c r="I135" s="251">
        <v>359.46</v>
      </c>
      <c r="J135" s="9" t="s">
        <v>1387</v>
      </c>
      <c r="K135" s="9" t="s">
        <v>1388</v>
      </c>
      <c r="L135" s="83">
        <v>45200</v>
      </c>
      <c r="M135" s="83">
        <v>45230</v>
      </c>
    </row>
    <row r="136" spans="1:13" ht="14.25" customHeight="1" x14ac:dyDescent="0.25">
      <c r="A136" s="9" t="s">
        <v>0</v>
      </c>
      <c r="B136" s="81">
        <v>113388</v>
      </c>
      <c r="C136" s="81">
        <v>10750</v>
      </c>
      <c r="D136" s="9" t="s">
        <v>745</v>
      </c>
      <c r="E136" s="81">
        <v>14563091</v>
      </c>
      <c r="F136" s="81">
        <v>31210</v>
      </c>
      <c r="G136" s="81">
        <v>1</v>
      </c>
      <c r="H136" s="82">
        <v>359.46</v>
      </c>
      <c r="I136" s="251">
        <v>359.46</v>
      </c>
      <c r="J136" s="9" t="s">
        <v>1387</v>
      </c>
      <c r="K136" s="9" t="s">
        <v>1388</v>
      </c>
      <c r="L136" s="83">
        <v>45200</v>
      </c>
      <c r="M136" s="83">
        <v>45230</v>
      </c>
    </row>
    <row r="137" spans="1:13" ht="14.25" customHeight="1" x14ac:dyDescent="0.25">
      <c r="A137" s="9" t="s">
        <v>19</v>
      </c>
      <c r="B137" s="81">
        <v>113396</v>
      </c>
      <c r="C137" s="81">
        <v>10766</v>
      </c>
      <c r="D137" s="9" t="s">
        <v>1312</v>
      </c>
      <c r="E137" s="81">
        <v>14563091</v>
      </c>
      <c r="F137" s="81">
        <v>31226</v>
      </c>
      <c r="G137" s="81">
        <v>1</v>
      </c>
      <c r="H137" s="82">
        <v>359.46</v>
      </c>
      <c r="I137" s="251">
        <v>359.46</v>
      </c>
      <c r="J137" s="9" t="s">
        <v>1387</v>
      </c>
      <c r="K137" s="9" t="s">
        <v>1388</v>
      </c>
      <c r="L137" s="83">
        <v>45200</v>
      </c>
      <c r="M137" s="83">
        <v>45230</v>
      </c>
    </row>
    <row r="138" spans="1:13" ht="14.25" customHeight="1" x14ac:dyDescent="0.25">
      <c r="A138" s="9" t="s">
        <v>1578</v>
      </c>
      <c r="B138" s="81">
        <v>113400</v>
      </c>
      <c r="C138" s="81">
        <v>10767</v>
      </c>
      <c r="D138" s="9" t="s">
        <v>755</v>
      </c>
      <c r="E138" s="81">
        <v>14563091</v>
      </c>
      <c r="F138" s="81">
        <v>31234</v>
      </c>
      <c r="G138" s="81">
        <v>1</v>
      </c>
      <c r="H138" s="82">
        <v>359.46</v>
      </c>
      <c r="I138" s="251">
        <v>359.46</v>
      </c>
      <c r="J138" s="9" t="s">
        <v>1387</v>
      </c>
      <c r="K138" s="9" t="s">
        <v>1388</v>
      </c>
      <c r="L138" s="83">
        <v>45200</v>
      </c>
      <c r="M138" s="83">
        <v>45230</v>
      </c>
    </row>
    <row r="139" spans="1:13" ht="14.25" customHeight="1" x14ac:dyDescent="0.25">
      <c r="A139" s="9" t="s">
        <v>1578</v>
      </c>
      <c r="B139" s="81">
        <v>113482</v>
      </c>
      <c r="C139" s="81">
        <v>10771</v>
      </c>
      <c r="D139" s="9" t="s">
        <v>803</v>
      </c>
      <c r="E139" s="81">
        <v>14563091</v>
      </c>
      <c r="F139" s="81">
        <v>31398</v>
      </c>
      <c r="G139" s="81">
        <v>1</v>
      </c>
      <c r="H139" s="82">
        <v>359.46</v>
      </c>
      <c r="I139" s="251">
        <v>359.46</v>
      </c>
      <c r="J139" s="9" t="s">
        <v>1387</v>
      </c>
      <c r="K139" s="9" t="s">
        <v>1388</v>
      </c>
      <c r="L139" s="83">
        <v>45200</v>
      </c>
      <c r="M139" s="83">
        <v>45230</v>
      </c>
    </row>
    <row r="140" spans="1:13" ht="14.25" customHeight="1" x14ac:dyDescent="0.25">
      <c r="A140" s="9" t="s">
        <v>32</v>
      </c>
      <c r="B140" s="81">
        <v>116970</v>
      </c>
      <c r="C140" s="81">
        <v>10760</v>
      </c>
      <c r="D140" s="9" t="s">
        <v>1234</v>
      </c>
      <c r="E140" s="81">
        <v>14563091</v>
      </c>
      <c r="F140" s="81">
        <v>43450</v>
      </c>
      <c r="G140" s="81">
        <v>1</v>
      </c>
      <c r="H140" s="82">
        <v>359.46</v>
      </c>
      <c r="I140" s="251">
        <v>359.46</v>
      </c>
      <c r="J140" s="9" t="s">
        <v>1387</v>
      </c>
      <c r="K140" s="9" t="s">
        <v>1388</v>
      </c>
      <c r="L140" s="83">
        <v>45200</v>
      </c>
      <c r="M140" s="83">
        <v>45230</v>
      </c>
    </row>
    <row r="141" spans="1:13" ht="14.25" customHeight="1" x14ac:dyDescent="0.25">
      <c r="A141" s="9" t="s">
        <v>1578</v>
      </c>
      <c r="B141" s="81">
        <v>113490</v>
      </c>
      <c r="C141" s="81">
        <v>10771</v>
      </c>
      <c r="D141" s="9" t="s">
        <v>807</v>
      </c>
      <c r="E141" s="81">
        <v>14563091</v>
      </c>
      <c r="F141" s="81">
        <v>31414</v>
      </c>
      <c r="G141" s="81">
        <v>1</v>
      </c>
      <c r="H141" s="82">
        <v>359.46</v>
      </c>
      <c r="I141" s="251">
        <v>359.46</v>
      </c>
      <c r="J141" s="9" t="s">
        <v>1387</v>
      </c>
      <c r="K141" s="9" t="s">
        <v>1388</v>
      </c>
      <c r="L141" s="83">
        <v>45200</v>
      </c>
      <c r="M141" s="83">
        <v>45230</v>
      </c>
    </row>
    <row r="142" spans="1:13" ht="14.25" customHeight="1" x14ac:dyDescent="0.25">
      <c r="A142" s="9" t="s">
        <v>1580</v>
      </c>
      <c r="B142" s="81">
        <v>113711</v>
      </c>
      <c r="C142" s="81">
        <v>10775</v>
      </c>
      <c r="D142" s="9" t="s">
        <v>926</v>
      </c>
      <c r="E142" s="81">
        <v>14563091</v>
      </c>
      <c r="F142" s="81">
        <v>31856</v>
      </c>
      <c r="G142" s="81">
        <v>1</v>
      </c>
      <c r="H142" s="82">
        <v>359.46</v>
      </c>
      <c r="I142" s="251">
        <v>359.46</v>
      </c>
      <c r="J142" s="9" t="s">
        <v>1387</v>
      </c>
      <c r="K142" s="9" t="s">
        <v>1388</v>
      </c>
      <c r="L142" s="83">
        <v>45200</v>
      </c>
      <c r="M142" s="83">
        <v>45230</v>
      </c>
    </row>
    <row r="143" spans="1:13" ht="14.25" customHeight="1" x14ac:dyDescent="0.25">
      <c r="A143" s="9" t="s">
        <v>19</v>
      </c>
      <c r="B143" s="81">
        <v>115225</v>
      </c>
      <c r="C143" s="81">
        <v>10760</v>
      </c>
      <c r="D143" s="9" t="s">
        <v>1145</v>
      </c>
      <c r="E143" s="81">
        <v>14563091</v>
      </c>
      <c r="F143" s="81">
        <v>38501</v>
      </c>
      <c r="G143" s="81">
        <v>1</v>
      </c>
      <c r="H143" s="82">
        <v>359.46</v>
      </c>
      <c r="I143" s="251">
        <v>359.46</v>
      </c>
      <c r="J143" s="9" t="s">
        <v>1387</v>
      </c>
      <c r="K143" s="9" t="s">
        <v>1388</v>
      </c>
      <c r="L143" s="83">
        <v>45200</v>
      </c>
      <c r="M143" s="83">
        <v>45230</v>
      </c>
    </row>
    <row r="144" spans="1:13" ht="14.25" customHeight="1" x14ac:dyDescent="0.25">
      <c r="A144" s="9" t="s">
        <v>1578</v>
      </c>
      <c r="B144" s="81">
        <v>113922</v>
      </c>
      <c r="C144" s="81">
        <v>10743</v>
      </c>
      <c r="D144" s="9" t="s">
        <v>988</v>
      </c>
      <c r="E144" s="81">
        <v>14563091</v>
      </c>
      <c r="F144" s="81">
        <v>33814</v>
      </c>
      <c r="G144" s="81">
        <v>1</v>
      </c>
      <c r="H144" s="82">
        <v>359.46</v>
      </c>
      <c r="I144" s="251">
        <v>359.46</v>
      </c>
      <c r="J144" s="9" t="s">
        <v>1387</v>
      </c>
      <c r="K144" s="9" t="s">
        <v>1388</v>
      </c>
      <c r="L144" s="83">
        <v>45200</v>
      </c>
      <c r="M144" s="83">
        <v>45230</v>
      </c>
    </row>
    <row r="145" spans="1:13" ht="14.25" customHeight="1" x14ac:dyDescent="0.25">
      <c r="A145" s="9" t="s">
        <v>0</v>
      </c>
      <c r="B145" s="81">
        <v>118633</v>
      </c>
      <c r="C145" s="81">
        <v>10758</v>
      </c>
      <c r="D145" s="9" t="s">
        <v>1394</v>
      </c>
      <c r="E145" s="81">
        <v>14563091</v>
      </c>
      <c r="F145" s="81">
        <v>47160</v>
      </c>
      <c r="G145" s="81">
        <v>1</v>
      </c>
      <c r="H145" s="82">
        <v>359.46</v>
      </c>
      <c r="I145" s="251">
        <v>359.46</v>
      </c>
      <c r="J145" s="9" t="s">
        <v>1387</v>
      </c>
      <c r="K145" s="9" t="s">
        <v>1388</v>
      </c>
      <c r="L145" s="83">
        <v>45200</v>
      </c>
      <c r="M145" s="83">
        <v>45230</v>
      </c>
    </row>
    <row r="146" spans="1:13" ht="14.25" customHeight="1" x14ac:dyDescent="0.25">
      <c r="A146" s="9" t="s">
        <v>1578</v>
      </c>
      <c r="B146" s="81">
        <v>113508</v>
      </c>
      <c r="C146" s="81">
        <v>10757</v>
      </c>
      <c r="D146" s="9" t="s">
        <v>815</v>
      </c>
      <c r="E146" s="81">
        <v>14563091</v>
      </c>
      <c r="F146" s="81">
        <v>31450</v>
      </c>
      <c r="G146" s="81">
        <v>1</v>
      </c>
      <c r="H146" s="82">
        <v>359.46</v>
      </c>
      <c r="I146" s="251">
        <v>359.46</v>
      </c>
      <c r="J146" s="9" t="s">
        <v>1387</v>
      </c>
      <c r="K146" s="9" t="s">
        <v>1388</v>
      </c>
      <c r="L146" s="83">
        <v>45200</v>
      </c>
      <c r="M146" s="83">
        <v>45230</v>
      </c>
    </row>
    <row r="147" spans="1:13" ht="14.25" customHeight="1" x14ac:dyDescent="0.25">
      <c r="A147" s="9" t="s">
        <v>8</v>
      </c>
      <c r="B147" s="81">
        <v>113699</v>
      </c>
      <c r="C147" s="81">
        <v>10750</v>
      </c>
      <c r="D147" s="9" t="s">
        <v>1313</v>
      </c>
      <c r="E147" s="81">
        <v>14563091</v>
      </c>
      <c r="F147" s="81">
        <v>31832</v>
      </c>
      <c r="G147" s="81">
        <v>1</v>
      </c>
      <c r="H147" s="82">
        <v>359.46</v>
      </c>
      <c r="I147" s="251">
        <v>359.46</v>
      </c>
      <c r="J147" s="9" t="s">
        <v>1387</v>
      </c>
      <c r="K147" s="9" t="s">
        <v>1388</v>
      </c>
      <c r="L147" s="83">
        <v>45200</v>
      </c>
      <c r="M147" s="83">
        <v>45230</v>
      </c>
    </row>
    <row r="148" spans="1:13" ht="14.25" customHeight="1" x14ac:dyDescent="0.25">
      <c r="A148" s="9" t="s">
        <v>10</v>
      </c>
      <c r="B148" s="81">
        <v>113515</v>
      </c>
      <c r="C148" s="81">
        <v>10750</v>
      </c>
      <c r="D148" s="9" t="s">
        <v>818</v>
      </c>
      <c r="E148" s="81">
        <v>14563091</v>
      </c>
      <c r="F148" s="81">
        <v>31464</v>
      </c>
      <c r="G148" s="81">
        <v>1</v>
      </c>
      <c r="H148" s="82">
        <v>359.46</v>
      </c>
      <c r="I148" s="251">
        <v>359.46</v>
      </c>
      <c r="J148" s="9" t="s">
        <v>1387</v>
      </c>
      <c r="K148" s="9" t="s">
        <v>1388</v>
      </c>
      <c r="L148" s="83">
        <v>45200</v>
      </c>
      <c r="M148" s="83">
        <v>45230</v>
      </c>
    </row>
    <row r="149" spans="1:13" ht="14.25" customHeight="1" x14ac:dyDescent="0.25">
      <c r="A149" s="9" t="s">
        <v>0</v>
      </c>
      <c r="B149" s="81">
        <v>113679</v>
      </c>
      <c r="C149" s="81">
        <v>10750</v>
      </c>
      <c r="D149" s="9" t="s">
        <v>355</v>
      </c>
      <c r="E149" s="81">
        <v>14563091</v>
      </c>
      <c r="F149" s="81">
        <v>31792</v>
      </c>
      <c r="G149" s="81">
        <v>1</v>
      </c>
      <c r="H149" s="82">
        <v>359.46</v>
      </c>
      <c r="I149" s="251">
        <v>359.46</v>
      </c>
      <c r="J149" s="9" t="s">
        <v>1387</v>
      </c>
      <c r="K149" s="9" t="s">
        <v>1388</v>
      </c>
      <c r="L149" s="83">
        <v>45200</v>
      </c>
      <c r="M149" s="83">
        <v>45230</v>
      </c>
    </row>
    <row r="150" spans="1:13" ht="14.25" customHeight="1" x14ac:dyDescent="0.25">
      <c r="A150" s="9" t="s">
        <v>1578</v>
      </c>
      <c r="B150" s="81">
        <v>113529</v>
      </c>
      <c r="C150" s="81">
        <v>10755</v>
      </c>
      <c r="D150" s="9" t="s">
        <v>825</v>
      </c>
      <c r="E150" s="81">
        <v>14563091</v>
      </c>
      <c r="F150" s="81">
        <v>31492</v>
      </c>
      <c r="G150" s="81">
        <v>1</v>
      </c>
      <c r="H150" s="82">
        <v>359.46</v>
      </c>
      <c r="I150" s="251">
        <v>359.46</v>
      </c>
      <c r="J150" s="9" t="s">
        <v>1387</v>
      </c>
      <c r="K150" s="9" t="s">
        <v>1388</v>
      </c>
      <c r="L150" s="83">
        <v>45200</v>
      </c>
      <c r="M150" s="83">
        <v>45230</v>
      </c>
    </row>
    <row r="151" spans="1:13" ht="14.25" customHeight="1" x14ac:dyDescent="0.25">
      <c r="A151" s="9" t="s">
        <v>10</v>
      </c>
      <c r="B151" s="81">
        <v>113533</v>
      </c>
      <c r="C151" s="81">
        <v>10750</v>
      </c>
      <c r="D151" s="9" t="s">
        <v>829</v>
      </c>
      <c r="E151" s="81">
        <v>14563091</v>
      </c>
      <c r="F151" s="81">
        <v>31500</v>
      </c>
      <c r="G151" s="81">
        <v>1</v>
      </c>
      <c r="H151" s="82">
        <v>359.46</v>
      </c>
      <c r="I151" s="251">
        <v>359.46</v>
      </c>
      <c r="J151" s="9" t="s">
        <v>1387</v>
      </c>
      <c r="K151" s="9" t="s">
        <v>1388</v>
      </c>
      <c r="L151" s="83">
        <v>45200</v>
      </c>
      <c r="M151" s="83">
        <v>45230</v>
      </c>
    </row>
    <row r="152" spans="1:13" ht="14.25" customHeight="1" x14ac:dyDescent="0.25">
      <c r="A152" s="9" t="s">
        <v>1578</v>
      </c>
      <c r="B152" s="81">
        <v>113543</v>
      </c>
      <c r="C152" s="81">
        <v>10766</v>
      </c>
      <c r="D152" s="9" t="s">
        <v>835</v>
      </c>
      <c r="E152" s="81">
        <v>14563091</v>
      </c>
      <c r="F152" s="81">
        <v>31520</v>
      </c>
      <c r="G152" s="81">
        <v>1</v>
      </c>
      <c r="H152" s="82">
        <v>359.46</v>
      </c>
      <c r="I152" s="251">
        <v>359.46</v>
      </c>
      <c r="J152" s="9" t="s">
        <v>1387</v>
      </c>
      <c r="K152" s="9" t="s">
        <v>1388</v>
      </c>
      <c r="L152" s="83">
        <v>45200</v>
      </c>
      <c r="M152" s="83">
        <v>45230</v>
      </c>
    </row>
    <row r="153" spans="1:13" ht="14.25" customHeight="1" x14ac:dyDescent="0.25">
      <c r="A153" s="9" t="s">
        <v>0</v>
      </c>
      <c r="B153" s="81">
        <v>113549</v>
      </c>
      <c r="C153" s="81">
        <v>10761</v>
      </c>
      <c r="D153" s="9" t="s">
        <v>840</v>
      </c>
      <c r="E153" s="81">
        <v>14563091</v>
      </c>
      <c r="F153" s="81">
        <v>31532</v>
      </c>
      <c r="G153" s="81">
        <v>1</v>
      </c>
      <c r="H153" s="82">
        <v>323.51</v>
      </c>
      <c r="I153" s="251">
        <v>323.51</v>
      </c>
      <c r="J153" s="9" t="s">
        <v>1387</v>
      </c>
      <c r="K153" s="9" t="s">
        <v>1388</v>
      </c>
      <c r="L153" s="83">
        <v>45200</v>
      </c>
      <c r="M153" s="83">
        <v>45230</v>
      </c>
    </row>
    <row r="154" spans="1:13" ht="14.25" customHeight="1" x14ac:dyDescent="0.25">
      <c r="A154" s="9" t="s">
        <v>8</v>
      </c>
      <c r="B154" s="81">
        <v>113553</v>
      </c>
      <c r="C154" s="81">
        <v>10750</v>
      </c>
      <c r="D154" s="9" t="s">
        <v>844</v>
      </c>
      <c r="E154" s="81">
        <v>14563091</v>
      </c>
      <c r="F154" s="81">
        <v>31540</v>
      </c>
      <c r="G154" s="81">
        <v>1</v>
      </c>
      <c r="H154" s="82">
        <v>359.46</v>
      </c>
      <c r="I154" s="251">
        <v>359.46</v>
      </c>
      <c r="J154" s="9" t="s">
        <v>1387</v>
      </c>
      <c r="K154" s="9" t="s">
        <v>1388</v>
      </c>
      <c r="L154" s="83">
        <v>45200</v>
      </c>
      <c r="M154" s="83">
        <v>45230</v>
      </c>
    </row>
    <row r="155" spans="1:13" ht="14.25" customHeight="1" x14ac:dyDescent="0.25">
      <c r="A155" s="9" t="s">
        <v>19</v>
      </c>
      <c r="B155" s="81">
        <v>119644</v>
      </c>
      <c r="C155" s="81">
        <v>10757</v>
      </c>
      <c r="D155" s="9" t="s">
        <v>1454</v>
      </c>
      <c r="E155" s="81">
        <v>14563091</v>
      </c>
      <c r="F155" s="81">
        <v>49603</v>
      </c>
      <c r="G155" s="81">
        <v>1</v>
      </c>
      <c r="H155" s="82">
        <v>359.46</v>
      </c>
      <c r="I155" s="251">
        <v>359.46</v>
      </c>
      <c r="J155" s="9" t="s">
        <v>1387</v>
      </c>
      <c r="K155" s="9" t="s">
        <v>1388</v>
      </c>
      <c r="L155" s="83">
        <v>45200</v>
      </c>
      <c r="M155" s="83">
        <v>45230</v>
      </c>
    </row>
    <row r="156" spans="1:13" ht="14.25" customHeight="1" x14ac:dyDescent="0.25">
      <c r="A156" s="9" t="s">
        <v>0</v>
      </c>
      <c r="B156" s="81">
        <v>113558</v>
      </c>
      <c r="C156" s="81">
        <v>10750</v>
      </c>
      <c r="D156" s="9" t="s">
        <v>846</v>
      </c>
      <c r="E156" s="81">
        <v>14563091</v>
      </c>
      <c r="F156" s="81">
        <v>31550</v>
      </c>
      <c r="G156" s="81">
        <v>1</v>
      </c>
      <c r="H156" s="82">
        <v>359.46</v>
      </c>
      <c r="I156" s="251">
        <v>359.46</v>
      </c>
      <c r="J156" s="9" t="s">
        <v>1387</v>
      </c>
      <c r="K156" s="9" t="s">
        <v>1388</v>
      </c>
      <c r="L156" s="83">
        <v>45200</v>
      </c>
      <c r="M156" s="83">
        <v>45230</v>
      </c>
    </row>
    <row r="157" spans="1:13" ht="14.25" customHeight="1" x14ac:dyDescent="0.25">
      <c r="A157" s="9" t="s">
        <v>10</v>
      </c>
      <c r="B157" s="81">
        <v>113561</v>
      </c>
      <c r="C157" s="81">
        <v>10750</v>
      </c>
      <c r="D157" s="9" t="s">
        <v>849</v>
      </c>
      <c r="E157" s="81">
        <v>14563091</v>
      </c>
      <c r="F157" s="81">
        <v>31556</v>
      </c>
      <c r="G157" s="81">
        <v>1</v>
      </c>
      <c r="H157" s="82">
        <v>359.46</v>
      </c>
      <c r="I157" s="251">
        <v>359.46</v>
      </c>
      <c r="J157" s="9" t="s">
        <v>1387</v>
      </c>
      <c r="K157" s="9" t="s">
        <v>1388</v>
      </c>
      <c r="L157" s="83">
        <v>45200</v>
      </c>
      <c r="M157" s="83">
        <v>45230</v>
      </c>
    </row>
    <row r="158" spans="1:13" ht="14.25" customHeight="1" x14ac:dyDescent="0.25">
      <c r="A158" s="9" t="s">
        <v>1578</v>
      </c>
      <c r="B158" s="81">
        <v>114973</v>
      </c>
      <c r="C158" s="81">
        <v>10745</v>
      </c>
      <c r="D158" s="9" t="s">
        <v>1131</v>
      </c>
      <c r="E158" s="81">
        <v>14563091</v>
      </c>
      <c r="F158" s="81">
        <v>37723</v>
      </c>
      <c r="G158" s="81">
        <v>1</v>
      </c>
      <c r="H158" s="82">
        <v>359.46</v>
      </c>
      <c r="I158" s="251">
        <v>359.46</v>
      </c>
      <c r="J158" s="9" t="s">
        <v>1387</v>
      </c>
      <c r="K158" s="9" t="s">
        <v>1388</v>
      </c>
      <c r="L158" s="83">
        <v>45200</v>
      </c>
      <c r="M158" s="83">
        <v>45230</v>
      </c>
    </row>
    <row r="159" spans="1:13" ht="14.25" customHeight="1" x14ac:dyDescent="0.25">
      <c r="A159" s="9" t="s">
        <v>8</v>
      </c>
      <c r="B159" s="81">
        <v>113588</v>
      </c>
      <c r="C159" s="81">
        <v>10750</v>
      </c>
      <c r="D159" s="9" t="s">
        <v>861</v>
      </c>
      <c r="E159" s="81">
        <v>14563091</v>
      </c>
      <c r="F159" s="81">
        <v>31610</v>
      </c>
      <c r="G159" s="81">
        <v>1</v>
      </c>
      <c r="H159" s="82">
        <v>359.46</v>
      </c>
      <c r="I159" s="251">
        <v>359.46</v>
      </c>
      <c r="J159" s="9" t="s">
        <v>1387</v>
      </c>
      <c r="K159" s="9" t="s">
        <v>1388</v>
      </c>
      <c r="L159" s="83">
        <v>45200</v>
      </c>
      <c r="M159" s="83">
        <v>45230</v>
      </c>
    </row>
    <row r="160" spans="1:13" ht="14.25" customHeight="1" x14ac:dyDescent="0.25">
      <c r="A160" s="9" t="s">
        <v>0</v>
      </c>
      <c r="B160" s="81">
        <v>113625</v>
      </c>
      <c r="C160" s="81">
        <v>10745</v>
      </c>
      <c r="D160" s="9" t="s">
        <v>1314</v>
      </c>
      <c r="E160" s="81">
        <v>14563091</v>
      </c>
      <c r="F160" s="81">
        <v>31684</v>
      </c>
      <c r="G160" s="81">
        <v>1</v>
      </c>
      <c r="H160" s="82">
        <v>359.46</v>
      </c>
      <c r="I160" s="251">
        <v>359.46</v>
      </c>
      <c r="J160" s="9" t="s">
        <v>1387</v>
      </c>
      <c r="K160" s="9" t="s">
        <v>1388</v>
      </c>
      <c r="L160" s="83">
        <v>45200</v>
      </c>
      <c r="M160" s="83">
        <v>45230</v>
      </c>
    </row>
    <row r="161" spans="1:13" ht="14.25" customHeight="1" x14ac:dyDescent="0.25">
      <c r="A161" s="9" t="s">
        <v>10</v>
      </c>
      <c r="B161" s="81">
        <v>113631</v>
      </c>
      <c r="C161" s="81">
        <v>10750</v>
      </c>
      <c r="D161" s="9" t="s">
        <v>883</v>
      </c>
      <c r="E161" s="81">
        <v>14563091</v>
      </c>
      <c r="F161" s="81">
        <v>31696</v>
      </c>
      <c r="G161" s="81">
        <v>1</v>
      </c>
      <c r="H161" s="82">
        <v>359.46</v>
      </c>
      <c r="I161" s="251">
        <v>359.46</v>
      </c>
      <c r="J161" s="9" t="s">
        <v>1387</v>
      </c>
      <c r="K161" s="9" t="s">
        <v>1388</v>
      </c>
      <c r="L161" s="83">
        <v>45200</v>
      </c>
      <c r="M161" s="83">
        <v>45230</v>
      </c>
    </row>
    <row r="162" spans="1:13" ht="14.25" customHeight="1" x14ac:dyDescent="0.25">
      <c r="A162" s="9" t="s">
        <v>1578</v>
      </c>
      <c r="B162" s="81">
        <v>113666</v>
      </c>
      <c r="C162" s="81">
        <v>10771</v>
      </c>
      <c r="D162" s="9" t="s">
        <v>903</v>
      </c>
      <c r="E162" s="81">
        <v>14563091</v>
      </c>
      <c r="F162" s="81">
        <v>31766</v>
      </c>
      <c r="G162" s="81">
        <v>1</v>
      </c>
      <c r="H162" s="82">
        <v>359.46</v>
      </c>
      <c r="I162" s="251">
        <v>359.46</v>
      </c>
      <c r="J162" s="9" t="s">
        <v>1387</v>
      </c>
      <c r="K162" s="9" t="s">
        <v>1388</v>
      </c>
      <c r="L162" s="83">
        <v>45200</v>
      </c>
      <c r="M162" s="83">
        <v>45230</v>
      </c>
    </row>
    <row r="163" spans="1:13" ht="14.25" customHeight="1" x14ac:dyDescent="0.25">
      <c r="A163" s="9" t="s">
        <v>10</v>
      </c>
      <c r="B163" s="81">
        <v>113677</v>
      </c>
      <c r="C163" s="81">
        <v>10750</v>
      </c>
      <c r="D163" s="9" t="s">
        <v>910</v>
      </c>
      <c r="E163" s="81">
        <v>14563091</v>
      </c>
      <c r="F163" s="81">
        <v>31788</v>
      </c>
      <c r="G163" s="81">
        <v>1</v>
      </c>
      <c r="H163" s="82">
        <v>359.46</v>
      </c>
      <c r="I163" s="251">
        <v>359.46</v>
      </c>
      <c r="J163" s="9" t="s">
        <v>1387</v>
      </c>
      <c r="K163" s="9" t="s">
        <v>1388</v>
      </c>
      <c r="L163" s="83">
        <v>45200</v>
      </c>
      <c r="M163" s="83">
        <v>45230</v>
      </c>
    </row>
    <row r="164" spans="1:13" ht="14.25" customHeight="1" x14ac:dyDescent="0.25">
      <c r="A164" s="9" t="s">
        <v>1578</v>
      </c>
      <c r="B164" s="81">
        <v>113694</v>
      </c>
      <c r="C164" s="81">
        <v>10762</v>
      </c>
      <c r="D164" s="9" t="s">
        <v>920</v>
      </c>
      <c r="E164" s="81">
        <v>14563091</v>
      </c>
      <c r="F164" s="81">
        <v>31822</v>
      </c>
      <c r="G164" s="81">
        <v>1</v>
      </c>
      <c r="H164" s="82">
        <v>359.46</v>
      </c>
      <c r="I164" s="251">
        <v>359.46</v>
      </c>
      <c r="J164" s="9" t="s">
        <v>1387</v>
      </c>
      <c r="K164" s="9" t="s">
        <v>1388</v>
      </c>
      <c r="L164" s="83">
        <v>45200</v>
      </c>
      <c r="M164" s="83">
        <v>45230</v>
      </c>
    </row>
    <row r="165" spans="1:13" ht="14.25" customHeight="1" x14ac:dyDescent="0.25">
      <c r="A165" s="9" t="s">
        <v>19</v>
      </c>
      <c r="B165" s="81">
        <v>113696</v>
      </c>
      <c r="C165" s="81">
        <v>10766</v>
      </c>
      <c r="D165" s="9" t="s">
        <v>1315</v>
      </c>
      <c r="E165" s="81">
        <v>14563091</v>
      </c>
      <c r="F165" s="81">
        <v>31826</v>
      </c>
      <c r="G165" s="81">
        <v>1</v>
      </c>
      <c r="H165" s="82">
        <v>359.46</v>
      </c>
      <c r="I165" s="251">
        <v>359.46</v>
      </c>
      <c r="J165" s="9" t="s">
        <v>1387</v>
      </c>
      <c r="K165" s="9" t="s">
        <v>1388</v>
      </c>
      <c r="L165" s="83">
        <v>45200</v>
      </c>
      <c r="M165" s="83">
        <v>45230</v>
      </c>
    </row>
    <row r="166" spans="1:13" ht="14.25" customHeight="1" x14ac:dyDescent="0.25">
      <c r="A166" s="9" t="s">
        <v>0</v>
      </c>
      <c r="B166" s="81">
        <v>113693</v>
      </c>
      <c r="C166" s="81">
        <v>10750</v>
      </c>
      <c r="D166" s="9" t="s">
        <v>919</v>
      </c>
      <c r="E166" s="81">
        <v>14563091</v>
      </c>
      <c r="F166" s="81">
        <v>31820</v>
      </c>
      <c r="G166" s="81">
        <v>1</v>
      </c>
      <c r="H166" s="82">
        <v>359.46</v>
      </c>
      <c r="I166" s="251">
        <v>359.46</v>
      </c>
      <c r="J166" s="9" t="s">
        <v>1387</v>
      </c>
      <c r="K166" s="9" t="s">
        <v>1388</v>
      </c>
      <c r="L166" s="83">
        <v>45200</v>
      </c>
      <c r="M166" s="83">
        <v>45230</v>
      </c>
    </row>
    <row r="167" spans="1:13" ht="14.25" customHeight="1" x14ac:dyDescent="0.25">
      <c r="A167" s="9" t="s">
        <v>32</v>
      </c>
      <c r="B167" s="81">
        <v>113686</v>
      </c>
      <c r="C167" s="81">
        <v>10751</v>
      </c>
      <c r="D167" s="9" t="s">
        <v>1316</v>
      </c>
      <c r="E167" s="81">
        <v>14563091</v>
      </c>
      <c r="F167" s="81">
        <v>31806</v>
      </c>
      <c r="G167" s="81">
        <v>1</v>
      </c>
      <c r="H167" s="82">
        <v>359.46</v>
      </c>
      <c r="I167" s="251">
        <v>359.46</v>
      </c>
      <c r="J167" s="9" t="s">
        <v>1387</v>
      </c>
      <c r="K167" s="9" t="s">
        <v>1388</v>
      </c>
      <c r="L167" s="83">
        <v>45200</v>
      </c>
      <c r="M167" s="83">
        <v>45230</v>
      </c>
    </row>
    <row r="168" spans="1:13" ht="14.25" customHeight="1" x14ac:dyDescent="0.25">
      <c r="A168" s="9" t="s">
        <v>0</v>
      </c>
      <c r="B168" s="81">
        <v>113681</v>
      </c>
      <c r="C168" s="81">
        <v>10750</v>
      </c>
      <c r="D168" s="9" t="s">
        <v>912</v>
      </c>
      <c r="E168" s="81">
        <v>14563091</v>
      </c>
      <c r="F168" s="81">
        <v>31796</v>
      </c>
      <c r="G168" s="81">
        <v>1</v>
      </c>
      <c r="H168" s="82">
        <v>359.46</v>
      </c>
      <c r="I168" s="251">
        <v>359.46</v>
      </c>
      <c r="J168" s="9" t="s">
        <v>1387</v>
      </c>
      <c r="K168" s="9" t="s">
        <v>1388</v>
      </c>
      <c r="L168" s="83">
        <v>45200</v>
      </c>
      <c r="M168" s="83">
        <v>45230</v>
      </c>
    </row>
    <row r="169" spans="1:13" ht="14.25" customHeight="1" x14ac:dyDescent="0.25">
      <c r="A169" s="9" t="s">
        <v>1578</v>
      </c>
      <c r="B169" s="81">
        <v>113698</v>
      </c>
      <c r="C169" s="81">
        <v>10755</v>
      </c>
      <c r="D169" s="9" t="s">
        <v>922</v>
      </c>
      <c r="E169" s="81">
        <v>14563091</v>
      </c>
      <c r="F169" s="81">
        <v>31830</v>
      </c>
      <c r="G169" s="81">
        <v>1</v>
      </c>
      <c r="H169" s="82">
        <v>359.46</v>
      </c>
      <c r="I169" s="251">
        <v>359.46</v>
      </c>
      <c r="J169" s="9" t="s">
        <v>1387</v>
      </c>
      <c r="K169" s="9" t="s">
        <v>1388</v>
      </c>
      <c r="L169" s="83">
        <v>45200</v>
      </c>
      <c r="M169" s="83">
        <v>45230</v>
      </c>
    </row>
    <row r="170" spans="1:13" ht="14.25" customHeight="1" x14ac:dyDescent="0.25">
      <c r="A170" s="9" t="s">
        <v>1578</v>
      </c>
      <c r="B170" s="81">
        <v>114523</v>
      </c>
      <c r="C170" s="81">
        <v>10759</v>
      </c>
      <c r="D170" s="9" t="s">
        <v>1045</v>
      </c>
      <c r="E170" s="81">
        <v>14563091</v>
      </c>
      <c r="F170" s="81">
        <v>36326</v>
      </c>
      <c r="G170" s="81">
        <v>1</v>
      </c>
      <c r="H170" s="82">
        <v>359.46</v>
      </c>
      <c r="I170" s="251">
        <v>359.46</v>
      </c>
      <c r="J170" s="9" t="s">
        <v>1387</v>
      </c>
      <c r="K170" s="9" t="s">
        <v>1388</v>
      </c>
      <c r="L170" s="83">
        <v>45200</v>
      </c>
      <c r="M170" s="83">
        <v>45230</v>
      </c>
    </row>
    <row r="171" spans="1:13" ht="14.25" customHeight="1" x14ac:dyDescent="0.25">
      <c r="A171" s="9" t="s">
        <v>8</v>
      </c>
      <c r="B171" s="81">
        <v>113704</v>
      </c>
      <c r="C171" s="81">
        <v>10750</v>
      </c>
      <c r="D171" s="9" t="s">
        <v>924</v>
      </c>
      <c r="E171" s="81">
        <v>14563091</v>
      </c>
      <c r="F171" s="81">
        <v>31842</v>
      </c>
      <c r="G171" s="81">
        <v>1</v>
      </c>
      <c r="H171" s="82">
        <v>359.46</v>
      </c>
      <c r="I171" s="251">
        <v>359.46</v>
      </c>
      <c r="J171" s="9" t="s">
        <v>1387</v>
      </c>
      <c r="K171" s="9" t="s">
        <v>1388</v>
      </c>
      <c r="L171" s="83">
        <v>45200</v>
      </c>
      <c r="M171" s="83">
        <v>45230</v>
      </c>
    </row>
    <row r="172" spans="1:13" ht="14.25" customHeight="1" x14ac:dyDescent="0.25">
      <c r="A172" s="9" t="s">
        <v>8</v>
      </c>
      <c r="B172" s="81">
        <v>113690</v>
      </c>
      <c r="C172" s="81">
        <v>10750</v>
      </c>
      <c r="D172" s="9" t="s">
        <v>917</v>
      </c>
      <c r="E172" s="81">
        <v>14563091</v>
      </c>
      <c r="F172" s="81">
        <v>31814</v>
      </c>
      <c r="G172" s="81">
        <v>1</v>
      </c>
      <c r="H172" s="82">
        <v>359.46</v>
      </c>
      <c r="I172" s="251">
        <v>359.46</v>
      </c>
      <c r="J172" s="9" t="s">
        <v>1387</v>
      </c>
      <c r="K172" s="9" t="s">
        <v>1388</v>
      </c>
      <c r="L172" s="83">
        <v>45200</v>
      </c>
      <c r="M172" s="83">
        <v>45230</v>
      </c>
    </row>
    <row r="173" spans="1:13" ht="14.25" customHeight="1" x14ac:dyDescent="0.25">
      <c r="A173" s="9" t="s">
        <v>0</v>
      </c>
      <c r="B173" s="81">
        <v>121849</v>
      </c>
      <c r="C173" s="81">
        <v>10758</v>
      </c>
      <c r="D173" s="9" t="s">
        <v>1602</v>
      </c>
      <c r="E173" s="81">
        <v>14563091</v>
      </c>
      <c r="F173" s="81">
        <v>54716</v>
      </c>
      <c r="G173" s="81">
        <v>1</v>
      </c>
      <c r="H173" s="82">
        <v>347.47</v>
      </c>
      <c r="I173" s="251">
        <v>347.47</v>
      </c>
      <c r="J173" s="9" t="s">
        <v>1387</v>
      </c>
      <c r="K173" s="9" t="s">
        <v>1388</v>
      </c>
      <c r="L173" s="83">
        <v>45200</v>
      </c>
      <c r="M173" s="83">
        <v>45230</v>
      </c>
    </row>
    <row r="174" spans="1:13" ht="14.25" customHeight="1" x14ac:dyDescent="0.25">
      <c r="A174" s="9" t="s">
        <v>0</v>
      </c>
      <c r="B174" s="81">
        <v>118056</v>
      </c>
      <c r="C174" s="81">
        <v>10758</v>
      </c>
      <c r="D174" s="9" t="s">
        <v>1395</v>
      </c>
      <c r="E174" s="81">
        <v>14563091</v>
      </c>
      <c r="F174" s="81">
        <v>45900</v>
      </c>
      <c r="G174" s="81">
        <v>1</v>
      </c>
      <c r="H174" s="82">
        <v>359.46</v>
      </c>
      <c r="I174" s="251">
        <v>359.46</v>
      </c>
      <c r="J174" s="9" t="s">
        <v>1387</v>
      </c>
      <c r="K174" s="9" t="s">
        <v>1388</v>
      </c>
      <c r="L174" s="83">
        <v>45200</v>
      </c>
      <c r="M174" s="83">
        <v>45230</v>
      </c>
    </row>
    <row r="175" spans="1:13" ht="14.25" customHeight="1" x14ac:dyDescent="0.25">
      <c r="A175" s="9" t="s">
        <v>1578</v>
      </c>
      <c r="B175" s="81">
        <v>122829</v>
      </c>
      <c r="C175" s="81">
        <v>10758</v>
      </c>
      <c r="D175" s="9" t="s">
        <v>1715</v>
      </c>
      <c r="E175" s="81">
        <v>14563091</v>
      </c>
      <c r="F175" s="81">
        <v>57227</v>
      </c>
      <c r="G175" s="81">
        <v>1</v>
      </c>
      <c r="H175" s="82">
        <v>359.46</v>
      </c>
      <c r="I175" s="251">
        <v>359.46</v>
      </c>
      <c r="J175" s="9" t="s">
        <v>1387</v>
      </c>
      <c r="K175" s="9" t="s">
        <v>1388</v>
      </c>
      <c r="L175" s="83">
        <v>45200</v>
      </c>
      <c r="M175" s="83">
        <v>45230</v>
      </c>
    </row>
    <row r="176" spans="1:13" ht="14.25" customHeight="1" x14ac:dyDescent="0.25">
      <c r="A176" s="9" t="s">
        <v>1578</v>
      </c>
      <c r="B176" s="81">
        <v>113682</v>
      </c>
      <c r="C176" s="81">
        <v>10748</v>
      </c>
      <c r="D176" s="9" t="s">
        <v>913</v>
      </c>
      <c r="E176" s="81">
        <v>14563091</v>
      </c>
      <c r="F176" s="81">
        <v>31798</v>
      </c>
      <c r="G176" s="81">
        <v>1</v>
      </c>
      <c r="H176" s="82">
        <v>359.46</v>
      </c>
      <c r="I176" s="251">
        <v>359.46</v>
      </c>
      <c r="J176" s="9" t="s">
        <v>1387</v>
      </c>
      <c r="K176" s="9" t="s">
        <v>1388</v>
      </c>
      <c r="L176" s="83">
        <v>45200</v>
      </c>
      <c r="M176" s="83">
        <v>45230</v>
      </c>
    </row>
    <row r="177" spans="1:13" ht="14.25" customHeight="1" x14ac:dyDescent="0.25">
      <c r="A177" s="9" t="s">
        <v>0</v>
      </c>
      <c r="B177" s="81">
        <v>113678</v>
      </c>
      <c r="C177" s="81">
        <v>10766</v>
      </c>
      <c r="D177" s="9" t="s">
        <v>911</v>
      </c>
      <c r="E177" s="81">
        <v>14563091</v>
      </c>
      <c r="F177" s="81">
        <v>31790</v>
      </c>
      <c r="G177" s="81">
        <v>1</v>
      </c>
      <c r="H177" s="82">
        <v>359.46</v>
      </c>
      <c r="I177" s="251">
        <v>359.46</v>
      </c>
      <c r="J177" s="9" t="s">
        <v>1387</v>
      </c>
      <c r="K177" s="9" t="s">
        <v>1388</v>
      </c>
      <c r="L177" s="83">
        <v>45200</v>
      </c>
      <c r="M177" s="83">
        <v>45230</v>
      </c>
    </row>
    <row r="178" spans="1:13" ht="14.25" customHeight="1" x14ac:dyDescent="0.25">
      <c r="A178" s="9" t="s">
        <v>1580</v>
      </c>
      <c r="B178" s="81">
        <v>113930</v>
      </c>
      <c r="C178" s="81">
        <v>10788</v>
      </c>
      <c r="D178" s="9" t="s">
        <v>991</v>
      </c>
      <c r="E178" s="81">
        <v>14563091</v>
      </c>
      <c r="F178" s="81">
        <v>33834</v>
      </c>
      <c r="G178" s="81">
        <v>1</v>
      </c>
      <c r="H178" s="82">
        <v>359.46</v>
      </c>
      <c r="I178" s="251">
        <v>359.46</v>
      </c>
      <c r="J178" s="9" t="s">
        <v>1387</v>
      </c>
      <c r="K178" s="9" t="s">
        <v>1388</v>
      </c>
      <c r="L178" s="83">
        <v>45200</v>
      </c>
      <c r="M178" s="83">
        <v>45230</v>
      </c>
    </row>
    <row r="179" spans="1:13" ht="14.25" customHeight="1" x14ac:dyDescent="0.25">
      <c r="A179" s="9" t="s">
        <v>1578</v>
      </c>
      <c r="B179" s="81">
        <v>113692</v>
      </c>
      <c r="C179" s="81">
        <v>10757</v>
      </c>
      <c r="D179" s="9" t="s">
        <v>918</v>
      </c>
      <c r="E179" s="81">
        <v>14563091</v>
      </c>
      <c r="F179" s="81">
        <v>31818</v>
      </c>
      <c r="G179" s="81">
        <v>1</v>
      </c>
      <c r="H179" s="82">
        <v>359.46</v>
      </c>
      <c r="I179" s="251">
        <v>359.46</v>
      </c>
      <c r="J179" s="9" t="s">
        <v>1387</v>
      </c>
      <c r="K179" s="9" t="s">
        <v>1388</v>
      </c>
      <c r="L179" s="83">
        <v>45200</v>
      </c>
      <c r="M179" s="83">
        <v>45230</v>
      </c>
    </row>
    <row r="180" spans="1:13" ht="14.25" customHeight="1" x14ac:dyDescent="0.25">
      <c r="A180" s="9" t="s">
        <v>0</v>
      </c>
      <c r="B180" s="81">
        <v>113683</v>
      </c>
      <c r="C180" s="81">
        <v>10750</v>
      </c>
      <c r="D180" s="9" t="s">
        <v>914</v>
      </c>
      <c r="E180" s="81">
        <v>14563091</v>
      </c>
      <c r="F180" s="81">
        <v>31800</v>
      </c>
      <c r="G180" s="81">
        <v>1</v>
      </c>
      <c r="H180" s="82">
        <v>359.46</v>
      </c>
      <c r="I180" s="251">
        <v>359.46</v>
      </c>
      <c r="J180" s="9" t="s">
        <v>1387</v>
      </c>
      <c r="K180" s="9" t="s">
        <v>1388</v>
      </c>
      <c r="L180" s="83">
        <v>45200</v>
      </c>
      <c r="M180" s="83">
        <v>45230</v>
      </c>
    </row>
    <row r="181" spans="1:13" ht="14.25" customHeight="1" x14ac:dyDescent="0.25">
      <c r="A181" s="9" t="s">
        <v>19</v>
      </c>
      <c r="B181" s="81">
        <v>113585</v>
      </c>
      <c r="C181" s="81">
        <v>10751</v>
      </c>
      <c r="D181" s="9" t="s">
        <v>858</v>
      </c>
      <c r="E181" s="81">
        <v>14563091</v>
      </c>
      <c r="F181" s="81">
        <v>31604</v>
      </c>
      <c r="G181" s="81">
        <v>1</v>
      </c>
      <c r="H181" s="82">
        <v>359.46</v>
      </c>
      <c r="I181" s="251">
        <v>359.46</v>
      </c>
      <c r="J181" s="9" t="s">
        <v>1387</v>
      </c>
      <c r="K181" s="9" t="s">
        <v>1388</v>
      </c>
      <c r="L181" s="83">
        <v>45200</v>
      </c>
      <c r="M181" s="83">
        <v>45230</v>
      </c>
    </row>
    <row r="182" spans="1:13" ht="14.25" customHeight="1" x14ac:dyDescent="0.25">
      <c r="A182" s="9" t="s">
        <v>0</v>
      </c>
      <c r="B182" s="81">
        <v>116972</v>
      </c>
      <c r="C182" s="81">
        <v>10760</v>
      </c>
      <c r="D182" s="9" t="s">
        <v>1235</v>
      </c>
      <c r="E182" s="81">
        <v>14563091</v>
      </c>
      <c r="F182" s="81">
        <v>43454</v>
      </c>
      <c r="G182" s="81">
        <v>1</v>
      </c>
      <c r="H182" s="82">
        <v>359.46</v>
      </c>
      <c r="I182" s="251">
        <v>359.46</v>
      </c>
      <c r="J182" s="9" t="s">
        <v>1387</v>
      </c>
      <c r="K182" s="9" t="s">
        <v>1388</v>
      </c>
      <c r="L182" s="83">
        <v>45200</v>
      </c>
      <c r="M182" s="83">
        <v>45230</v>
      </c>
    </row>
    <row r="183" spans="1:13" ht="14.25" customHeight="1" x14ac:dyDescent="0.25">
      <c r="A183" s="9" t="s">
        <v>1578</v>
      </c>
      <c r="B183" s="81">
        <v>113763</v>
      </c>
      <c r="C183" s="81">
        <v>10771</v>
      </c>
      <c r="D183" s="9" t="s">
        <v>965</v>
      </c>
      <c r="E183" s="81">
        <v>14563091</v>
      </c>
      <c r="F183" s="81">
        <v>31992</v>
      </c>
      <c r="G183" s="81">
        <v>1</v>
      </c>
      <c r="H183" s="82">
        <v>359.46</v>
      </c>
      <c r="I183" s="251">
        <v>359.46</v>
      </c>
      <c r="J183" s="9" t="s">
        <v>1387</v>
      </c>
      <c r="K183" s="9" t="s">
        <v>1388</v>
      </c>
      <c r="L183" s="83">
        <v>45200</v>
      </c>
      <c r="M183" s="83">
        <v>45230</v>
      </c>
    </row>
    <row r="184" spans="1:13" ht="14.25" customHeight="1" x14ac:dyDescent="0.25">
      <c r="A184" s="9" t="s">
        <v>1578</v>
      </c>
      <c r="B184" s="81">
        <v>122028</v>
      </c>
      <c r="C184" s="81">
        <v>10771</v>
      </c>
      <c r="D184" s="9" t="s">
        <v>1625</v>
      </c>
      <c r="E184" s="81">
        <v>14563091</v>
      </c>
      <c r="F184" s="81">
        <v>55142</v>
      </c>
      <c r="G184" s="81">
        <v>1</v>
      </c>
      <c r="H184" s="82">
        <v>359.46</v>
      </c>
      <c r="I184" s="251">
        <v>359.46</v>
      </c>
      <c r="J184" s="9" t="s">
        <v>1387</v>
      </c>
      <c r="K184" s="9" t="s">
        <v>1388</v>
      </c>
      <c r="L184" s="83">
        <v>45200</v>
      </c>
      <c r="M184" s="83">
        <v>45230</v>
      </c>
    </row>
    <row r="185" spans="1:13" ht="14.25" customHeight="1" x14ac:dyDescent="0.25">
      <c r="A185" s="9" t="s">
        <v>1578</v>
      </c>
      <c r="B185" s="81">
        <v>117238</v>
      </c>
      <c r="C185" s="81">
        <v>10755</v>
      </c>
      <c r="D185" s="9" t="s">
        <v>1254</v>
      </c>
      <c r="E185" s="81">
        <v>14563091</v>
      </c>
      <c r="F185" s="81">
        <v>44092</v>
      </c>
      <c r="G185" s="81">
        <v>1</v>
      </c>
      <c r="H185" s="82">
        <v>359.46</v>
      </c>
      <c r="I185" s="251">
        <v>359.46</v>
      </c>
      <c r="J185" s="9" t="s">
        <v>1387</v>
      </c>
      <c r="K185" s="9" t="s">
        <v>1388</v>
      </c>
      <c r="L185" s="83">
        <v>45200</v>
      </c>
      <c r="M185" s="83">
        <v>45230</v>
      </c>
    </row>
    <row r="186" spans="1:13" ht="14.25" customHeight="1" x14ac:dyDescent="0.25">
      <c r="A186" s="9" t="s">
        <v>10</v>
      </c>
      <c r="B186" s="81">
        <v>121320</v>
      </c>
      <c r="C186" s="81">
        <v>10750</v>
      </c>
      <c r="D186" s="9" t="s">
        <v>1523</v>
      </c>
      <c r="E186" s="81">
        <v>14563091</v>
      </c>
      <c r="F186" s="81">
        <v>53494</v>
      </c>
      <c r="G186" s="81">
        <v>1</v>
      </c>
      <c r="H186" s="82">
        <v>359.46</v>
      </c>
      <c r="I186" s="251">
        <v>359.46</v>
      </c>
      <c r="J186" s="9" t="s">
        <v>1387</v>
      </c>
      <c r="K186" s="9" t="s">
        <v>1388</v>
      </c>
      <c r="L186" s="83">
        <v>45200</v>
      </c>
      <c r="M186" s="83">
        <v>45230</v>
      </c>
    </row>
    <row r="187" spans="1:13" ht="14.25" customHeight="1" x14ac:dyDescent="0.25">
      <c r="A187" s="9" t="s">
        <v>32</v>
      </c>
      <c r="B187" s="81">
        <v>122830</v>
      </c>
      <c r="C187" s="81">
        <v>10757</v>
      </c>
      <c r="D187" s="9" t="s">
        <v>1716</v>
      </c>
      <c r="E187" s="81">
        <v>14563091</v>
      </c>
      <c r="F187" s="81">
        <v>57261</v>
      </c>
      <c r="G187" s="81">
        <v>1</v>
      </c>
      <c r="H187" s="82">
        <v>359.46</v>
      </c>
      <c r="I187" s="251">
        <v>359.46</v>
      </c>
      <c r="J187" s="9" t="s">
        <v>1387</v>
      </c>
      <c r="K187" s="9" t="s">
        <v>1388</v>
      </c>
      <c r="L187" s="83">
        <v>45200</v>
      </c>
      <c r="M187" s="83">
        <v>45230</v>
      </c>
    </row>
    <row r="188" spans="1:13" ht="14.25" customHeight="1" x14ac:dyDescent="0.25">
      <c r="A188" s="9" t="s">
        <v>0</v>
      </c>
      <c r="B188" s="81">
        <v>114266</v>
      </c>
      <c r="C188" s="81">
        <v>10750</v>
      </c>
      <c r="D188" s="9" t="s">
        <v>1027</v>
      </c>
      <c r="E188" s="81">
        <v>14563091</v>
      </c>
      <c r="F188" s="81">
        <v>35811</v>
      </c>
      <c r="G188" s="81">
        <v>1</v>
      </c>
      <c r="H188" s="82">
        <v>359.46</v>
      </c>
      <c r="I188" s="251">
        <v>359.46</v>
      </c>
      <c r="J188" s="9" t="s">
        <v>1387</v>
      </c>
      <c r="K188" s="9" t="s">
        <v>1388</v>
      </c>
      <c r="L188" s="83">
        <v>45200</v>
      </c>
      <c r="M188" s="83">
        <v>45230</v>
      </c>
    </row>
    <row r="189" spans="1:13" ht="14.25" customHeight="1" x14ac:dyDescent="0.25">
      <c r="A189" s="9" t="s">
        <v>1578</v>
      </c>
      <c r="B189" s="81">
        <v>113568</v>
      </c>
      <c r="C189" s="81">
        <v>10761</v>
      </c>
      <c r="D189" s="9" t="s">
        <v>852</v>
      </c>
      <c r="E189" s="81">
        <v>14563091</v>
      </c>
      <c r="F189" s="81">
        <v>31570</v>
      </c>
      <c r="G189" s="81">
        <v>1</v>
      </c>
      <c r="H189" s="82">
        <v>359.46</v>
      </c>
      <c r="I189" s="251">
        <v>359.46</v>
      </c>
      <c r="J189" s="9" t="s">
        <v>1387</v>
      </c>
      <c r="K189" s="9" t="s">
        <v>1388</v>
      </c>
      <c r="L189" s="83">
        <v>45200</v>
      </c>
      <c r="M189" s="83">
        <v>45230</v>
      </c>
    </row>
    <row r="190" spans="1:13" ht="14.25" customHeight="1" x14ac:dyDescent="0.25">
      <c r="A190" s="9" t="s">
        <v>0</v>
      </c>
      <c r="B190" s="81">
        <v>121857</v>
      </c>
      <c r="C190" s="81">
        <v>10757</v>
      </c>
      <c r="D190" s="9" t="s">
        <v>1622</v>
      </c>
      <c r="E190" s="81">
        <v>14563091</v>
      </c>
      <c r="F190" s="81">
        <v>54731</v>
      </c>
      <c r="G190" s="81">
        <v>1</v>
      </c>
      <c r="H190" s="82">
        <v>359.46</v>
      </c>
      <c r="I190" s="251">
        <v>359.46</v>
      </c>
      <c r="J190" s="9" t="s">
        <v>1387</v>
      </c>
      <c r="K190" s="9" t="s">
        <v>1388</v>
      </c>
      <c r="L190" s="83">
        <v>45200</v>
      </c>
      <c r="M190" s="83">
        <v>45230</v>
      </c>
    </row>
    <row r="191" spans="1:13" ht="14.25" customHeight="1" x14ac:dyDescent="0.25">
      <c r="A191" s="9" t="s">
        <v>10</v>
      </c>
      <c r="B191" s="81">
        <v>113560</v>
      </c>
      <c r="C191" s="81">
        <v>10760</v>
      </c>
      <c r="D191" s="9" t="s">
        <v>848</v>
      </c>
      <c r="E191" s="81">
        <v>14563091</v>
      </c>
      <c r="F191" s="81">
        <v>31554</v>
      </c>
      <c r="G191" s="81">
        <v>1</v>
      </c>
      <c r="H191" s="82">
        <v>359.46</v>
      </c>
      <c r="I191" s="251">
        <v>359.46</v>
      </c>
      <c r="J191" s="9" t="s">
        <v>1387</v>
      </c>
      <c r="K191" s="9" t="s">
        <v>1388</v>
      </c>
      <c r="L191" s="83">
        <v>45200</v>
      </c>
      <c r="M191" s="83">
        <v>45230</v>
      </c>
    </row>
    <row r="192" spans="1:13" ht="14.25" customHeight="1" x14ac:dyDescent="0.25">
      <c r="A192" s="9" t="s">
        <v>0</v>
      </c>
      <c r="B192" s="81">
        <v>113550</v>
      </c>
      <c r="C192" s="81">
        <v>10760</v>
      </c>
      <c r="D192" s="9" t="s">
        <v>841</v>
      </c>
      <c r="E192" s="81">
        <v>14563091</v>
      </c>
      <c r="F192" s="81">
        <v>31534</v>
      </c>
      <c r="G192" s="81">
        <v>1</v>
      </c>
      <c r="H192" s="82">
        <v>359.46</v>
      </c>
      <c r="I192" s="251">
        <v>359.46</v>
      </c>
      <c r="J192" s="9" t="s">
        <v>1387</v>
      </c>
      <c r="K192" s="9" t="s">
        <v>1388</v>
      </c>
      <c r="L192" s="83">
        <v>45200</v>
      </c>
      <c r="M192" s="83">
        <v>45230</v>
      </c>
    </row>
    <row r="193" spans="1:13" ht="14.25" customHeight="1" x14ac:dyDescent="0.25">
      <c r="A193" s="9" t="s">
        <v>1578</v>
      </c>
      <c r="B193" s="81">
        <v>113546</v>
      </c>
      <c r="C193" s="81">
        <v>10768</v>
      </c>
      <c r="D193" s="9" t="s">
        <v>837</v>
      </c>
      <c r="E193" s="81">
        <v>14563091</v>
      </c>
      <c r="F193" s="81">
        <v>31526</v>
      </c>
      <c r="G193" s="81">
        <v>1</v>
      </c>
      <c r="H193" s="82">
        <v>359.46</v>
      </c>
      <c r="I193" s="251">
        <v>359.46</v>
      </c>
      <c r="J193" s="9" t="s">
        <v>1387</v>
      </c>
      <c r="K193" s="9" t="s">
        <v>1388</v>
      </c>
      <c r="L193" s="83">
        <v>45200</v>
      </c>
      <c r="M193" s="83">
        <v>45230</v>
      </c>
    </row>
    <row r="194" spans="1:13" ht="14.25" customHeight="1" x14ac:dyDescent="0.25">
      <c r="A194" s="9" t="s">
        <v>8</v>
      </c>
      <c r="B194" s="81">
        <v>113545</v>
      </c>
      <c r="C194" s="81">
        <v>10750</v>
      </c>
      <c r="D194" s="9" t="s">
        <v>836</v>
      </c>
      <c r="E194" s="81">
        <v>14563091</v>
      </c>
      <c r="F194" s="81">
        <v>31524</v>
      </c>
      <c r="G194" s="81">
        <v>1</v>
      </c>
      <c r="H194" s="82">
        <v>359.46</v>
      </c>
      <c r="I194" s="251">
        <v>359.46</v>
      </c>
      <c r="J194" s="9" t="s">
        <v>1387</v>
      </c>
      <c r="K194" s="9" t="s">
        <v>1388</v>
      </c>
      <c r="L194" s="83">
        <v>45200</v>
      </c>
      <c r="M194" s="83">
        <v>45230</v>
      </c>
    </row>
    <row r="195" spans="1:13" ht="14.25" customHeight="1" x14ac:dyDescent="0.25">
      <c r="A195" s="9" t="s">
        <v>1578</v>
      </c>
      <c r="B195" s="81">
        <v>113540</v>
      </c>
      <c r="C195" s="81">
        <v>10745</v>
      </c>
      <c r="D195" s="9" t="s">
        <v>833</v>
      </c>
      <c r="E195" s="81">
        <v>14563091</v>
      </c>
      <c r="F195" s="81">
        <v>31514</v>
      </c>
      <c r="G195" s="81">
        <v>1</v>
      </c>
      <c r="H195" s="82">
        <v>359.46</v>
      </c>
      <c r="I195" s="251">
        <v>359.46</v>
      </c>
      <c r="J195" s="9" t="s">
        <v>1387</v>
      </c>
      <c r="K195" s="9" t="s">
        <v>1388</v>
      </c>
      <c r="L195" s="83">
        <v>45200</v>
      </c>
      <c r="M195" s="83">
        <v>45230</v>
      </c>
    </row>
    <row r="196" spans="1:13" ht="14.25" customHeight="1" x14ac:dyDescent="0.25">
      <c r="A196" s="9" t="s">
        <v>32</v>
      </c>
      <c r="B196" s="81">
        <v>120356</v>
      </c>
      <c r="C196" s="81">
        <v>10757</v>
      </c>
      <c r="D196" s="9" t="s">
        <v>1506</v>
      </c>
      <c r="E196" s="81">
        <v>14563091</v>
      </c>
      <c r="F196" s="81">
        <v>51543</v>
      </c>
      <c r="G196" s="81">
        <v>1</v>
      </c>
      <c r="H196" s="82">
        <v>359.46</v>
      </c>
      <c r="I196" s="251">
        <v>359.46</v>
      </c>
      <c r="J196" s="9" t="s">
        <v>1387</v>
      </c>
      <c r="K196" s="9" t="s">
        <v>1388</v>
      </c>
      <c r="L196" s="83">
        <v>45200</v>
      </c>
      <c r="M196" s="83">
        <v>45230</v>
      </c>
    </row>
    <row r="197" spans="1:13" ht="14.25" customHeight="1" x14ac:dyDescent="0.25">
      <c r="A197" s="9" t="s">
        <v>1578</v>
      </c>
      <c r="B197" s="81">
        <v>122410</v>
      </c>
      <c r="C197" s="81">
        <v>10757</v>
      </c>
      <c r="D197" s="9" t="s">
        <v>1679</v>
      </c>
      <c r="E197" s="81">
        <v>14563091</v>
      </c>
      <c r="F197" s="81">
        <v>56140</v>
      </c>
      <c r="G197" s="81">
        <v>1</v>
      </c>
      <c r="H197" s="82">
        <v>359.46</v>
      </c>
      <c r="I197" s="251">
        <v>359.46</v>
      </c>
      <c r="J197" s="9" t="s">
        <v>1387</v>
      </c>
      <c r="K197" s="9" t="s">
        <v>1388</v>
      </c>
      <c r="L197" s="83">
        <v>45200</v>
      </c>
      <c r="M197" s="83">
        <v>45230</v>
      </c>
    </row>
    <row r="198" spans="1:13" ht="14.25" customHeight="1" x14ac:dyDescent="0.25">
      <c r="A198" s="9" t="s">
        <v>8</v>
      </c>
      <c r="B198" s="81">
        <v>121848</v>
      </c>
      <c r="C198" s="81">
        <v>10755</v>
      </c>
      <c r="D198" s="9" t="s">
        <v>1605</v>
      </c>
      <c r="E198" s="81">
        <v>14563091</v>
      </c>
      <c r="F198" s="81">
        <v>54714</v>
      </c>
      <c r="G198" s="81">
        <v>1</v>
      </c>
      <c r="H198" s="82">
        <v>359.46</v>
      </c>
      <c r="I198" s="251">
        <v>359.46</v>
      </c>
      <c r="J198" s="9" t="s">
        <v>1387</v>
      </c>
      <c r="K198" s="9" t="s">
        <v>1388</v>
      </c>
      <c r="L198" s="83">
        <v>45200</v>
      </c>
      <c r="M198" s="83">
        <v>45230</v>
      </c>
    </row>
    <row r="199" spans="1:13" ht="14.25" customHeight="1" x14ac:dyDescent="0.25">
      <c r="A199" s="9" t="s">
        <v>0</v>
      </c>
      <c r="B199" s="81">
        <v>112169</v>
      </c>
      <c r="C199" s="81">
        <v>10750</v>
      </c>
      <c r="D199" s="9" t="s">
        <v>1</v>
      </c>
      <c r="E199" s="81">
        <v>14563091</v>
      </c>
      <c r="F199" s="81">
        <v>28772</v>
      </c>
      <c r="G199" s="81">
        <v>1</v>
      </c>
      <c r="H199" s="82">
        <v>359.46</v>
      </c>
      <c r="I199" s="251">
        <v>359.46</v>
      </c>
      <c r="J199" s="9" t="s">
        <v>1387</v>
      </c>
      <c r="K199" s="9" t="s">
        <v>1388</v>
      </c>
      <c r="L199" s="83">
        <v>45200</v>
      </c>
      <c r="M199" s="83">
        <v>45230</v>
      </c>
    </row>
    <row r="200" spans="1:13" ht="14.25" customHeight="1" x14ac:dyDescent="0.25">
      <c r="A200" s="9" t="s">
        <v>0</v>
      </c>
      <c r="B200" s="81">
        <v>112170</v>
      </c>
      <c r="C200" s="81">
        <v>10752</v>
      </c>
      <c r="D200" s="9" t="s">
        <v>3</v>
      </c>
      <c r="E200" s="81">
        <v>14563091</v>
      </c>
      <c r="F200" s="81">
        <v>28774</v>
      </c>
      <c r="G200" s="81">
        <v>1</v>
      </c>
      <c r="H200" s="82">
        <v>359.46</v>
      </c>
      <c r="I200" s="251">
        <v>359.46</v>
      </c>
      <c r="J200" s="9" t="s">
        <v>1387</v>
      </c>
      <c r="K200" s="9" t="s">
        <v>1388</v>
      </c>
      <c r="L200" s="83">
        <v>45200</v>
      </c>
      <c r="M200" s="83">
        <v>45230</v>
      </c>
    </row>
    <row r="201" spans="1:13" ht="14.25" customHeight="1" x14ac:dyDescent="0.25">
      <c r="A201" s="9" t="s">
        <v>0</v>
      </c>
      <c r="B201" s="81">
        <v>114549</v>
      </c>
      <c r="C201" s="81">
        <v>10751</v>
      </c>
      <c r="D201" s="9" t="s">
        <v>1056</v>
      </c>
      <c r="E201" s="81">
        <v>14563091</v>
      </c>
      <c r="F201" s="81">
        <v>36375</v>
      </c>
      <c r="G201" s="81">
        <v>1</v>
      </c>
      <c r="H201" s="82">
        <v>359.46</v>
      </c>
      <c r="I201" s="251">
        <v>359.46</v>
      </c>
      <c r="J201" s="9" t="s">
        <v>1387</v>
      </c>
      <c r="K201" s="9" t="s">
        <v>1388</v>
      </c>
      <c r="L201" s="83">
        <v>45200</v>
      </c>
      <c r="M201" s="83">
        <v>45230</v>
      </c>
    </row>
    <row r="202" spans="1:13" ht="14.25" customHeight="1" x14ac:dyDescent="0.25">
      <c r="A202" s="9" t="s">
        <v>0</v>
      </c>
      <c r="B202" s="81">
        <v>116026</v>
      </c>
      <c r="C202" s="81">
        <v>10766</v>
      </c>
      <c r="D202" s="9" t="s">
        <v>1175</v>
      </c>
      <c r="E202" s="81">
        <v>14563091</v>
      </c>
      <c r="F202" s="81">
        <v>40912</v>
      </c>
      <c r="G202" s="81">
        <v>1</v>
      </c>
      <c r="H202" s="82">
        <v>359.46</v>
      </c>
      <c r="I202" s="251">
        <v>359.46</v>
      </c>
      <c r="J202" s="9" t="s">
        <v>1387</v>
      </c>
      <c r="K202" s="9" t="s">
        <v>1388</v>
      </c>
      <c r="L202" s="83">
        <v>45200</v>
      </c>
      <c r="M202" s="83">
        <v>45230</v>
      </c>
    </row>
    <row r="203" spans="1:13" ht="14.25" customHeight="1" x14ac:dyDescent="0.25">
      <c r="A203" s="9" t="s">
        <v>1578</v>
      </c>
      <c r="B203" s="81">
        <v>112177</v>
      </c>
      <c r="C203" s="81">
        <v>10761</v>
      </c>
      <c r="D203" s="9" t="s">
        <v>1317</v>
      </c>
      <c r="E203" s="81">
        <v>14563091</v>
      </c>
      <c r="F203" s="81">
        <v>28788</v>
      </c>
      <c r="G203" s="81">
        <v>1</v>
      </c>
      <c r="H203" s="82">
        <v>359.46</v>
      </c>
      <c r="I203" s="251">
        <v>359.46</v>
      </c>
      <c r="J203" s="9" t="s">
        <v>1387</v>
      </c>
      <c r="K203" s="9" t="s">
        <v>1388</v>
      </c>
      <c r="L203" s="83">
        <v>45200</v>
      </c>
      <c r="M203" s="83">
        <v>45230</v>
      </c>
    </row>
    <row r="204" spans="1:13" ht="14.25" customHeight="1" x14ac:dyDescent="0.25">
      <c r="A204" s="9" t="s">
        <v>10</v>
      </c>
      <c r="B204" s="81">
        <v>112179</v>
      </c>
      <c r="C204" s="81">
        <v>10757</v>
      </c>
      <c r="D204" s="9" t="s">
        <v>17</v>
      </c>
      <c r="E204" s="81">
        <v>14563091</v>
      </c>
      <c r="F204" s="81">
        <v>28792</v>
      </c>
      <c r="G204" s="81">
        <v>1</v>
      </c>
      <c r="H204" s="82">
        <v>359.46</v>
      </c>
      <c r="I204" s="251">
        <v>359.46</v>
      </c>
      <c r="J204" s="9" t="s">
        <v>1387</v>
      </c>
      <c r="K204" s="9" t="s">
        <v>1388</v>
      </c>
      <c r="L204" s="83">
        <v>45200</v>
      </c>
      <c r="M204" s="83">
        <v>45230</v>
      </c>
    </row>
    <row r="205" spans="1:13" ht="14.25" customHeight="1" x14ac:dyDescent="0.25">
      <c r="A205" s="9" t="s">
        <v>19</v>
      </c>
      <c r="B205" s="81">
        <v>115413</v>
      </c>
      <c r="C205" s="81">
        <v>10757</v>
      </c>
      <c r="D205" s="9" t="s">
        <v>1158</v>
      </c>
      <c r="E205" s="81">
        <v>14563091</v>
      </c>
      <c r="F205" s="81">
        <v>39033</v>
      </c>
      <c r="G205" s="81">
        <v>1</v>
      </c>
      <c r="H205" s="82">
        <v>359.46</v>
      </c>
      <c r="I205" s="251">
        <v>359.46</v>
      </c>
      <c r="J205" s="9" t="s">
        <v>1387</v>
      </c>
      <c r="K205" s="9" t="s">
        <v>1388</v>
      </c>
      <c r="L205" s="83">
        <v>45200</v>
      </c>
      <c r="M205" s="83">
        <v>45230</v>
      </c>
    </row>
    <row r="206" spans="1:13" ht="14.25" customHeight="1" x14ac:dyDescent="0.25">
      <c r="A206" s="9" t="s">
        <v>0</v>
      </c>
      <c r="B206" s="81">
        <v>116008</v>
      </c>
      <c r="C206" s="81">
        <v>10761</v>
      </c>
      <c r="D206" s="9" t="s">
        <v>1170</v>
      </c>
      <c r="E206" s="81">
        <v>14563091</v>
      </c>
      <c r="F206" s="81">
        <v>40871</v>
      </c>
      <c r="G206" s="81">
        <v>1</v>
      </c>
      <c r="H206" s="82">
        <v>359.46</v>
      </c>
      <c r="I206" s="251">
        <v>359.46</v>
      </c>
      <c r="J206" s="9" t="s">
        <v>1387</v>
      </c>
      <c r="K206" s="9" t="s">
        <v>1388</v>
      </c>
      <c r="L206" s="83">
        <v>45200</v>
      </c>
      <c r="M206" s="83">
        <v>45230</v>
      </c>
    </row>
    <row r="207" spans="1:13" ht="14.25" customHeight="1" x14ac:dyDescent="0.25">
      <c r="A207" s="9" t="s">
        <v>10</v>
      </c>
      <c r="B207" s="81">
        <v>112183</v>
      </c>
      <c r="C207" s="81">
        <v>10757</v>
      </c>
      <c r="D207" s="9" t="s">
        <v>18</v>
      </c>
      <c r="E207" s="81">
        <v>14563091</v>
      </c>
      <c r="F207" s="81">
        <v>28800</v>
      </c>
      <c r="G207" s="81">
        <v>1</v>
      </c>
      <c r="H207" s="82">
        <v>359.46</v>
      </c>
      <c r="I207" s="251">
        <v>359.46</v>
      </c>
      <c r="J207" s="9" t="s">
        <v>1387</v>
      </c>
      <c r="K207" s="9" t="s">
        <v>1388</v>
      </c>
      <c r="L207" s="83">
        <v>45200</v>
      </c>
      <c r="M207" s="83">
        <v>45230</v>
      </c>
    </row>
    <row r="208" spans="1:13" ht="14.25" customHeight="1" x14ac:dyDescent="0.25">
      <c r="A208" s="9" t="s">
        <v>19</v>
      </c>
      <c r="B208" s="81">
        <v>112184</v>
      </c>
      <c r="C208" s="81">
        <v>10750</v>
      </c>
      <c r="D208" s="9" t="s">
        <v>20</v>
      </c>
      <c r="E208" s="81">
        <v>14563091</v>
      </c>
      <c r="F208" s="81">
        <v>28802</v>
      </c>
      <c r="G208" s="81">
        <v>1</v>
      </c>
      <c r="H208" s="82">
        <v>359.46</v>
      </c>
      <c r="I208" s="251">
        <v>359.46</v>
      </c>
      <c r="J208" s="9" t="s">
        <v>1387</v>
      </c>
      <c r="K208" s="9" t="s">
        <v>1388</v>
      </c>
      <c r="L208" s="83">
        <v>45200</v>
      </c>
      <c r="M208" s="83">
        <v>45230</v>
      </c>
    </row>
    <row r="209" spans="1:13" ht="14.25" customHeight="1" x14ac:dyDescent="0.25">
      <c r="A209" s="9" t="s">
        <v>1578</v>
      </c>
      <c r="B209" s="81">
        <v>121436</v>
      </c>
      <c r="C209" s="81">
        <v>10755</v>
      </c>
      <c r="D209" s="9" t="s">
        <v>1550</v>
      </c>
      <c r="E209" s="81">
        <v>14563091</v>
      </c>
      <c r="F209" s="81">
        <v>53752</v>
      </c>
      <c r="G209" s="81">
        <v>1</v>
      </c>
      <c r="H209" s="82">
        <v>359.46</v>
      </c>
      <c r="I209" s="251">
        <v>359.46</v>
      </c>
      <c r="J209" s="9" t="s">
        <v>1387</v>
      </c>
      <c r="K209" s="9" t="s">
        <v>1388</v>
      </c>
      <c r="L209" s="83">
        <v>45200</v>
      </c>
      <c r="M209" s="83">
        <v>45230</v>
      </c>
    </row>
    <row r="210" spans="1:13" ht="14.25" customHeight="1" x14ac:dyDescent="0.25">
      <c r="A210" s="9" t="s">
        <v>1578</v>
      </c>
      <c r="B210" s="81">
        <v>118650</v>
      </c>
      <c r="C210" s="81">
        <v>10761</v>
      </c>
      <c r="D210" s="9" t="s">
        <v>1396</v>
      </c>
      <c r="E210" s="81">
        <v>14563091</v>
      </c>
      <c r="F210" s="81">
        <v>47193</v>
      </c>
      <c r="G210" s="81">
        <v>1</v>
      </c>
      <c r="H210" s="82">
        <v>359.46</v>
      </c>
      <c r="I210" s="251">
        <v>359.46</v>
      </c>
      <c r="J210" s="9" t="s">
        <v>1387</v>
      </c>
      <c r="K210" s="9" t="s">
        <v>1388</v>
      </c>
      <c r="L210" s="83">
        <v>45200</v>
      </c>
      <c r="M210" s="83">
        <v>45230</v>
      </c>
    </row>
    <row r="211" spans="1:13" ht="14.25" customHeight="1" x14ac:dyDescent="0.25">
      <c r="A211" s="9" t="s">
        <v>0</v>
      </c>
      <c r="B211" s="81">
        <v>114253</v>
      </c>
      <c r="C211" s="81">
        <v>10757</v>
      </c>
      <c r="D211" s="9" t="s">
        <v>1017</v>
      </c>
      <c r="E211" s="81">
        <v>14563091</v>
      </c>
      <c r="F211" s="81">
        <v>35785</v>
      </c>
      <c r="G211" s="81">
        <v>1</v>
      </c>
      <c r="H211" s="82">
        <v>359.46</v>
      </c>
      <c r="I211" s="251">
        <v>359.46</v>
      </c>
      <c r="J211" s="9" t="s">
        <v>1387</v>
      </c>
      <c r="K211" s="9" t="s">
        <v>1388</v>
      </c>
      <c r="L211" s="83">
        <v>45200</v>
      </c>
      <c r="M211" s="83">
        <v>45230</v>
      </c>
    </row>
    <row r="212" spans="1:13" ht="14.25" customHeight="1" x14ac:dyDescent="0.25">
      <c r="A212" s="9" t="s">
        <v>0</v>
      </c>
      <c r="B212" s="81">
        <v>114691</v>
      </c>
      <c r="C212" s="81">
        <v>10758</v>
      </c>
      <c r="D212" s="9" t="s">
        <v>1068</v>
      </c>
      <c r="E212" s="81">
        <v>14563091</v>
      </c>
      <c r="F212" s="81">
        <v>36829</v>
      </c>
      <c r="G212" s="81">
        <v>1</v>
      </c>
      <c r="H212" s="82">
        <v>179.73</v>
      </c>
      <c r="I212" s="251">
        <v>179.73</v>
      </c>
      <c r="J212" s="9" t="s">
        <v>1387</v>
      </c>
      <c r="K212" s="9" t="s">
        <v>1388</v>
      </c>
      <c r="L212" s="83">
        <v>45200</v>
      </c>
      <c r="M212" s="83">
        <v>45230</v>
      </c>
    </row>
    <row r="213" spans="1:13" ht="14.25" customHeight="1" x14ac:dyDescent="0.25">
      <c r="A213" s="9" t="s">
        <v>1578</v>
      </c>
      <c r="B213" s="81">
        <v>112186</v>
      </c>
      <c r="C213" s="81">
        <v>10761</v>
      </c>
      <c r="D213" s="9" t="s">
        <v>1638</v>
      </c>
      <c r="E213" s="81">
        <v>14563091</v>
      </c>
      <c r="F213" s="81">
        <v>28806</v>
      </c>
      <c r="G213" s="81">
        <v>1</v>
      </c>
      <c r="H213" s="82">
        <v>359.46</v>
      </c>
      <c r="I213" s="251">
        <v>359.46</v>
      </c>
      <c r="J213" s="9" t="s">
        <v>1387</v>
      </c>
      <c r="K213" s="9" t="s">
        <v>1388</v>
      </c>
      <c r="L213" s="83">
        <v>45200</v>
      </c>
      <c r="M213" s="83">
        <v>45230</v>
      </c>
    </row>
    <row r="214" spans="1:13" ht="14.25" customHeight="1" x14ac:dyDescent="0.25">
      <c r="A214" s="9" t="s">
        <v>1578</v>
      </c>
      <c r="B214" s="81">
        <v>112187</v>
      </c>
      <c r="C214" s="81">
        <v>10761</v>
      </c>
      <c r="D214" s="9" t="s">
        <v>1318</v>
      </c>
      <c r="E214" s="81">
        <v>14563091</v>
      </c>
      <c r="F214" s="81">
        <v>28808</v>
      </c>
      <c r="G214" s="81">
        <v>1</v>
      </c>
      <c r="H214" s="82">
        <v>359.46</v>
      </c>
      <c r="I214" s="251">
        <v>359.46</v>
      </c>
      <c r="J214" s="9" t="s">
        <v>1387</v>
      </c>
      <c r="K214" s="9" t="s">
        <v>1388</v>
      </c>
      <c r="L214" s="83">
        <v>45200</v>
      </c>
      <c r="M214" s="83">
        <v>45230</v>
      </c>
    </row>
    <row r="215" spans="1:13" ht="14.25" customHeight="1" x14ac:dyDescent="0.25">
      <c r="A215" s="9" t="s">
        <v>1578</v>
      </c>
      <c r="B215" s="81">
        <v>121674</v>
      </c>
      <c r="C215" s="81">
        <v>10755</v>
      </c>
      <c r="D215" s="9" t="s">
        <v>1584</v>
      </c>
      <c r="E215" s="81">
        <v>14563091</v>
      </c>
      <c r="F215" s="81">
        <v>54312</v>
      </c>
      <c r="G215" s="81">
        <v>1</v>
      </c>
      <c r="H215" s="82">
        <v>359.46</v>
      </c>
      <c r="I215" s="251">
        <v>359.46</v>
      </c>
      <c r="J215" s="9" t="s">
        <v>1387</v>
      </c>
      <c r="K215" s="9" t="s">
        <v>1388</v>
      </c>
      <c r="L215" s="83">
        <v>45200</v>
      </c>
      <c r="M215" s="83">
        <v>45230</v>
      </c>
    </row>
    <row r="216" spans="1:13" ht="14.25" customHeight="1" x14ac:dyDescent="0.25">
      <c r="A216" s="9" t="s">
        <v>0</v>
      </c>
      <c r="B216" s="81">
        <v>114504</v>
      </c>
      <c r="C216" s="81">
        <v>10754</v>
      </c>
      <c r="D216" s="9" t="s">
        <v>1319</v>
      </c>
      <c r="E216" s="81">
        <v>14563091</v>
      </c>
      <c r="F216" s="81">
        <v>35890</v>
      </c>
      <c r="G216" s="81">
        <v>1</v>
      </c>
      <c r="H216" s="82">
        <v>359.46</v>
      </c>
      <c r="I216" s="251">
        <v>359.46</v>
      </c>
      <c r="J216" s="9" t="s">
        <v>1387</v>
      </c>
      <c r="K216" s="9" t="s">
        <v>1388</v>
      </c>
      <c r="L216" s="83">
        <v>45200</v>
      </c>
      <c r="M216" s="83">
        <v>45230</v>
      </c>
    </row>
    <row r="217" spans="1:13" ht="14.25" customHeight="1" x14ac:dyDescent="0.25">
      <c r="A217" s="9" t="s">
        <v>8</v>
      </c>
      <c r="B217" s="81">
        <v>112318</v>
      </c>
      <c r="C217" s="81">
        <v>10750</v>
      </c>
      <c r="D217" s="9" t="s">
        <v>104</v>
      </c>
      <c r="E217" s="81">
        <v>14563091</v>
      </c>
      <c r="F217" s="81">
        <v>29070</v>
      </c>
      <c r="G217" s="81">
        <v>1</v>
      </c>
      <c r="H217" s="82">
        <v>359.46</v>
      </c>
      <c r="I217" s="251">
        <v>359.46</v>
      </c>
      <c r="J217" s="9" t="s">
        <v>1387</v>
      </c>
      <c r="K217" s="9" t="s">
        <v>1388</v>
      </c>
      <c r="L217" s="83">
        <v>45200</v>
      </c>
      <c r="M217" s="83">
        <v>45230</v>
      </c>
    </row>
    <row r="218" spans="1:13" ht="14.25" customHeight="1" x14ac:dyDescent="0.25">
      <c r="A218" s="9" t="s">
        <v>0</v>
      </c>
      <c r="B218" s="81">
        <v>112324</v>
      </c>
      <c r="C218" s="81">
        <v>10752</v>
      </c>
      <c r="D218" s="9" t="s">
        <v>107</v>
      </c>
      <c r="E218" s="81">
        <v>14563091</v>
      </c>
      <c r="F218" s="81">
        <v>29082</v>
      </c>
      <c r="G218" s="81">
        <v>1</v>
      </c>
      <c r="H218" s="82">
        <v>359.46</v>
      </c>
      <c r="I218" s="251">
        <v>359.46</v>
      </c>
      <c r="J218" s="9" t="s">
        <v>1387</v>
      </c>
      <c r="K218" s="9" t="s">
        <v>1388</v>
      </c>
      <c r="L218" s="83">
        <v>45200</v>
      </c>
      <c r="M218" s="83">
        <v>45230</v>
      </c>
    </row>
    <row r="219" spans="1:13" ht="14.25" customHeight="1" x14ac:dyDescent="0.25">
      <c r="A219" s="9" t="s">
        <v>19</v>
      </c>
      <c r="B219" s="81">
        <v>112327</v>
      </c>
      <c r="C219" s="81">
        <v>10766</v>
      </c>
      <c r="D219" s="9" t="s">
        <v>109</v>
      </c>
      <c r="E219" s="81">
        <v>14563091</v>
      </c>
      <c r="F219" s="81">
        <v>29088</v>
      </c>
      <c r="G219" s="81">
        <v>1</v>
      </c>
      <c r="H219" s="82">
        <v>359.46</v>
      </c>
      <c r="I219" s="251">
        <v>359.46</v>
      </c>
      <c r="J219" s="9" t="s">
        <v>1387</v>
      </c>
      <c r="K219" s="9" t="s">
        <v>1388</v>
      </c>
      <c r="L219" s="83">
        <v>45200</v>
      </c>
      <c r="M219" s="83">
        <v>45230</v>
      </c>
    </row>
    <row r="220" spans="1:13" ht="14.25" customHeight="1" x14ac:dyDescent="0.25">
      <c r="A220" s="9" t="s">
        <v>19</v>
      </c>
      <c r="B220" s="81">
        <v>112334</v>
      </c>
      <c r="C220" s="81">
        <v>10754</v>
      </c>
      <c r="D220" s="9" t="s">
        <v>116</v>
      </c>
      <c r="E220" s="81">
        <v>14563091</v>
      </c>
      <c r="F220" s="81">
        <v>29102</v>
      </c>
      <c r="G220" s="81">
        <v>1</v>
      </c>
      <c r="H220" s="82">
        <v>359.46</v>
      </c>
      <c r="I220" s="251">
        <v>359.46</v>
      </c>
      <c r="J220" s="9" t="s">
        <v>1387</v>
      </c>
      <c r="K220" s="9" t="s">
        <v>1388</v>
      </c>
      <c r="L220" s="83">
        <v>45200</v>
      </c>
      <c r="M220" s="83">
        <v>45230</v>
      </c>
    </row>
    <row r="221" spans="1:13" ht="14.25" customHeight="1" x14ac:dyDescent="0.25">
      <c r="A221" s="9" t="s">
        <v>0</v>
      </c>
      <c r="B221" s="81">
        <v>112340</v>
      </c>
      <c r="C221" s="81">
        <v>10771</v>
      </c>
      <c r="D221" s="9" t="s">
        <v>119</v>
      </c>
      <c r="E221" s="81">
        <v>14563091</v>
      </c>
      <c r="F221" s="81">
        <v>29114</v>
      </c>
      <c r="G221" s="81">
        <v>1</v>
      </c>
      <c r="H221" s="82">
        <v>359.46</v>
      </c>
      <c r="I221" s="251">
        <v>359.46</v>
      </c>
      <c r="J221" s="9" t="s">
        <v>1387</v>
      </c>
      <c r="K221" s="9" t="s">
        <v>1388</v>
      </c>
      <c r="L221" s="83">
        <v>45200</v>
      </c>
      <c r="M221" s="83">
        <v>45230</v>
      </c>
    </row>
    <row r="222" spans="1:13" ht="14.25" customHeight="1" x14ac:dyDescent="0.25">
      <c r="A222" s="9" t="s">
        <v>8</v>
      </c>
      <c r="B222" s="81">
        <v>112348</v>
      </c>
      <c r="C222" s="81">
        <v>10754</v>
      </c>
      <c r="D222" s="9" t="s">
        <v>124</v>
      </c>
      <c r="E222" s="81">
        <v>14563091</v>
      </c>
      <c r="F222" s="81">
        <v>29130</v>
      </c>
      <c r="G222" s="81">
        <v>1</v>
      </c>
      <c r="H222" s="82">
        <v>359.46</v>
      </c>
      <c r="I222" s="251">
        <v>359.46</v>
      </c>
      <c r="J222" s="9" t="s">
        <v>1387</v>
      </c>
      <c r="K222" s="9" t="s">
        <v>1388</v>
      </c>
      <c r="L222" s="83">
        <v>45200</v>
      </c>
      <c r="M222" s="83">
        <v>45230</v>
      </c>
    </row>
    <row r="223" spans="1:13" ht="14.25" customHeight="1" x14ac:dyDescent="0.25">
      <c r="A223" s="9" t="s">
        <v>8</v>
      </c>
      <c r="B223" s="81">
        <v>122343</v>
      </c>
      <c r="C223" s="81">
        <v>10750</v>
      </c>
      <c r="D223" s="9" t="s">
        <v>1651</v>
      </c>
      <c r="E223" s="81">
        <v>14563091</v>
      </c>
      <c r="F223" s="81">
        <v>55985</v>
      </c>
      <c r="G223" s="81">
        <v>1</v>
      </c>
      <c r="H223" s="82">
        <v>359.46</v>
      </c>
      <c r="I223" s="251">
        <v>359.46</v>
      </c>
      <c r="J223" s="9" t="s">
        <v>1387</v>
      </c>
      <c r="K223" s="9" t="s">
        <v>1388</v>
      </c>
      <c r="L223" s="83">
        <v>45200</v>
      </c>
      <c r="M223" s="83">
        <v>45230</v>
      </c>
    </row>
    <row r="224" spans="1:13" ht="14.25" customHeight="1" x14ac:dyDescent="0.25">
      <c r="A224" s="9" t="s">
        <v>19</v>
      </c>
      <c r="B224" s="81">
        <v>112443</v>
      </c>
      <c r="C224" s="81">
        <v>10757</v>
      </c>
      <c r="D224" s="9" t="s">
        <v>184</v>
      </c>
      <c r="E224" s="81">
        <v>14563091</v>
      </c>
      <c r="F224" s="81">
        <v>29320</v>
      </c>
      <c r="G224" s="81">
        <v>1</v>
      </c>
      <c r="H224" s="82">
        <v>359.46</v>
      </c>
      <c r="I224" s="251">
        <v>359.46</v>
      </c>
      <c r="J224" s="9" t="s">
        <v>1387</v>
      </c>
      <c r="K224" s="9" t="s">
        <v>1388</v>
      </c>
      <c r="L224" s="83">
        <v>45200</v>
      </c>
      <c r="M224" s="83">
        <v>45230</v>
      </c>
    </row>
    <row r="225" spans="1:13" ht="14.25" customHeight="1" x14ac:dyDescent="0.25">
      <c r="A225" s="9" t="s">
        <v>1578</v>
      </c>
      <c r="B225" s="81">
        <v>112490</v>
      </c>
      <c r="C225" s="81">
        <v>10767</v>
      </c>
      <c r="D225" s="9" t="s">
        <v>212</v>
      </c>
      <c r="E225" s="81">
        <v>14563091</v>
      </c>
      <c r="F225" s="81">
        <v>29414</v>
      </c>
      <c r="G225" s="81">
        <v>1</v>
      </c>
      <c r="H225" s="82">
        <v>359.46</v>
      </c>
      <c r="I225" s="251">
        <v>359.46</v>
      </c>
      <c r="J225" s="9" t="s">
        <v>1387</v>
      </c>
      <c r="K225" s="9" t="s">
        <v>1388</v>
      </c>
      <c r="L225" s="83">
        <v>45200</v>
      </c>
      <c r="M225" s="83">
        <v>45230</v>
      </c>
    </row>
    <row r="226" spans="1:13" ht="14.25" customHeight="1" x14ac:dyDescent="0.25">
      <c r="A226" s="9" t="s">
        <v>1578</v>
      </c>
      <c r="B226" s="81">
        <v>112502</v>
      </c>
      <c r="C226" s="81">
        <v>10757</v>
      </c>
      <c r="D226" s="9" t="s">
        <v>220</v>
      </c>
      <c r="E226" s="81">
        <v>14563091</v>
      </c>
      <c r="F226" s="81">
        <v>29438</v>
      </c>
      <c r="G226" s="81">
        <v>1</v>
      </c>
      <c r="H226" s="82">
        <v>359.46</v>
      </c>
      <c r="I226" s="251">
        <v>359.46</v>
      </c>
      <c r="J226" s="9" t="s">
        <v>1387</v>
      </c>
      <c r="K226" s="9" t="s">
        <v>1388</v>
      </c>
      <c r="L226" s="83">
        <v>45200</v>
      </c>
      <c r="M226" s="83">
        <v>45230</v>
      </c>
    </row>
    <row r="227" spans="1:13" ht="14.25" customHeight="1" x14ac:dyDescent="0.25">
      <c r="A227" s="9" t="s">
        <v>8</v>
      </c>
      <c r="B227" s="81">
        <v>112521</v>
      </c>
      <c r="C227" s="81">
        <v>10751</v>
      </c>
      <c r="D227" s="9" t="s">
        <v>236</v>
      </c>
      <c r="E227" s="81">
        <v>14563091</v>
      </c>
      <c r="F227" s="81">
        <v>29476</v>
      </c>
      <c r="G227" s="81">
        <v>1</v>
      </c>
      <c r="H227" s="82">
        <v>359.46</v>
      </c>
      <c r="I227" s="251">
        <v>359.46</v>
      </c>
      <c r="J227" s="9" t="s">
        <v>1387</v>
      </c>
      <c r="K227" s="9" t="s">
        <v>1388</v>
      </c>
      <c r="L227" s="83">
        <v>45200</v>
      </c>
      <c r="M227" s="83">
        <v>45230</v>
      </c>
    </row>
    <row r="228" spans="1:13" ht="14.25" customHeight="1" x14ac:dyDescent="0.25">
      <c r="A228" s="9" t="s">
        <v>0</v>
      </c>
      <c r="B228" s="81">
        <v>122824</v>
      </c>
      <c r="C228" s="81">
        <v>10757</v>
      </c>
      <c r="D228" s="9" t="s">
        <v>1717</v>
      </c>
      <c r="E228" s="81">
        <v>14563091</v>
      </c>
      <c r="F228" s="81">
        <v>57219</v>
      </c>
      <c r="G228" s="81">
        <v>1</v>
      </c>
      <c r="H228" s="82">
        <v>359.46</v>
      </c>
      <c r="I228" s="251">
        <v>359.46</v>
      </c>
      <c r="J228" s="9" t="s">
        <v>1387</v>
      </c>
      <c r="K228" s="9" t="s">
        <v>1388</v>
      </c>
      <c r="L228" s="83">
        <v>45200</v>
      </c>
      <c r="M228" s="83">
        <v>45230</v>
      </c>
    </row>
    <row r="229" spans="1:13" ht="14.25" customHeight="1" x14ac:dyDescent="0.25">
      <c r="A229" s="9" t="s">
        <v>0</v>
      </c>
      <c r="B229" s="81">
        <v>113305</v>
      </c>
      <c r="C229" s="81">
        <v>10752</v>
      </c>
      <c r="D229" s="9" t="s">
        <v>696</v>
      </c>
      <c r="E229" s="81">
        <v>14563091</v>
      </c>
      <c r="F229" s="81">
        <v>31044</v>
      </c>
      <c r="G229" s="81">
        <v>1</v>
      </c>
      <c r="H229" s="82">
        <v>359.46</v>
      </c>
      <c r="I229" s="251">
        <v>359.46</v>
      </c>
      <c r="J229" s="9" t="s">
        <v>1387</v>
      </c>
      <c r="K229" s="9" t="s">
        <v>1388</v>
      </c>
      <c r="L229" s="83">
        <v>45200</v>
      </c>
      <c r="M229" s="83">
        <v>45230</v>
      </c>
    </row>
    <row r="230" spans="1:13" ht="14.25" customHeight="1" x14ac:dyDescent="0.25">
      <c r="A230" s="9" t="s">
        <v>1578</v>
      </c>
      <c r="B230" s="81">
        <v>112525</v>
      </c>
      <c r="C230" s="81">
        <v>10755</v>
      </c>
      <c r="D230" s="9" t="s">
        <v>238</v>
      </c>
      <c r="E230" s="81">
        <v>14563091</v>
      </c>
      <c r="F230" s="81">
        <v>29484</v>
      </c>
      <c r="G230" s="81">
        <v>1</v>
      </c>
      <c r="H230" s="82">
        <v>359.46</v>
      </c>
      <c r="I230" s="251">
        <v>359.46</v>
      </c>
      <c r="J230" s="9" t="s">
        <v>1387</v>
      </c>
      <c r="K230" s="9" t="s">
        <v>1388</v>
      </c>
      <c r="L230" s="83">
        <v>45200</v>
      </c>
      <c r="M230" s="83">
        <v>45230</v>
      </c>
    </row>
    <row r="231" spans="1:13" ht="14.25" customHeight="1" x14ac:dyDescent="0.25">
      <c r="A231" s="9" t="s">
        <v>1578</v>
      </c>
      <c r="B231" s="81">
        <v>112527</v>
      </c>
      <c r="C231" s="81">
        <v>10766</v>
      </c>
      <c r="D231" s="9" t="s">
        <v>1320</v>
      </c>
      <c r="E231" s="81">
        <v>14563091</v>
      </c>
      <c r="F231" s="81">
        <v>29488</v>
      </c>
      <c r="G231" s="81">
        <v>1</v>
      </c>
      <c r="H231" s="82">
        <v>359.46</v>
      </c>
      <c r="I231" s="251">
        <v>359.46</v>
      </c>
      <c r="J231" s="9" t="s">
        <v>1387</v>
      </c>
      <c r="K231" s="9" t="s">
        <v>1388</v>
      </c>
      <c r="L231" s="83">
        <v>45200</v>
      </c>
      <c r="M231" s="83">
        <v>45230</v>
      </c>
    </row>
    <row r="232" spans="1:13" ht="14.25" customHeight="1" x14ac:dyDescent="0.25">
      <c r="A232" s="9" t="s">
        <v>1578</v>
      </c>
      <c r="B232" s="81">
        <v>112530</v>
      </c>
      <c r="C232" s="81">
        <v>10761</v>
      </c>
      <c r="D232" s="9" t="s">
        <v>242</v>
      </c>
      <c r="E232" s="81">
        <v>14563091</v>
      </c>
      <c r="F232" s="81">
        <v>29494</v>
      </c>
      <c r="G232" s="81">
        <v>1</v>
      </c>
      <c r="H232" s="82">
        <v>359.46</v>
      </c>
      <c r="I232" s="251">
        <v>359.46</v>
      </c>
      <c r="J232" s="9" t="s">
        <v>1387</v>
      </c>
      <c r="K232" s="9" t="s">
        <v>1388</v>
      </c>
      <c r="L232" s="83">
        <v>45200</v>
      </c>
      <c r="M232" s="83">
        <v>45230</v>
      </c>
    </row>
    <row r="233" spans="1:13" ht="14.25" customHeight="1" x14ac:dyDescent="0.25">
      <c r="A233" s="9" t="s">
        <v>10</v>
      </c>
      <c r="B233" s="81">
        <v>112532</v>
      </c>
      <c r="C233" s="81">
        <v>10750</v>
      </c>
      <c r="D233" s="9" t="s">
        <v>244</v>
      </c>
      <c r="E233" s="81">
        <v>14563091</v>
      </c>
      <c r="F233" s="81">
        <v>29498</v>
      </c>
      <c r="G233" s="81">
        <v>1</v>
      </c>
      <c r="H233" s="82">
        <v>359.46</v>
      </c>
      <c r="I233" s="251">
        <v>359.46</v>
      </c>
      <c r="J233" s="9" t="s">
        <v>1387</v>
      </c>
      <c r="K233" s="9" t="s">
        <v>1388</v>
      </c>
      <c r="L233" s="83">
        <v>45200</v>
      </c>
      <c r="M233" s="83">
        <v>45230</v>
      </c>
    </row>
    <row r="234" spans="1:13" ht="14.25" customHeight="1" x14ac:dyDescent="0.25">
      <c r="A234" s="9" t="s">
        <v>0</v>
      </c>
      <c r="B234" s="81">
        <v>112533</v>
      </c>
      <c r="C234" s="81">
        <v>10754</v>
      </c>
      <c r="D234" s="9" t="s">
        <v>245</v>
      </c>
      <c r="E234" s="81">
        <v>14563091</v>
      </c>
      <c r="F234" s="81">
        <v>29500</v>
      </c>
      <c r="G234" s="81">
        <v>1</v>
      </c>
      <c r="H234" s="82">
        <v>359.46</v>
      </c>
      <c r="I234" s="251">
        <v>359.46</v>
      </c>
      <c r="J234" s="9" t="s">
        <v>1387</v>
      </c>
      <c r="K234" s="9" t="s">
        <v>1388</v>
      </c>
      <c r="L234" s="83">
        <v>45200</v>
      </c>
      <c r="M234" s="83">
        <v>45230</v>
      </c>
    </row>
    <row r="235" spans="1:13" ht="14.25" customHeight="1" x14ac:dyDescent="0.25">
      <c r="A235" s="9" t="s">
        <v>8</v>
      </c>
      <c r="B235" s="81">
        <v>112535</v>
      </c>
      <c r="C235" s="81">
        <v>10754</v>
      </c>
      <c r="D235" s="9" t="s">
        <v>247</v>
      </c>
      <c r="E235" s="81">
        <v>14563091</v>
      </c>
      <c r="F235" s="81">
        <v>29504</v>
      </c>
      <c r="G235" s="81">
        <v>1</v>
      </c>
      <c r="H235" s="82">
        <v>359.46</v>
      </c>
      <c r="I235" s="251">
        <v>359.46</v>
      </c>
      <c r="J235" s="9" t="s">
        <v>1387</v>
      </c>
      <c r="K235" s="9" t="s">
        <v>1388</v>
      </c>
      <c r="L235" s="83">
        <v>45200</v>
      </c>
      <c r="M235" s="83">
        <v>45230</v>
      </c>
    </row>
    <row r="236" spans="1:13" ht="14.25" customHeight="1" x14ac:dyDescent="0.25">
      <c r="A236" s="9" t="s">
        <v>10</v>
      </c>
      <c r="B236" s="81">
        <v>112538</v>
      </c>
      <c r="C236" s="81">
        <v>10750</v>
      </c>
      <c r="D236" s="9" t="s">
        <v>249</v>
      </c>
      <c r="E236" s="81">
        <v>14563091</v>
      </c>
      <c r="F236" s="81">
        <v>29510</v>
      </c>
      <c r="G236" s="81">
        <v>1</v>
      </c>
      <c r="H236" s="82">
        <v>359.46</v>
      </c>
      <c r="I236" s="251">
        <v>359.46</v>
      </c>
      <c r="J236" s="9" t="s">
        <v>1387</v>
      </c>
      <c r="K236" s="9" t="s">
        <v>1388</v>
      </c>
      <c r="L236" s="83">
        <v>45200</v>
      </c>
      <c r="M236" s="83">
        <v>45230</v>
      </c>
    </row>
    <row r="237" spans="1:13" ht="14.25" customHeight="1" x14ac:dyDescent="0.25">
      <c r="A237" s="9" t="s">
        <v>8</v>
      </c>
      <c r="B237" s="81">
        <v>114537</v>
      </c>
      <c r="C237" s="81">
        <v>10757</v>
      </c>
      <c r="D237" s="9" t="s">
        <v>1050</v>
      </c>
      <c r="E237" s="81">
        <v>14563091</v>
      </c>
      <c r="F237" s="81">
        <v>36349</v>
      </c>
      <c r="G237" s="81">
        <v>1</v>
      </c>
      <c r="H237" s="82">
        <v>359.46</v>
      </c>
      <c r="I237" s="251">
        <v>359.46</v>
      </c>
      <c r="J237" s="9" t="s">
        <v>1387</v>
      </c>
      <c r="K237" s="9" t="s">
        <v>1388</v>
      </c>
      <c r="L237" s="83">
        <v>45200</v>
      </c>
      <c r="M237" s="83">
        <v>45230</v>
      </c>
    </row>
    <row r="238" spans="1:13" ht="14.25" customHeight="1" x14ac:dyDescent="0.25">
      <c r="A238" s="9" t="s">
        <v>19</v>
      </c>
      <c r="B238" s="81">
        <v>115218</v>
      </c>
      <c r="C238" s="81">
        <v>10758</v>
      </c>
      <c r="D238" s="9" t="s">
        <v>1142</v>
      </c>
      <c r="E238" s="81">
        <v>14563091</v>
      </c>
      <c r="F238" s="81">
        <v>38483</v>
      </c>
      <c r="G238" s="81">
        <v>1</v>
      </c>
      <c r="H238" s="82">
        <v>359.46</v>
      </c>
      <c r="I238" s="251">
        <v>359.46</v>
      </c>
      <c r="J238" s="9" t="s">
        <v>1387</v>
      </c>
      <c r="K238" s="9" t="s">
        <v>1388</v>
      </c>
      <c r="L238" s="83">
        <v>45200</v>
      </c>
      <c r="M238" s="83">
        <v>45230</v>
      </c>
    </row>
    <row r="239" spans="1:13" ht="14.25" customHeight="1" x14ac:dyDescent="0.25">
      <c r="A239" s="9" t="s">
        <v>32</v>
      </c>
      <c r="B239" s="81">
        <v>112548</v>
      </c>
      <c r="C239" s="81">
        <v>10756</v>
      </c>
      <c r="D239" s="9" t="s">
        <v>258</v>
      </c>
      <c r="E239" s="81">
        <v>14563091</v>
      </c>
      <c r="F239" s="81">
        <v>29530</v>
      </c>
      <c r="G239" s="81">
        <v>1</v>
      </c>
      <c r="H239" s="82">
        <v>359.46</v>
      </c>
      <c r="I239" s="251">
        <v>359.46</v>
      </c>
      <c r="J239" s="9" t="s">
        <v>1387</v>
      </c>
      <c r="K239" s="9" t="s">
        <v>1388</v>
      </c>
      <c r="L239" s="83">
        <v>45200</v>
      </c>
      <c r="M239" s="83">
        <v>45230</v>
      </c>
    </row>
    <row r="240" spans="1:13" ht="14.25" customHeight="1" x14ac:dyDescent="0.25">
      <c r="A240" s="9" t="s">
        <v>1578</v>
      </c>
      <c r="B240" s="81">
        <v>116072</v>
      </c>
      <c r="C240" s="81">
        <v>10743</v>
      </c>
      <c r="D240" s="9" t="s">
        <v>1178</v>
      </c>
      <c r="E240" s="81">
        <v>14563091</v>
      </c>
      <c r="F240" s="81">
        <v>41062</v>
      </c>
      <c r="G240" s="81">
        <v>1</v>
      </c>
      <c r="H240" s="82">
        <v>359.46</v>
      </c>
      <c r="I240" s="251">
        <v>359.46</v>
      </c>
      <c r="J240" s="9" t="s">
        <v>1387</v>
      </c>
      <c r="K240" s="9" t="s">
        <v>1388</v>
      </c>
      <c r="L240" s="83">
        <v>45200</v>
      </c>
      <c r="M240" s="83">
        <v>45230</v>
      </c>
    </row>
    <row r="241" spans="1:13" ht="14.25" customHeight="1" x14ac:dyDescent="0.25">
      <c r="A241" s="9" t="s">
        <v>19</v>
      </c>
      <c r="B241" s="81">
        <v>112551</v>
      </c>
      <c r="C241" s="81">
        <v>10756</v>
      </c>
      <c r="D241" s="9" t="s">
        <v>260</v>
      </c>
      <c r="E241" s="81">
        <v>14563091</v>
      </c>
      <c r="F241" s="81">
        <v>29536</v>
      </c>
      <c r="G241" s="81">
        <v>1</v>
      </c>
      <c r="H241" s="82">
        <v>359.46</v>
      </c>
      <c r="I241" s="251">
        <v>359.46</v>
      </c>
      <c r="J241" s="9" t="s">
        <v>1387</v>
      </c>
      <c r="K241" s="9" t="s">
        <v>1388</v>
      </c>
      <c r="L241" s="83">
        <v>45200</v>
      </c>
      <c r="M241" s="83">
        <v>45230</v>
      </c>
    </row>
    <row r="242" spans="1:13" ht="14.25" customHeight="1" x14ac:dyDescent="0.25">
      <c r="A242" s="9" t="s">
        <v>0</v>
      </c>
      <c r="B242" s="81">
        <v>115415</v>
      </c>
      <c r="C242" s="81">
        <v>10757</v>
      </c>
      <c r="D242" s="9" t="s">
        <v>1159</v>
      </c>
      <c r="E242" s="81">
        <v>14563091</v>
      </c>
      <c r="F242" s="81">
        <v>39037</v>
      </c>
      <c r="G242" s="81">
        <v>1</v>
      </c>
      <c r="H242" s="82">
        <v>359.46</v>
      </c>
      <c r="I242" s="251">
        <v>359.46</v>
      </c>
      <c r="J242" s="9" t="s">
        <v>1387</v>
      </c>
      <c r="K242" s="9" t="s">
        <v>1388</v>
      </c>
      <c r="L242" s="83">
        <v>45200</v>
      </c>
      <c r="M242" s="83">
        <v>45230</v>
      </c>
    </row>
    <row r="243" spans="1:13" ht="14.25" customHeight="1" x14ac:dyDescent="0.25">
      <c r="A243" s="9" t="s">
        <v>8</v>
      </c>
      <c r="B243" s="81">
        <v>112553</v>
      </c>
      <c r="C243" s="81">
        <v>10754</v>
      </c>
      <c r="D243" s="9" t="s">
        <v>261</v>
      </c>
      <c r="E243" s="81">
        <v>14563091</v>
      </c>
      <c r="F243" s="81">
        <v>29540</v>
      </c>
      <c r="G243" s="81">
        <v>1</v>
      </c>
      <c r="H243" s="82">
        <v>359.46</v>
      </c>
      <c r="I243" s="251">
        <v>359.46</v>
      </c>
      <c r="J243" s="9" t="s">
        <v>1387</v>
      </c>
      <c r="K243" s="9" t="s">
        <v>1388</v>
      </c>
      <c r="L243" s="83">
        <v>45200</v>
      </c>
      <c r="M243" s="83">
        <v>45230</v>
      </c>
    </row>
    <row r="244" spans="1:13" ht="14.25" customHeight="1" x14ac:dyDescent="0.25">
      <c r="A244" s="9" t="s">
        <v>8</v>
      </c>
      <c r="B244" s="81">
        <v>112555</v>
      </c>
      <c r="C244" s="81">
        <v>10754</v>
      </c>
      <c r="D244" s="9" t="s">
        <v>262</v>
      </c>
      <c r="E244" s="81">
        <v>14563091</v>
      </c>
      <c r="F244" s="81">
        <v>29544</v>
      </c>
      <c r="G244" s="81">
        <v>1</v>
      </c>
      <c r="H244" s="82">
        <v>359.46</v>
      </c>
      <c r="I244" s="251">
        <v>359.46</v>
      </c>
      <c r="J244" s="9" t="s">
        <v>1387</v>
      </c>
      <c r="K244" s="9" t="s">
        <v>1388</v>
      </c>
      <c r="L244" s="83">
        <v>45200</v>
      </c>
      <c r="M244" s="83">
        <v>45230</v>
      </c>
    </row>
    <row r="245" spans="1:13" ht="14.25" customHeight="1" x14ac:dyDescent="0.25">
      <c r="A245" s="9" t="s">
        <v>1578</v>
      </c>
      <c r="B245" s="81">
        <v>112557</v>
      </c>
      <c r="C245" s="81">
        <v>10768</v>
      </c>
      <c r="D245" s="9" t="s">
        <v>263</v>
      </c>
      <c r="E245" s="81">
        <v>14563091</v>
      </c>
      <c r="F245" s="81">
        <v>29548</v>
      </c>
      <c r="G245" s="81">
        <v>1</v>
      </c>
      <c r="H245" s="82">
        <v>359.46</v>
      </c>
      <c r="I245" s="251">
        <v>359.46</v>
      </c>
      <c r="J245" s="9" t="s">
        <v>1387</v>
      </c>
      <c r="K245" s="9" t="s">
        <v>1388</v>
      </c>
      <c r="L245" s="83">
        <v>45200</v>
      </c>
      <c r="M245" s="83">
        <v>45230</v>
      </c>
    </row>
    <row r="246" spans="1:13" ht="14.25" customHeight="1" x14ac:dyDescent="0.25">
      <c r="A246" s="9" t="s">
        <v>0</v>
      </c>
      <c r="B246" s="81">
        <v>112559</v>
      </c>
      <c r="C246" s="81">
        <v>10752</v>
      </c>
      <c r="D246" s="9" t="s">
        <v>265</v>
      </c>
      <c r="E246" s="81">
        <v>14563091</v>
      </c>
      <c r="F246" s="81">
        <v>29552</v>
      </c>
      <c r="G246" s="81">
        <v>1</v>
      </c>
      <c r="H246" s="82">
        <v>359.46</v>
      </c>
      <c r="I246" s="251">
        <v>359.46</v>
      </c>
      <c r="J246" s="9" t="s">
        <v>1387</v>
      </c>
      <c r="K246" s="9" t="s">
        <v>1388</v>
      </c>
      <c r="L246" s="83">
        <v>45200</v>
      </c>
      <c r="M246" s="83">
        <v>45230</v>
      </c>
    </row>
    <row r="247" spans="1:13" ht="14.25" customHeight="1" x14ac:dyDescent="0.25">
      <c r="A247" s="9" t="s">
        <v>10</v>
      </c>
      <c r="B247" s="81">
        <v>112561</v>
      </c>
      <c r="C247" s="81">
        <v>10750</v>
      </c>
      <c r="D247" s="9" t="s">
        <v>266</v>
      </c>
      <c r="E247" s="81">
        <v>14563091</v>
      </c>
      <c r="F247" s="81">
        <v>29556</v>
      </c>
      <c r="G247" s="81">
        <v>1</v>
      </c>
      <c r="H247" s="82">
        <v>359.46</v>
      </c>
      <c r="I247" s="251">
        <v>359.46</v>
      </c>
      <c r="J247" s="9" t="s">
        <v>1387</v>
      </c>
      <c r="K247" s="9" t="s">
        <v>1388</v>
      </c>
      <c r="L247" s="83">
        <v>45200</v>
      </c>
      <c r="M247" s="83">
        <v>45230</v>
      </c>
    </row>
    <row r="248" spans="1:13" ht="14.25" customHeight="1" x14ac:dyDescent="0.25">
      <c r="A248" s="9" t="s">
        <v>1578</v>
      </c>
      <c r="B248" s="81">
        <v>116731</v>
      </c>
      <c r="C248" s="81">
        <v>10757</v>
      </c>
      <c r="D248" s="9" t="s">
        <v>1222</v>
      </c>
      <c r="E248" s="81">
        <v>14563091</v>
      </c>
      <c r="F248" s="81">
        <v>42849</v>
      </c>
      <c r="G248" s="81">
        <v>1</v>
      </c>
      <c r="H248" s="82">
        <v>359.46</v>
      </c>
      <c r="I248" s="251">
        <v>359.46</v>
      </c>
      <c r="J248" s="9" t="s">
        <v>1387</v>
      </c>
      <c r="K248" s="9" t="s">
        <v>1388</v>
      </c>
      <c r="L248" s="83">
        <v>45200</v>
      </c>
      <c r="M248" s="83">
        <v>45230</v>
      </c>
    </row>
    <row r="249" spans="1:13" ht="14.25" customHeight="1" x14ac:dyDescent="0.25">
      <c r="A249" s="9" t="s">
        <v>0</v>
      </c>
      <c r="B249" s="81">
        <v>112563</v>
      </c>
      <c r="C249" s="81">
        <v>10752</v>
      </c>
      <c r="D249" s="9" t="s">
        <v>267</v>
      </c>
      <c r="E249" s="81">
        <v>14563091</v>
      </c>
      <c r="F249" s="81">
        <v>29560</v>
      </c>
      <c r="G249" s="81">
        <v>1</v>
      </c>
      <c r="H249" s="82">
        <v>359.46</v>
      </c>
      <c r="I249" s="251">
        <v>359.46</v>
      </c>
      <c r="J249" s="9" t="s">
        <v>1387</v>
      </c>
      <c r="K249" s="9" t="s">
        <v>1388</v>
      </c>
      <c r="L249" s="83">
        <v>45200</v>
      </c>
      <c r="M249" s="83">
        <v>45230</v>
      </c>
    </row>
    <row r="250" spans="1:13" ht="14.25" customHeight="1" x14ac:dyDescent="0.25">
      <c r="A250" s="9" t="s">
        <v>1578</v>
      </c>
      <c r="B250" s="81">
        <v>119109</v>
      </c>
      <c r="C250" s="81">
        <v>10757</v>
      </c>
      <c r="D250" s="9" t="s">
        <v>1432</v>
      </c>
      <c r="E250" s="81">
        <v>14563091</v>
      </c>
      <c r="F250" s="81">
        <v>48240</v>
      </c>
      <c r="G250" s="81">
        <v>1</v>
      </c>
      <c r="H250" s="82">
        <v>359.46</v>
      </c>
      <c r="I250" s="251">
        <v>359.46</v>
      </c>
      <c r="J250" s="9" t="s">
        <v>1387</v>
      </c>
      <c r="K250" s="9" t="s">
        <v>1388</v>
      </c>
      <c r="L250" s="83">
        <v>45200</v>
      </c>
      <c r="M250" s="83">
        <v>45230</v>
      </c>
    </row>
    <row r="251" spans="1:13" ht="14.25" customHeight="1" x14ac:dyDescent="0.25">
      <c r="A251" s="9" t="s">
        <v>32</v>
      </c>
      <c r="B251" s="81">
        <v>116315</v>
      </c>
      <c r="C251" s="81">
        <v>10760</v>
      </c>
      <c r="D251" s="9" t="s">
        <v>1321</v>
      </c>
      <c r="E251" s="81">
        <v>14563091</v>
      </c>
      <c r="F251" s="81">
        <v>41881</v>
      </c>
      <c r="G251" s="81">
        <v>1</v>
      </c>
      <c r="H251" s="82">
        <v>359.46</v>
      </c>
      <c r="I251" s="251">
        <v>359.46</v>
      </c>
      <c r="J251" s="9" t="s">
        <v>1387</v>
      </c>
      <c r="K251" s="9" t="s">
        <v>1388</v>
      </c>
      <c r="L251" s="83">
        <v>45200</v>
      </c>
      <c r="M251" s="83">
        <v>45230</v>
      </c>
    </row>
    <row r="252" spans="1:13" ht="14.25" customHeight="1" x14ac:dyDescent="0.25">
      <c r="A252" s="9" t="s">
        <v>1578</v>
      </c>
      <c r="B252" s="81">
        <v>112568</v>
      </c>
      <c r="C252" s="81">
        <v>10768</v>
      </c>
      <c r="D252" s="9" t="s">
        <v>270</v>
      </c>
      <c r="E252" s="81">
        <v>14563091</v>
      </c>
      <c r="F252" s="81">
        <v>29570</v>
      </c>
      <c r="G252" s="81">
        <v>1</v>
      </c>
      <c r="H252" s="82">
        <v>359.46</v>
      </c>
      <c r="I252" s="251">
        <v>359.46</v>
      </c>
      <c r="J252" s="9" t="s">
        <v>1387</v>
      </c>
      <c r="K252" s="9" t="s">
        <v>1388</v>
      </c>
      <c r="L252" s="83">
        <v>45200</v>
      </c>
      <c r="M252" s="83">
        <v>45230</v>
      </c>
    </row>
    <row r="253" spans="1:13" ht="14.25" customHeight="1" x14ac:dyDescent="0.25">
      <c r="A253" s="9" t="s">
        <v>0</v>
      </c>
      <c r="B253" s="81">
        <v>115406</v>
      </c>
      <c r="C253" s="81">
        <v>10757</v>
      </c>
      <c r="D253" s="9" t="s">
        <v>1322</v>
      </c>
      <c r="E253" s="81">
        <v>14563091</v>
      </c>
      <c r="F253" s="81">
        <v>39018</v>
      </c>
      <c r="G253" s="81">
        <v>1</v>
      </c>
      <c r="H253" s="82">
        <v>359.46</v>
      </c>
      <c r="I253" s="251">
        <v>359.46</v>
      </c>
      <c r="J253" s="9" t="s">
        <v>1387</v>
      </c>
      <c r="K253" s="9" t="s">
        <v>1388</v>
      </c>
      <c r="L253" s="83">
        <v>45200</v>
      </c>
      <c r="M253" s="83">
        <v>45230</v>
      </c>
    </row>
    <row r="254" spans="1:13" ht="14.25" customHeight="1" x14ac:dyDescent="0.25">
      <c r="A254" s="9" t="s">
        <v>8</v>
      </c>
      <c r="B254" s="81">
        <v>112576</v>
      </c>
      <c r="C254" s="81">
        <v>10754</v>
      </c>
      <c r="D254" s="9" t="s">
        <v>273</v>
      </c>
      <c r="E254" s="81">
        <v>14563091</v>
      </c>
      <c r="F254" s="81">
        <v>29586</v>
      </c>
      <c r="G254" s="81">
        <v>1</v>
      </c>
      <c r="H254" s="82">
        <v>359.46</v>
      </c>
      <c r="I254" s="251">
        <v>359.46</v>
      </c>
      <c r="J254" s="9" t="s">
        <v>1387</v>
      </c>
      <c r="K254" s="9" t="s">
        <v>1388</v>
      </c>
      <c r="L254" s="83">
        <v>45200</v>
      </c>
      <c r="M254" s="83">
        <v>45230</v>
      </c>
    </row>
    <row r="255" spans="1:13" ht="14.25" customHeight="1" x14ac:dyDescent="0.25">
      <c r="A255" s="9" t="s">
        <v>1578</v>
      </c>
      <c r="B255" s="81">
        <v>112581</v>
      </c>
      <c r="C255" s="81">
        <v>10755</v>
      </c>
      <c r="D255" s="9" t="s">
        <v>277</v>
      </c>
      <c r="E255" s="81">
        <v>14563091</v>
      </c>
      <c r="F255" s="81">
        <v>29596</v>
      </c>
      <c r="G255" s="81">
        <v>1</v>
      </c>
      <c r="H255" s="82">
        <v>359.46</v>
      </c>
      <c r="I255" s="251">
        <v>359.46</v>
      </c>
      <c r="J255" s="9" t="s">
        <v>1387</v>
      </c>
      <c r="K255" s="9" t="s">
        <v>1388</v>
      </c>
      <c r="L255" s="83">
        <v>45200</v>
      </c>
      <c r="M255" s="83">
        <v>45230</v>
      </c>
    </row>
    <row r="256" spans="1:13" ht="14.25" customHeight="1" x14ac:dyDescent="0.25">
      <c r="A256" s="9" t="s">
        <v>0</v>
      </c>
      <c r="B256" s="81">
        <v>112587</v>
      </c>
      <c r="C256" s="81">
        <v>10752</v>
      </c>
      <c r="D256" s="9" t="s">
        <v>280</v>
      </c>
      <c r="E256" s="81">
        <v>14563091</v>
      </c>
      <c r="F256" s="81">
        <v>29608</v>
      </c>
      <c r="G256" s="81">
        <v>1</v>
      </c>
      <c r="H256" s="82">
        <v>359.46</v>
      </c>
      <c r="I256" s="251">
        <v>359.46</v>
      </c>
      <c r="J256" s="9" t="s">
        <v>1387</v>
      </c>
      <c r="K256" s="9" t="s">
        <v>1388</v>
      </c>
      <c r="L256" s="83">
        <v>45200</v>
      </c>
      <c r="M256" s="83">
        <v>45230</v>
      </c>
    </row>
    <row r="257" spans="1:13" ht="14.25" customHeight="1" x14ac:dyDescent="0.25">
      <c r="A257" s="9" t="s">
        <v>1578</v>
      </c>
      <c r="B257" s="81">
        <v>114805</v>
      </c>
      <c r="C257" s="81">
        <v>10761</v>
      </c>
      <c r="D257" s="9" t="s">
        <v>1102</v>
      </c>
      <c r="E257" s="81">
        <v>14563091</v>
      </c>
      <c r="F257" s="81">
        <v>37079</v>
      </c>
      <c r="G257" s="81">
        <v>1</v>
      </c>
      <c r="H257" s="82">
        <v>359.46</v>
      </c>
      <c r="I257" s="251">
        <v>359.46</v>
      </c>
      <c r="J257" s="9" t="s">
        <v>1387</v>
      </c>
      <c r="K257" s="9" t="s">
        <v>1388</v>
      </c>
      <c r="L257" s="83">
        <v>45200</v>
      </c>
      <c r="M257" s="83">
        <v>45230</v>
      </c>
    </row>
    <row r="258" spans="1:13" ht="14.25" customHeight="1" x14ac:dyDescent="0.25">
      <c r="A258" s="9" t="s">
        <v>1578</v>
      </c>
      <c r="B258" s="81">
        <v>114526</v>
      </c>
      <c r="C258" s="81">
        <v>10768</v>
      </c>
      <c r="D258" s="9" t="s">
        <v>1047</v>
      </c>
      <c r="E258" s="81">
        <v>14563091</v>
      </c>
      <c r="F258" s="81">
        <v>36332</v>
      </c>
      <c r="G258" s="81">
        <v>1</v>
      </c>
      <c r="H258" s="82">
        <v>359.46</v>
      </c>
      <c r="I258" s="251">
        <v>359.46</v>
      </c>
      <c r="J258" s="9" t="s">
        <v>1387</v>
      </c>
      <c r="K258" s="9" t="s">
        <v>1388</v>
      </c>
      <c r="L258" s="83">
        <v>45200</v>
      </c>
      <c r="M258" s="83">
        <v>45230</v>
      </c>
    </row>
    <row r="259" spans="1:13" ht="14.25" customHeight="1" x14ac:dyDescent="0.25">
      <c r="A259" s="9" t="s">
        <v>8</v>
      </c>
      <c r="B259" s="81">
        <v>121328</v>
      </c>
      <c r="C259" s="81">
        <v>10758</v>
      </c>
      <c r="D259" s="9" t="s">
        <v>1524</v>
      </c>
      <c r="E259" s="81">
        <v>14563091</v>
      </c>
      <c r="F259" s="81">
        <v>53506</v>
      </c>
      <c r="G259" s="81">
        <v>1</v>
      </c>
      <c r="H259" s="82">
        <v>359.46</v>
      </c>
      <c r="I259" s="251">
        <v>359.46</v>
      </c>
      <c r="J259" s="9" t="s">
        <v>1387</v>
      </c>
      <c r="K259" s="9" t="s">
        <v>1388</v>
      </c>
      <c r="L259" s="83">
        <v>45200</v>
      </c>
      <c r="M259" s="83">
        <v>45230</v>
      </c>
    </row>
    <row r="260" spans="1:13" ht="14.25" customHeight="1" x14ac:dyDescent="0.25">
      <c r="A260" s="9" t="s">
        <v>32</v>
      </c>
      <c r="B260" s="81">
        <v>112594</v>
      </c>
      <c r="C260" s="81">
        <v>10751</v>
      </c>
      <c r="D260" s="9" t="s">
        <v>283</v>
      </c>
      <c r="E260" s="81">
        <v>14563091</v>
      </c>
      <c r="F260" s="81">
        <v>29622</v>
      </c>
      <c r="G260" s="81">
        <v>1</v>
      </c>
      <c r="H260" s="82">
        <v>359.46</v>
      </c>
      <c r="I260" s="251">
        <v>359.46</v>
      </c>
      <c r="J260" s="9" t="s">
        <v>1387</v>
      </c>
      <c r="K260" s="9" t="s">
        <v>1388</v>
      </c>
      <c r="L260" s="83">
        <v>45200</v>
      </c>
      <c r="M260" s="83">
        <v>45230</v>
      </c>
    </row>
    <row r="261" spans="1:13" ht="14.25" customHeight="1" x14ac:dyDescent="0.25">
      <c r="A261" s="9" t="s">
        <v>0</v>
      </c>
      <c r="B261" s="81">
        <v>114693</v>
      </c>
      <c r="C261" s="81">
        <v>10758</v>
      </c>
      <c r="D261" s="9" t="s">
        <v>1069</v>
      </c>
      <c r="E261" s="81">
        <v>14563091</v>
      </c>
      <c r="F261" s="81">
        <v>36834</v>
      </c>
      <c r="G261" s="81">
        <v>1</v>
      </c>
      <c r="H261" s="82">
        <v>359.46</v>
      </c>
      <c r="I261" s="251">
        <v>359.46</v>
      </c>
      <c r="J261" s="9" t="s">
        <v>1387</v>
      </c>
      <c r="K261" s="9" t="s">
        <v>1388</v>
      </c>
      <c r="L261" s="83">
        <v>45200</v>
      </c>
      <c r="M261" s="83">
        <v>45230</v>
      </c>
    </row>
    <row r="262" spans="1:13" ht="14.25" customHeight="1" x14ac:dyDescent="0.25">
      <c r="A262" s="9" t="s">
        <v>19</v>
      </c>
      <c r="B262" s="81">
        <v>112610</v>
      </c>
      <c r="C262" s="81">
        <v>10757</v>
      </c>
      <c r="D262" s="9" t="s">
        <v>1323</v>
      </c>
      <c r="E262" s="81">
        <v>14563091</v>
      </c>
      <c r="F262" s="81">
        <v>29654</v>
      </c>
      <c r="G262" s="81">
        <v>1</v>
      </c>
      <c r="H262" s="82">
        <v>359.46</v>
      </c>
      <c r="I262" s="251">
        <v>359.46</v>
      </c>
      <c r="J262" s="9" t="s">
        <v>1387</v>
      </c>
      <c r="K262" s="9" t="s">
        <v>1388</v>
      </c>
      <c r="L262" s="83">
        <v>45200</v>
      </c>
      <c r="M262" s="83">
        <v>45230</v>
      </c>
    </row>
    <row r="263" spans="1:13" ht="14.25" customHeight="1" x14ac:dyDescent="0.25">
      <c r="A263" s="9" t="s">
        <v>8</v>
      </c>
      <c r="B263" s="81">
        <v>112613</v>
      </c>
      <c r="C263" s="81">
        <v>10757</v>
      </c>
      <c r="D263" s="9" t="s">
        <v>297</v>
      </c>
      <c r="E263" s="81">
        <v>14563091</v>
      </c>
      <c r="F263" s="81">
        <v>29660</v>
      </c>
      <c r="G263" s="81">
        <v>1</v>
      </c>
      <c r="H263" s="82">
        <v>359.46</v>
      </c>
      <c r="I263" s="251">
        <v>359.46</v>
      </c>
      <c r="J263" s="9" t="s">
        <v>1387</v>
      </c>
      <c r="K263" s="9" t="s">
        <v>1388</v>
      </c>
      <c r="L263" s="83">
        <v>45200</v>
      </c>
      <c r="M263" s="83">
        <v>45230</v>
      </c>
    </row>
    <row r="264" spans="1:13" ht="14.25" customHeight="1" x14ac:dyDescent="0.25">
      <c r="A264" s="9" t="s">
        <v>10</v>
      </c>
      <c r="B264" s="81">
        <v>112620</v>
      </c>
      <c r="C264" s="81">
        <v>10763</v>
      </c>
      <c r="D264" s="9" t="s">
        <v>303</v>
      </c>
      <c r="E264" s="81">
        <v>14563091</v>
      </c>
      <c r="F264" s="81">
        <v>29674</v>
      </c>
      <c r="G264" s="81">
        <v>1</v>
      </c>
      <c r="H264" s="82">
        <v>359.46</v>
      </c>
      <c r="I264" s="251">
        <v>359.46</v>
      </c>
      <c r="J264" s="9" t="s">
        <v>1387</v>
      </c>
      <c r="K264" s="9" t="s">
        <v>1388</v>
      </c>
      <c r="L264" s="83">
        <v>45200</v>
      </c>
      <c r="M264" s="83">
        <v>45230</v>
      </c>
    </row>
    <row r="265" spans="1:13" ht="14.25" customHeight="1" x14ac:dyDescent="0.25">
      <c r="A265" s="9" t="s">
        <v>0</v>
      </c>
      <c r="B265" s="81">
        <v>112634</v>
      </c>
      <c r="C265" s="81">
        <v>10752</v>
      </c>
      <c r="D265" s="9" t="s">
        <v>311</v>
      </c>
      <c r="E265" s="81">
        <v>14563091</v>
      </c>
      <c r="F265" s="81">
        <v>29702</v>
      </c>
      <c r="G265" s="81">
        <v>1</v>
      </c>
      <c r="H265" s="82">
        <v>359.46</v>
      </c>
      <c r="I265" s="251">
        <v>359.46</v>
      </c>
      <c r="J265" s="9" t="s">
        <v>1387</v>
      </c>
      <c r="K265" s="9" t="s">
        <v>1388</v>
      </c>
      <c r="L265" s="83">
        <v>45200</v>
      </c>
      <c r="M265" s="83">
        <v>45230</v>
      </c>
    </row>
    <row r="266" spans="1:13" ht="14.25" customHeight="1" x14ac:dyDescent="0.25">
      <c r="A266" s="9" t="s">
        <v>10</v>
      </c>
      <c r="B266" s="81">
        <v>116712</v>
      </c>
      <c r="C266" s="81">
        <v>10760</v>
      </c>
      <c r="D266" s="9" t="s">
        <v>1213</v>
      </c>
      <c r="E266" s="81">
        <v>14563091</v>
      </c>
      <c r="F266" s="81">
        <v>42809</v>
      </c>
      <c r="G266" s="81">
        <v>1</v>
      </c>
      <c r="H266" s="82">
        <v>359.46</v>
      </c>
      <c r="I266" s="251">
        <v>359.46</v>
      </c>
      <c r="J266" s="9" t="s">
        <v>1387</v>
      </c>
      <c r="K266" s="9" t="s">
        <v>1388</v>
      </c>
      <c r="L266" s="83">
        <v>45200</v>
      </c>
      <c r="M266" s="83">
        <v>45230</v>
      </c>
    </row>
    <row r="267" spans="1:13" ht="14.25" customHeight="1" x14ac:dyDescent="0.25">
      <c r="A267" s="9" t="s">
        <v>0</v>
      </c>
      <c r="B267" s="81">
        <v>112797</v>
      </c>
      <c r="C267" s="81">
        <v>10752</v>
      </c>
      <c r="D267" s="9" t="s">
        <v>416</v>
      </c>
      <c r="E267" s="81">
        <v>14563091</v>
      </c>
      <c r="F267" s="81">
        <v>30028</v>
      </c>
      <c r="G267" s="81">
        <v>1</v>
      </c>
      <c r="H267" s="82">
        <v>359.46</v>
      </c>
      <c r="I267" s="251">
        <v>359.46</v>
      </c>
      <c r="J267" s="9" t="s">
        <v>1387</v>
      </c>
      <c r="K267" s="9" t="s">
        <v>1388</v>
      </c>
      <c r="L267" s="83">
        <v>45200</v>
      </c>
      <c r="M267" s="83">
        <v>45230</v>
      </c>
    </row>
    <row r="268" spans="1:13" ht="14.25" customHeight="1" x14ac:dyDescent="0.25">
      <c r="A268" s="9" t="s">
        <v>8</v>
      </c>
      <c r="B268" s="81">
        <v>112851</v>
      </c>
      <c r="C268" s="81">
        <v>10757</v>
      </c>
      <c r="D268" s="9" t="s">
        <v>453</v>
      </c>
      <c r="E268" s="81">
        <v>14563091</v>
      </c>
      <c r="F268" s="81">
        <v>30136</v>
      </c>
      <c r="G268" s="81">
        <v>1</v>
      </c>
      <c r="H268" s="82">
        <v>359.46</v>
      </c>
      <c r="I268" s="251">
        <v>359.46</v>
      </c>
      <c r="J268" s="9" t="s">
        <v>1387</v>
      </c>
      <c r="K268" s="9" t="s">
        <v>1388</v>
      </c>
      <c r="L268" s="83">
        <v>45200</v>
      </c>
      <c r="M268" s="83">
        <v>45230</v>
      </c>
    </row>
    <row r="269" spans="1:13" ht="14.25" customHeight="1" x14ac:dyDescent="0.25">
      <c r="A269" s="9" t="s">
        <v>0</v>
      </c>
      <c r="B269" s="81">
        <v>112855</v>
      </c>
      <c r="C269" s="81">
        <v>10757</v>
      </c>
      <c r="D269" s="9" t="s">
        <v>455</v>
      </c>
      <c r="E269" s="81">
        <v>14563091</v>
      </c>
      <c r="F269" s="81">
        <v>30144</v>
      </c>
      <c r="G269" s="81">
        <v>1</v>
      </c>
      <c r="H269" s="82">
        <v>359.46</v>
      </c>
      <c r="I269" s="251">
        <v>359.46</v>
      </c>
      <c r="J269" s="9" t="s">
        <v>1387</v>
      </c>
      <c r="K269" s="9" t="s">
        <v>1388</v>
      </c>
      <c r="L269" s="83">
        <v>45200</v>
      </c>
      <c r="M269" s="83">
        <v>45230</v>
      </c>
    </row>
    <row r="270" spans="1:13" ht="14.25" customHeight="1" x14ac:dyDescent="0.25">
      <c r="A270" s="9" t="s">
        <v>1578</v>
      </c>
      <c r="B270" s="81">
        <v>112860</v>
      </c>
      <c r="C270" s="81">
        <v>10755</v>
      </c>
      <c r="D270" s="9" t="s">
        <v>457</v>
      </c>
      <c r="E270" s="81">
        <v>14563091</v>
      </c>
      <c r="F270" s="81">
        <v>30154</v>
      </c>
      <c r="G270" s="81">
        <v>1</v>
      </c>
      <c r="H270" s="82">
        <v>359.46</v>
      </c>
      <c r="I270" s="251">
        <v>359.46</v>
      </c>
      <c r="J270" s="9" t="s">
        <v>1387</v>
      </c>
      <c r="K270" s="9" t="s">
        <v>1388</v>
      </c>
      <c r="L270" s="83">
        <v>45200</v>
      </c>
      <c r="M270" s="83">
        <v>45230</v>
      </c>
    </row>
    <row r="271" spans="1:13" ht="14.25" customHeight="1" x14ac:dyDescent="0.25">
      <c r="A271" s="9" t="s">
        <v>19</v>
      </c>
      <c r="B271" s="81">
        <v>112865</v>
      </c>
      <c r="C271" s="81">
        <v>10750</v>
      </c>
      <c r="D271" s="9" t="s">
        <v>460</v>
      </c>
      <c r="E271" s="81">
        <v>14563091</v>
      </c>
      <c r="F271" s="81">
        <v>30164</v>
      </c>
      <c r="G271" s="81">
        <v>1</v>
      </c>
      <c r="H271" s="82">
        <v>359.46</v>
      </c>
      <c r="I271" s="251">
        <v>359.46</v>
      </c>
      <c r="J271" s="9" t="s">
        <v>1387</v>
      </c>
      <c r="K271" s="9" t="s">
        <v>1388</v>
      </c>
      <c r="L271" s="83">
        <v>45200</v>
      </c>
      <c r="M271" s="83">
        <v>45230</v>
      </c>
    </row>
    <row r="272" spans="1:13" ht="14.25" customHeight="1" x14ac:dyDescent="0.25">
      <c r="A272" s="9" t="s">
        <v>1578</v>
      </c>
      <c r="B272" s="81">
        <v>113769</v>
      </c>
      <c r="C272" s="81">
        <v>10743</v>
      </c>
      <c r="D272" s="9" t="s">
        <v>969</v>
      </c>
      <c r="E272" s="81">
        <v>14563091</v>
      </c>
      <c r="F272" s="81">
        <v>31984</v>
      </c>
      <c r="G272" s="81">
        <v>1</v>
      </c>
      <c r="H272" s="82">
        <v>359.46</v>
      </c>
      <c r="I272" s="251">
        <v>359.46</v>
      </c>
      <c r="J272" s="9" t="s">
        <v>1387</v>
      </c>
      <c r="K272" s="9" t="s">
        <v>1388</v>
      </c>
      <c r="L272" s="83">
        <v>45200</v>
      </c>
      <c r="M272" s="83">
        <v>45230</v>
      </c>
    </row>
    <row r="273" spans="1:13" ht="14.25" customHeight="1" x14ac:dyDescent="0.25">
      <c r="A273" s="9" t="s">
        <v>1578</v>
      </c>
      <c r="B273" s="81">
        <v>114988</v>
      </c>
      <c r="C273" s="81">
        <v>10745</v>
      </c>
      <c r="D273" s="9" t="s">
        <v>1136</v>
      </c>
      <c r="E273" s="81">
        <v>14563091</v>
      </c>
      <c r="F273" s="81">
        <v>37750</v>
      </c>
      <c r="G273" s="81">
        <v>1</v>
      </c>
      <c r="H273" s="82">
        <v>359.46</v>
      </c>
      <c r="I273" s="251">
        <v>359.46</v>
      </c>
      <c r="J273" s="9" t="s">
        <v>1387</v>
      </c>
      <c r="K273" s="9" t="s">
        <v>1388</v>
      </c>
      <c r="L273" s="83">
        <v>45200</v>
      </c>
      <c r="M273" s="83">
        <v>45230</v>
      </c>
    </row>
    <row r="274" spans="1:13" ht="14.25" customHeight="1" x14ac:dyDescent="0.25">
      <c r="A274" s="9" t="s">
        <v>1578</v>
      </c>
      <c r="B274" s="81">
        <v>112875</v>
      </c>
      <c r="C274" s="81">
        <v>10757</v>
      </c>
      <c r="D274" s="9" t="s">
        <v>467</v>
      </c>
      <c r="E274" s="81">
        <v>14563091</v>
      </c>
      <c r="F274" s="81">
        <v>30184</v>
      </c>
      <c r="G274" s="81">
        <v>1</v>
      </c>
      <c r="H274" s="82">
        <v>359.46</v>
      </c>
      <c r="I274" s="251">
        <v>359.46</v>
      </c>
      <c r="J274" s="9" t="s">
        <v>1387</v>
      </c>
      <c r="K274" s="9" t="s">
        <v>1388</v>
      </c>
      <c r="L274" s="83">
        <v>45200</v>
      </c>
      <c r="M274" s="83">
        <v>45230</v>
      </c>
    </row>
    <row r="275" spans="1:13" ht="14.25" customHeight="1" x14ac:dyDescent="0.25">
      <c r="A275" s="9" t="s">
        <v>1578</v>
      </c>
      <c r="B275" s="81">
        <v>113766</v>
      </c>
      <c r="C275" s="81">
        <v>10743</v>
      </c>
      <c r="D275" s="9" t="s">
        <v>967</v>
      </c>
      <c r="E275" s="81">
        <v>14563091</v>
      </c>
      <c r="F275" s="81">
        <v>31978</v>
      </c>
      <c r="G275" s="81">
        <v>1</v>
      </c>
      <c r="H275" s="82">
        <v>359.46</v>
      </c>
      <c r="I275" s="251">
        <v>359.46</v>
      </c>
      <c r="J275" s="9" t="s">
        <v>1387</v>
      </c>
      <c r="K275" s="9" t="s">
        <v>1388</v>
      </c>
      <c r="L275" s="83">
        <v>45200</v>
      </c>
      <c r="M275" s="83">
        <v>45230</v>
      </c>
    </row>
    <row r="276" spans="1:13" ht="14.25" customHeight="1" x14ac:dyDescent="0.25">
      <c r="A276" s="9" t="s">
        <v>0</v>
      </c>
      <c r="B276" s="81">
        <v>112883</v>
      </c>
      <c r="C276" s="81">
        <v>10745</v>
      </c>
      <c r="D276" s="9" t="s">
        <v>474</v>
      </c>
      <c r="E276" s="81">
        <v>14563091</v>
      </c>
      <c r="F276" s="81">
        <v>30200</v>
      </c>
      <c r="G276" s="81">
        <v>1</v>
      </c>
      <c r="H276" s="82">
        <v>347.47</v>
      </c>
      <c r="I276" s="251">
        <v>347.47</v>
      </c>
      <c r="J276" s="9" t="s">
        <v>1387</v>
      </c>
      <c r="K276" s="9" t="s">
        <v>1388</v>
      </c>
      <c r="L276" s="83">
        <v>45200</v>
      </c>
      <c r="M276" s="83">
        <v>45230</v>
      </c>
    </row>
    <row r="277" spans="1:13" ht="14.25" customHeight="1" x14ac:dyDescent="0.25">
      <c r="A277" s="9" t="s">
        <v>19</v>
      </c>
      <c r="B277" s="81">
        <v>112891</v>
      </c>
      <c r="C277" s="81">
        <v>10751</v>
      </c>
      <c r="D277" s="9" t="s">
        <v>478</v>
      </c>
      <c r="E277" s="81">
        <v>14563091</v>
      </c>
      <c r="F277" s="81">
        <v>30216</v>
      </c>
      <c r="G277" s="81">
        <v>1</v>
      </c>
      <c r="H277" s="82">
        <v>359.46</v>
      </c>
      <c r="I277" s="251">
        <v>359.46</v>
      </c>
      <c r="J277" s="9" t="s">
        <v>1387</v>
      </c>
      <c r="K277" s="9" t="s">
        <v>1388</v>
      </c>
      <c r="L277" s="83">
        <v>45200</v>
      </c>
      <c r="M277" s="83">
        <v>45230</v>
      </c>
    </row>
    <row r="278" spans="1:13" ht="14.25" customHeight="1" x14ac:dyDescent="0.25">
      <c r="A278" s="9" t="s">
        <v>10</v>
      </c>
      <c r="B278" s="81">
        <v>112900</v>
      </c>
      <c r="C278" s="81">
        <v>10760</v>
      </c>
      <c r="D278" s="9" t="s">
        <v>486</v>
      </c>
      <c r="E278" s="81">
        <v>14563091</v>
      </c>
      <c r="F278" s="81">
        <v>30234</v>
      </c>
      <c r="G278" s="81">
        <v>1</v>
      </c>
      <c r="H278" s="82">
        <v>359.46</v>
      </c>
      <c r="I278" s="251">
        <v>359.46</v>
      </c>
      <c r="J278" s="9" t="s">
        <v>1387</v>
      </c>
      <c r="K278" s="9" t="s">
        <v>1388</v>
      </c>
      <c r="L278" s="83">
        <v>45200</v>
      </c>
      <c r="M278" s="83">
        <v>45230</v>
      </c>
    </row>
    <row r="279" spans="1:13" ht="14.25" customHeight="1" x14ac:dyDescent="0.25">
      <c r="A279" s="9" t="s">
        <v>19</v>
      </c>
      <c r="B279" s="81">
        <v>112916</v>
      </c>
      <c r="C279" s="81">
        <v>10750</v>
      </c>
      <c r="D279" s="9" t="s">
        <v>495</v>
      </c>
      <c r="E279" s="81">
        <v>14563091</v>
      </c>
      <c r="F279" s="81">
        <v>30266</v>
      </c>
      <c r="G279" s="81">
        <v>1</v>
      </c>
      <c r="H279" s="82">
        <v>359.46</v>
      </c>
      <c r="I279" s="251">
        <v>359.46</v>
      </c>
      <c r="J279" s="9" t="s">
        <v>1387</v>
      </c>
      <c r="K279" s="9" t="s">
        <v>1388</v>
      </c>
      <c r="L279" s="83">
        <v>45200</v>
      </c>
      <c r="M279" s="83">
        <v>45230</v>
      </c>
    </row>
    <row r="280" spans="1:13" ht="14.25" customHeight="1" x14ac:dyDescent="0.25">
      <c r="A280" s="9" t="s">
        <v>1578</v>
      </c>
      <c r="B280" s="81">
        <v>112534</v>
      </c>
      <c r="C280" s="81">
        <v>10748</v>
      </c>
      <c r="D280" s="9" t="s">
        <v>246</v>
      </c>
      <c r="E280" s="81">
        <v>14563091</v>
      </c>
      <c r="F280" s="81">
        <v>29502</v>
      </c>
      <c r="G280" s="81">
        <v>1</v>
      </c>
      <c r="H280" s="82">
        <v>359.46</v>
      </c>
      <c r="I280" s="251">
        <v>359.46</v>
      </c>
      <c r="J280" s="9" t="s">
        <v>1387</v>
      </c>
      <c r="K280" s="9" t="s">
        <v>1388</v>
      </c>
      <c r="L280" s="83">
        <v>45200</v>
      </c>
      <c r="M280" s="83">
        <v>45230</v>
      </c>
    </row>
    <row r="281" spans="1:13" ht="14.25" customHeight="1" x14ac:dyDescent="0.25">
      <c r="A281" s="9" t="s">
        <v>1578</v>
      </c>
      <c r="B281" s="81">
        <v>114913</v>
      </c>
      <c r="C281" s="81">
        <v>10771</v>
      </c>
      <c r="D281" s="9" t="s">
        <v>1324</v>
      </c>
      <c r="E281" s="81">
        <v>14563091</v>
      </c>
      <c r="F281" s="81">
        <v>37609</v>
      </c>
      <c r="G281" s="81">
        <v>1</v>
      </c>
      <c r="H281" s="82">
        <v>359.46</v>
      </c>
      <c r="I281" s="251">
        <v>359.46</v>
      </c>
      <c r="J281" s="9" t="s">
        <v>1387</v>
      </c>
      <c r="K281" s="9" t="s">
        <v>1388</v>
      </c>
      <c r="L281" s="83">
        <v>45200</v>
      </c>
      <c r="M281" s="83">
        <v>45230</v>
      </c>
    </row>
    <row r="282" spans="1:13" ht="14.25" customHeight="1" x14ac:dyDescent="0.25">
      <c r="A282" s="9" t="s">
        <v>10</v>
      </c>
      <c r="B282" s="81">
        <v>112537</v>
      </c>
      <c r="C282" s="81">
        <v>10766</v>
      </c>
      <c r="D282" s="9" t="s">
        <v>248</v>
      </c>
      <c r="E282" s="81">
        <v>14563091</v>
      </c>
      <c r="F282" s="81">
        <v>29508</v>
      </c>
      <c r="G282" s="81">
        <v>1</v>
      </c>
      <c r="H282" s="82">
        <v>359.46</v>
      </c>
      <c r="I282" s="251">
        <v>359.46</v>
      </c>
      <c r="J282" s="9" t="s">
        <v>1387</v>
      </c>
      <c r="K282" s="9" t="s">
        <v>1388</v>
      </c>
      <c r="L282" s="83">
        <v>45200</v>
      </c>
      <c r="M282" s="83">
        <v>45230</v>
      </c>
    </row>
    <row r="283" spans="1:13" ht="14.25" customHeight="1" x14ac:dyDescent="0.25">
      <c r="A283" s="9" t="s">
        <v>0</v>
      </c>
      <c r="B283" s="81">
        <v>112539</v>
      </c>
      <c r="C283" s="81">
        <v>10750</v>
      </c>
      <c r="D283" s="9" t="s">
        <v>250</v>
      </c>
      <c r="E283" s="81">
        <v>14563091</v>
      </c>
      <c r="F283" s="81">
        <v>29512</v>
      </c>
      <c r="G283" s="81">
        <v>1</v>
      </c>
      <c r="H283" s="82">
        <v>359.46</v>
      </c>
      <c r="I283" s="251">
        <v>359.46</v>
      </c>
      <c r="J283" s="9" t="s">
        <v>1387</v>
      </c>
      <c r="K283" s="9" t="s">
        <v>1388</v>
      </c>
      <c r="L283" s="83">
        <v>45200</v>
      </c>
      <c r="M283" s="83">
        <v>45230</v>
      </c>
    </row>
    <row r="284" spans="1:13" ht="14.25" customHeight="1" x14ac:dyDescent="0.25">
      <c r="A284" s="9" t="s">
        <v>0</v>
      </c>
      <c r="B284" s="81">
        <v>112540</v>
      </c>
      <c r="C284" s="81">
        <v>10766</v>
      </c>
      <c r="D284" s="9" t="s">
        <v>251</v>
      </c>
      <c r="E284" s="81">
        <v>14563091</v>
      </c>
      <c r="F284" s="81">
        <v>29514</v>
      </c>
      <c r="G284" s="81">
        <v>1</v>
      </c>
      <c r="H284" s="82">
        <v>359.46</v>
      </c>
      <c r="I284" s="251">
        <v>359.46</v>
      </c>
      <c r="J284" s="9" t="s">
        <v>1387</v>
      </c>
      <c r="K284" s="9" t="s">
        <v>1388</v>
      </c>
      <c r="L284" s="83">
        <v>45200</v>
      </c>
      <c r="M284" s="83">
        <v>45230</v>
      </c>
    </row>
    <row r="285" spans="1:13" ht="14.25" customHeight="1" x14ac:dyDescent="0.25">
      <c r="A285" s="9" t="s">
        <v>1578</v>
      </c>
      <c r="B285" s="81">
        <v>113775</v>
      </c>
      <c r="C285" s="81">
        <v>10771</v>
      </c>
      <c r="D285" s="9" t="s">
        <v>1325</v>
      </c>
      <c r="E285" s="81">
        <v>14563091</v>
      </c>
      <c r="F285" s="81">
        <v>31997</v>
      </c>
      <c r="G285" s="81">
        <v>1</v>
      </c>
      <c r="H285" s="82">
        <v>359.46</v>
      </c>
      <c r="I285" s="251">
        <v>359.46</v>
      </c>
      <c r="J285" s="9" t="s">
        <v>1387</v>
      </c>
      <c r="K285" s="9" t="s">
        <v>1388</v>
      </c>
      <c r="L285" s="83">
        <v>45200</v>
      </c>
      <c r="M285" s="83">
        <v>45230</v>
      </c>
    </row>
    <row r="286" spans="1:13" ht="14.25" customHeight="1" x14ac:dyDescent="0.25">
      <c r="A286" s="9" t="s">
        <v>1578</v>
      </c>
      <c r="B286" s="81">
        <v>122573</v>
      </c>
      <c r="C286" s="81">
        <v>10761</v>
      </c>
      <c r="D286" s="9" t="s">
        <v>1680</v>
      </c>
      <c r="E286" s="81">
        <v>14563091</v>
      </c>
      <c r="F286" s="81">
        <v>56537</v>
      </c>
      <c r="G286" s="81">
        <v>1</v>
      </c>
      <c r="H286" s="82">
        <v>359.46</v>
      </c>
      <c r="I286" s="251">
        <v>359.46</v>
      </c>
      <c r="J286" s="9" t="s">
        <v>1387</v>
      </c>
      <c r="K286" s="9" t="s">
        <v>1388</v>
      </c>
      <c r="L286" s="83">
        <v>45200</v>
      </c>
      <c r="M286" s="83">
        <v>45230</v>
      </c>
    </row>
    <row r="287" spans="1:13" ht="14.25" customHeight="1" x14ac:dyDescent="0.25">
      <c r="A287" s="9" t="s">
        <v>1578</v>
      </c>
      <c r="B287" s="81">
        <v>112821</v>
      </c>
      <c r="C287" s="81">
        <v>10761</v>
      </c>
      <c r="D287" s="9" t="s">
        <v>434</v>
      </c>
      <c r="E287" s="81">
        <v>14563091</v>
      </c>
      <c r="F287" s="81">
        <v>30076</v>
      </c>
      <c r="G287" s="81">
        <v>1</v>
      </c>
      <c r="H287" s="82">
        <v>359.46</v>
      </c>
      <c r="I287" s="251">
        <v>359.46</v>
      </c>
      <c r="J287" s="9" t="s">
        <v>1387</v>
      </c>
      <c r="K287" s="9" t="s">
        <v>1388</v>
      </c>
      <c r="L287" s="83">
        <v>45200</v>
      </c>
      <c r="M287" s="83">
        <v>45230</v>
      </c>
    </row>
    <row r="288" spans="1:13" ht="14.25" customHeight="1" x14ac:dyDescent="0.25">
      <c r="A288" s="9" t="s">
        <v>1578</v>
      </c>
      <c r="B288" s="81">
        <v>114907</v>
      </c>
      <c r="C288" s="81">
        <v>10758</v>
      </c>
      <c r="D288" s="9" t="s">
        <v>1103</v>
      </c>
      <c r="E288" s="81">
        <v>14563091</v>
      </c>
      <c r="F288" s="81">
        <v>37597</v>
      </c>
      <c r="G288" s="81">
        <v>1</v>
      </c>
      <c r="H288" s="82">
        <v>359.46</v>
      </c>
      <c r="I288" s="251">
        <v>359.46</v>
      </c>
      <c r="J288" s="9" t="s">
        <v>1387</v>
      </c>
      <c r="K288" s="9" t="s">
        <v>1388</v>
      </c>
      <c r="L288" s="83">
        <v>45200</v>
      </c>
      <c r="M288" s="83">
        <v>45230</v>
      </c>
    </row>
    <row r="289" spans="1:13" ht="14.25" customHeight="1" x14ac:dyDescent="0.25">
      <c r="A289" s="9" t="s">
        <v>1578</v>
      </c>
      <c r="B289" s="81">
        <v>112827</v>
      </c>
      <c r="C289" s="81">
        <v>10767</v>
      </c>
      <c r="D289" s="9" t="s">
        <v>439</v>
      </c>
      <c r="E289" s="81">
        <v>14563091</v>
      </c>
      <c r="F289" s="81">
        <v>30088</v>
      </c>
      <c r="G289" s="81">
        <v>1</v>
      </c>
      <c r="H289" s="82">
        <v>359.46</v>
      </c>
      <c r="I289" s="251">
        <v>359.46</v>
      </c>
      <c r="J289" s="9" t="s">
        <v>1387</v>
      </c>
      <c r="K289" s="9" t="s">
        <v>1388</v>
      </c>
      <c r="L289" s="83">
        <v>45200</v>
      </c>
      <c r="M289" s="83">
        <v>45230</v>
      </c>
    </row>
    <row r="290" spans="1:13" ht="14.25" customHeight="1" x14ac:dyDescent="0.25">
      <c r="A290" s="9" t="s">
        <v>8</v>
      </c>
      <c r="B290" s="81">
        <v>112834</v>
      </c>
      <c r="C290" s="81">
        <v>10751</v>
      </c>
      <c r="D290" s="9" t="s">
        <v>444</v>
      </c>
      <c r="E290" s="81">
        <v>14563091</v>
      </c>
      <c r="F290" s="81">
        <v>30102</v>
      </c>
      <c r="G290" s="81">
        <v>1</v>
      </c>
      <c r="H290" s="82">
        <v>359.46</v>
      </c>
      <c r="I290" s="251">
        <v>359.46</v>
      </c>
      <c r="J290" s="9" t="s">
        <v>1387</v>
      </c>
      <c r="K290" s="9" t="s">
        <v>1388</v>
      </c>
      <c r="L290" s="83">
        <v>45200</v>
      </c>
      <c r="M290" s="83">
        <v>45230</v>
      </c>
    </row>
    <row r="291" spans="1:13" ht="14.25" customHeight="1" x14ac:dyDescent="0.25">
      <c r="A291" s="9" t="s">
        <v>0</v>
      </c>
      <c r="B291" s="81">
        <v>112843</v>
      </c>
      <c r="C291" s="81">
        <v>10757</v>
      </c>
      <c r="D291" s="9" t="s">
        <v>448</v>
      </c>
      <c r="E291" s="81">
        <v>14563091</v>
      </c>
      <c r="F291" s="81">
        <v>30120</v>
      </c>
      <c r="G291" s="81">
        <v>1</v>
      </c>
      <c r="H291" s="82">
        <v>359.46</v>
      </c>
      <c r="I291" s="251">
        <v>359.46</v>
      </c>
      <c r="J291" s="9" t="s">
        <v>1387</v>
      </c>
      <c r="K291" s="9" t="s">
        <v>1388</v>
      </c>
      <c r="L291" s="83">
        <v>45200</v>
      </c>
      <c r="M291" s="83">
        <v>45230</v>
      </c>
    </row>
    <row r="292" spans="1:13" ht="14.25" customHeight="1" x14ac:dyDescent="0.25">
      <c r="A292" s="9" t="s">
        <v>1578</v>
      </c>
      <c r="B292" s="81">
        <v>112922</v>
      </c>
      <c r="C292" s="81">
        <v>10767</v>
      </c>
      <c r="D292" s="9" t="s">
        <v>498</v>
      </c>
      <c r="E292" s="81">
        <v>14563091</v>
      </c>
      <c r="F292" s="81">
        <v>30278</v>
      </c>
      <c r="G292" s="81">
        <v>1</v>
      </c>
      <c r="H292" s="82">
        <v>359.46</v>
      </c>
      <c r="I292" s="251">
        <v>359.46</v>
      </c>
      <c r="J292" s="9" t="s">
        <v>1387</v>
      </c>
      <c r="K292" s="9" t="s">
        <v>1388</v>
      </c>
      <c r="L292" s="83">
        <v>45200</v>
      </c>
      <c r="M292" s="83">
        <v>45230</v>
      </c>
    </row>
    <row r="293" spans="1:13" ht="14.25" customHeight="1" x14ac:dyDescent="0.25">
      <c r="A293" s="9" t="s">
        <v>10</v>
      </c>
      <c r="B293" s="81">
        <v>112930</v>
      </c>
      <c r="C293" s="81">
        <v>10757</v>
      </c>
      <c r="D293" s="9" t="s">
        <v>503</v>
      </c>
      <c r="E293" s="81">
        <v>14563091</v>
      </c>
      <c r="F293" s="81">
        <v>30294</v>
      </c>
      <c r="G293" s="81">
        <v>1</v>
      </c>
      <c r="H293" s="82">
        <v>359.46</v>
      </c>
      <c r="I293" s="251">
        <v>359.46</v>
      </c>
      <c r="J293" s="9" t="s">
        <v>1387</v>
      </c>
      <c r="K293" s="9" t="s">
        <v>1388</v>
      </c>
      <c r="L293" s="83">
        <v>45200</v>
      </c>
      <c r="M293" s="83">
        <v>45230</v>
      </c>
    </row>
    <row r="294" spans="1:13" ht="14.25" customHeight="1" x14ac:dyDescent="0.25">
      <c r="A294" s="9" t="s">
        <v>0</v>
      </c>
      <c r="B294" s="81">
        <v>114418</v>
      </c>
      <c r="C294" s="81">
        <v>10750</v>
      </c>
      <c r="D294" s="9" t="s">
        <v>1036</v>
      </c>
      <c r="E294" s="81">
        <v>14563091</v>
      </c>
      <c r="F294" s="81">
        <v>35862</v>
      </c>
      <c r="G294" s="81">
        <v>1</v>
      </c>
      <c r="H294" s="82">
        <v>359.46</v>
      </c>
      <c r="I294" s="251">
        <v>359.46</v>
      </c>
      <c r="J294" s="9" t="s">
        <v>1387</v>
      </c>
      <c r="K294" s="9" t="s">
        <v>1388</v>
      </c>
      <c r="L294" s="83">
        <v>45200</v>
      </c>
      <c r="M294" s="83">
        <v>45230</v>
      </c>
    </row>
    <row r="295" spans="1:13" ht="14.25" customHeight="1" x14ac:dyDescent="0.25">
      <c r="A295" s="9" t="s">
        <v>19</v>
      </c>
      <c r="B295" s="81">
        <v>112936</v>
      </c>
      <c r="C295" s="81">
        <v>10750</v>
      </c>
      <c r="D295" s="9" t="s">
        <v>505</v>
      </c>
      <c r="E295" s="81">
        <v>14563091</v>
      </c>
      <c r="F295" s="81">
        <v>30306</v>
      </c>
      <c r="G295" s="81">
        <v>1</v>
      </c>
      <c r="H295" s="82">
        <v>359.46</v>
      </c>
      <c r="I295" s="251">
        <v>359.46</v>
      </c>
      <c r="J295" s="9" t="s">
        <v>1387</v>
      </c>
      <c r="K295" s="9" t="s">
        <v>1388</v>
      </c>
      <c r="L295" s="83">
        <v>45200</v>
      </c>
      <c r="M295" s="83">
        <v>45230</v>
      </c>
    </row>
    <row r="296" spans="1:13" ht="14.25" customHeight="1" x14ac:dyDescent="0.25">
      <c r="A296" s="9" t="s">
        <v>1578</v>
      </c>
      <c r="B296" s="81">
        <v>112942</v>
      </c>
      <c r="C296" s="81">
        <v>10757</v>
      </c>
      <c r="D296" s="9" t="s">
        <v>509</v>
      </c>
      <c r="E296" s="81">
        <v>14563091</v>
      </c>
      <c r="F296" s="81">
        <v>30318</v>
      </c>
      <c r="G296" s="81">
        <v>1</v>
      </c>
      <c r="H296" s="82">
        <v>359.46</v>
      </c>
      <c r="I296" s="251">
        <v>359.46</v>
      </c>
      <c r="J296" s="9" t="s">
        <v>1387</v>
      </c>
      <c r="K296" s="9" t="s">
        <v>1388</v>
      </c>
      <c r="L296" s="83">
        <v>45200</v>
      </c>
      <c r="M296" s="83">
        <v>45230</v>
      </c>
    </row>
    <row r="297" spans="1:13" ht="14.25" customHeight="1" x14ac:dyDescent="0.25">
      <c r="A297" s="9" t="s">
        <v>10</v>
      </c>
      <c r="B297" s="81">
        <v>113774</v>
      </c>
      <c r="C297" s="81">
        <v>10771</v>
      </c>
      <c r="D297" s="9" t="s">
        <v>971</v>
      </c>
      <c r="E297" s="81">
        <v>14563091</v>
      </c>
      <c r="F297" s="81">
        <v>31995</v>
      </c>
      <c r="G297" s="81">
        <v>1</v>
      </c>
      <c r="H297" s="82">
        <v>359.46</v>
      </c>
      <c r="I297" s="251">
        <v>359.46</v>
      </c>
      <c r="J297" s="9" t="s">
        <v>1387</v>
      </c>
      <c r="K297" s="9" t="s">
        <v>1388</v>
      </c>
      <c r="L297" s="83">
        <v>45200</v>
      </c>
      <c r="M297" s="83">
        <v>45230</v>
      </c>
    </row>
    <row r="298" spans="1:13" ht="14.25" customHeight="1" x14ac:dyDescent="0.25">
      <c r="A298" s="9" t="s">
        <v>8</v>
      </c>
      <c r="B298" s="81">
        <v>116716</v>
      </c>
      <c r="C298" s="81">
        <v>10750</v>
      </c>
      <c r="D298" s="9" t="s">
        <v>1215</v>
      </c>
      <c r="E298" s="81">
        <v>14563091</v>
      </c>
      <c r="F298" s="81">
        <v>42817</v>
      </c>
      <c r="G298" s="81">
        <v>1</v>
      </c>
      <c r="H298" s="82">
        <v>359.46</v>
      </c>
      <c r="I298" s="251">
        <v>359.46</v>
      </c>
      <c r="J298" s="9" t="s">
        <v>1387</v>
      </c>
      <c r="K298" s="9" t="s">
        <v>1388</v>
      </c>
      <c r="L298" s="83">
        <v>45200</v>
      </c>
      <c r="M298" s="83">
        <v>45230</v>
      </c>
    </row>
    <row r="299" spans="1:13" ht="14.25" customHeight="1" x14ac:dyDescent="0.25">
      <c r="A299" s="9" t="s">
        <v>0</v>
      </c>
      <c r="B299" s="81">
        <v>112950</v>
      </c>
      <c r="C299" s="81">
        <v>10750</v>
      </c>
      <c r="D299" s="9" t="s">
        <v>514</v>
      </c>
      <c r="E299" s="81">
        <v>14563091</v>
      </c>
      <c r="F299" s="81">
        <v>30334</v>
      </c>
      <c r="G299" s="81">
        <v>1</v>
      </c>
      <c r="H299" s="82">
        <v>359.46</v>
      </c>
      <c r="I299" s="251">
        <v>359.46</v>
      </c>
      <c r="J299" s="9" t="s">
        <v>1387</v>
      </c>
      <c r="K299" s="9" t="s">
        <v>1388</v>
      </c>
      <c r="L299" s="83">
        <v>45200</v>
      </c>
      <c r="M299" s="83">
        <v>45230</v>
      </c>
    </row>
    <row r="300" spans="1:13" ht="14.25" customHeight="1" x14ac:dyDescent="0.25">
      <c r="A300" s="9" t="s">
        <v>19</v>
      </c>
      <c r="B300" s="81">
        <v>114695</v>
      </c>
      <c r="C300" s="81">
        <v>10750</v>
      </c>
      <c r="D300" s="9" t="s">
        <v>1070</v>
      </c>
      <c r="E300" s="81">
        <v>14563091</v>
      </c>
      <c r="F300" s="81">
        <v>36838</v>
      </c>
      <c r="G300" s="81">
        <v>1</v>
      </c>
      <c r="H300" s="82">
        <v>359.46</v>
      </c>
      <c r="I300" s="251">
        <v>359.46</v>
      </c>
      <c r="J300" s="9" t="s">
        <v>1387</v>
      </c>
      <c r="K300" s="9" t="s">
        <v>1388</v>
      </c>
      <c r="L300" s="83">
        <v>45200</v>
      </c>
      <c r="M300" s="83">
        <v>45230</v>
      </c>
    </row>
    <row r="301" spans="1:13" ht="14.25" customHeight="1" x14ac:dyDescent="0.25">
      <c r="A301" s="9" t="s">
        <v>8</v>
      </c>
      <c r="B301" s="81">
        <v>112954</v>
      </c>
      <c r="C301" s="81">
        <v>10751</v>
      </c>
      <c r="D301" s="9" t="s">
        <v>517</v>
      </c>
      <c r="E301" s="81">
        <v>14563091</v>
      </c>
      <c r="F301" s="81">
        <v>30342</v>
      </c>
      <c r="G301" s="81">
        <v>1</v>
      </c>
      <c r="H301" s="82">
        <v>359.46</v>
      </c>
      <c r="I301" s="251">
        <v>359.46</v>
      </c>
      <c r="J301" s="9" t="s">
        <v>1387</v>
      </c>
      <c r="K301" s="9" t="s">
        <v>1388</v>
      </c>
      <c r="L301" s="83">
        <v>45200</v>
      </c>
      <c r="M301" s="83">
        <v>45230</v>
      </c>
    </row>
    <row r="302" spans="1:13" ht="14.25" customHeight="1" x14ac:dyDescent="0.25">
      <c r="A302" s="9" t="s">
        <v>19</v>
      </c>
      <c r="B302" s="81">
        <v>112956</v>
      </c>
      <c r="C302" s="81">
        <v>10766</v>
      </c>
      <c r="D302" s="9" t="s">
        <v>518</v>
      </c>
      <c r="E302" s="81">
        <v>14563091</v>
      </c>
      <c r="F302" s="81">
        <v>30346</v>
      </c>
      <c r="G302" s="81">
        <v>1</v>
      </c>
      <c r="H302" s="82">
        <v>347.47</v>
      </c>
      <c r="I302" s="251">
        <v>347.47</v>
      </c>
      <c r="J302" s="9" t="s">
        <v>1387</v>
      </c>
      <c r="K302" s="9" t="s">
        <v>1388</v>
      </c>
      <c r="L302" s="83">
        <v>45200</v>
      </c>
      <c r="M302" s="83">
        <v>45230</v>
      </c>
    </row>
    <row r="303" spans="1:13" ht="14.25" customHeight="1" x14ac:dyDescent="0.25">
      <c r="A303" s="9" t="s">
        <v>1578</v>
      </c>
      <c r="B303" s="81">
        <v>112961</v>
      </c>
      <c r="C303" s="81">
        <v>10768</v>
      </c>
      <c r="D303" s="9" t="s">
        <v>1326</v>
      </c>
      <c r="E303" s="81">
        <v>14563091</v>
      </c>
      <c r="F303" s="81">
        <v>30356</v>
      </c>
      <c r="G303" s="81">
        <v>1</v>
      </c>
      <c r="H303" s="82">
        <v>359.46</v>
      </c>
      <c r="I303" s="251">
        <v>359.46</v>
      </c>
      <c r="J303" s="9" t="s">
        <v>1387</v>
      </c>
      <c r="K303" s="9" t="s">
        <v>1388</v>
      </c>
      <c r="L303" s="83">
        <v>45200</v>
      </c>
      <c r="M303" s="83">
        <v>45230</v>
      </c>
    </row>
    <row r="304" spans="1:13" ht="14.25" customHeight="1" x14ac:dyDescent="0.25">
      <c r="A304" s="9" t="s">
        <v>0</v>
      </c>
      <c r="B304" s="81">
        <v>114500</v>
      </c>
      <c r="C304" s="81">
        <v>10757</v>
      </c>
      <c r="D304" s="9" t="s">
        <v>1040</v>
      </c>
      <c r="E304" s="81">
        <v>14563091</v>
      </c>
      <c r="F304" s="81">
        <v>35882</v>
      </c>
      <c r="G304" s="81">
        <v>1</v>
      </c>
      <c r="H304" s="82">
        <v>347.47</v>
      </c>
      <c r="I304" s="251">
        <v>347.47</v>
      </c>
      <c r="J304" s="9" t="s">
        <v>1387</v>
      </c>
      <c r="K304" s="9" t="s">
        <v>1388</v>
      </c>
      <c r="L304" s="83">
        <v>45200</v>
      </c>
      <c r="M304" s="83">
        <v>45230</v>
      </c>
    </row>
    <row r="305" spans="1:13" ht="14.25" customHeight="1" x14ac:dyDescent="0.25">
      <c r="A305" s="9" t="s">
        <v>10</v>
      </c>
      <c r="B305" s="81">
        <v>116326</v>
      </c>
      <c r="C305" s="81">
        <v>10766</v>
      </c>
      <c r="D305" s="9" t="s">
        <v>1205</v>
      </c>
      <c r="E305" s="81">
        <v>14563091</v>
      </c>
      <c r="F305" s="81">
        <v>41862</v>
      </c>
      <c r="G305" s="81">
        <v>1</v>
      </c>
      <c r="H305" s="82">
        <v>359.46</v>
      </c>
      <c r="I305" s="251">
        <v>359.46</v>
      </c>
      <c r="J305" s="9" t="s">
        <v>1387</v>
      </c>
      <c r="K305" s="9" t="s">
        <v>1388</v>
      </c>
      <c r="L305" s="83">
        <v>45200</v>
      </c>
      <c r="M305" s="83">
        <v>45230</v>
      </c>
    </row>
    <row r="306" spans="1:13" ht="14.25" customHeight="1" x14ac:dyDescent="0.25">
      <c r="A306" s="9" t="s">
        <v>1578</v>
      </c>
      <c r="B306" s="81">
        <v>113023</v>
      </c>
      <c r="C306" s="81">
        <v>10757</v>
      </c>
      <c r="D306" s="9" t="s">
        <v>545</v>
      </c>
      <c r="E306" s="81">
        <v>14563091</v>
      </c>
      <c r="F306" s="81">
        <v>30480</v>
      </c>
      <c r="G306" s="81">
        <v>1</v>
      </c>
      <c r="H306" s="82">
        <v>359.46</v>
      </c>
      <c r="I306" s="251">
        <v>359.46</v>
      </c>
      <c r="J306" s="9" t="s">
        <v>1387</v>
      </c>
      <c r="K306" s="9" t="s">
        <v>1388</v>
      </c>
      <c r="L306" s="83">
        <v>45200</v>
      </c>
      <c r="M306" s="83">
        <v>45230</v>
      </c>
    </row>
    <row r="307" spans="1:13" ht="14.25" customHeight="1" x14ac:dyDescent="0.25">
      <c r="A307" s="9" t="s">
        <v>1578</v>
      </c>
      <c r="B307" s="81">
        <v>113068</v>
      </c>
      <c r="C307" s="81">
        <v>10767</v>
      </c>
      <c r="D307" s="9" t="s">
        <v>567</v>
      </c>
      <c r="E307" s="81">
        <v>14563091</v>
      </c>
      <c r="F307" s="81">
        <v>30570</v>
      </c>
      <c r="G307" s="81">
        <v>1</v>
      </c>
      <c r="H307" s="82">
        <v>359.46</v>
      </c>
      <c r="I307" s="251">
        <v>359.46</v>
      </c>
      <c r="J307" s="9" t="s">
        <v>1387</v>
      </c>
      <c r="K307" s="9" t="s">
        <v>1388</v>
      </c>
      <c r="L307" s="83">
        <v>45200</v>
      </c>
      <c r="M307" s="83">
        <v>45230</v>
      </c>
    </row>
    <row r="308" spans="1:13" ht="14.25" customHeight="1" x14ac:dyDescent="0.25">
      <c r="A308" s="9" t="s">
        <v>10</v>
      </c>
      <c r="B308" s="81">
        <v>121030</v>
      </c>
      <c r="C308" s="81">
        <v>10750</v>
      </c>
      <c r="D308" s="9" t="s">
        <v>1520</v>
      </c>
      <c r="E308" s="81">
        <v>14563091</v>
      </c>
      <c r="F308" s="81">
        <v>52805</v>
      </c>
      <c r="G308" s="81">
        <v>1</v>
      </c>
      <c r="H308" s="82">
        <v>359.46</v>
      </c>
      <c r="I308" s="251">
        <v>359.46</v>
      </c>
      <c r="J308" s="9" t="s">
        <v>1387</v>
      </c>
      <c r="K308" s="9" t="s">
        <v>1388</v>
      </c>
      <c r="L308" s="83">
        <v>45200</v>
      </c>
      <c r="M308" s="83">
        <v>45230</v>
      </c>
    </row>
    <row r="309" spans="1:13" ht="14.25" customHeight="1" x14ac:dyDescent="0.25">
      <c r="A309" s="9" t="s">
        <v>8</v>
      </c>
      <c r="B309" s="81">
        <v>113107</v>
      </c>
      <c r="C309" s="81">
        <v>10750</v>
      </c>
      <c r="D309" s="9" t="s">
        <v>587</v>
      </c>
      <c r="E309" s="81">
        <v>14563091</v>
      </c>
      <c r="F309" s="81">
        <v>30648</v>
      </c>
      <c r="G309" s="81">
        <v>1</v>
      </c>
      <c r="H309" s="82">
        <v>359.46</v>
      </c>
      <c r="I309" s="251">
        <v>359.46</v>
      </c>
      <c r="J309" s="9" t="s">
        <v>1387</v>
      </c>
      <c r="K309" s="9" t="s">
        <v>1388</v>
      </c>
      <c r="L309" s="83">
        <v>45200</v>
      </c>
      <c r="M309" s="83">
        <v>45230</v>
      </c>
    </row>
    <row r="310" spans="1:13" ht="14.25" customHeight="1" x14ac:dyDescent="0.25">
      <c r="A310" s="9" t="s">
        <v>1578</v>
      </c>
      <c r="B310" s="81">
        <v>113119</v>
      </c>
      <c r="C310" s="81">
        <v>10768</v>
      </c>
      <c r="D310" s="9" t="s">
        <v>595</v>
      </c>
      <c r="E310" s="81">
        <v>14563091</v>
      </c>
      <c r="F310" s="81">
        <v>30672</v>
      </c>
      <c r="G310" s="81">
        <v>1</v>
      </c>
      <c r="H310" s="82">
        <v>359.46</v>
      </c>
      <c r="I310" s="251">
        <v>359.46</v>
      </c>
      <c r="J310" s="9" t="s">
        <v>1387</v>
      </c>
      <c r="K310" s="9" t="s">
        <v>1388</v>
      </c>
      <c r="L310" s="83">
        <v>45200</v>
      </c>
      <c r="M310" s="83">
        <v>45230</v>
      </c>
    </row>
    <row r="311" spans="1:13" ht="14.25" customHeight="1" x14ac:dyDescent="0.25">
      <c r="A311" s="9" t="s">
        <v>32</v>
      </c>
      <c r="B311" s="81">
        <v>113157</v>
      </c>
      <c r="C311" s="81">
        <v>10750</v>
      </c>
      <c r="D311" s="9" t="s">
        <v>616</v>
      </c>
      <c r="E311" s="81">
        <v>14563091</v>
      </c>
      <c r="F311" s="81">
        <v>30748</v>
      </c>
      <c r="G311" s="81">
        <v>1</v>
      </c>
      <c r="H311" s="82">
        <v>359.46</v>
      </c>
      <c r="I311" s="251">
        <v>359.46</v>
      </c>
      <c r="J311" s="9" t="s">
        <v>1387</v>
      </c>
      <c r="K311" s="9" t="s">
        <v>1388</v>
      </c>
      <c r="L311" s="83">
        <v>45200</v>
      </c>
      <c r="M311" s="83">
        <v>45230</v>
      </c>
    </row>
    <row r="312" spans="1:13" ht="14.25" customHeight="1" x14ac:dyDescent="0.25">
      <c r="A312" s="9" t="s">
        <v>0</v>
      </c>
      <c r="B312" s="81">
        <v>113204</v>
      </c>
      <c r="C312" s="81">
        <v>10757</v>
      </c>
      <c r="D312" s="9" t="s">
        <v>644</v>
      </c>
      <c r="E312" s="81">
        <v>14563091</v>
      </c>
      <c r="F312" s="81">
        <v>30842</v>
      </c>
      <c r="G312" s="81">
        <v>1</v>
      </c>
      <c r="H312" s="82">
        <v>359.46</v>
      </c>
      <c r="I312" s="251">
        <v>359.46</v>
      </c>
      <c r="J312" s="9" t="s">
        <v>1387</v>
      </c>
      <c r="K312" s="9" t="s">
        <v>1388</v>
      </c>
      <c r="L312" s="83">
        <v>45200</v>
      </c>
      <c r="M312" s="83">
        <v>45230</v>
      </c>
    </row>
    <row r="313" spans="1:13" ht="14.25" customHeight="1" x14ac:dyDescent="0.25">
      <c r="A313" s="9" t="s">
        <v>10</v>
      </c>
      <c r="B313" s="81">
        <v>113712</v>
      </c>
      <c r="C313" s="81">
        <v>10763</v>
      </c>
      <c r="D313" s="9" t="s">
        <v>928</v>
      </c>
      <c r="E313" s="81">
        <v>14563091</v>
      </c>
      <c r="F313" s="81">
        <v>31858</v>
      </c>
      <c r="G313" s="81">
        <v>1</v>
      </c>
      <c r="H313" s="82">
        <v>359.46</v>
      </c>
      <c r="I313" s="251">
        <v>359.46</v>
      </c>
      <c r="J313" s="9" t="s">
        <v>1387</v>
      </c>
      <c r="K313" s="9" t="s">
        <v>1388</v>
      </c>
      <c r="L313" s="83">
        <v>45200</v>
      </c>
      <c r="M313" s="83">
        <v>45230</v>
      </c>
    </row>
    <row r="314" spans="1:13" ht="14.25" customHeight="1" x14ac:dyDescent="0.25">
      <c r="A314" s="9" t="s">
        <v>1578</v>
      </c>
      <c r="B314" s="81">
        <v>121486</v>
      </c>
      <c r="C314" s="81">
        <v>10755</v>
      </c>
      <c r="D314" s="9" t="s">
        <v>1554</v>
      </c>
      <c r="E314" s="81">
        <v>14563091</v>
      </c>
      <c r="F314" s="81">
        <v>53856</v>
      </c>
      <c r="G314" s="81">
        <v>1</v>
      </c>
      <c r="H314" s="82">
        <v>359.46</v>
      </c>
      <c r="I314" s="251">
        <v>359.46</v>
      </c>
      <c r="J314" s="9" t="s">
        <v>1387</v>
      </c>
      <c r="K314" s="9" t="s">
        <v>1388</v>
      </c>
      <c r="L314" s="83">
        <v>45200</v>
      </c>
      <c r="M314" s="83">
        <v>45230</v>
      </c>
    </row>
    <row r="315" spans="1:13" ht="14.25" customHeight="1" x14ac:dyDescent="0.25">
      <c r="A315" s="9" t="s">
        <v>0</v>
      </c>
      <c r="B315" s="81">
        <v>113309</v>
      </c>
      <c r="C315" s="81">
        <v>10751</v>
      </c>
      <c r="D315" s="9" t="s">
        <v>699</v>
      </c>
      <c r="E315" s="81">
        <v>14563091</v>
      </c>
      <c r="F315" s="81">
        <v>31052</v>
      </c>
      <c r="G315" s="81">
        <v>1</v>
      </c>
      <c r="H315" s="82">
        <v>359.46</v>
      </c>
      <c r="I315" s="251">
        <v>359.46</v>
      </c>
      <c r="J315" s="9" t="s">
        <v>1387</v>
      </c>
      <c r="K315" s="9" t="s">
        <v>1388</v>
      </c>
      <c r="L315" s="83">
        <v>45200</v>
      </c>
      <c r="M315" s="83">
        <v>45230</v>
      </c>
    </row>
    <row r="316" spans="1:13" ht="14.25" customHeight="1" x14ac:dyDescent="0.25">
      <c r="A316" s="9" t="s">
        <v>19</v>
      </c>
      <c r="B316" s="81">
        <v>113318</v>
      </c>
      <c r="C316" s="81">
        <v>10750</v>
      </c>
      <c r="D316" s="9" t="s">
        <v>703</v>
      </c>
      <c r="E316" s="81">
        <v>14563091</v>
      </c>
      <c r="F316" s="81">
        <v>31070</v>
      </c>
      <c r="G316" s="81">
        <v>1</v>
      </c>
      <c r="H316" s="82">
        <v>359.46</v>
      </c>
      <c r="I316" s="251">
        <v>359.46</v>
      </c>
      <c r="J316" s="9" t="s">
        <v>1387</v>
      </c>
      <c r="K316" s="9" t="s">
        <v>1388</v>
      </c>
      <c r="L316" s="83">
        <v>45200</v>
      </c>
      <c r="M316" s="83">
        <v>45230</v>
      </c>
    </row>
    <row r="317" spans="1:13" ht="14.25" customHeight="1" x14ac:dyDescent="0.25">
      <c r="A317" s="9" t="s">
        <v>1578</v>
      </c>
      <c r="B317" s="81">
        <v>122334</v>
      </c>
      <c r="C317" s="81">
        <v>10766</v>
      </c>
      <c r="D317" s="9" t="s">
        <v>1652</v>
      </c>
      <c r="E317" s="81">
        <v>14563091</v>
      </c>
      <c r="F317" s="81">
        <v>55962</v>
      </c>
      <c r="G317" s="81">
        <v>1</v>
      </c>
      <c r="H317" s="82">
        <v>359.46</v>
      </c>
      <c r="I317" s="251">
        <v>359.46</v>
      </c>
      <c r="J317" s="9" t="s">
        <v>1387</v>
      </c>
      <c r="K317" s="9" t="s">
        <v>1388</v>
      </c>
      <c r="L317" s="83">
        <v>45200</v>
      </c>
      <c r="M317" s="83">
        <v>45230</v>
      </c>
    </row>
    <row r="318" spans="1:13" ht="14.25" customHeight="1" x14ac:dyDescent="0.25">
      <c r="A318" s="9" t="s">
        <v>1578</v>
      </c>
      <c r="B318" s="81">
        <v>116085</v>
      </c>
      <c r="C318" s="81">
        <v>10756</v>
      </c>
      <c r="D318" s="9" t="s">
        <v>1180</v>
      </c>
      <c r="E318" s="81">
        <v>14563091</v>
      </c>
      <c r="F318" s="81">
        <v>41097</v>
      </c>
      <c r="G318" s="81">
        <v>1</v>
      </c>
      <c r="H318" s="82">
        <v>359.46</v>
      </c>
      <c r="I318" s="251">
        <v>359.46</v>
      </c>
      <c r="J318" s="9" t="s">
        <v>1387</v>
      </c>
      <c r="K318" s="9" t="s">
        <v>1388</v>
      </c>
      <c r="L318" s="83">
        <v>45200</v>
      </c>
      <c r="M318" s="83">
        <v>45230</v>
      </c>
    </row>
    <row r="319" spans="1:13" ht="14.25" customHeight="1" x14ac:dyDescent="0.25">
      <c r="A319" s="9" t="s">
        <v>0</v>
      </c>
      <c r="B319" s="81">
        <v>116225</v>
      </c>
      <c r="C319" s="81">
        <v>10760</v>
      </c>
      <c r="D319" s="9" t="s">
        <v>1189</v>
      </c>
      <c r="E319" s="81">
        <v>14563091</v>
      </c>
      <c r="F319" s="81">
        <v>41559</v>
      </c>
      <c r="G319" s="81">
        <v>1</v>
      </c>
      <c r="H319" s="82">
        <v>359.46</v>
      </c>
      <c r="I319" s="251">
        <v>359.46</v>
      </c>
      <c r="J319" s="9" t="s">
        <v>1387</v>
      </c>
      <c r="K319" s="9" t="s">
        <v>1388</v>
      </c>
      <c r="L319" s="83">
        <v>45200</v>
      </c>
      <c r="M319" s="83">
        <v>45230</v>
      </c>
    </row>
    <row r="320" spans="1:13" ht="14.25" customHeight="1" x14ac:dyDescent="0.25">
      <c r="A320" s="9" t="s">
        <v>1578</v>
      </c>
      <c r="B320" s="81">
        <v>113331</v>
      </c>
      <c r="C320" s="81">
        <v>10748</v>
      </c>
      <c r="D320" s="9" t="s">
        <v>711</v>
      </c>
      <c r="E320" s="81">
        <v>14563091</v>
      </c>
      <c r="F320" s="81">
        <v>31096</v>
      </c>
      <c r="G320" s="81">
        <v>1</v>
      </c>
      <c r="H320" s="82">
        <v>359.46</v>
      </c>
      <c r="I320" s="251">
        <v>359.46</v>
      </c>
      <c r="J320" s="9" t="s">
        <v>1387</v>
      </c>
      <c r="K320" s="9" t="s">
        <v>1388</v>
      </c>
      <c r="L320" s="83">
        <v>45200</v>
      </c>
      <c r="M320" s="83">
        <v>45230</v>
      </c>
    </row>
    <row r="321" spans="1:13" ht="14.25" customHeight="1" x14ac:dyDescent="0.25">
      <c r="A321" s="9" t="s">
        <v>8</v>
      </c>
      <c r="B321" s="81">
        <v>113341</v>
      </c>
      <c r="C321" s="81">
        <v>10751</v>
      </c>
      <c r="D321" s="9" t="s">
        <v>716</v>
      </c>
      <c r="E321" s="81">
        <v>14563091</v>
      </c>
      <c r="F321" s="81">
        <v>31116</v>
      </c>
      <c r="G321" s="81">
        <v>1</v>
      </c>
      <c r="H321" s="82">
        <v>359.46</v>
      </c>
      <c r="I321" s="251">
        <v>359.46</v>
      </c>
      <c r="J321" s="9" t="s">
        <v>1387</v>
      </c>
      <c r="K321" s="9" t="s">
        <v>1388</v>
      </c>
      <c r="L321" s="83">
        <v>45200</v>
      </c>
      <c r="M321" s="83">
        <v>45230</v>
      </c>
    </row>
    <row r="322" spans="1:13" ht="14.25" customHeight="1" x14ac:dyDescent="0.25">
      <c r="A322" s="9" t="s">
        <v>1578</v>
      </c>
      <c r="B322" s="81">
        <v>113349</v>
      </c>
      <c r="C322" s="81">
        <v>10756</v>
      </c>
      <c r="D322" s="9" t="s">
        <v>1281</v>
      </c>
      <c r="E322" s="81">
        <v>14563091</v>
      </c>
      <c r="F322" s="81">
        <v>31132</v>
      </c>
      <c r="G322" s="81">
        <v>1</v>
      </c>
      <c r="H322" s="82">
        <v>359.46</v>
      </c>
      <c r="I322" s="251">
        <v>359.46</v>
      </c>
      <c r="J322" s="9" t="s">
        <v>1387</v>
      </c>
      <c r="K322" s="9" t="s">
        <v>1388</v>
      </c>
      <c r="L322" s="83">
        <v>45200</v>
      </c>
      <c r="M322" s="83">
        <v>45230</v>
      </c>
    </row>
    <row r="323" spans="1:13" ht="14.25" customHeight="1" x14ac:dyDescent="0.25">
      <c r="A323" s="9" t="s">
        <v>19</v>
      </c>
      <c r="B323" s="81">
        <v>113354</v>
      </c>
      <c r="C323" s="81">
        <v>10757</v>
      </c>
      <c r="D323" s="9" t="s">
        <v>722</v>
      </c>
      <c r="E323" s="81">
        <v>14563091</v>
      </c>
      <c r="F323" s="81">
        <v>31142</v>
      </c>
      <c r="G323" s="81">
        <v>1</v>
      </c>
      <c r="H323" s="82">
        <v>359.46</v>
      </c>
      <c r="I323" s="251">
        <v>359.46</v>
      </c>
      <c r="J323" s="9" t="s">
        <v>1387</v>
      </c>
      <c r="K323" s="9" t="s">
        <v>1388</v>
      </c>
      <c r="L323" s="83">
        <v>45200</v>
      </c>
      <c r="M323" s="83">
        <v>45230</v>
      </c>
    </row>
    <row r="324" spans="1:13" ht="14.25" customHeight="1" x14ac:dyDescent="0.25">
      <c r="A324" s="9" t="s">
        <v>10</v>
      </c>
      <c r="B324" s="81">
        <v>116974</v>
      </c>
      <c r="C324" s="81">
        <v>10766</v>
      </c>
      <c r="D324" s="9" t="s">
        <v>1327</v>
      </c>
      <c r="E324" s="81">
        <v>14563091</v>
      </c>
      <c r="F324" s="81">
        <v>43458</v>
      </c>
      <c r="G324" s="81">
        <v>1</v>
      </c>
      <c r="H324" s="82">
        <v>359.46</v>
      </c>
      <c r="I324" s="251">
        <v>359.46</v>
      </c>
      <c r="J324" s="9" t="s">
        <v>1387</v>
      </c>
      <c r="K324" s="9" t="s">
        <v>1388</v>
      </c>
      <c r="L324" s="83">
        <v>45200</v>
      </c>
      <c r="M324" s="83">
        <v>45230</v>
      </c>
    </row>
    <row r="325" spans="1:13" ht="14.25" customHeight="1" x14ac:dyDescent="0.25">
      <c r="A325" s="9" t="s">
        <v>1580</v>
      </c>
      <c r="B325" s="81">
        <v>113739</v>
      </c>
      <c r="C325" s="81">
        <v>10775</v>
      </c>
      <c r="D325" s="9" t="s">
        <v>958</v>
      </c>
      <c r="E325" s="81">
        <v>14563091</v>
      </c>
      <c r="F325" s="81">
        <v>31912</v>
      </c>
      <c r="G325" s="81">
        <v>1</v>
      </c>
      <c r="H325" s="82">
        <v>359.46</v>
      </c>
      <c r="I325" s="251">
        <v>359.46</v>
      </c>
      <c r="J325" s="9" t="s">
        <v>1387</v>
      </c>
      <c r="K325" s="9" t="s">
        <v>1388</v>
      </c>
      <c r="L325" s="83">
        <v>45200</v>
      </c>
      <c r="M325" s="83">
        <v>45230</v>
      </c>
    </row>
    <row r="326" spans="1:13" ht="14.25" customHeight="1" x14ac:dyDescent="0.25">
      <c r="A326" s="9" t="s">
        <v>1578</v>
      </c>
      <c r="B326" s="81">
        <v>113361</v>
      </c>
      <c r="C326" s="81">
        <v>10748</v>
      </c>
      <c r="D326" s="9" t="s">
        <v>727</v>
      </c>
      <c r="E326" s="81">
        <v>14563091</v>
      </c>
      <c r="F326" s="81">
        <v>31156</v>
      </c>
      <c r="G326" s="81">
        <v>1</v>
      </c>
      <c r="H326" s="82">
        <v>359.46</v>
      </c>
      <c r="I326" s="251">
        <v>359.46</v>
      </c>
      <c r="J326" s="9" t="s">
        <v>1387</v>
      </c>
      <c r="K326" s="9" t="s">
        <v>1388</v>
      </c>
      <c r="L326" s="83">
        <v>45200</v>
      </c>
      <c r="M326" s="83">
        <v>45230</v>
      </c>
    </row>
    <row r="327" spans="1:13" ht="14.25" customHeight="1" x14ac:dyDescent="0.25">
      <c r="A327" s="9" t="s">
        <v>19</v>
      </c>
      <c r="B327" s="81">
        <v>113364</v>
      </c>
      <c r="C327" s="81">
        <v>10751</v>
      </c>
      <c r="D327" s="9" t="s">
        <v>730</v>
      </c>
      <c r="E327" s="81">
        <v>14563091</v>
      </c>
      <c r="F327" s="81">
        <v>31162</v>
      </c>
      <c r="G327" s="81">
        <v>1</v>
      </c>
      <c r="H327" s="82">
        <v>359.46</v>
      </c>
      <c r="I327" s="251">
        <v>359.46</v>
      </c>
      <c r="J327" s="9" t="s">
        <v>1387</v>
      </c>
      <c r="K327" s="9" t="s">
        <v>1388</v>
      </c>
      <c r="L327" s="83">
        <v>45200</v>
      </c>
      <c r="M327" s="83">
        <v>45230</v>
      </c>
    </row>
    <row r="328" spans="1:13" ht="14.25" customHeight="1" x14ac:dyDescent="0.25">
      <c r="A328" s="9" t="s">
        <v>19</v>
      </c>
      <c r="B328" s="81">
        <v>113368</v>
      </c>
      <c r="C328" s="81">
        <v>10750</v>
      </c>
      <c r="D328" s="9" t="s">
        <v>733</v>
      </c>
      <c r="E328" s="81">
        <v>14563091</v>
      </c>
      <c r="F328" s="81">
        <v>31170</v>
      </c>
      <c r="G328" s="81">
        <v>1</v>
      </c>
      <c r="H328" s="82">
        <v>359.46</v>
      </c>
      <c r="I328" s="251">
        <v>359.46</v>
      </c>
      <c r="J328" s="9" t="s">
        <v>1387</v>
      </c>
      <c r="K328" s="9" t="s">
        <v>1388</v>
      </c>
      <c r="L328" s="83">
        <v>45200</v>
      </c>
      <c r="M328" s="83">
        <v>45230</v>
      </c>
    </row>
    <row r="329" spans="1:13" ht="14.25" customHeight="1" x14ac:dyDescent="0.25">
      <c r="A329" s="9" t="s">
        <v>8</v>
      </c>
      <c r="B329" s="81">
        <v>113374</v>
      </c>
      <c r="C329" s="81">
        <v>10751</v>
      </c>
      <c r="D329" s="9" t="s">
        <v>736</v>
      </c>
      <c r="E329" s="81">
        <v>14563091</v>
      </c>
      <c r="F329" s="81">
        <v>31182</v>
      </c>
      <c r="G329" s="81">
        <v>1</v>
      </c>
      <c r="H329" s="82">
        <v>359.46</v>
      </c>
      <c r="I329" s="251">
        <v>359.46</v>
      </c>
      <c r="J329" s="9" t="s">
        <v>1387</v>
      </c>
      <c r="K329" s="9" t="s">
        <v>1388</v>
      </c>
      <c r="L329" s="83">
        <v>45200</v>
      </c>
      <c r="M329" s="83">
        <v>45230</v>
      </c>
    </row>
    <row r="330" spans="1:13" ht="14.25" customHeight="1" x14ac:dyDescent="0.25">
      <c r="A330" s="9" t="s">
        <v>1578</v>
      </c>
      <c r="B330" s="81">
        <v>117358</v>
      </c>
      <c r="C330" s="81">
        <v>10768</v>
      </c>
      <c r="D330" s="9" t="s">
        <v>1262</v>
      </c>
      <c r="E330" s="81">
        <v>14563091</v>
      </c>
      <c r="F330" s="81">
        <v>44388</v>
      </c>
      <c r="G330" s="81">
        <v>1</v>
      </c>
      <c r="H330" s="82">
        <v>359.46</v>
      </c>
      <c r="I330" s="251">
        <v>359.46</v>
      </c>
      <c r="J330" s="9" t="s">
        <v>1387</v>
      </c>
      <c r="K330" s="9" t="s">
        <v>1388</v>
      </c>
      <c r="L330" s="83">
        <v>45200</v>
      </c>
      <c r="M330" s="83">
        <v>45230</v>
      </c>
    </row>
    <row r="331" spans="1:13" ht="14.25" customHeight="1" x14ac:dyDescent="0.25">
      <c r="A331" s="9" t="s">
        <v>10</v>
      </c>
      <c r="B331" s="81">
        <v>121675</v>
      </c>
      <c r="C331" s="81">
        <v>10757</v>
      </c>
      <c r="D331" s="9" t="s">
        <v>1585</v>
      </c>
      <c r="E331" s="81">
        <v>14563091</v>
      </c>
      <c r="F331" s="81">
        <v>54314</v>
      </c>
      <c r="G331" s="81">
        <v>1</v>
      </c>
      <c r="H331" s="82">
        <v>359.46</v>
      </c>
      <c r="I331" s="251">
        <v>359.46</v>
      </c>
      <c r="J331" s="9" t="s">
        <v>1387</v>
      </c>
      <c r="K331" s="9" t="s">
        <v>1388</v>
      </c>
      <c r="L331" s="83">
        <v>45200</v>
      </c>
      <c r="M331" s="83">
        <v>45230</v>
      </c>
    </row>
    <row r="332" spans="1:13" ht="14.25" customHeight="1" x14ac:dyDescent="0.25">
      <c r="A332" s="9" t="s">
        <v>0</v>
      </c>
      <c r="B332" s="81">
        <v>119645</v>
      </c>
      <c r="C332" s="81">
        <v>10757</v>
      </c>
      <c r="D332" s="9" t="s">
        <v>1457</v>
      </c>
      <c r="E332" s="81">
        <v>14563091</v>
      </c>
      <c r="F332" s="81">
        <v>49605</v>
      </c>
      <c r="G332" s="81">
        <v>1</v>
      </c>
      <c r="H332" s="82">
        <v>359.46</v>
      </c>
      <c r="I332" s="251">
        <v>359.46</v>
      </c>
      <c r="J332" s="9" t="s">
        <v>1387</v>
      </c>
      <c r="K332" s="9" t="s">
        <v>1388</v>
      </c>
      <c r="L332" s="83">
        <v>45200</v>
      </c>
      <c r="M332" s="83">
        <v>45230</v>
      </c>
    </row>
    <row r="333" spans="1:13" ht="14.25" customHeight="1" x14ac:dyDescent="0.25">
      <c r="A333" s="9" t="s">
        <v>0</v>
      </c>
      <c r="B333" s="81">
        <v>116226</v>
      </c>
      <c r="C333" s="81">
        <v>10766</v>
      </c>
      <c r="D333" s="9" t="s">
        <v>1190</v>
      </c>
      <c r="E333" s="81">
        <v>14563091</v>
      </c>
      <c r="F333" s="81">
        <v>41561</v>
      </c>
      <c r="G333" s="81">
        <v>1</v>
      </c>
      <c r="H333" s="82">
        <v>359.46</v>
      </c>
      <c r="I333" s="251">
        <v>359.46</v>
      </c>
      <c r="J333" s="9" t="s">
        <v>1387</v>
      </c>
      <c r="K333" s="9" t="s">
        <v>1388</v>
      </c>
      <c r="L333" s="83">
        <v>45200</v>
      </c>
      <c r="M333" s="83">
        <v>45230</v>
      </c>
    </row>
    <row r="334" spans="1:13" ht="14.25" customHeight="1" x14ac:dyDescent="0.25">
      <c r="A334" s="9" t="s">
        <v>10</v>
      </c>
      <c r="B334" s="81">
        <v>113390</v>
      </c>
      <c r="C334" s="81">
        <v>10773</v>
      </c>
      <c r="D334" s="9" t="s">
        <v>1328</v>
      </c>
      <c r="E334" s="81">
        <v>14563091</v>
      </c>
      <c r="F334" s="81">
        <v>31214</v>
      </c>
      <c r="G334" s="81">
        <v>1</v>
      </c>
      <c r="H334" s="82">
        <v>359.46</v>
      </c>
      <c r="I334" s="251">
        <v>359.46</v>
      </c>
      <c r="J334" s="9" t="s">
        <v>1387</v>
      </c>
      <c r="K334" s="9" t="s">
        <v>1388</v>
      </c>
      <c r="L334" s="83">
        <v>45200</v>
      </c>
      <c r="M334" s="83">
        <v>45230</v>
      </c>
    </row>
    <row r="335" spans="1:13" ht="14.25" customHeight="1" x14ac:dyDescent="0.25">
      <c r="A335" s="9" t="s">
        <v>10</v>
      </c>
      <c r="B335" s="81">
        <v>113392</v>
      </c>
      <c r="C335" s="81">
        <v>10750</v>
      </c>
      <c r="D335" s="9" t="s">
        <v>750</v>
      </c>
      <c r="E335" s="81">
        <v>14563091</v>
      </c>
      <c r="F335" s="81">
        <v>31218</v>
      </c>
      <c r="G335" s="81">
        <v>1</v>
      </c>
      <c r="H335" s="82">
        <v>359.46</v>
      </c>
      <c r="I335" s="251">
        <v>359.46</v>
      </c>
      <c r="J335" s="9" t="s">
        <v>1387</v>
      </c>
      <c r="K335" s="9" t="s">
        <v>1388</v>
      </c>
      <c r="L335" s="83">
        <v>45200</v>
      </c>
      <c r="M335" s="83">
        <v>45230</v>
      </c>
    </row>
    <row r="336" spans="1:13" ht="14.25" customHeight="1" x14ac:dyDescent="0.25">
      <c r="A336" s="9" t="s">
        <v>8</v>
      </c>
      <c r="B336" s="81">
        <v>113404</v>
      </c>
      <c r="C336" s="81">
        <v>10771</v>
      </c>
      <c r="D336" s="9" t="s">
        <v>748</v>
      </c>
      <c r="E336" s="81">
        <v>14563091</v>
      </c>
      <c r="F336" s="81">
        <v>31242</v>
      </c>
      <c r="G336" s="81">
        <v>1</v>
      </c>
      <c r="H336" s="82">
        <v>359.46</v>
      </c>
      <c r="I336" s="251">
        <v>359.46</v>
      </c>
      <c r="J336" s="9" t="s">
        <v>1387</v>
      </c>
      <c r="K336" s="9" t="s">
        <v>1388</v>
      </c>
      <c r="L336" s="83">
        <v>45200</v>
      </c>
      <c r="M336" s="83">
        <v>45230</v>
      </c>
    </row>
    <row r="337" spans="1:13" ht="14.25" customHeight="1" x14ac:dyDescent="0.25">
      <c r="A337" s="9" t="s">
        <v>1578</v>
      </c>
      <c r="B337" s="81">
        <v>112825</v>
      </c>
      <c r="C337" s="81">
        <v>10757</v>
      </c>
      <c r="D337" s="9" t="s">
        <v>438</v>
      </c>
      <c r="E337" s="81">
        <v>14563091</v>
      </c>
      <c r="F337" s="81">
        <v>30084</v>
      </c>
      <c r="G337" s="81">
        <v>1</v>
      </c>
      <c r="H337" s="82">
        <v>359.46</v>
      </c>
      <c r="I337" s="251">
        <v>359.46</v>
      </c>
      <c r="J337" s="9" t="s">
        <v>1387</v>
      </c>
      <c r="K337" s="9" t="s">
        <v>1388</v>
      </c>
      <c r="L337" s="83">
        <v>45200</v>
      </c>
      <c r="M337" s="83">
        <v>45230</v>
      </c>
    </row>
    <row r="338" spans="1:13" ht="14.25" customHeight="1" x14ac:dyDescent="0.25">
      <c r="A338" s="9" t="s">
        <v>10</v>
      </c>
      <c r="B338" s="81">
        <v>112830</v>
      </c>
      <c r="C338" s="81">
        <v>10760</v>
      </c>
      <c r="D338" s="9" t="s">
        <v>441</v>
      </c>
      <c r="E338" s="81">
        <v>14563091</v>
      </c>
      <c r="F338" s="81">
        <v>30094</v>
      </c>
      <c r="G338" s="81">
        <v>1</v>
      </c>
      <c r="H338" s="82">
        <v>359.46</v>
      </c>
      <c r="I338" s="251">
        <v>359.46</v>
      </c>
      <c r="J338" s="9" t="s">
        <v>1387</v>
      </c>
      <c r="K338" s="9" t="s">
        <v>1388</v>
      </c>
      <c r="L338" s="83">
        <v>45200</v>
      </c>
      <c r="M338" s="83">
        <v>45230</v>
      </c>
    </row>
    <row r="339" spans="1:13" ht="14.25" customHeight="1" x14ac:dyDescent="0.25">
      <c r="A339" s="9" t="s">
        <v>1578</v>
      </c>
      <c r="B339" s="81">
        <v>112838</v>
      </c>
      <c r="C339" s="81">
        <v>10768</v>
      </c>
      <c r="D339" s="9" t="s">
        <v>446</v>
      </c>
      <c r="E339" s="81">
        <v>14563091</v>
      </c>
      <c r="F339" s="81">
        <v>30110</v>
      </c>
      <c r="G339" s="81">
        <v>1</v>
      </c>
      <c r="H339" s="82">
        <v>359.46</v>
      </c>
      <c r="I339" s="251">
        <v>359.46</v>
      </c>
      <c r="J339" s="9" t="s">
        <v>1387</v>
      </c>
      <c r="K339" s="9" t="s">
        <v>1388</v>
      </c>
      <c r="L339" s="83">
        <v>45200</v>
      </c>
      <c r="M339" s="83">
        <v>45230</v>
      </c>
    </row>
    <row r="340" spans="1:13" ht="14.25" customHeight="1" x14ac:dyDescent="0.25">
      <c r="A340" s="9" t="s">
        <v>0</v>
      </c>
      <c r="B340" s="81">
        <v>113726</v>
      </c>
      <c r="C340" s="81">
        <v>10760</v>
      </c>
      <c r="D340" s="9" t="s">
        <v>942</v>
      </c>
      <c r="E340" s="81">
        <v>14563091</v>
      </c>
      <c r="F340" s="81">
        <v>31886</v>
      </c>
      <c r="G340" s="81">
        <v>1</v>
      </c>
      <c r="H340" s="82">
        <v>359.46</v>
      </c>
      <c r="I340" s="251">
        <v>359.46</v>
      </c>
      <c r="J340" s="9" t="s">
        <v>1387</v>
      </c>
      <c r="K340" s="9" t="s">
        <v>1388</v>
      </c>
      <c r="L340" s="83">
        <v>45200</v>
      </c>
      <c r="M340" s="83">
        <v>45230</v>
      </c>
    </row>
    <row r="341" spans="1:13" ht="14.25" customHeight="1" x14ac:dyDescent="0.25">
      <c r="A341" s="9" t="s">
        <v>10</v>
      </c>
      <c r="B341" s="81">
        <v>112847</v>
      </c>
      <c r="C341" s="81">
        <v>10756</v>
      </c>
      <c r="D341" s="9" t="s">
        <v>450</v>
      </c>
      <c r="E341" s="81">
        <v>14563091</v>
      </c>
      <c r="F341" s="81">
        <v>30128</v>
      </c>
      <c r="G341" s="81">
        <v>1</v>
      </c>
      <c r="H341" s="82">
        <v>359.46</v>
      </c>
      <c r="I341" s="251">
        <v>359.46</v>
      </c>
      <c r="J341" s="9" t="s">
        <v>1387</v>
      </c>
      <c r="K341" s="9" t="s">
        <v>1388</v>
      </c>
      <c r="L341" s="83">
        <v>45200</v>
      </c>
      <c r="M341" s="83">
        <v>45230</v>
      </c>
    </row>
    <row r="342" spans="1:13" ht="14.25" customHeight="1" x14ac:dyDescent="0.25">
      <c r="A342" s="9" t="s">
        <v>1578</v>
      </c>
      <c r="B342" s="81">
        <v>112850</v>
      </c>
      <c r="C342" s="81">
        <v>10756</v>
      </c>
      <c r="D342" s="9" t="s">
        <v>452</v>
      </c>
      <c r="E342" s="81">
        <v>14563091</v>
      </c>
      <c r="F342" s="81">
        <v>30134</v>
      </c>
      <c r="G342" s="81">
        <v>1</v>
      </c>
      <c r="H342" s="82">
        <v>359.46</v>
      </c>
      <c r="I342" s="251">
        <v>359.46</v>
      </c>
      <c r="J342" s="9" t="s">
        <v>1387</v>
      </c>
      <c r="K342" s="9" t="s">
        <v>1388</v>
      </c>
      <c r="L342" s="83">
        <v>45200</v>
      </c>
      <c r="M342" s="83">
        <v>45230</v>
      </c>
    </row>
    <row r="343" spans="1:13" ht="14.25" customHeight="1" x14ac:dyDescent="0.25">
      <c r="A343" s="9" t="s">
        <v>1578</v>
      </c>
      <c r="B343" s="81">
        <v>112858</v>
      </c>
      <c r="C343" s="81">
        <v>10757</v>
      </c>
      <c r="D343" s="9" t="s">
        <v>456</v>
      </c>
      <c r="E343" s="81">
        <v>14563091</v>
      </c>
      <c r="F343" s="81">
        <v>30150</v>
      </c>
      <c r="G343" s="81">
        <v>1</v>
      </c>
      <c r="H343" s="82">
        <v>359.46</v>
      </c>
      <c r="I343" s="251">
        <v>359.46</v>
      </c>
      <c r="J343" s="9" t="s">
        <v>1387</v>
      </c>
      <c r="K343" s="9" t="s">
        <v>1388</v>
      </c>
      <c r="L343" s="83">
        <v>45200</v>
      </c>
      <c r="M343" s="83">
        <v>45230</v>
      </c>
    </row>
    <row r="344" spans="1:13" ht="14.25" customHeight="1" x14ac:dyDescent="0.25">
      <c r="A344" s="9" t="s">
        <v>8</v>
      </c>
      <c r="B344" s="81">
        <v>112866</v>
      </c>
      <c r="C344" s="81">
        <v>10751</v>
      </c>
      <c r="D344" s="9" t="s">
        <v>461</v>
      </c>
      <c r="E344" s="81">
        <v>14563091</v>
      </c>
      <c r="F344" s="81">
        <v>30166</v>
      </c>
      <c r="G344" s="81">
        <v>1</v>
      </c>
      <c r="H344" s="82">
        <v>359.46</v>
      </c>
      <c r="I344" s="251">
        <v>359.46</v>
      </c>
      <c r="J344" s="9" t="s">
        <v>1387</v>
      </c>
      <c r="K344" s="9" t="s">
        <v>1388</v>
      </c>
      <c r="L344" s="83">
        <v>45200</v>
      </c>
      <c r="M344" s="83">
        <v>45230</v>
      </c>
    </row>
    <row r="345" spans="1:13" ht="14.25" customHeight="1" x14ac:dyDescent="0.25">
      <c r="A345" s="9" t="s">
        <v>8</v>
      </c>
      <c r="B345" s="81">
        <v>112867</v>
      </c>
      <c r="C345" s="81">
        <v>10750</v>
      </c>
      <c r="D345" s="9" t="s">
        <v>462</v>
      </c>
      <c r="E345" s="81">
        <v>14563091</v>
      </c>
      <c r="F345" s="81">
        <v>30168</v>
      </c>
      <c r="G345" s="81">
        <v>1</v>
      </c>
      <c r="H345" s="82">
        <v>359.46</v>
      </c>
      <c r="I345" s="251">
        <v>359.46</v>
      </c>
      <c r="J345" s="9" t="s">
        <v>1387</v>
      </c>
      <c r="K345" s="9" t="s">
        <v>1388</v>
      </c>
      <c r="L345" s="83">
        <v>45200</v>
      </c>
      <c r="M345" s="83">
        <v>45230</v>
      </c>
    </row>
    <row r="346" spans="1:13" ht="14.25" customHeight="1" x14ac:dyDescent="0.25">
      <c r="A346" s="9" t="s">
        <v>1578</v>
      </c>
      <c r="B346" s="81">
        <v>112874</v>
      </c>
      <c r="C346" s="81">
        <v>10755</v>
      </c>
      <c r="D346" s="9" t="s">
        <v>466</v>
      </c>
      <c r="E346" s="81">
        <v>14563091</v>
      </c>
      <c r="F346" s="81">
        <v>30182</v>
      </c>
      <c r="G346" s="81">
        <v>1</v>
      </c>
      <c r="H346" s="82">
        <v>359.46</v>
      </c>
      <c r="I346" s="251">
        <v>359.46</v>
      </c>
      <c r="J346" s="9" t="s">
        <v>1387</v>
      </c>
      <c r="K346" s="9" t="s">
        <v>1388</v>
      </c>
      <c r="L346" s="83">
        <v>45200</v>
      </c>
      <c r="M346" s="83">
        <v>45230</v>
      </c>
    </row>
    <row r="347" spans="1:13" ht="14.25" customHeight="1" x14ac:dyDescent="0.25">
      <c r="A347" s="9" t="s">
        <v>0</v>
      </c>
      <c r="B347" s="81">
        <v>112881</v>
      </c>
      <c r="C347" s="81">
        <v>10751</v>
      </c>
      <c r="D347" s="9" t="s">
        <v>472</v>
      </c>
      <c r="E347" s="81">
        <v>14563091</v>
      </c>
      <c r="F347" s="81">
        <v>30196</v>
      </c>
      <c r="G347" s="81">
        <v>1</v>
      </c>
      <c r="H347" s="82">
        <v>359.46</v>
      </c>
      <c r="I347" s="251">
        <v>359.46</v>
      </c>
      <c r="J347" s="9" t="s">
        <v>1387</v>
      </c>
      <c r="K347" s="9" t="s">
        <v>1388</v>
      </c>
      <c r="L347" s="83">
        <v>45200</v>
      </c>
      <c r="M347" s="83">
        <v>45230</v>
      </c>
    </row>
    <row r="348" spans="1:13" ht="14.25" customHeight="1" x14ac:dyDescent="0.25">
      <c r="A348" s="9" t="s">
        <v>1578</v>
      </c>
      <c r="B348" s="81">
        <v>112878</v>
      </c>
      <c r="C348" s="81">
        <v>10756</v>
      </c>
      <c r="D348" s="9" t="s">
        <v>471</v>
      </c>
      <c r="E348" s="81">
        <v>14563091</v>
      </c>
      <c r="F348" s="81">
        <v>30190</v>
      </c>
      <c r="G348" s="81">
        <v>1</v>
      </c>
      <c r="H348" s="82">
        <v>359.46</v>
      </c>
      <c r="I348" s="251">
        <v>359.46</v>
      </c>
      <c r="J348" s="9" t="s">
        <v>1387</v>
      </c>
      <c r="K348" s="9" t="s">
        <v>1388</v>
      </c>
      <c r="L348" s="83">
        <v>45200</v>
      </c>
      <c r="M348" s="83">
        <v>45230</v>
      </c>
    </row>
    <row r="349" spans="1:13" ht="14.25" customHeight="1" x14ac:dyDescent="0.25">
      <c r="A349" s="9" t="s">
        <v>1578</v>
      </c>
      <c r="B349" s="81">
        <v>119662</v>
      </c>
      <c r="C349" s="81">
        <v>10748</v>
      </c>
      <c r="D349" s="9" t="s">
        <v>1458</v>
      </c>
      <c r="E349" s="81">
        <v>14563091</v>
      </c>
      <c r="F349" s="81">
        <v>49649</v>
      </c>
      <c r="G349" s="81">
        <v>1</v>
      </c>
      <c r="H349" s="82">
        <v>359.46</v>
      </c>
      <c r="I349" s="251">
        <v>359.46</v>
      </c>
      <c r="J349" s="9" t="s">
        <v>1387</v>
      </c>
      <c r="K349" s="9" t="s">
        <v>1388</v>
      </c>
      <c r="L349" s="83">
        <v>45200</v>
      </c>
      <c r="M349" s="83">
        <v>45230</v>
      </c>
    </row>
    <row r="350" spans="1:13" ht="14.25" customHeight="1" x14ac:dyDescent="0.25">
      <c r="A350" s="9" t="s">
        <v>1578</v>
      </c>
      <c r="B350" s="81">
        <v>115231</v>
      </c>
      <c r="C350" s="81">
        <v>10757</v>
      </c>
      <c r="D350" s="9" t="s">
        <v>1147</v>
      </c>
      <c r="E350" s="81">
        <v>14563091</v>
      </c>
      <c r="F350" s="81">
        <v>38517</v>
      </c>
      <c r="G350" s="81">
        <v>1</v>
      </c>
      <c r="H350" s="82">
        <v>359.46</v>
      </c>
      <c r="I350" s="251">
        <v>359.46</v>
      </c>
      <c r="J350" s="9" t="s">
        <v>1387</v>
      </c>
      <c r="K350" s="9" t="s">
        <v>1388</v>
      </c>
      <c r="L350" s="83">
        <v>45200</v>
      </c>
      <c r="M350" s="83">
        <v>45230</v>
      </c>
    </row>
    <row r="351" spans="1:13" ht="14.25" customHeight="1" x14ac:dyDescent="0.25">
      <c r="A351" s="9" t="s">
        <v>0</v>
      </c>
      <c r="B351" s="81">
        <v>113416</v>
      </c>
      <c r="C351" s="81">
        <v>10750</v>
      </c>
      <c r="D351" s="9" t="s">
        <v>765</v>
      </c>
      <c r="E351" s="81">
        <v>14563091</v>
      </c>
      <c r="F351" s="81">
        <v>31266</v>
      </c>
      <c r="G351" s="81">
        <v>1</v>
      </c>
      <c r="H351" s="82">
        <v>359.46</v>
      </c>
      <c r="I351" s="251">
        <v>359.46</v>
      </c>
      <c r="J351" s="9" t="s">
        <v>1387</v>
      </c>
      <c r="K351" s="9" t="s">
        <v>1388</v>
      </c>
      <c r="L351" s="83">
        <v>45200</v>
      </c>
      <c r="M351" s="83">
        <v>45230</v>
      </c>
    </row>
    <row r="352" spans="1:13" ht="14.25" customHeight="1" x14ac:dyDescent="0.25">
      <c r="A352" s="9" t="s">
        <v>1578</v>
      </c>
      <c r="B352" s="81">
        <v>117359</v>
      </c>
      <c r="C352" s="81">
        <v>10768</v>
      </c>
      <c r="D352" s="9" t="s">
        <v>1263</v>
      </c>
      <c r="E352" s="81">
        <v>14563091</v>
      </c>
      <c r="F352" s="81">
        <v>44390</v>
      </c>
      <c r="G352" s="81">
        <v>1</v>
      </c>
      <c r="H352" s="82">
        <v>359.46</v>
      </c>
      <c r="I352" s="251">
        <v>359.46</v>
      </c>
      <c r="J352" s="9" t="s">
        <v>1387</v>
      </c>
      <c r="K352" s="9" t="s">
        <v>1388</v>
      </c>
      <c r="L352" s="83">
        <v>45200</v>
      </c>
      <c r="M352" s="83">
        <v>45230</v>
      </c>
    </row>
    <row r="353" spans="1:13" ht="14.25" customHeight="1" x14ac:dyDescent="0.25">
      <c r="A353" s="9" t="s">
        <v>1578</v>
      </c>
      <c r="B353" s="81">
        <v>114977</v>
      </c>
      <c r="C353" s="81">
        <v>10757</v>
      </c>
      <c r="D353" s="9" t="s">
        <v>1133</v>
      </c>
      <c r="E353" s="81">
        <v>14563091</v>
      </c>
      <c r="F353" s="81">
        <v>37731</v>
      </c>
      <c r="G353" s="81">
        <v>1</v>
      </c>
      <c r="H353" s="82">
        <v>359.46</v>
      </c>
      <c r="I353" s="251">
        <v>359.46</v>
      </c>
      <c r="J353" s="9" t="s">
        <v>1387</v>
      </c>
      <c r="K353" s="9" t="s">
        <v>1388</v>
      </c>
      <c r="L353" s="83">
        <v>45200</v>
      </c>
      <c r="M353" s="83">
        <v>45230</v>
      </c>
    </row>
    <row r="354" spans="1:13" ht="14.25" customHeight="1" x14ac:dyDescent="0.25">
      <c r="A354" s="9" t="s">
        <v>0</v>
      </c>
      <c r="B354" s="81">
        <v>113442</v>
      </c>
      <c r="C354" s="81">
        <v>10750</v>
      </c>
      <c r="D354" s="9" t="s">
        <v>782</v>
      </c>
      <c r="E354" s="81">
        <v>14563091</v>
      </c>
      <c r="F354" s="81">
        <v>31318</v>
      </c>
      <c r="G354" s="81">
        <v>1</v>
      </c>
      <c r="H354" s="82">
        <v>359.46</v>
      </c>
      <c r="I354" s="251">
        <v>359.46</v>
      </c>
      <c r="J354" s="9" t="s">
        <v>1387</v>
      </c>
      <c r="K354" s="9" t="s">
        <v>1388</v>
      </c>
      <c r="L354" s="83">
        <v>45200</v>
      </c>
      <c r="M354" s="83">
        <v>45230</v>
      </c>
    </row>
    <row r="355" spans="1:13" ht="14.25" customHeight="1" x14ac:dyDescent="0.25">
      <c r="A355" s="9" t="s">
        <v>8</v>
      </c>
      <c r="B355" s="81">
        <v>115216</v>
      </c>
      <c r="C355" s="81">
        <v>10766</v>
      </c>
      <c r="D355" s="9" t="s">
        <v>1141</v>
      </c>
      <c r="E355" s="81">
        <v>14563091</v>
      </c>
      <c r="F355" s="81">
        <v>38478</v>
      </c>
      <c r="G355" s="81">
        <v>1</v>
      </c>
      <c r="H355" s="82">
        <v>359.46</v>
      </c>
      <c r="I355" s="251">
        <v>359.46</v>
      </c>
      <c r="J355" s="9" t="s">
        <v>1387</v>
      </c>
      <c r="K355" s="9" t="s">
        <v>1388</v>
      </c>
      <c r="L355" s="83">
        <v>45200</v>
      </c>
      <c r="M355" s="83">
        <v>45230</v>
      </c>
    </row>
    <row r="356" spans="1:13" ht="14.25" customHeight="1" x14ac:dyDescent="0.25">
      <c r="A356" s="9" t="s">
        <v>1578</v>
      </c>
      <c r="B356" s="81">
        <v>113447</v>
      </c>
      <c r="C356" s="81">
        <v>10743</v>
      </c>
      <c r="D356" s="9" t="s">
        <v>784</v>
      </c>
      <c r="E356" s="81">
        <v>14563091</v>
      </c>
      <c r="F356" s="81">
        <v>31328</v>
      </c>
      <c r="G356" s="81">
        <v>1</v>
      </c>
      <c r="H356" s="82">
        <v>359.46</v>
      </c>
      <c r="I356" s="251">
        <v>359.46</v>
      </c>
      <c r="J356" s="9" t="s">
        <v>1387</v>
      </c>
      <c r="K356" s="9" t="s">
        <v>1388</v>
      </c>
      <c r="L356" s="83">
        <v>45200</v>
      </c>
      <c r="M356" s="83">
        <v>45230</v>
      </c>
    </row>
    <row r="357" spans="1:13" ht="14.25" customHeight="1" x14ac:dyDescent="0.25">
      <c r="A357" s="9" t="s">
        <v>32</v>
      </c>
      <c r="B357" s="81">
        <v>113457</v>
      </c>
      <c r="C357" s="81">
        <v>10750</v>
      </c>
      <c r="D357" s="9" t="s">
        <v>788</v>
      </c>
      <c r="E357" s="81">
        <v>14563091</v>
      </c>
      <c r="F357" s="81">
        <v>31348</v>
      </c>
      <c r="G357" s="81">
        <v>1</v>
      </c>
      <c r="H357" s="82">
        <v>359.46</v>
      </c>
      <c r="I357" s="251">
        <v>359.46</v>
      </c>
      <c r="J357" s="9" t="s">
        <v>1387</v>
      </c>
      <c r="K357" s="9" t="s">
        <v>1388</v>
      </c>
      <c r="L357" s="83">
        <v>45200</v>
      </c>
      <c r="M357" s="83">
        <v>45230</v>
      </c>
    </row>
    <row r="358" spans="1:13" ht="14.25" customHeight="1" x14ac:dyDescent="0.25">
      <c r="A358" s="9" t="s">
        <v>1578</v>
      </c>
      <c r="B358" s="81">
        <v>122574</v>
      </c>
      <c r="C358" s="81">
        <v>10761</v>
      </c>
      <c r="D358" s="9" t="s">
        <v>1681</v>
      </c>
      <c r="E358" s="81">
        <v>14563091</v>
      </c>
      <c r="F358" s="81">
        <v>56539</v>
      </c>
      <c r="G358" s="81">
        <v>1</v>
      </c>
      <c r="H358" s="82">
        <v>359.46</v>
      </c>
      <c r="I358" s="251">
        <v>359.46</v>
      </c>
      <c r="J358" s="9" t="s">
        <v>1387</v>
      </c>
      <c r="K358" s="9" t="s">
        <v>1388</v>
      </c>
      <c r="L358" s="83">
        <v>45200</v>
      </c>
      <c r="M358" s="83">
        <v>45230</v>
      </c>
    </row>
    <row r="359" spans="1:13" ht="14.25" customHeight="1" x14ac:dyDescent="0.25">
      <c r="A359" s="9" t="s">
        <v>1578</v>
      </c>
      <c r="B359" s="81">
        <v>113460</v>
      </c>
      <c r="C359" s="81">
        <v>10768</v>
      </c>
      <c r="D359" s="9" t="s">
        <v>791</v>
      </c>
      <c r="E359" s="81">
        <v>14563091</v>
      </c>
      <c r="F359" s="81">
        <v>31354</v>
      </c>
      <c r="G359" s="81">
        <v>1</v>
      </c>
      <c r="H359" s="82">
        <v>359.46</v>
      </c>
      <c r="I359" s="251">
        <v>359.46</v>
      </c>
      <c r="J359" s="9" t="s">
        <v>1387</v>
      </c>
      <c r="K359" s="9" t="s">
        <v>1388</v>
      </c>
      <c r="L359" s="83">
        <v>45200</v>
      </c>
      <c r="M359" s="83">
        <v>45230</v>
      </c>
    </row>
    <row r="360" spans="1:13" ht="14.25" customHeight="1" x14ac:dyDescent="0.25">
      <c r="A360" s="9" t="s">
        <v>0</v>
      </c>
      <c r="B360" s="81">
        <v>113469</v>
      </c>
      <c r="C360" s="81">
        <v>10766</v>
      </c>
      <c r="D360" s="9" t="s">
        <v>796</v>
      </c>
      <c r="E360" s="81">
        <v>14563091</v>
      </c>
      <c r="F360" s="81">
        <v>31372</v>
      </c>
      <c r="G360" s="81">
        <v>1</v>
      </c>
      <c r="H360" s="82">
        <v>359.46</v>
      </c>
      <c r="I360" s="251">
        <v>359.46</v>
      </c>
      <c r="J360" s="9" t="s">
        <v>1387</v>
      </c>
      <c r="K360" s="9" t="s">
        <v>1388</v>
      </c>
      <c r="L360" s="83">
        <v>45200</v>
      </c>
      <c r="M360" s="83">
        <v>45230</v>
      </c>
    </row>
    <row r="361" spans="1:13" ht="14.25" customHeight="1" x14ac:dyDescent="0.25">
      <c r="A361" s="9" t="s">
        <v>32</v>
      </c>
      <c r="B361" s="81">
        <v>113491</v>
      </c>
      <c r="C361" s="81">
        <v>10766</v>
      </c>
      <c r="D361" s="9" t="s">
        <v>808</v>
      </c>
      <c r="E361" s="81">
        <v>14563091</v>
      </c>
      <c r="F361" s="81">
        <v>31416</v>
      </c>
      <c r="G361" s="81">
        <v>1</v>
      </c>
      <c r="H361" s="82">
        <v>359.46</v>
      </c>
      <c r="I361" s="251">
        <v>359.46</v>
      </c>
      <c r="J361" s="9" t="s">
        <v>1387</v>
      </c>
      <c r="K361" s="9" t="s">
        <v>1388</v>
      </c>
      <c r="L361" s="83">
        <v>45200</v>
      </c>
      <c r="M361" s="83">
        <v>45230</v>
      </c>
    </row>
    <row r="362" spans="1:13" ht="14.25" customHeight="1" x14ac:dyDescent="0.25">
      <c r="A362" s="9" t="s">
        <v>19</v>
      </c>
      <c r="B362" s="81">
        <v>113498</v>
      </c>
      <c r="C362" s="81">
        <v>10757</v>
      </c>
      <c r="D362" s="9" t="s">
        <v>810</v>
      </c>
      <c r="E362" s="81">
        <v>14563091</v>
      </c>
      <c r="F362" s="81">
        <v>31430</v>
      </c>
      <c r="G362" s="81">
        <v>1</v>
      </c>
      <c r="H362" s="82">
        <v>347.47</v>
      </c>
      <c r="I362" s="251">
        <v>347.47</v>
      </c>
      <c r="J362" s="9" t="s">
        <v>1387</v>
      </c>
      <c r="K362" s="9" t="s">
        <v>1388</v>
      </c>
      <c r="L362" s="83">
        <v>45200</v>
      </c>
      <c r="M362" s="83">
        <v>45230</v>
      </c>
    </row>
    <row r="363" spans="1:13" ht="14.25" customHeight="1" x14ac:dyDescent="0.25">
      <c r="A363" s="9" t="s">
        <v>1578</v>
      </c>
      <c r="B363" s="81">
        <v>113510</v>
      </c>
      <c r="C363" s="81">
        <v>10755</v>
      </c>
      <c r="D363" s="9" t="s">
        <v>816</v>
      </c>
      <c r="E363" s="81">
        <v>14563091</v>
      </c>
      <c r="F363" s="81">
        <v>31454</v>
      </c>
      <c r="G363" s="81">
        <v>1</v>
      </c>
      <c r="H363" s="82">
        <v>359.46</v>
      </c>
      <c r="I363" s="251">
        <v>359.46</v>
      </c>
      <c r="J363" s="9" t="s">
        <v>1387</v>
      </c>
      <c r="K363" s="9" t="s">
        <v>1388</v>
      </c>
      <c r="L363" s="83">
        <v>45200</v>
      </c>
      <c r="M363" s="83">
        <v>45230</v>
      </c>
    </row>
    <row r="364" spans="1:13" ht="14.25" customHeight="1" x14ac:dyDescent="0.25">
      <c r="A364" s="9" t="s">
        <v>8</v>
      </c>
      <c r="B364" s="81">
        <v>113512</v>
      </c>
      <c r="C364" s="81">
        <v>10757</v>
      </c>
      <c r="D364" s="9" t="s">
        <v>817</v>
      </c>
      <c r="E364" s="81">
        <v>14563091</v>
      </c>
      <c r="F364" s="81">
        <v>31458</v>
      </c>
      <c r="G364" s="81">
        <v>1</v>
      </c>
      <c r="H364" s="82">
        <v>359.46</v>
      </c>
      <c r="I364" s="251">
        <v>359.46</v>
      </c>
      <c r="J364" s="9" t="s">
        <v>1387</v>
      </c>
      <c r="K364" s="9" t="s">
        <v>1388</v>
      </c>
      <c r="L364" s="83">
        <v>45200</v>
      </c>
      <c r="M364" s="83">
        <v>45230</v>
      </c>
    </row>
    <row r="365" spans="1:13" ht="14.25" customHeight="1" x14ac:dyDescent="0.25">
      <c r="A365" s="9" t="s">
        <v>10</v>
      </c>
      <c r="B365" s="81">
        <v>113516</v>
      </c>
      <c r="C365" s="81">
        <v>10750</v>
      </c>
      <c r="D365" s="9" t="s">
        <v>819</v>
      </c>
      <c r="E365" s="81">
        <v>14563091</v>
      </c>
      <c r="F365" s="81">
        <v>31466</v>
      </c>
      <c r="G365" s="81">
        <v>1</v>
      </c>
      <c r="H365" s="82">
        <v>359.46</v>
      </c>
      <c r="I365" s="251">
        <v>359.46</v>
      </c>
      <c r="J365" s="9" t="s">
        <v>1387</v>
      </c>
      <c r="K365" s="9" t="s">
        <v>1388</v>
      </c>
      <c r="L365" s="83">
        <v>45200</v>
      </c>
      <c r="M365" s="83">
        <v>45230</v>
      </c>
    </row>
    <row r="366" spans="1:13" ht="14.25" customHeight="1" x14ac:dyDescent="0.25">
      <c r="A366" s="9" t="s">
        <v>8</v>
      </c>
      <c r="B366" s="81">
        <v>114108</v>
      </c>
      <c r="C366" s="81">
        <v>10758</v>
      </c>
      <c r="D366" s="9" t="s">
        <v>1008</v>
      </c>
      <c r="E366" s="81">
        <v>14563091</v>
      </c>
      <c r="F366" s="81">
        <v>34365</v>
      </c>
      <c r="G366" s="81">
        <v>1</v>
      </c>
      <c r="H366" s="82">
        <v>359.46</v>
      </c>
      <c r="I366" s="251">
        <v>359.46</v>
      </c>
      <c r="J366" s="9" t="s">
        <v>1387</v>
      </c>
      <c r="K366" s="9" t="s">
        <v>1388</v>
      </c>
      <c r="L366" s="83">
        <v>45200</v>
      </c>
      <c r="M366" s="83">
        <v>45230</v>
      </c>
    </row>
    <row r="367" spans="1:13" ht="14.25" customHeight="1" x14ac:dyDescent="0.25">
      <c r="A367" s="9" t="s">
        <v>0</v>
      </c>
      <c r="B367" s="81">
        <v>113521</v>
      </c>
      <c r="C367" s="81">
        <v>10751</v>
      </c>
      <c r="D367" s="9" t="s">
        <v>822</v>
      </c>
      <c r="E367" s="81">
        <v>14563091</v>
      </c>
      <c r="F367" s="81">
        <v>31476</v>
      </c>
      <c r="G367" s="81">
        <v>1</v>
      </c>
      <c r="H367" s="82">
        <v>359.46</v>
      </c>
      <c r="I367" s="251">
        <v>359.46</v>
      </c>
      <c r="J367" s="9" t="s">
        <v>1387</v>
      </c>
      <c r="K367" s="9" t="s">
        <v>1388</v>
      </c>
      <c r="L367" s="83">
        <v>45200</v>
      </c>
      <c r="M367" s="83">
        <v>45230</v>
      </c>
    </row>
    <row r="368" spans="1:13" ht="14.25" customHeight="1" x14ac:dyDescent="0.25">
      <c r="A368" s="9" t="s">
        <v>0</v>
      </c>
      <c r="B368" s="81">
        <v>116327</v>
      </c>
      <c r="C368" s="81">
        <v>10757</v>
      </c>
      <c r="D368" s="9" t="s">
        <v>1513</v>
      </c>
      <c r="E368" s="81">
        <v>14563091</v>
      </c>
      <c r="F368" s="81">
        <v>41864</v>
      </c>
      <c r="G368" s="81">
        <v>1</v>
      </c>
      <c r="H368" s="82">
        <v>359.46</v>
      </c>
      <c r="I368" s="251">
        <v>359.46</v>
      </c>
      <c r="J368" s="9" t="s">
        <v>1387</v>
      </c>
      <c r="K368" s="9" t="s">
        <v>1388</v>
      </c>
      <c r="L368" s="83">
        <v>45200</v>
      </c>
      <c r="M368" s="83">
        <v>45230</v>
      </c>
    </row>
    <row r="369" spans="1:13" ht="14.25" customHeight="1" x14ac:dyDescent="0.25">
      <c r="A369" s="9" t="s">
        <v>19</v>
      </c>
      <c r="B369" s="81">
        <v>113524</v>
      </c>
      <c r="C369" s="81">
        <v>10757</v>
      </c>
      <c r="D369" s="9" t="s">
        <v>1329</v>
      </c>
      <c r="E369" s="81">
        <v>14563091</v>
      </c>
      <c r="F369" s="81">
        <v>31482</v>
      </c>
      <c r="G369" s="81">
        <v>1</v>
      </c>
      <c r="H369" s="82">
        <v>359.46</v>
      </c>
      <c r="I369" s="251">
        <v>359.46</v>
      </c>
      <c r="J369" s="9" t="s">
        <v>1387</v>
      </c>
      <c r="K369" s="9" t="s">
        <v>1388</v>
      </c>
      <c r="L369" s="83">
        <v>45200</v>
      </c>
      <c r="M369" s="83">
        <v>45230</v>
      </c>
    </row>
    <row r="370" spans="1:13" ht="14.25" customHeight="1" x14ac:dyDescent="0.25">
      <c r="A370" s="9" t="s">
        <v>0</v>
      </c>
      <c r="B370" s="81">
        <v>113530</v>
      </c>
      <c r="C370" s="81">
        <v>10750</v>
      </c>
      <c r="D370" s="9" t="s">
        <v>826</v>
      </c>
      <c r="E370" s="81">
        <v>14563091</v>
      </c>
      <c r="F370" s="81">
        <v>31494</v>
      </c>
      <c r="G370" s="81">
        <v>1</v>
      </c>
      <c r="H370" s="82">
        <v>359.46</v>
      </c>
      <c r="I370" s="251">
        <v>359.46</v>
      </c>
      <c r="J370" s="9" t="s">
        <v>1387</v>
      </c>
      <c r="K370" s="9" t="s">
        <v>1388</v>
      </c>
      <c r="L370" s="83">
        <v>45200</v>
      </c>
      <c r="M370" s="83">
        <v>45230</v>
      </c>
    </row>
    <row r="371" spans="1:13" ht="14.25" customHeight="1" x14ac:dyDescent="0.25">
      <c r="A371" s="9" t="s">
        <v>10</v>
      </c>
      <c r="B371" s="81">
        <v>113532</v>
      </c>
      <c r="C371" s="81">
        <v>10758</v>
      </c>
      <c r="D371" s="9" t="s">
        <v>828</v>
      </c>
      <c r="E371" s="81">
        <v>14563091</v>
      </c>
      <c r="F371" s="81">
        <v>31498</v>
      </c>
      <c r="G371" s="81">
        <v>1</v>
      </c>
      <c r="H371" s="82">
        <v>359.46</v>
      </c>
      <c r="I371" s="251">
        <v>359.46</v>
      </c>
      <c r="J371" s="9" t="s">
        <v>1387</v>
      </c>
      <c r="K371" s="9" t="s">
        <v>1388</v>
      </c>
      <c r="L371" s="83">
        <v>45200</v>
      </c>
      <c r="M371" s="83">
        <v>45230</v>
      </c>
    </row>
    <row r="372" spans="1:13" ht="14.25" customHeight="1" x14ac:dyDescent="0.25">
      <c r="A372" s="9" t="s">
        <v>1578</v>
      </c>
      <c r="B372" s="81">
        <v>113535</v>
      </c>
      <c r="C372" s="81">
        <v>10771</v>
      </c>
      <c r="D372" s="9" t="s">
        <v>830</v>
      </c>
      <c r="E372" s="81">
        <v>14563091</v>
      </c>
      <c r="F372" s="81">
        <v>31504</v>
      </c>
      <c r="G372" s="81">
        <v>1</v>
      </c>
      <c r="H372" s="82">
        <v>359.46</v>
      </c>
      <c r="I372" s="251">
        <v>359.46</v>
      </c>
      <c r="J372" s="9" t="s">
        <v>1387</v>
      </c>
      <c r="K372" s="9" t="s">
        <v>1388</v>
      </c>
      <c r="L372" s="83">
        <v>45200</v>
      </c>
      <c r="M372" s="83">
        <v>45230</v>
      </c>
    </row>
    <row r="373" spans="1:13" ht="14.25" customHeight="1" x14ac:dyDescent="0.25">
      <c r="A373" s="9" t="s">
        <v>0</v>
      </c>
      <c r="B373" s="81">
        <v>113537</v>
      </c>
      <c r="C373" s="81">
        <v>10750</v>
      </c>
      <c r="D373" s="9" t="s">
        <v>832</v>
      </c>
      <c r="E373" s="81">
        <v>14563091</v>
      </c>
      <c r="F373" s="81">
        <v>31508</v>
      </c>
      <c r="G373" s="81">
        <v>1</v>
      </c>
      <c r="H373" s="82">
        <v>359.46</v>
      </c>
      <c r="I373" s="251">
        <v>359.46</v>
      </c>
      <c r="J373" s="9" t="s">
        <v>1387</v>
      </c>
      <c r="K373" s="9" t="s">
        <v>1388</v>
      </c>
      <c r="L373" s="83">
        <v>45200</v>
      </c>
      <c r="M373" s="83">
        <v>45230</v>
      </c>
    </row>
    <row r="374" spans="1:13" ht="14.25" customHeight="1" x14ac:dyDescent="0.25">
      <c r="A374" s="9" t="s">
        <v>1578</v>
      </c>
      <c r="B374" s="81">
        <v>113541</v>
      </c>
      <c r="C374" s="81">
        <v>10771</v>
      </c>
      <c r="D374" s="9" t="s">
        <v>834</v>
      </c>
      <c r="E374" s="81">
        <v>14563091</v>
      </c>
      <c r="F374" s="81">
        <v>31516</v>
      </c>
      <c r="G374" s="81">
        <v>1</v>
      </c>
      <c r="H374" s="82">
        <v>359.46</v>
      </c>
      <c r="I374" s="251">
        <v>359.46</v>
      </c>
      <c r="J374" s="9" t="s">
        <v>1387</v>
      </c>
      <c r="K374" s="9" t="s">
        <v>1388</v>
      </c>
      <c r="L374" s="83">
        <v>45200</v>
      </c>
      <c r="M374" s="83">
        <v>45230</v>
      </c>
    </row>
    <row r="375" spans="1:13" ht="14.25" customHeight="1" x14ac:dyDescent="0.25">
      <c r="A375" s="9" t="s">
        <v>0</v>
      </c>
      <c r="B375" s="81">
        <v>113548</v>
      </c>
      <c r="C375" s="81">
        <v>10760</v>
      </c>
      <c r="D375" s="9" t="s">
        <v>839</v>
      </c>
      <c r="E375" s="81">
        <v>14563091</v>
      </c>
      <c r="F375" s="81">
        <v>31530</v>
      </c>
      <c r="G375" s="81">
        <v>1</v>
      </c>
      <c r="H375" s="82">
        <v>359.46</v>
      </c>
      <c r="I375" s="251">
        <v>359.46</v>
      </c>
      <c r="J375" s="9" t="s">
        <v>1387</v>
      </c>
      <c r="K375" s="9" t="s">
        <v>1388</v>
      </c>
      <c r="L375" s="83">
        <v>45200</v>
      </c>
      <c r="M375" s="83">
        <v>45230</v>
      </c>
    </row>
    <row r="376" spans="1:13" ht="14.25" customHeight="1" x14ac:dyDescent="0.25">
      <c r="A376" s="9" t="s">
        <v>0</v>
      </c>
      <c r="B376" s="81">
        <v>113551</v>
      </c>
      <c r="C376" s="81">
        <v>10751</v>
      </c>
      <c r="D376" s="9" t="s">
        <v>842</v>
      </c>
      <c r="E376" s="81">
        <v>14563091</v>
      </c>
      <c r="F376" s="81">
        <v>31536</v>
      </c>
      <c r="G376" s="81">
        <v>1</v>
      </c>
      <c r="H376" s="82">
        <v>359.46</v>
      </c>
      <c r="I376" s="251">
        <v>359.46</v>
      </c>
      <c r="J376" s="9" t="s">
        <v>1387</v>
      </c>
      <c r="K376" s="9" t="s">
        <v>1388</v>
      </c>
      <c r="L376" s="83">
        <v>45200</v>
      </c>
      <c r="M376" s="83">
        <v>45230</v>
      </c>
    </row>
    <row r="377" spans="1:13" ht="14.25" customHeight="1" x14ac:dyDescent="0.25">
      <c r="A377" s="9" t="s">
        <v>32</v>
      </c>
      <c r="B377" s="81">
        <v>114697</v>
      </c>
      <c r="C377" s="81">
        <v>10756</v>
      </c>
      <c r="D377" s="9" t="s">
        <v>1071</v>
      </c>
      <c r="E377" s="81">
        <v>14563091</v>
      </c>
      <c r="F377" s="81">
        <v>36842</v>
      </c>
      <c r="G377" s="81">
        <v>1</v>
      </c>
      <c r="H377" s="82">
        <v>359.46</v>
      </c>
      <c r="I377" s="251">
        <v>359.46</v>
      </c>
      <c r="J377" s="9" t="s">
        <v>1387</v>
      </c>
      <c r="K377" s="9" t="s">
        <v>1388</v>
      </c>
      <c r="L377" s="83">
        <v>45200</v>
      </c>
      <c r="M377" s="83">
        <v>45230</v>
      </c>
    </row>
    <row r="378" spans="1:13" ht="14.25" customHeight="1" x14ac:dyDescent="0.25">
      <c r="A378" s="9" t="s">
        <v>0</v>
      </c>
      <c r="B378" s="81">
        <v>113594</v>
      </c>
      <c r="C378" s="81">
        <v>10745</v>
      </c>
      <c r="D378" s="9" t="s">
        <v>864</v>
      </c>
      <c r="E378" s="81">
        <v>14563091</v>
      </c>
      <c r="F378" s="81">
        <v>31622</v>
      </c>
      <c r="G378" s="81">
        <v>1</v>
      </c>
      <c r="H378" s="82">
        <v>359.46</v>
      </c>
      <c r="I378" s="251">
        <v>359.46</v>
      </c>
      <c r="J378" s="9" t="s">
        <v>1387</v>
      </c>
      <c r="K378" s="9" t="s">
        <v>1388</v>
      </c>
      <c r="L378" s="83">
        <v>45200</v>
      </c>
      <c r="M378" s="83">
        <v>45230</v>
      </c>
    </row>
    <row r="379" spans="1:13" ht="14.25" customHeight="1" x14ac:dyDescent="0.25">
      <c r="A379" s="9" t="s">
        <v>0</v>
      </c>
      <c r="B379" s="81">
        <v>113566</v>
      </c>
      <c r="C379" s="81">
        <v>10750</v>
      </c>
      <c r="D379" s="9" t="s">
        <v>851</v>
      </c>
      <c r="E379" s="81">
        <v>14563091</v>
      </c>
      <c r="F379" s="81">
        <v>31566</v>
      </c>
      <c r="G379" s="81">
        <v>1</v>
      </c>
      <c r="H379" s="82">
        <v>359.46</v>
      </c>
      <c r="I379" s="251">
        <v>359.46</v>
      </c>
      <c r="J379" s="9" t="s">
        <v>1387</v>
      </c>
      <c r="K379" s="9" t="s">
        <v>1388</v>
      </c>
      <c r="L379" s="83">
        <v>45200</v>
      </c>
      <c r="M379" s="83">
        <v>45230</v>
      </c>
    </row>
    <row r="380" spans="1:13" ht="14.25" customHeight="1" x14ac:dyDescent="0.25">
      <c r="A380" s="9" t="s">
        <v>8</v>
      </c>
      <c r="B380" s="81">
        <v>113597</v>
      </c>
      <c r="C380" s="81">
        <v>10754</v>
      </c>
      <c r="D380" s="9" t="s">
        <v>865</v>
      </c>
      <c r="E380" s="81">
        <v>14563091</v>
      </c>
      <c r="F380" s="81">
        <v>31628</v>
      </c>
      <c r="G380" s="81">
        <v>1</v>
      </c>
      <c r="H380" s="82">
        <v>359.46</v>
      </c>
      <c r="I380" s="251">
        <v>359.46</v>
      </c>
      <c r="J380" s="9" t="s">
        <v>1387</v>
      </c>
      <c r="K380" s="9" t="s">
        <v>1388</v>
      </c>
      <c r="L380" s="83">
        <v>45200</v>
      </c>
      <c r="M380" s="83">
        <v>45230</v>
      </c>
    </row>
    <row r="381" spans="1:13" ht="14.25" customHeight="1" x14ac:dyDescent="0.25">
      <c r="A381" s="9" t="s">
        <v>8</v>
      </c>
      <c r="B381" s="81">
        <v>113579</v>
      </c>
      <c r="C381" s="81">
        <v>10750</v>
      </c>
      <c r="D381" s="9" t="s">
        <v>855</v>
      </c>
      <c r="E381" s="81">
        <v>14563091</v>
      </c>
      <c r="F381" s="81">
        <v>31592</v>
      </c>
      <c r="G381" s="81">
        <v>1</v>
      </c>
      <c r="H381" s="82">
        <v>359.46</v>
      </c>
      <c r="I381" s="251">
        <v>359.46</v>
      </c>
      <c r="J381" s="9" t="s">
        <v>1387</v>
      </c>
      <c r="K381" s="9" t="s">
        <v>1388</v>
      </c>
      <c r="L381" s="83">
        <v>45200</v>
      </c>
      <c r="M381" s="83">
        <v>45230</v>
      </c>
    </row>
    <row r="382" spans="1:13" ht="14.25" customHeight="1" x14ac:dyDescent="0.25">
      <c r="A382" s="9" t="s">
        <v>0</v>
      </c>
      <c r="B382" s="81">
        <v>113584</v>
      </c>
      <c r="C382" s="81">
        <v>10756</v>
      </c>
      <c r="D382" s="9" t="s">
        <v>857</v>
      </c>
      <c r="E382" s="81">
        <v>14563091</v>
      </c>
      <c r="F382" s="81">
        <v>31602</v>
      </c>
      <c r="G382" s="81">
        <v>1</v>
      </c>
      <c r="H382" s="82">
        <v>359.46</v>
      </c>
      <c r="I382" s="251">
        <v>359.46</v>
      </c>
      <c r="J382" s="9" t="s">
        <v>1387</v>
      </c>
      <c r="K382" s="9" t="s">
        <v>1388</v>
      </c>
      <c r="L382" s="83">
        <v>45200</v>
      </c>
      <c r="M382" s="83">
        <v>45230</v>
      </c>
    </row>
    <row r="383" spans="1:13" ht="14.25" customHeight="1" x14ac:dyDescent="0.25">
      <c r="A383" s="9" t="s">
        <v>10</v>
      </c>
      <c r="B383" s="81">
        <v>113586</v>
      </c>
      <c r="C383" s="81">
        <v>10750</v>
      </c>
      <c r="D383" s="9" t="s">
        <v>859</v>
      </c>
      <c r="E383" s="81">
        <v>14563091</v>
      </c>
      <c r="F383" s="81">
        <v>31606</v>
      </c>
      <c r="G383" s="81">
        <v>1</v>
      </c>
      <c r="H383" s="82">
        <v>359.46</v>
      </c>
      <c r="I383" s="251">
        <v>359.46</v>
      </c>
      <c r="J383" s="9" t="s">
        <v>1387</v>
      </c>
      <c r="K383" s="9" t="s">
        <v>1388</v>
      </c>
      <c r="L383" s="83">
        <v>45200</v>
      </c>
      <c r="M383" s="83">
        <v>45230</v>
      </c>
    </row>
    <row r="384" spans="1:13" ht="14.25" customHeight="1" x14ac:dyDescent="0.25">
      <c r="A384" s="9" t="s">
        <v>10</v>
      </c>
      <c r="B384" s="81">
        <v>113589</v>
      </c>
      <c r="C384" s="81">
        <v>10760</v>
      </c>
      <c r="D384" s="9" t="s">
        <v>1397</v>
      </c>
      <c r="E384" s="81">
        <v>14563091</v>
      </c>
      <c r="F384" s="81">
        <v>31612</v>
      </c>
      <c r="G384" s="81">
        <v>1</v>
      </c>
      <c r="H384" s="82">
        <v>359.46</v>
      </c>
      <c r="I384" s="251">
        <v>359.46</v>
      </c>
      <c r="J384" s="9" t="s">
        <v>1387</v>
      </c>
      <c r="K384" s="9" t="s">
        <v>1388</v>
      </c>
      <c r="L384" s="83">
        <v>45200</v>
      </c>
      <c r="M384" s="83">
        <v>45230</v>
      </c>
    </row>
    <row r="385" spans="1:13" ht="14.25" customHeight="1" x14ac:dyDescent="0.25">
      <c r="A385" s="9" t="s">
        <v>1578</v>
      </c>
      <c r="B385" s="81">
        <v>114525</v>
      </c>
      <c r="C385" s="81">
        <v>10756</v>
      </c>
      <c r="D385" s="9" t="s">
        <v>1330</v>
      </c>
      <c r="E385" s="81">
        <v>14563091</v>
      </c>
      <c r="F385" s="81">
        <v>36330</v>
      </c>
      <c r="G385" s="81">
        <v>1</v>
      </c>
      <c r="H385" s="82">
        <v>359.46</v>
      </c>
      <c r="I385" s="251">
        <v>359.46</v>
      </c>
      <c r="J385" s="9" t="s">
        <v>1387</v>
      </c>
      <c r="K385" s="9" t="s">
        <v>1388</v>
      </c>
      <c r="L385" s="83">
        <v>45200</v>
      </c>
      <c r="M385" s="83">
        <v>45230</v>
      </c>
    </row>
    <row r="386" spans="1:13" ht="14.25" customHeight="1" x14ac:dyDescent="0.25">
      <c r="A386" s="9" t="s">
        <v>10</v>
      </c>
      <c r="B386" s="81">
        <v>113590</v>
      </c>
      <c r="C386" s="81">
        <v>10757</v>
      </c>
      <c r="D386" s="9" t="s">
        <v>862</v>
      </c>
      <c r="E386" s="81">
        <v>14563091</v>
      </c>
      <c r="F386" s="81">
        <v>31614</v>
      </c>
      <c r="G386" s="81">
        <v>1</v>
      </c>
      <c r="H386" s="82">
        <v>359.46</v>
      </c>
      <c r="I386" s="251">
        <v>359.46</v>
      </c>
      <c r="J386" s="9" t="s">
        <v>1387</v>
      </c>
      <c r="K386" s="9" t="s">
        <v>1388</v>
      </c>
      <c r="L386" s="83">
        <v>45200</v>
      </c>
      <c r="M386" s="83">
        <v>45230</v>
      </c>
    </row>
    <row r="387" spans="1:13" ht="14.25" customHeight="1" x14ac:dyDescent="0.25">
      <c r="A387" s="9" t="s">
        <v>1578</v>
      </c>
      <c r="B387" s="81">
        <v>113592</v>
      </c>
      <c r="C387" s="81">
        <v>10761</v>
      </c>
      <c r="D387" s="9" t="s">
        <v>863</v>
      </c>
      <c r="E387" s="81">
        <v>14563091</v>
      </c>
      <c r="F387" s="81">
        <v>31618</v>
      </c>
      <c r="G387" s="81">
        <v>1</v>
      </c>
      <c r="H387" s="82">
        <v>359.46</v>
      </c>
      <c r="I387" s="251">
        <v>359.46</v>
      </c>
      <c r="J387" s="9" t="s">
        <v>1387</v>
      </c>
      <c r="K387" s="9" t="s">
        <v>1388</v>
      </c>
      <c r="L387" s="83">
        <v>45200</v>
      </c>
      <c r="M387" s="83">
        <v>45230</v>
      </c>
    </row>
    <row r="388" spans="1:13" ht="14.25" customHeight="1" x14ac:dyDescent="0.25">
      <c r="A388" s="9" t="s">
        <v>1578</v>
      </c>
      <c r="B388" s="81">
        <v>121428</v>
      </c>
      <c r="C388" s="81">
        <v>10755</v>
      </c>
      <c r="D388" s="9" t="s">
        <v>1556</v>
      </c>
      <c r="E388" s="81">
        <v>14563091</v>
      </c>
      <c r="F388" s="81">
        <v>53736</v>
      </c>
      <c r="G388" s="81">
        <v>1</v>
      </c>
      <c r="H388" s="82">
        <v>359.46</v>
      </c>
      <c r="I388" s="251">
        <v>359.46</v>
      </c>
      <c r="J388" s="9" t="s">
        <v>1387</v>
      </c>
      <c r="K388" s="9" t="s">
        <v>1388</v>
      </c>
      <c r="L388" s="83">
        <v>45200</v>
      </c>
      <c r="M388" s="83">
        <v>45230</v>
      </c>
    </row>
    <row r="389" spans="1:13" ht="14.25" customHeight="1" x14ac:dyDescent="0.25">
      <c r="A389" s="9" t="s">
        <v>8</v>
      </c>
      <c r="B389" s="81">
        <v>113603</v>
      </c>
      <c r="C389" s="81">
        <v>10756</v>
      </c>
      <c r="D389" s="9" t="s">
        <v>868</v>
      </c>
      <c r="E389" s="81">
        <v>14563091</v>
      </c>
      <c r="F389" s="81">
        <v>31640</v>
      </c>
      <c r="G389" s="81">
        <v>1</v>
      </c>
      <c r="H389" s="82">
        <v>359.46</v>
      </c>
      <c r="I389" s="251">
        <v>359.46</v>
      </c>
      <c r="J389" s="9" t="s">
        <v>1387</v>
      </c>
      <c r="K389" s="9" t="s">
        <v>1388</v>
      </c>
      <c r="L389" s="83">
        <v>45200</v>
      </c>
      <c r="M389" s="83">
        <v>45230</v>
      </c>
    </row>
    <row r="390" spans="1:13" ht="14.25" customHeight="1" x14ac:dyDescent="0.25">
      <c r="A390" s="9" t="s">
        <v>1578</v>
      </c>
      <c r="B390" s="81">
        <v>113607</v>
      </c>
      <c r="C390" s="81">
        <v>10757</v>
      </c>
      <c r="D390" s="9" t="s">
        <v>869</v>
      </c>
      <c r="E390" s="81">
        <v>14563091</v>
      </c>
      <c r="F390" s="81">
        <v>31648</v>
      </c>
      <c r="G390" s="81">
        <v>1</v>
      </c>
      <c r="H390" s="82">
        <v>359.46</v>
      </c>
      <c r="I390" s="251">
        <v>359.46</v>
      </c>
      <c r="J390" s="9" t="s">
        <v>1387</v>
      </c>
      <c r="K390" s="9" t="s">
        <v>1388</v>
      </c>
      <c r="L390" s="83">
        <v>45200</v>
      </c>
      <c r="M390" s="83">
        <v>45230</v>
      </c>
    </row>
    <row r="391" spans="1:13" ht="14.25" customHeight="1" x14ac:dyDescent="0.25">
      <c r="A391" s="9" t="s">
        <v>10</v>
      </c>
      <c r="B391" s="81">
        <v>113609</v>
      </c>
      <c r="C391" s="81">
        <v>10760</v>
      </c>
      <c r="D391" s="9" t="s">
        <v>871</v>
      </c>
      <c r="E391" s="81">
        <v>14563091</v>
      </c>
      <c r="F391" s="81">
        <v>31652</v>
      </c>
      <c r="G391" s="81">
        <v>1</v>
      </c>
      <c r="H391" s="82">
        <v>359.46</v>
      </c>
      <c r="I391" s="251">
        <v>359.46</v>
      </c>
      <c r="J391" s="9" t="s">
        <v>1387</v>
      </c>
      <c r="K391" s="9" t="s">
        <v>1388</v>
      </c>
      <c r="L391" s="83">
        <v>45200</v>
      </c>
      <c r="M391" s="83">
        <v>45230</v>
      </c>
    </row>
    <row r="392" spans="1:13" ht="14.25" customHeight="1" x14ac:dyDescent="0.25">
      <c r="A392" s="9" t="s">
        <v>8</v>
      </c>
      <c r="B392" s="81">
        <v>113661</v>
      </c>
      <c r="C392" s="81">
        <v>10750</v>
      </c>
      <c r="D392" s="9" t="s">
        <v>900</v>
      </c>
      <c r="E392" s="81">
        <v>14563091</v>
      </c>
      <c r="F392" s="81">
        <v>31756</v>
      </c>
      <c r="G392" s="81">
        <v>1</v>
      </c>
      <c r="H392" s="82">
        <v>359.46</v>
      </c>
      <c r="I392" s="251">
        <v>359.46</v>
      </c>
      <c r="J392" s="9" t="s">
        <v>1387</v>
      </c>
      <c r="K392" s="9" t="s">
        <v>1388</v>
      </c>
      <c r="L392" s="83">
        <v>45200</v>
      </c>
      <c r="M392" s="83">
        <v>45230</v>
      </c>
    </row>
    <row r="393" spans="1:13" ht="14.25" customHeight="1" x14ac:dyDescent="0.25">
      <c r="A393" s="9" t="s">
        <v>8</v>
      </c>
      <c r="B393" s="81">
        <v>113612</v>
      </c>
      <c r="C393" s="81">
        <v>10751</v>
      </c>
      <c r="D393" s="9" t="s">
        <v>873</v>
      </c>
      <c r="E393" s="81">
        <v>14563091</v>
      </c>
      <c r="F393" s="81">
        <v>31658</v>
      </c>
      <c r="G393" s="81">
        <v>1</v>
      </c>
      <c r="H393" s="82">
        <v>359.46</v>
      </c>
      <c r="I393" s="251">
        <v>359.46</v>
      </c>
      <c r="J393" s="9" t="s">
        <v>1387</v>
      </c>
      <c r="K393" s="9" t="s">
        <v>1388</v>
      </c>
      <c r="L393" s="83">
        <v>45200</v>
      </c>
      <c r="M393" s="83">
        <v>45230</v>
      </c>
    </row>
    <row r="394" spans="1:13" ht="14.25" customHeight="1" x14ac:dyDescent="0.25">
      <c r="A394" s="9" t="s">
        <v>8</v>
      </c>
      <c r="B394" s="81">
        <v>113619</v>
      </c>
      <c r="C394" s="81">
        <v>10757</v>
      </c>
      <c r="D394" s="9" t="s">
        <v>876</v>
      </c>
      <c r="E394" s="81">
        <v>14563091</v>
      </c>
      <c r="F394" s="81">
        <v>31672</v>
      </c>
      <c r="G394" s="81">
        <v>1</v>
      </c>
      <c r="H394" s="82">
        <v>359.46</v>
      </c>
      <c r="I394" s="251">
        <v>359.46</v>
      </c>
      <c r="J394" s="9" t="s">
        <v>1387</v>
      </c>
      <c r="K394" s="9" t="s">
        <v>1388</v>
      </c>
      <c r="L394" s="83">
        <v>45200</v>
      </c>
      <c r="M394" s="83">
        <v>45230</v>
      </c>
    </row>
    <row r="395" spans="1:13" ht="14.25" customHeight="1" x14ac:dyDescent="0.25">
      <c r="A395" s="9" t="s">
        <v>19</v>
      </c>
      <c r="B395" s="81">
        <v>113623</v>
      </c>
      <c r="C395" s="81">
        <v>10754</v>
      </c>
      <c r="D395" s="9" t="s">
        <v>877</v>
      </c>
      <c r="E395" s="81">
        <v>14563091</v>
      </c>
      <c r="F395" s="81">
        <v>31680</v>
      </c>
      <c r="G395" s="81">
        <v>1</v>
      </c>
      <c r="H395" s="82">
        <v>359.46</v>
      </c>
      <c r="I395" s="251">
        <v>359.46</v>
      </c>
      <c r="J395" s="9" t="s">
        <v>1387</v>
      </c>
      <c r="K395" s="9" t="s">
        <v>1388</v>
      </c>
      <c r="L395" s="83">
        <v>45200</v>
      </c>
      <c r="M395" s="83">
        <v>45230</v>
      </c>
    </row>
    <row r="396" spans="1:13" ht="14.25" customHeight="1" x14ac:dyDescent="0.25">
      <c r="A396" s="9" t="s">
        <v>1578</v>
      </c>
      <c r="B396" s="81">
        <v>113626</v>
      </c>
      <c r="C396" s="81">
        <v>10771</v>
      </c>
      <c r="D396" s="9" t="s">
        <v>879</v>
      </c>
      <c r="E396" s="81">
        <v>14563091</v>
      </c>
      <c r="F396" s="81">
        <v>31686</v>
      </c>
      <c r="G396" s="81">
        <v>1</v>
      </c>
      <c r="H396" s="82">
        <v>359.46</v>
      </c>
      <c r="I396" s="251">
        <v>359.46</v>
      </c>
      <c r="J396" s="9" t="s">
        <v>1387</v>
      </c>
      <c r="K396" s="9" t="s">
        <v>1388</v>
      </c>
      <c r="L396" s="83">
        <v>45200</v>
      </c>
      <c r="M396" s="83">
        <v>45230</v>
      </c>
    </row>
    <row r="397" spans="1:13" ht="14.25" customHeight="1" x14ac:dyDescent="0.25">
      <c r="A397" s="9" t="s">
        <v>19</v>
      </c>
      <c r="B397" s="81">
        <v>113636</v>
      </c>
      <c r="C397" s="81">
        <v>10757</v>
      </c>
      <c r="D397" s="9" t="s">
        <v>887</v>
      </c>
      <c r="E397" s="81">
        <v>14563091</v>
      </c>
      <c r="F397" s="81">
        <v>31706</v>
      </c>
      <c r="G397" s="81">
        <v>1</v>
      </c>
      <c r="H397" s="82">
        <v>359.46</v>
      </c>
      <c r="I397" s="251">
        <v>359.46</v>
      </c>
      <c r="J397" s="9" t="s">
        <v>1387</v>
      </c>
      <c r="K397" s="9" t="s">
        <v>1388</v>
      </c>
      <c r="L397" s="83">
        <v>45200</v>
      </c>
      <c r="M397" s="83">
        <v>45230</v>
      </c>
    </row>
    <row r="398" spans="1:13" ht="14.25" customHeight="1" x14ac:dyDescent="0.25">
      <c r="A398" s="9" t="s">
        <v>8</v>
      </c>
      <c r="B398" s="81">
        <v>113674</v>
      </c>
      <c r="C398" s="81">
        <v>10754</v>
      </c>
      <c r="D398" s="9" t="s">
        <v>1331</v>
      </c>
      <c r="E398" s="81">
        <v>14563091</v>
      </c>
      <c r="F398" s="81">
        <v>31782</v>
      </c>
      <c r="G398" s="81">
        <v>1</v>
      </c>
      <c r="H398" s="82">
        <v>359.46</v>
      </c>
      <c r="I398" s="251">
        <v>359.46</v>
      </c>
      <c r="J398" s="9" t="s">
        <v>1387</v>
      </c>
      <c r="K398" s="9" t="s">
        <v>1388</v>
      </c>
      <c r="L398" s="83">
        <v>45200</v>
      </c>
      <c r="M398" s="83">
        <v>45230</v>
      </c>
    </row>
    <row r="399" spans="1:13" ht="14.25" customHeight="1" x14ac:dyDescent="0.25">
      <c r="A399" s="9" t="s">
        <v>10</v>
      </c>
      <c r="B399" s="81">
        <v>122081</v>
      </c>
      <c r="C399" s="81">
        <v>10758</v>
      </c>
      <c r="D399" s="9" t="s">
        <v>1639</v>
      </c>
      <c r="E399" s="81">
        <v>14563091</v>
      </c>
      <c r="F399" s="81">
        <v>55278</v>
      </c>
      <c r="G399" s="81">
        <v>1</v>
      </c>
      <c r="H399" s="82">
        <v>359.46</v>
      </c>
      <c r="I399" s="251">
        <v>359.46</v>
      </c>
      <c r="J399" s="9" t="s">
        <v>1387</v>
      </c>
      <c r="K399" s="9" t="s">
        <v>1388</v>
      </c>
      <c r="L399" s="83">
        <v>45200</v>
      </c>
      <c r="M399" s="83">
        <v>45230</v>
      </c>
    </row>
    <row r="400" spans="1:13" ht="14.25" customHeight="1" x14ac:dyDescent="0.25">
      <c r="A400" s="9" t="s">
        <v>1578</v>
      </c>
      <c r="B400" s="81">
        <v>113785</v>
      </c>
      <c r="C400" s="81">
        <v>10768</v>
      </c>
      <c r="D400" s="9" t="s">
        <v>979</v>
      </c>
      <c r="E400" s="81">
        <v>14563091</v>
      </c>
      <c r="F400" s="81">
        <v>32021</v>
      </c>
      <c r="G400" s="81">
        <v>1</v>
      </c>
      <c r="H400" s="82">
        <v>359.46</v>
      </c>
      <c r="I400" s="251">
        <v>359.46</v>
      </c>
      <c r="J400" s="9" t="s">
        <v>1387</v>
      </c>
      <c r="K400" s="9" t="s">
        <v>1388</v>
      </c>
      <c r="L400" s="83">
        <v>45200</v>
      </c>
      <c r="M400" s="83">
        <v>45230</v>
      </c>
    </row>
    <row r="401" spans="1:13" ht="14.25" customHeight="1" x14ac:dyDescent="0.25">
      <c r="A401" s="9" t="s">
        <v>1578</v>
      </c>
      <c r="B401" s="81">
        <v>121404</v>
      </c>
      <c r="C401" s="81">
        <v>10755</v>
      </c>
      <c r="D401" s="9" t="s">
        <v>1557</v>
      </c>
      <c r="E401" s="81">
        <v>14563091</v>
      </c>
      <c r="F401" s="81">
        <v>53688</v>
      </c>
      <c r="G401" s="81">
        <v>1</v>
      </c>
      <c r="H401" s="82">
        <v>359.46</v>
      </c>
      <c r="I401" s="251">
        <v>359.46</v>
      </c>
      <c r="J401" s="9" t="s">
        <v>1387</v>
      </c>
      <c r="K401" s="9" t="s">
        <v>1388</v>
      </c>
      <c r="L401" s="83">
        <v>45200</v>
      </c>
      <c r="M401" s="83">
        <v>45230</v>
      </c>
    </row>
    <row r="402" spans="1:13" ht="14.25" customHeight="1" x14ac:dyDescent="0.25">
      <c r="A402" s="9" t="s">
        <v>19</v>
      </c>
      <c r="B402" s="81">
        <v>113728</v>
      </c>
      <c r="C402" s="81">
        <v>10763</v>
      </c>
      <c r="D402" s="9" t="s">
        <v>943</v>
      </c>
      <c r="E402" s="81">
        <v>14563091</v>
      </c>
      <c r="F402" s="81">
        <v>31890</v>
      </c>
      <c r="G402" s="81">
        <v>1</v>
      </c>
      <c r="H402" s="82">
        <v>359.46</v>
      </c>
      <c r="I402" s="251">
        <v>359.46</v>
      </c>
      <c r="J402" s="9" t="s">
        <v>1387</v>
      </c>
      <c r="K402" s="9" t="s">
        <v>1388</v>
      </c>
      <c r="L402" s="83">
        <v>45200</v>
      </c>
      <c r="M402" s="83">
        <v>45230</v>
      </c>
    </row>
    <row r="403" spans="1:13" ht="14.25" customHeight="1" x14ac:dyDescent="0.25">
      <c r="A403" s="9" t="s">
        <v>32</v>
      </c>
      <c r="B403" s="81">
        <v>113646</v>
      </c>
      <c r="C403" s="81">
        <v>10751</v>
      </c>
      <c r="D403" s="9" t="s">
        <v>892</v>
      </c>
      <c r="E403" s="81">
        <v>14563091</v>
      </c>
      <c r="F403" s="81">
        <v>31726</v>
      </c>
      <c r="G403" s="81">
        <v>1</v>
      </c>
      <c r="H403" s="82">
        <v>359.46</v>
      </c>
      <c r="I403" s="251">
        <v>359.46</v>
      </c>
      <c r="J403" s="9" t="s">
        <v>1387</v>
      </c>
      <c r="K403" s="9" t="s">
        <v>1388</v>
      </c>
      <c r="L403" s="83">
        <v>45200</v>
      </c>
      <c r="M403" s="83">
        <v>45230</v>
      </c>
    </row>
    <row r="404" spans="1:13" ht="14.25" customHeight="1" x14ac:dyDescent="0.25">
      <c r="A404" s="9" t="s">
        <v>0</v>
      </c>
      <c r="B404" s="81">
        <v>113656</v>
      </c>
      <c r="C404" s="81">
        <v>10750</v>
      </c>
      <c r="D404" s="9" t="s">
        <v>898</v>
      </c>
      <c r="E404" s="81">
        <v>14563091</v>
      </c>
      <c r="F404" s="81">
        <v>31746</v>
      </c>
      <c r="G404" s="81">
        <v>1</v>
      </c>
      <c r="H404" s="82">
        <v>359.46</v>
      </c>
      <c r="I404" s="251">
        <v>359.46</v>
      </c>
      <c r="J404" s="9" t="s">
        <v>1387</v>
      </c>
      <c r="K404" s="9" t="s">
        <v>1388</v>
      </c>
      <c r="L404" s="83">
        <v>45200</v>
      </c>
      <c r="M404" s="83">
        <v>45230</v>
      </c>
    </row>
    <row r="405" spans="1:13" ht="14.25" customHeight="1" x14ac:dyDescent="0.25">
      <c r="A405" s="9" t="s">
        <v>0</v>
      </c>
      <c r="B405" s="81">
        <v>114698</v>
      </c>
      <c r="C405" s="81">
        <v>10758</v>
      </c>
      <c r="D405" s="9" t="s">
        <v>1072</v>
      </c>
      <c r="E405" s="81">
        <v>14563091</v>
      </c>
      <c r="F405" s="81">
        <v>36844</v>
      </c>
      <c r="G405" s="81">
        <v>1</v>
      </c>
      <c r="H405" s="82">
        <v>359.46</v>
      </c>
      <c r="I405" s="251">
        <v>359.46</v>
      </c>
      <c r="J405" s="9" t="s">
        <v>1387</v>
      </c>
      <c r="K405" s="9" t="s">
        <v>1388</v>
      </c>
      <c r="L405" s="83">
        <v>45200</v>
      </c>
      <c r="M405" s="83">
        <v>45230</v>
      </c>
    </row>
    <row r="406" spans="1:13" ht="14.25" customHeight="1" x14ac:dyDescent="0.25">
      <c r="A406" s="9" t="s">
        <v>1578</v>
      </c>
      <c r="B406" s="81">
        <v>114385</v>
      </c>
      <c r="C406" s="81">
        <v>10771</v>
      </c>
      <c r="D406" s="9" t="s">
        <v>1332</v>
      </c>
      <c r="E406" s="81">
        <v>14563091</v>
      </c>
      <c r="F406" s="81">
        <v>35858</v>
      </c>
      <c r="G406" s="81">
        <v>1</v>
      </c>
      <c r="H406" s="82">
        <v>359.46</v>
      </c>
      <c r="I406" s="251">
        <v>359.46</v>
      </c>
      <c r="J406" s="9" t="s">
        <v>1387</v>
      </c>
      <c r="K406" s="9" t="s">
        <v>1388</v>
      </c>
      <c r="L406" s="83">
        <v>45200</v>
      </c>
      <c r="M406" s="83">
        <v>45230</v>
      </c>
    </row>
    <row r="407" spans="1:13" ht="14.25" customHeight="1" x14ac:dyDescent="0.25">
      <c r="A407" s="9" t="s">
        <v>19</v>
      </c>
      <c r="B407" s="81">
        <v>112288</v>
      </c>
      <c r="C407" s="81">
        <v>10751</v>
      </c>
      <c r="D407" s="9" t="s">
        <v>90</v>
      </c>
      <c r="E407" s="81">
        <v>14563091</v>
      </c>
      <c r="F407" s="81">
        <v>29010</v>
      </c>
      <c r="G407" s="81">
        <v>1</v>
      </c>
      <c r="H407" s="82">
        <v>359.46</v>
      </c>
      <c r="I407" s="251">
        <v>359.46</v>
      </c>
      <c r="J407" s="9" t="s">
        <v>1387</v>
      </c>
      <c r="K407" s="9" t="s">
        <v>1388</v>
      </c>
      <c r="L407" s="83">
        <v>45200</v>
      </c>
      <c r="M407" s="83">
        <v>45230</v>
      </c>
    </row>
    <row r="408" spans="1:13" ht="14.25" customHeight="1" x14ac:dyDescent="0.25">
      <c r="A408" s="9" t="s">
        <v>19</v>
      </c>
      <c r="B408" s="81">
        <v>118051</v>
      </c>
      <c r="C408" s="81">
        <v>10757</v>
      </c>
      <c r="D408" s="9" t="s">
        <v>1425</v>
      </c>
      <c r="E408" s="81">
        <v>14563091</v>
      </c>
      <c r="F408" s="81">
        <v>45890</v>
      </c>
      <c r="G408" s="81">
        <v>1</v>
      </c>
      <c r="H408" s="82">
        <v>359.46</v>
      </c>
      <c r="I408" s="251">
        <v>359.46</v>
      </c>
      <c r="J408" s="9" t="s">
        <v>1387</v>
      </c>
      <c r="K408" s="9" t="s">
        <v>1388</v>
      </c>
      <c r="L408" s="83">
        <v>45200</v>
      </c>
      <c r="M408" s="83">
        <v>45230</v>
      </c>
    </row>
    <row r="409" spans="1:13" ht="14.25" customHeight="1" x14ac:dyDescent="0.25">
      <c r="A409" s="9" t="s">
        <v>1578</v>
      </c>
      <c r="B409" s="81">
        <v>112297</v>
      </c>
      <c r="C409" s="81">
        <v>10755</v>
      </c>
      <c r="D409" s="9" t="s">
        <v>95</v>
      </c>
      <c r="E409" s="81">
        <v>14563091</v>
      </c>
      <c r="F409" s="81">
        <v>29028</v>
      </c>
      <c r="G409" s="81">
        <v>1</v>
      </c>
      <c r="H409" s="82">
        <v>359.46</v>
      </c>
      <c r="I409" s="251">
        <v>359.46</v>
      </c>
      <c r="J409" s="9" t="s">
        <v>1387</v>
      </c>
      <c r="K409" s="9" t="s">
        <v>1388</v>
      </c>
      <c r="L409" s="83">
        <v>45200</v>
      </c>
      <c r="M409" s="83">
        <v>45230</v>
      </c>
    </row>
    <row r="410" spans="1:13" ht="14.25" customHeight="1" x14ac:dyDescent="0.25">
      <c r="A410" s="9" t="s">
        <v>0</v>
      </c>
      <c r="B410" s="81">
        <v>112359</v>
      </c>
      <c r="C410" s="81">
        <v>10751</v>
      </c>
      <c r="D410" s="9" t="s">
        <v>130</v>
      </c>
      <c r="E410" s="81">
        <v>14563091</v>
      </c>
      <c r="F410" s="81">
        <v>29152</v>
      </c>
      <c r="G410" s="81">
        <v>1</v>
      </c>
      <c r="H410" s="82">
        <v>359.46</v>
      </c>
      <c r="I410" s="251">
        <v>359.46</v>
      </c>
      <c r="J410" s="9" t="s">
        <v>1387</v>
      </c>
      <c r="K410" s="9" t="s">
        <v>1388</v>
      </c>
      <c r="L410" s="83">
        <v>45200</v>
      </c>
      <c r="M410" s="83">
        <v>45230</v>
      </c>
    </row>
    <row r="411" spans="1:13" ht="14.25" customHeight="1" x14ac:dyDescent="0.25">
      <c r="A411" s="9" t="s">
        <v>1578</v>
      </c>
      <c r="B411" s="81">
        <v>112366</v>
      </c>
      <c r="C411" s="81">
        <v>10762</v>
      </c>
      <c r="D411" s="9" t="s">
        <v>133</v>
      </c>
      <c r="E411" s="81">
        <v>14563091</v>
      </c>
      <c r="F411" s="81">
        <v>29166</v>
      </c>
      <c r="G411" s="81">
        <v>1</v>
      </c>
      <c r="H411" s="82">
        <v>359.46</v>
      </c>
      <c r="I411" s="251">
        <v>359.46</v>
      </c>
      <c r="J411" s="9" t="s">
        <v>1387</v>
      </c>
      <c r="K411" s="9" t="s">
        <v>1388</v>
      </c>
      <c r="L411" s="83">
        <v>45200</v>
      </c>
      <c r="M411" s="83">
        <v>45230</v>
      </c>
    </row>
    <row r="412" spans="1:13" ht="14.25" customHeight="1" x14ac:dyDescent="0.25">
      <c r="A412" s="9" t="s">
        <v>0</v>
      </c>
      <c r="B412" s="81">
        <v>112372</v>
      </c>
      <c r="C412" s="81">
        <v>10751</v>
      </c>
      <c r="D412" s="9" t="s">
        <v>136</v>
      </c>
      <c r="E412" s="81">
        <v>14563091</v>
      </c>
      <c r="F412" s="81">
        <v>29178</v>
      </c>
      <c r="G412" s="81">
        <v>1</v>
      </c>
      <c r="H412" s="82">
        <v>359.46</v>
      </c>
      <c r="I412" s="251">
        <v>359.46</v>
      </c>
      <c r="J412" s="9" t="s">
        <v>1387</v>
      </c>
      <c r="K412" s="9" t="s">
        <v>1388</v>
      </c>
      <c r="L412" s="83">
        <v>45200</v>
      </c>
      <c r="M412" s="83">
        <v>45230</v>
      </c>
    </row>
    <row r="413" spans="1:13" ht="14.25" customHeight="1" x14ac:dyDescent="0.25">
      <c r="A413" s="9" t="s">
        <v>0</v>
      </c>
      <c r="B413" s="81">
        <v>112378</v>
      </c>
      <c r="C413" s="81">
        <v>10750</v>
      </c>
      <c r="D413" s="9" t="s">
        <v>141</v>
      </c>
      <c r="E413" s="81">
        <v>14563091</v>
      </c>
      <c r="F413" s="81">
        <v>29190</v>
      </c>
      <c r="G413" s="81">
        <v>1</v>
      </c>
      <c r="H413" s="82">
        <v>359.46</v>
      </c>
      <c r="I413" s="251">
        <v>359.46</v>
      </c>
      <c r="J413" s="9" t="s">
        <v>1387</v>
      </c>
      <c r="K413" s="9" t="s">
        <v>1388</v>
      </c>
      <c r="L413" s="83">
        <v>45200</v>
      </c>
      <c r="M413" s="83">
        <v>45230</v>
      </c>
    </row>
    <row r="414" spans="1:13" ht="14.25" customHeight="1" x14ac:dyDescent="0.25">
      <c r="A414" s="9" t="s">
        <v>19</v>
      </c>
      <c r="B414" s="81">
        <v>112382</v>
      </c>
      <c r="C414" s="81">
        <v>10771</v>
      </c>
      <c r="D414" s="9" t="s">
        <v>145</v>
      </c>
      <c r="E414" s="81">
        <v>14563091</v>
      </c>
      <c r="F414" s="81">
        <v>29198</v>
      </c>
      <c r="G414" s="81">
        <v>1</v>
      </c>
      <c r="H414" s="82">
        <v>359.46</v>
      </c>
      <c r="I414" s="251">
        <v>359.46</v>
      </c>
      <c r="J414" s="9" t="s">
        <v>1387</v>
      </c>
      <c r="K414" s="9" t="s">
        <v>1388</v>
      </c>
      <c r="L414" s="83">
        <v>45200</v>
      </c>
      <c r="M414" s="83">
        <v>45230</v>
      </c>
    </row>
    <row r="415" spans="1:13" ht="14.25" customHeight="1" x14ac:dyDescent="0.25">
      <c r="A415" s="9" t="s">
        <v>1578</v>
      </c>
      <c r="B415" s="81">
        <v>114916</v>
      </c>
      <c r="C415" s="81">
        <v>10771</v>
      </c>
      <c r="D415" s="9" t="s">
        <v>1106</v>
      </c>
      <c r="E415" s="81">
        <v>14563091</v>
      </c>
      <c r="F415" s="81">
        <v>37614</v>
      </c>
      <c r="G415" s="81">
        <v>1</v>
      </c>
      <c r="H415" s="82">
        <v>359.46</v>
      </c>
      <c r="I415" s="251">
        <v>359.46</v>
      </c>
      <c r="J415" s="9" t="s">
        <v>1387</v>
      </c>
      <c r="K415" s="9" t="s">
        <v>1388</v>
      </c>
      <c r="L415" s="83">
        <v>45200</v>
      </c>
      <c r="M415" s="83">
        <v>45230</v>
      </c>
    </row>
    <row r="416" spans="1:13" ht="14.25" customHeight="1" x14ac:dyDescent="0.25">
      <c r="A416" s="9" t="s">
        <v>0</v>
      </c>
      <c r="B416" s="81">
        <v>122833</v>
      </c>
      <c r="C416" s="81">
        <v>10758</v>
      </c>
      <c r="D416" s="9" t="s">
        <v>1736</v>
      </c>
      <c r="E416" s="81">
        <v>14563091</v>
      </c>
      <c r="F416" s="81">
        <v>57233</v>
      </c>
      <c r="G416" s="81">
        <v>1</v>
      </c>
      <c r="H416" s="82">
        <v>359.46</v>
      </c>
      <c r="I416" s="251">
        <v>359.46</v>
      </c>
      <c r="J416" s="9" t="s">
        <v>1387</v>
      </c>
      <c r="K416" s="9" t="s">
        <v>1388</v>
      </c>
      <c r="L416" s="83">
        <v>45200</v>
      </c>
      <c r="M416" s="83">
        <v>45230</v>
      </c>
    </row>
    <row r="417" spans="1:13" ht="14.25" customHeight="1" x14ac:dyDescent="0.25">
      <c r="A417" s="9" t="s">
        <v>0</v>
      </c>
      <c r="B417" s="81">
        <v>114315</v>
      </c>
      <c r="C417" s="81">
        <v>10757</v>
      </c>
      <c r="D417" s="9" t="s">
        <v>1031</v>
      </c>
      <c r="E417" s="81">
        <v>14563091</v>
      </c>
      <c r="F417" s="81">
        <v>35848</v>
      </c>
      <c r="G417" s="81">
        <v>1</v>
      </c>
      <c r="H417" s="82">
        <v>359.46</v>
      </c>
      <c r="I417" s="251">
        <v>359.46</v>
      </c>
      <c r="J417" s="9" t="s">
        <v>1387</v>
      </c>
      <c r="K417" s="9" t="s">
        <v>1388</v>
      </c>
      <c r="L417" s="83">
        <v>45200</v>
      </c>
      <c r="M417" s="83">
        <v>45230</v>
      </c>
    </row>
    <row r="418" spans="1:13" ht="14.25" customHeight="1" x14ac:dyDescent="0.25">
      <c r="A418" s="9" t="s">
        <v>1578</v>
      </c>
      <c r="B418" s="81">
        <v>112400</v>
      </c>
      <c r="C418" s="81">
        <v>10743</v>
      </c>
      <c r="D418" s="9" t="s">
        <v>156</v>
      </c>
      <c r="E418" s="81">
        <v>14563091</v>
      </c>
      <c r="F418" s="81">
        <v>29234</v>
      </c>
      <c r="G418" s="81">
        <v>1</v>
      </c>
      <c r="H418" s="82">
        <v>359.46</v>
      </c>
      <c r="I418" s="251">
        <v>359.46</v>
      </c>
      <c r="J418" s="9" t="s">
        <v>1387</v>
      </c>
      <c r="K418" s="9" t="s">
        <v>1388</v>
      </c>
      <c r="L418" s="83">
        <v>45200</v>
      </c>
      <c r="M418" s="83">
        <v>45230</v>
      </c>
    </row>
    <row r="419" spans="1:13" ht="14.25" customHeight="1" x14ac:dyDescent="0.25">
      <c r="A419" s="9" t="s">
        <v>1578</v>
      </c>
      <c r="B419" s="81">
        <v>122415</v>
      </c>
      <c r="C419" s="81">
        <v>10755</v>
      </c>
      <c r="D419" s="9" t="s">
        <v>1682</v>
      </c>
      <c r="E419" s="81">
        <v>14563091</v>
      </c>
      <c r="F419" s="81">
        <v>56150</v>
      </c>
      <c r="G419" s="81">
        <v>1</v>
      </c>
      <c r="H419" s="82">
        <v>359.46</v>
      </c>
      <c r="I419" s="251">
        <v>359.46</v>
      </c>
      <c r="J419" s="9" t="s">
        <v>1387</v>
      </c>
      <c r="K419" s="9" t="s">
        <v>1388</v>
      </c>
      <c r="L419" s="83">
        <v>45200</v>
      </c>
      <c r="M419" s="83">
        <v>45230</v>
      </c>
    </row>
    <row r="420" spans="1:13" ht="14.25" customHeight="1" x14ac:dyDescent="0.25">
      <c r="A420" s="9" t="s">
        <v>1578</v>
      </c>
      <c r="B420" s="81">
        <v>112410</v>
      </c>
      <c r="C420" s="81">
        <v>10761</v>
      </c>
      <c r="D420" s="9" t="s">
        <v>163</v>
      </c>
      <c r="E420" s="81">
        <v>14563091</v>
      </c>
      <c r="F420" s="81">
        <v>29254</v>
      </c>
      <c r="G420" s="81">
        <v>1</v>
      </c>
      <c r="H420" s="82">
        <v>359.46</v>
      </c>
      <c r="I420" s="251">
        <v>359.46</v>
      </c>
      <c r="J420" s="9" t="s">
        <v>1387</v>
      </c>
      <c r="K420" s="9" t="s">
        <v>1388</v>
      </c>
      <c r="L420" s="83">
        <v>45200</v>
      </c>
      <c r="M420" s="83">
        <v>45230</v>
      </c>
    </row>
    <row r="421" spans="1:13" ht="14.25" customHeight="1" x14ac:dyDescent="0.25">
      <c r="A421" s="9" t="s">
        <v>19</v>
      </c>
      <c r="B421" s="81">
        <v>114548</v>
      </c>
      <c r="C421" s="81">
        <v>10750</v>
      </c>
      <c r="D421" s="9" t="s">
        <v>1055</v>
      </c>
      <c r="E421" s="81">
        <v>14563091</v>
      </c>
      <c r="F421" s="81">
        <v>36373</v>
      </c>
      <c r="G421" s="81">
        <v>1</v>
      </c>
      <c r="H421" s="82">
        <v>359.46</v>
      </c>
      <c r="I421" s="251">
        <v>359.46</v>
      </c>
      <c r="J421" s="9" t="s">
        <v>1387</v>
      </c>
      <c r="K421" s="9" t="s">
        <v>1388</v>
      </c>
      <c r="L421" s="83">
        <v>45200</v>
      </c>
      <c r="M421" s="83">
        <v>45230</v>
      </c>
    </row>
    <row r="422" spans="1:13" ht="14.25" customHeight="1" x14ac:dyDescent="0.25">
      <c r="A422" s="9" t="s">
        <v>1578</v>
      </c>
      <c r="B422" s="81">
        <v>112413</v>
      </c>
      <c r="C422" s="81">
        <v>10761</v>
      </c>
      <c r="D422" s="9" t="s">
        <v>164</v>
      </c>
      <c r="E422" s="81">
        <v>14563091</v>
      </c>
      <c r="F422" s="81">
        <v>29260</v>
      </c>
      <c r="G422" s="81">
        <v>1</v>
      </c>
      <c r="H422" s="82">
        <v>359.46</v>
      </c>
      <c r="I422" s="251">
        <v>359.46</v>
      </c>
      <c r="J422" s="9" t="s">
        <v>1387</v>
      </c>
      <c r="K422" s="9" t="s">
        <v>1388</v>
      </c>
      <c r="L422" s="83">
        <v>45200</v>
      </c>
      <c r="M422" s="83">
        <v>45230</v>
      </c>
    </row>
    <row r="423" spans="1:13" ht="14.25" customHeight="1" x14ac:dyDescent="0.25">
      <c r="A423" s="9" t="s">
        <v>0</v>
      </c>
      <c r="B423" s="81">
        <v>112417</v>
      </c>
      <c r="C423" s="81">
        <v>10751</v>
      </c>
      <c r="D423" s="9" t="s">
        <v>167</v>
      </c>
      <c r="E423" s="81">
        <v>14563091</v>
      </c>
      <c r="F423" s="81">
        <v>29268</v>
      </c>
      <c r="G423" s="81">
        <v>1</v>
      </c>
      <c r="H423" s="82">
        <v>359.46</v>
      </c>
      <c r="I423" s="251">
        <v>359.46</v>
      </c>
      <c r="J423" s="9" t="s">
        <v>1387</v>
      </c>
      <c r="K423" s="9" t="s">
        <v>1388</v>
      </c>
      <c r="L423" s="83">
        <v>45200</v>
      </c>
      <c r="M423" s="83">
        <v>45230</v>
      </c>
    </row>
    <row r="424" spans="1:13" ht="14.25" customHeight="1" x14ac:dyDescent="0.25">
      <c r="A424" s="9" t="s">
        <v>1578</v>
      </c>
      <c r="B424" s="81">
        <v>112439</v>
      </c>
      <c r="C424" s="81">
        <v>10768</v>
      </c>
      <c r="D424" s="9" t="s">
        <v>180</v>
      </c>
      <c r="E424" s="81">
        <v>14563091</v>
      </c>
      <c r="F424" s="81">
        <v>29312</v>
      </c>
      <c r="G424" s="81">
        <v>1</v>
      </c>
      <c r="H424" s="82">
        <v>359.46</v>
      </c>
      <c r="I424" s="251">
        <v>359.46</v>
      </c>
      <c r="J424" s="9" t="s">
        <v>1387</v>
      </c>
      <c r="K424" s="9" t="s">
        <v>1388</v>
      </c>
      <c r="L424" s="83">
        <v>45200</v>
      </c>
      <c r="M424" s="83">
        <v>45230</v>
      </c>
    </row>
    <row r="425" spans="1:13" ht="14.25" customHeight="1" x14ac:dyDescent="0.25">
      <c r="A425" s="9" t="s">
        <v>0</v>
      </c>
      <c r="B425" s="81">
        <v>112449</v>
      </c>
      <c r="C425" s="81">
        <v>10750</v>
      </c>
      <c r="D425" s="9" t="s">
        <v>188</v>
      </c>
      <c r="E425" s="81">
        <v>14563091</v>
      </c>
      <c r="F425" s="81">
        <v>29332</v>
      </c>
      <c r="G425" s="81">
        <v>1</v>
      </c>
      <c r="H425" s="82">
        <v>359.46</v>
      </c>
      <c r="I425" s="251">
        <v>359.46</v>
      </c>
      <c r="J425" s="9" t="s">
        <v>1387</v>
      </c>
      <c r="K425" s="9" t="s">
        <v>1388</v>
      </c>
      <c r="L425" s="83">
        <v>45200</v>
      </c>
      <c r="M425" s="83">
        <v>45230</v>
      </c>
    </row>
    <row r="426" spans="1:13" ht="14.25" customHeight="1" x14ac:dyDescent="0.25">
      <c r="A426" s="9" t="s">
        <v>8</v>
      </c>
      <c r="B426" s="81">
        <v>112471</v>
      </c>
      <c r="C426" s="81">
        <v>10757</v>
      </c>
      <c r="D426" s="9" t="s">
        <v>200</v>
      </c>
      <c r="E426" s="81">
        <v>14563091</v>
      </c>
      <c r="F426" s="81">
        <v>29376</v>
      </c>
      <c r="G426" s="81">
        <v>1</v>
      </c>
      <c r="H426" s="82">
        <v>359.46</v>
      </c>
      <c r="I426" s="251">
        <v>359.46</v>
      </c>
      <c r="J426" s="9" t="s">
        <v>1387</v>
      </c>
      <c r="K426" s="9" t="s">
        <v>1388</v>
      </c>
      <c r="L426" s="83">
        <v>45200</v>
      </c>
      <c r="M426" s="83">
        <v>45230</v>
      </c>
    </row>
    <row r="427" spans="1:13" ht="14.25" customHeight="1" x14ac:dyDescent="0.25">
      <c r="A427" s="9" t="s">
        <v>1578</v>
      </c>
      <c r="B427" s="81">
        <v>114255</v>
      </c>
      <c r="C427" s="81">
        <v>10766</v>
      </c>
      <c r="D427" s="9" t="s">
        <v>1019</v>
      </c>
      <c r="E427" s="81">
        <v>14563091</v>
      </c>
      <c r="F427" s="81">
        <v>35789</v>
      </c>
      <c r="G427" s="81">
        <v>1</v>
      </c>
      <c r="H427" s="82">
        <v>359.46</v>
      </c>
      <c r="I427" s="251">
        <v>359.46</v>
      </c>
      <c r="J427" s="9" t="s">
        <v>1387</v>
      </c>
      <c r="K427" s="9" t="s">
        <v>1388</v>
      </c>
      <c r="L427" s="83">
        <v>45200</v>
      </c>
      <c r="M427" s="83">
        <v>45230</v>
      </c>
    </row>
    <row r="428" spans="1:13" ht="14.25" customHeight="1" x14ac:dyDescent="0.25">
      <c r="A428" s="9" t="s">
        <v>19</v>
      </c>
      <c r="B428" s="81">
        <v>116726</v>
      </c>
      <c r="C428" s="81">
        <v>10754</v>
      </c>
      <c r="D428" s="9" t="s">
        <v>1218</v>
      </c>
      <c r="E428" s="81">
        <v>14563091</v>
      </c>
      <c r="F428" s="81">
        <v>42839</v>
      </c>
      <c r="G428" s="81">
        <v>1</v>
      </c>
      <c r="H428" s="82">
        <v>299.55</v>
      </c>
      <c r="I428" s="251">
        <v>299.55</v>
      </c>
      <c r="J428" s="9" t="s">
        <v>1387</v>
      </c>
      <c r="K428" s="9" t="s">
        <v>1388</v>
      </c>
      <c r="L428" s="83">
        <v>45200</v>
      </c>
      <c r="M428" s="83">
        <v>45230</v>
      </c>
    </row>
    <row r="429" spans="1:13" ht="14.25" customHeight="1" x14ac:dyDescent="0.25">
      <c r="A429" s="9" t="s">
        <v>1578</v>
      </c>
      <c r="B429" s="81">
        <v>112473</v>
      </c>
      <c r="C429" s="81">
        <v>10743</v>
      </c>
      <c r="D429" s="9" t="s">
        <v>202</v>
      </c>
      <c r="E429" s="81">
        <v>14563091</v>
      </c>
      <c r="F429" s="81">
        <v>29380</v>
      </c>
      <c r="G429" s="81">
        <v>1</v>
      </c>
      <c r="H429" s="82">
        <v>359.46</v>
      </c>
      <c r="I429" s="251">
        <v>359.46</v>
      </c>
      <c r="J429" s="9" t="s">
        <v>1387</v>
      </c>
      <c r="K429" s="9" t="s">
        <v>1388</v>
      </c>
      <c r="L429" s="83">
        <v>45200</v>
      </c>
      <c r="M429" s="83">
        <v>45230</v>
      </c>
    </row>
    <row r="430" spans="1:13" ht="14.25" customHeight="1" x14ac:dyDescent="0.25">
      <c r="A430" s="9" t="s">
        <v>0</v>
      </c>
      <c r="B430" s="81">
        <v>114699</v>
      </c>
      <c r="C430" s="81">
        <v>10758</v>
      </c>
      <c r="D430" s="9" t="s">
        <v>1073</v>
      </c>
      <c r="E430" s="81">
        <v>14563091</v>
      </c>
      <c r="F430" s="81">
        <v>36846</v>
      </c>
      <c r="G430" s="81">
        <v>1</v>
      </c>
      <c r="H430" s="82">
        <v>359.46</v>
      </c>
      <c r="I430" s="251">
        <v>359.46</v>
      </c>
      <c r="J430" s="9" t="s">
        <v>1387</v>
      </c>
      <c r="K430" s="9" t="s">
        <v>1388</v>
      </c>
      <c r="L430" s="83">
        <v>45200</v>
      </c>
      <c r="M430" s="83">
        <v>45230</v>
      </c>
    </row>
    <row r="431" spans="1:13" ht="14.25" customHeight="1" x14ac:dyDescent="0.25">
      <c r="A431" s="9" t="s">
        <v>0</v>
      </c>
      <c r="B431" s="81">
        <v>119652</v>
      </c>
      <c r="C431" s="81">
        <v>10751</v>
      </c>
      <c r="D431" s="9" t="s">
        <v>1460</v>
      </c>
      <c r="E431" s="81">
        <v>14563091</v>
      </c>
      <c r="F431" s="81">
        <v>49622</v>
      </c>
      <c r="G431" s="81">
        <v>1</v>
      </c>
      <c r="H431" s="82">
        <v>359.46</v>
      </c>
      <c r="I431" s="251">
        <v>359.46</v>
      </c>
      <c r="J431" s="9" t="s">
        <v>1387</v>
      </c>
      <c r="K431" s="9" t="s">
        <v>1388</v>
      </c>
      <c r="L431" s="83">
        <v>45200</v>
      </c>
      <c r="M431" s="83">
        <v>45230</v>
      </c>
    </row>
    <row r="432" spans="1:13" ht="14.25" customHeight="1" x14ac:dyDescent="0.25">
      <c r="A432" s="9" t="s">
        <v>0</v>
      </c>
      <c r="B432" s="81">
        <v>112494</v>
      </c>
      <c r="C432" s="81">
        <v>10756</v>
      </c>
      <c r="D432" s="9" t="s">
        <v>214</v>
      </c>
      <c r="E432" s="81">
        <v>14563091</v>
      </c>
      <c r="F432" s="81">
        <v>29422</v>
      </c>
      <c r="G432" s="81">
        <v>1</v>
      </c>
      <c r="H432" s="82">
        <v>359.46</v>
      </c>
      <c r="I432" s="251">
        <v>359.46</v>
      </c>
      <c r="J432" s="9" t="s">
        <v>1387</v>
      </c>
      <c r="K432" s="9" t="s">
        <v>1388</v>
      </c>
      <c r="L432" s="83">
        <v>45200</v>
      </c>
      <c r="M432" s="83">
        <v>45230</v>
      </c>
    </row>
    <row r="433" spans="1:13" ht="14.25" customHeight="1" x14ac:dyDescent="0.25">
      <c r="A433" s="9" t="s">
        <v>1578</v>
      </c>
      <c r="B433" s="81">
        <v>113776</v>
      </c>
      <c r="C433" s="81">
        <v>10771</v>
      </c>
      <c r="D433" s="9" t="s">
        <v>974</v>
      </c>
      <c r="E433" s="81">
        <v>14563091</v>
      </c>
      <c r="F433" s="81">
        <v>31999</v>
      </c>
      <c r="G433" s="81">
        <v>1</v>
      </c>
      <c r="H433" s="82">
        <v>359.46</v>
      </c>
      <c r="I433" s="251">
        <v>359.46</v>
      </c>
      <c r="J433" s="9" t="s">
        <v>1387</v>
      </c>
      <c r="K433" s="9" t="s">
        <v>1388</v>
      </c>
      <c r="L433" s="83">
        <v>45200</v>
      </c>
      <c r="M433" s="83">
        <v>45230</v>
      </c>
    </row>
    <row r="434" spans="1:13" ht="14.25" customHeight="1" x14ac:dyDescent="0.25">
      <c r="A434" s="9" t="s">
        <v>19</v>
      </c>
      <c r="B434" s="81">
        <v>112500</v>
      </c>
      <c r="C434" s="81">
        <v>10757</v>
      </c>
      <c r="D434" s="9" t="s">
        <v>219</v>
      </c>
      <c r="E434" s="81">
        <v>14563091</v>
      </c>
      <c r="F434" s="81">
        <v>29434</v>
      </c>
      <c r="G434" s="81">
        <v>1</v>
      </c>
      <c r="H434" s="82">
        <v>359.46</v>
      </c>
      <c r="I434" s="251">
        <v>359.46</v>
      </c>
      <c r="J434" s="9" t="s">
        <v>1387</v>
      </c>
      <c r="K434" s="9" t="s">
        <v>1388</v>
      </c>
      <c r="L434" s="83">
        <v>45200</v>
      </c>
      <c r="M434" s="83">
        <v>45230</v>
      </c>
    </row>
    <row r="435" spans="1:13" ht="14.25" customHeight="1" x14ac:dyDescent="0.25">
      <c r="A435" s="9" t="s">
        <v>1578</v>
      </c>
      <c r="B435" s="81">
        <v>112506</v>
      </c>
      <c r="C435" s="81">
        <v>10757</v>
      </c>
      <c r="D435" s="9" t="s">
        <v>224</v>
      </c>
      <c r="E435" s="81">
        <v>14563091</v>
      </c>
      <c r="F435" s="81">
        <v>29446</v>
      </c>
      <c r="G435" s="81">
        <v>1</v>
      </c>
      <c r="H435" s="82">
        <v>359.46</v>
      </c>
      <c r="I435" s="251">
        <v>359.46</v>
      </c>
      <c r="J435" s="9" t="s">
        <v>1387</v>
      </c>
      <c r="K435" s="9" t="s">
        <v>1388</v>
      </c>
      <c r="L435" s="83">
        <v>45200</v>
      </c>
      <c r="M435" s="83">
        <v>45230</v>
      </c>
    </row>
    <row r="436" spans="1:13" ht="14.25" customHeight="1" x14ac:dyDescent="0.25">
      <c r="A436" s="9" t="s">
        <v>10</v>
      </c>
      <c r="B436" s="81">
        <v>112510</v>
      </c>
      <c r="C436" s="81">
        <v>10757</v>
      </c>
      <c r="D436" s="9" t="s">
        <v>227</v>
      </c>
      <c r="E436" s="81">
        <v>14563091</v>
      </c>
      <c r="F436" s="81">
        <v>29454</v>
      </c>
      <c r="G436" s="81">
        <v>1</v>
      </c>
      <c r="H436" s="82">
        <v>359.46</v>
      </c>
      <c r="I436" s="251">
        <v>359.46</v>
      </c>
      <c r="J436" s="9" t="s">
        <v>1387</v>
      </c>
      <c r="K436" s="9" t="s">
        <v>1388</v>
      </c>
      <c r="L436" s="83">
        <v>45200</v>
      </c>
      <c r="M436" s="83">
        <v>45230</v>
      </c>
    </row>
    <row r="437" spans="1:13" ht="14.25" customHeight="1" x14ac:dyDescent="0.25">
      <c r="A437" s="9" t="s">
        <v>8</v>
      </c>
      <c r="B437" s="81">
        <v>112514</v>
      </c>
      <c r="C437" s="81">
        <v>10756</v>
      </c>
      <c r="D437" s="9" t="s">
        <v>231</v>
      </c>
      <c r="E437" s="81">
        <v>14563091</v>
      </c>
      <c r="F437" s="81">
        <v>29462</v>
      </c>
      <c r="G437" s="81">
        <v>1</v>
      </c>
      <c r="H437" s="82">
        <v>359.46</v>
      </c>
      <c r="I437" s="251">
        <v>359.46</v>
      </c>
      <c r="J437" s="9" t="s">
        <v>1387</v>
      </c>
      <c r="K437" s="9" t="s">
        <v>1388</v>
      </c>
      <c r="L437" s="83">
        <v>45200</v>
      </c>
      <c r="M437" s="83">
        <v>45230</v>
      </c>
    </row>
    <row r="438" spans="1:13" ht="14.25" customHeight="1" x14ac:dyDescent="0.25">
      <c r="A438" s="9" t="s">
        <v>1578</v>
      </c>
      <c r="B438" s="81">
        <v>112518</v>
      </c>
      <c r="C438" s="81">
        <v>10761</v>
      </c>
      <c r="D438" s="9" t="s">
        <v>234</v>
      </c>
      <c r="E438" s="81">
        <v>14563091</v>
      </c>
      <c r="F438" s="81">
        <v>29470</v>
      </c>
      <c r="G438" s="81">
        <v>1</v>
      </c>
      <c r="H438" s="82">
        <v>359.46</v>
      </c>
      <c r="I438" s="251">
        <v>359.46</v>
      </c>
      <c r="J438" s="9" t="s">
        <v>1387</v>
      </c>
      <c r="K438" s="9" t="s">
        <v>1388</v>
      </c>
      <c r="L438" s="83">
        <v>45200</v>
      </c>
      <c r="M438" s="83">
        <v>45230</v>
      </c>
    </row>
    <row r="439" spans="1:13" ht="14.25" customHeight="1" x14ac:dyDescent="0.25">
      <c r="A439" s="9" t="s">
        <v>0</v>
      </c>
      <c r="B439" s="81">
        <v>112520</v>
      </c>
      <c r="C439" s="81">
        <v>10750</v>
      </c>
      <c r="D439" s="9" t="s">
        <v>235</v>
      </c>
      <c r="E439" s="81">
        <v>14563091</v>
      </c>
      <c r="F439" s="81">
        <v>29474</v>
      </c>
      <c r="G439" s="81">
        <v>1</v>
      </c>
      <c r="H439" s="82">
        <v>359.46</v>
      </c>
      <c r="I439" s="251">
        <v>359.46</v>
      </c>
      <c r="J439" s="9" t="s">
        <v>1387</v>
      </c>
      <c r="K439" s="9" t="s">
        <v>1388</v>
      </c>
      <c r="L439" s="83">
        <v>45200</v>
      </c>
      <c r="M439" s="83">
        <v>45230</v>
      </c>
    </row>
    <row r="440" spans="1:13" ht="14.25" customHeight="1" x14ac:dyDescent="0.25">
      <c r="A440" s="9" t="s">
        <v>10</v>
      </c>
      <c r="B440" s="81">
        <v>112522</v>
      </c>
      <c r="C440" s="81">
        <v>10751</v>
      </c>
      <c r="D440" s="9" t="s">
        <v>237</v>
      </c>
      <c r="E440" s="81">
        <v>14563091</v>
      </c>
      <c r="F440" s="81">
        <v>29478</v>
      </c>
      <c r="G440" s="81">
        <v>1</v>
      </c>
      <c r="H440" s="82">
        <v>359.46</v>
      </c>
      <c r="I440" s="251">
        <v>359.46</v>
      </c>
      <c r="J440" s="9" t="s">
        <v>1387</v>
      </c>
      <c r="K440" s="9" t="s">
        <v>1388</v>
      </c>
      <c r="L440" s="83">
        <v>45200</v>
      </c>
      <c r="M440" s="83">
        <v>45230</v>
      </c>
    </row>
    <row r="441" spans="1:13" ht="14.25" customHeight="1" x14ac:dyDescent="0.25">
      <c r="A441" s="9" t="s">
        <v>10</v>
      </c>
      <c r="B441" s="81">
        <v>112586</v>
      </c>
      <c r="C441" s="81">
        <v>10751</v>
      </c>
      <c r="D441" s="9" t="s">
        <v>279</v>
      </c>
      <c r="E441" s="81">
        <v>14563091</v>
      </c>
      <c r="F441" s="81">
        <v>29606</v>
      </c>
      <c r="G441" s="81">
        <v>1</v>
      </c>
      <c r="H441" s="82">
        <v>359.46</v>
      </c>
      <c r="I441" s="251">
        <v>359.46</v>
      </c>
      <c r="J441" s="9" t="s">
        <v>1387</v>
      </c>
      <c r="K441" s="9" t="s">
        <v>1388</v>
      </c>
      <c r="L441" s="83">
        <v>45200</v>
      </c>
      <c r="M441" s="83">
        <v>45230</v>
      </c>
    </row>
    <row r="442" spans="1:13" ht="14.25" customHeight="1" x14ac:dyDescent="0.25">
      <c r="A442" s="9" t="s">
        <v>1578</v>
      </c>
      <c r="B442" s="81">
        <v>112590</v>
      </c>
      <c r="C442" s="81">
        <v>10761</v>
      </c>
      <c r="D442" s="9" t="s">
        <v>282</v>
      </c>
      <c r="E442" s="81">
        <v>14563091</v>
      </c>
      <c r="F442" s="81">
        <v>29614</v>
      </c>
      <c r="G442" s="81">
        <v>1</v>
      </c>
      <c r="H442" s="82">
        <v>359.46</v>
      </c>
      <c r="I442" s="251">
        <v>359.46</v>
      </c>
      <c r="J442" s="9" t="s">
        <v>1387</v>
      </c>
      <c r="K442" s="9" t="s">
        <v>1388</v>
      </c>
      <c r="L442" s="83">
        <v>45200</v>
      </c>
      <c r="M442" s="83">
        <v>45230</v>
      </c>
    </row>
    <row r="443" spans="1:13" ht="14.25" customHeight="1" x14ac:dyDescent="0.25">
      <c r="A443" s="9" t="s">
        <v>1578</v>
      </c>
      <c r="B443" s="81">
        <v>112598</v>
      </c>
      <c r="C443" s="81">
        <v>10745</v>
      </c>
      <c r="D443" s="9" t="s">
        <v>286</v>
      </c>
      <c r="E443" s="81">
        <v>14563091</v>
      </c>
      <c r="F443" s="81">
        <v>29630</v>
      </c>
      <c r="G443" s="81">
        <v>1</v>
      </c>
      <c r="H443" s="82">
        <v>359.46</v>
      </c>
      <c r="I443" s="251">
        <v>359.46</v>
      </c>
      <c r="J443" s="9" t="s">
        <v>1387</v>
      </c>
      <c r="K443" s="9" t="s">
        <v>1388</v>
      </c>
      <c r="L443" s="83">
        <v>45200</v>
      </c>
      <c r="M443" s="83">
        <v>45230</v>
      </c>
    </row>
    <row r="444" spans="1:13" ht="14.25" customHeight="1" x14ac:dyDescent="0.25">
      <c r="A444" s="9" t="s">
        <v>8</v>
      </c>
      <c r="B444" s="81">
        <v>112602</v>
      </c>
      <c r="C444" s="81">
        <v>10771</v>
      </c>
      <c r="D444" s="9" t="s">
        <v>288</v>
      </c>
      <c r="E444" s="81">
        <v>14563091</v>
      </c>
      <c r="F444" s="81">
        <v>29638</v>
      </c>
      <c r="G444" s="81">
        <v>1</v>
      </c>
      <c r="H444" s="82">
        <v>359.46</v>
      </c>
      <c r="I444" s="251">
        <v>359.46</v>
      </c>
      <c r="J444" s="9" t="s">
        <v>1387</v>
      </c>
      <c r="K444" s="9" t="s">
        <v>1388</v>
      </c>
      <c r="L444" s="83">
        <v>45200</v>
      </c>
      <c r="M444" s="83">
        <v>45230</v>
      </c>
    </row>
    <row r="445" spans="1:13" ht="14.25" customHeight="1" x14ac:dyDescent="0.25">
      <c r="A445" s="9" t="s">
        <v>1578</v>
      </c>
      <c r="B445" s="81">
        <v>112606</v>
      </c>
      <c r="C445" s="81">
        <v>10761</v>
      </c>
      <c r="D445" s="9" t="s">
        <v>290</v>
      </c>
      <c r="E445" s="81">
        <v>14563091</v>
      </c>
      <c r="F445" s="81">
        <v>29646</v>
      </c>
      <c r="G445" s="81">
        <v>1</v>
      </c>
      <c r="H445" s="82">
        <v>359.46</v>
      </c>
      <c r="I445" s="251">
        <v>359.46</v>
      </c>
      <c r="J445" s="9" t="s">
        <v>1387</v>
      </c>
      <c r="K445" s="9" t="s">
        <v>1388</v>
      </c>
      <c r="L445" s="83">
        <v>45200</v>
      </c>
      <c r="M445" s="83">
        <v>45230</v>
      </c>
    </row>
    <row r="446" spans="1:13" ht="14.25" customHeight="1" x14ac:dyDescent="0.25">
      <c r="A446" s="9" t="s">
        <v>8</v>
      </c>
      <c r="B446" s="81">
        <v>112609</v>
      </c>
      <c r="C446" s="81">
        <v>10751</v>
      </c>
      <c r="D446" s="9" t="s">
        <v>293</v>
      </c>
      <c r="E446" s="81">
        <v>14563091</v>
      </c>
      <c r="F446" s="81">
        <v>29652</v>
      </c>
      <c r="G446" s="81">
        <v>1</v>
      </c>
      <c r="H446" s="82">
        <v>359.46</v>
      </c>
      <c r="I446" s="251">
        <v>359.46</v>
      </c>
      <c r="J446" s="9" t="s">
        <v>1387</v>
      </c>
      <c r="K446" s="9" t="s">
        <v>1388</v>
      </c>
      <c r="L446" s="83">
        <v>45200</v>
      </c>
      <c r="M446" s="83">
        <v>45230</v>
      </c>
    </row>
    <row r="447" spans="1:13" ht="14.25" customHeight="1" x14ac:dyDescent="0.25">
      <c r="A447" s="9" t="s">
        <v>8</v>
      </c>
      <c r="B447" s="81">
        <v>112619</v>
      </c>
      <c r="C447" s="81">
        <v>10760</v>
      </c>
      <c r="D447" s="9" t="s">
        <v>302</v>
      </c>
      <c r="E447" s="81">
        <v>14563091</v>
      </c>
      <c r="F447" s="81">
        <v>29672</v>
      </c>
      <c r="G447" s="81">
        <v>1</v>
      </c>
      <c r="H447" s="82">
        <v>359.46</v>
      </c>
      <c r="I447" s="251">
        <v>359.46</v>
      </c>
      <c r="J447" s="9" t="s">
        <v>1387</v>
      </c>
      <c r="K447" s="9" t="s">
        <v>1388</v>
      </c>
      <c r="L447" s="83">
        <v>45200</v>
      </c>
      <c r="M447" s="83">
        <v>45230</v>
      </c>
    </row>
    <row r="448" spans="1:13" ht="14.25" customHeight="1" x14ac:dyDescent="0.25">
      <c r="A448" s="9" t="s">
        <v>10</v>
      </c>
      <c r="B448" s="81">
        <v>116027</v>
      </c>
      <c r="C448" s="81">
        <v>10757</v>
      </c>
      <c r="D448" s="9" t="s">
        <v>1176</v>
      </c>
      <c r="E448" s="81">
        <v>14563091</v>
      </c>
      <c r="F448" s="81">
        <v>40914</v>
      </c>
      <c r="G448" s="81">
        <v>1</v>
      </c>
      <c r="H448" s="82">
        <v>335.49</v>
      </c>
      <c r="I448" s="251">
        <v>335.49</v>
      </c>
      <c r="J448" s="9" t="s">
        <v>1387</v>
      </c>
      <c r="K448" s="9" t="s">
        <v>1388</v>
      </c>
      <c r="L448" s="83">
        <v>45200</v>
      </c>
      <c r="M448" s="83">
        <v>45230</v>
      </c>
    </row>
    <row r="449" spans="1:13" ht="14.25" customHeight="1" x14ac:dyDescent="0.25">
      <c r="A449" s="9" t="s">
        <v>19</v>
      </c>
      <c r="B449" s="81">
        <v>121525</v>
      </c>
      <c r="C449" s="81">
        <v>10755</v>
      </c>
      <c r="D449" s="9" t="s">
        <v>1558</v>
      </c>
      <c r="E449" s="81">
        <v>14563091</v>
      </c>
      <c r="F449" s="81">
        <v>53948</v>
      </c>
      <c r="G449" s="81">
        <v>1</v>
      </c>
      <c r="H449" s="82">
        <v>359.46</v>
      </c>
      <c r="I449" s="251">
        <v>359.46</v>
      </c>
      <c r="J449" s="9" t="s">
        <v>1387</v>
      </c>
      <c r="K449" s="9" t="s">
        <v>1388</v>
      </c>
      <c r="L449" s="83">
        <v>45200</v>
      </c>
      <c r="M449" s="83">
        <v>45230</v>
      </c>
    </row>
    <row r="450" spans="1:13" ht="14.25" customHeight="1" x14ac:dyDescent="0.25">
      <c r="A450" s="9" t="s">
        <v>0</v>
      </c>
      <c r="B450" s="81">
        <v>112629</v>
      </c>
      <c r="C450" s="81">
        <v>10750</v>
      </c>
      <c r="D450" s="9" t="s">
        <v>308</v>
      </c>
      <c r="E450" s="81">
        <v>14563091</v>
      </c>
      <c r="F450" s="81">
        <v>29692</v>
      </c>
      <c r="G450" s="81">
        <v>1</v>
      </c>
      <c r="H450" s="82">
        <v>359.46</v>
      </c>
      <c r="I450" s="251">
        <v>359.46</v>
      </c>
      <c r="J450" s="9" t="s">
        <v>1387</v>
      </c>
      <c r="K450" s="9" t="s">
        <v>1388</v>
      </c>
      <c r="L450" s="83">
        <v>45200</v>
      </c>
      <c r="M450" s="83">
        <v>45230</v>
      </c>
    </row>
    <row r="451" spans="1:13" ht="14.25" customHeight="1" x14ac:dyDescent="0.25">
      <c r="A451" s="9" t="s">
        <v>1578</v>
      </c>
      <c r="B451" s="81">
        <v>117398</v>
      </c>
      <c r="C451" s="81">
        <v>10743</v>
      </c>
      <c r="D451" s="9" t="s">
        <v>1333</v>
      </c>
      <c r="E451" s="81">
        <v>14563091</v>
      </c>
      <c r="F451" s="81">
        <v>44509</v>
      </c>
      <c r="G451" s="81">
        <v>1</v>
      </c>
      <c r="H451" s="82">
        <v>359.46</v>
      </c>
      <c r="I451" s="251">
        <v>359.46</v>
      </c>
      <c r="J451" s="9" t="s">
        <v>1387</v>
      </c>
      <c r="K451" s="9" t="s">
        <v>1389</v>
      </c>
      <c r="L451" s="83">
        <v>45200</v>
      </c>
      <c r="M451" s="83">
        <v>45230</v>
      </c>
    </row>
    <row r="452" spans="1:13" ht="14.25" customHeight="1" x14ac:dyDescent="0.25">
      <c r="A452" s="9" t="s">
        <v>0</v>
      </c>
      <c r="B452" s="81">
        <v>114538</v>
      </c>
      <c r="C452" s="81">
        <v>10771</v>
      </c>
      <c r="D452" s="9" t="s">
        <v>1284</v>
      </c>
      <c r="E452" s="81">
        <v>14563091</v>
      </c>
      <c r="F452" s="81">
        <v>36351</v>
      </c>
      <c r="G452" s="81">
        <v>1</v>
      </c>
      <c r="H452" s="82">
        <v>359.46</v>
      </c>
      <c r="I452" s="251">
        <v>359.46</v>
      </c>
      <c r="J452" s="9" t="s">
        <v>1387</v>
      </c>
      <c r="K452" s="9" t="s">
        <v>1388</v>
      </c>
      <c r="L452" s="83">
        <v>45200</v>
      </c>
      <c r="M452" s="83">
        <v>45230</v>
      </c>
    </row>
    <row r="453" spans="1:13" ht="14.25" customHeight="1" x14ac:dyDescent="0.25">
      <c r="A453" s="9" t="s">
        <v>8</v>
      </c>
      <c r="B453" s="81">
        <v>112638</v>
      </c>
      <c r="C453" s="81">
        <v>10757</v>
      </c>
      <c r="D453" s="9" t="s">
        <v>313</v>
      </c>
      <c r="E453" s="81">
        <v>14563091</v>
      </c>
      <c r="F453" s="81">
        <v>29710</v>
      </c>
      <c r="G453" s="81">
        <v>1</v>
      </c>
      <c r="H453" s="82">
        <v>359.46</v>
      </c>
      <c r="I453" s="251">
        <v>359.46</v>
      </c>
      <c r="J453" s="9" t="s">
        <v>1387</v>
      </c>
      <c r="K453" s="9" t="s">
        <v>1388</v>
      </c>
      <c r="L453" s="83">
        <v>45200</v>
      </c>
      <c r="M453" s="83">
        <v>45230</v>
      </c>
    </row>
    <row r="454" spans="1:13" ht="14.25" customHeight="1" x14ac:dyDescent="0.25">
      <c r="A454" s="9" t="s">
        <v>19</v>
      </c>
      <c r="B454" s="81">
        <v>119642</v>
      </c>
      <c r="C454" s="81">
        <v>10757</v>
      </c>
      <c r="D454" s="9" t="s">
        <v>1461</v>
      </c>
      <c r="E454" s="81">
        <v>14563091</v>
      </c>
      <c r="F454" s="81">
        <v>49599</v>
      </c>
      <c r="G454" s="81">
        <v>1</v>
      </c>
      <c r="H454" s="82">
        <v>359.46</v>
      </c>
      <c r="I454" s="251">
        <v>359.46</v>
      </c>
      <c r="J454" s="9" t="s">
        <v>1387</v>
      </c>
      <c r="K454" s="9" t="s">
        <v>1388</v>
      </c>
      <c r="L454" s="83">
        <v>45200</v>
      </c>
      <c r="M454" s="83">
        <v>45230</v>
      </c>
    </row>
    <row r="455" spans="1:13" ht="14.25" customHeight="1" x14ac:dyDescent="0.25">
      <c r="A455" s="9" t="s">
        <v>32</v>
      </c>
      <c r="B455" s="81">
        <v>112643</v>
      </c>
      <c r="C455" s="81">
        <v>10771</v>
      </c>
      <c r="D455" s="9" t="s">
        <v>316</v>
      </c>
      <c r="E455" s="81">
        <v>14563091</v>
      </c>
      <c r="F455" s="81">
        <v>29720</v>
      </c>
      <c r="G455" s="81">
        <v>1</v>
      </c>
      <c r="H455" s="82">
        <v>359.46</v>
      </c>
      <c r="I455" s="251">
        <v>359.46</v>
      </c>
      <c r="J455" s="9" t="s">
        <v>1387</v>
      </c>
      <c r="K455" s="9" t="s">
        <v>1388</v>
      </c>
      <c r="L455" s="83">
        <v>45200</v>
      </c>
      <c r="M455" s="83">
        <v>45230</v>
      </c>
    </row>
    <row r="456" spans="1:13" ht="14.25" customHeight="1" x14ac:dyDescent="0.25">
      <c r="A456" s="9" t="s">
        <v>8</v>
      </c>
      <c r="B456" s="81">
        <v>112650</v>
      </c>
      <c r="C456" s="81">
        <v>10750</v>
      </c>
      <c r="D456" s="9" t="s">
        <v>1334</v>
      </c>
      <c r="E456" s="81">
        <v>14563091</v>
      </c>
      <c r="F456" s="81">
        <v>29734</v>
      </c>
      <c r="G456" s="81">
        <v>1</v>
      </c>
      <c r="H456" s="82">
        <v>359.46</v>
      </c>
      <c r="I456" s="251">
        <v>359.46</v>
      </c>
      <c r="J456" s="9" t="s">
        <v>1387</v>
      </c>
      <c r="K456" s="9" t="s">
        <v>1388</v>
      </c>
      <c r="L456" s="83">
        <v>45200</v>
      </c>
      <c r="M456" s="83">
        <v>45230</v>
      </c>
    </row>
    <row r="457" spans="1:13" ht="14.25" customHeight="1" x14ac:dyDescent="0.25">
      <c r="A457" s="9" t="s">
        <v>10</v>
      </c>
      <c r="B457" s="81">
        <v>114702</v>
      </c>
      <c r="C457" s="81">
        <v>10750</v>
      </c>
      <c r="D457" s="9" t="s">
        <v>1075</v>
      </c>
      <c r="E457" s="81">
        <v>14563091</v>
      </c>
      <c r="F457" s="81">
        <v>36852</v>
      </c>
      <c r="G457" s="81">
        <v>1</v>
      </c>
      <c r="H457" s="82">
        <v>311.52999999999997</v>
      </c>
      <c r="I457" s="251">
        <v>311.52999999999997</v>
      </c>
      <c r="J457" s="9" t="s">
        <v>1387</v>
      </c>
      <c r="K457" s="9" t="s">
        <v>1388</v>
      </c>
      <c r="L457" s="83">
        <v>45200</v>
      </c>
      <c r="M457" s="83">
        <v>45230</v>
      </c>
    </row>
    <row r="458" spans="1:13" ht="14.25" customHeight="1" x14ac:dyDescent="0.25">
      <c r="A458" s="9" t="s">
        <v>0</v>
      </c>
      <c r="B458" s="81">
        <v>114260</v>
      </c>
      <c r="C458" s="81">
        <v>10766</v>
      </c>
      <c r="D458" s="9" t="s">
        <v>1023</v>
      </c>
      <c r="E458" s="81">
        <v>14563091</v>
      </c>
      <c r="F458" s="81">
        <v>35799</v>
      </c>
      <c r="G458" s="81">
        <v>1</v>
      </c>
      <c r="H458" s="82">
        <v>359.46</v>
      </c>
      <c r="I458" s="251">
        <v>359.46</v>
      </c>
      <c r="J458" s="9" t="s">
        <v>1387</v>
      </c>
      <c r="K458" s="9" t="s">
        <v>1388</v>
      </c>
      <c r="L458" s="83">
        <v>45200</v>
      </c>
      <c r="M458" s="83">
        <v>45230</v>
      </c>
    </row>
    <row r="459" spans="1:13" ht="14.25" customHeight="1" x14ac:dyDescent="0.25">
      <c r="A459" s="9" t="s">
        <v>1578</v>
      </c>
      <c r="B459" s="81">
        <v>112654</v>
      </c>
      <c r="C459" s="81">
        <v>10757</v>
      </c>
      <c r="D459" s="9" t="s">
        <v>321</v>
      </c>
      <c r="E459" s="81">
        <v>14563091</v>
      </c>
      <c r="F459" s="81">
        <v>29742</v>
      </c>
      <c r="G459" s="81">
        <v>1</v>
      </c>
      <c r="H459" s="82">
        <v>359.46</v>
      </c>
      <c r="I459" s="251">
        <v>359.46</v>
      </c>
      <c r="J459" s="9" t="s">
        <v>1387</v>
      </c>
      <c r="K459" s="9" t="s">
        <v>1388</v>
      </c>
      <c r="L459" s="83">
        <v>45200</v>
      </c>
      <c r="M459" s="83">
        <v>45230</v>
      </c>
    </row>
    <row r="460" spans="1:13" ht="14.25" customHeight="1" x14ac:dyDescent="0.25">
      <c r="A460" s="9" t="s">
        <v>1578</v>
      </c>
      <c r="B460" s="81">
        <v>113735</v>
      </c>
      <c r="C460" s="81">
        <v>10743</v>
      </c>
      <c r="D460" s="9" t="s">
        <v>950</v>
      </c>
      <c r="E460" s="81">
        <v>14563091</v>
      </c>
      <c r="F460" s="81">
        <v>31904</v>
      </c>
      <c r="G460" s="81">
        <v>1</v>
      </c>
      <c r="H460" s="82">
        <v>359.46</v>
      </c>
      <c r="I460" s="251">
        <v>359.46</v>
      </c>
      <c r="J460" s="9" t="s">
        <v>1387</v>
      </c>
      <c r="K460" s="9" t="s">
        <v>1388</v>
      </c>
      <c r="L460" s="83">
        <v>45200</v>
      </c>
      <c r="M460" s="83">
        <v>45230</v>
      </c>
    </row>
    <row r="461" spans="1:13" ht="14.25" customHeight="1" x14ac:dyDescent="0.25">
      <c r="A461" s="9" t="s">
        <v>1578</v>
      </c>
      <c r="B461" s="81">
        <v>112661</v>
      </c>
      <c r="C461" s="81">
        <v>10757</v>
      </c>
      <c r="D461" s="9" t="s">
        <v>325</v>
      </c>
      <c r="E461" s="81">
        <v>14563091</v>
      </c>
      <c r="F461" s="81">
        <v>29756</v>
      </c>
      <c r="G461" s="81">
        <v>1</v>
      </c>
      <c r="H461" s="82">
        <v>359.46</v>
      </c>
      <c r="I461" s="251">
        <v>359.46</v>
      </c>
      <c r="J461" s="9" t="s">
        <v>1387</v>
      </c>
      <c r="K461" s="9" t="s">
        <v>1388</v>
      </c>
      <c r="L461" s="83">
        <v>45200</v>
      </c>
      <c r="M461" s="83">
        <v>45230</v>
      </c>
    </row>
    <row r="462" spans="1:13" ht="14.25" customHeight="1" x14ac:dyDescent="0.25">
      <c r="A462" s="9" t="s">
        <v>19</v>
      </c>
      <c r="B462" s="81">
        <v>112668</v>
      </c>
      <c r="C462" s="81">
        <v>10750</v>
      </c>
      <c r="D462" s="9" t="s">
        <v>329</v>
      </c>
      <c r="E462" s="81">
        <v>14563091</v>
      </c>
      <c r="F462" s="81">
        <v>29770</v>
      </c>
      <c r="G462" s="81">
        <v>1</v>
      </c>
      <c r="H462" s="82">
        <v>359.46</v>
      </c>
      <c r="I462" s="251">
        <v>359.46</v>
      </c>
      <c r="J462" s="9" t="s">
        <v>1387</v>
      </c>
      <c r="K462" s="9" t="s">
        <v>1388</v>
      </c>
      <c r="L462" s="83">
        <v>45200</v>
      </c>
      <c r="M462" s="83">
        <v>45230</v>
      </c>
    </row>
    <row r="463" spans="1:13" ht="14.25" customHeight="1" x14ac:dyDescent="0.25">
      <c r="A463" s="9" t="s">
        <v>0</v>
      </c>
      <c r="B463" s="81">
        <v>112680</v>
      </c>
      <c r="C463" s="81">
        <v>10771</v>
      </c>
      <c r="D463" s="9" t="s">
        <v>335</v>
      </c>
      <c r="E463" s="81">
        <v>14563091</v>
      </c>
      <c r="F463" s="81">
        <v>29794</v>
      </c>
      <c r="G463" s="81">
        <v>1</v>
      </c>
      <c r="H463" s="82">
        <v>359.46</v>
      </c>
      <c r="I463" s="251">
        <v>359.46</v>
      </c>
      <c r="J463" s="9" t="s">
        <v>1387</v>
      </c>
      <c r="K463" s="9" t="s">
        <v>1388</v>
      </c>
      <c r="L463" s="83">
        <v>45200</v>
      </c>
      <c r="M463" s="83">
        <v>45230</v>
      </c>
    </row>
    <row r="464" spans="1:13" ht="14.25" customHeight="1" x14ac:dyDescent="0.25">
      <c r="A464" s="9" t="s">
        <v>1578</v>
      </c>
      <c r="B464" s="81">
        <v>114506</v>
      </c>
      <c r="C464" s="81">
        <v>10771</v>
      </c>
      <c r="D464" s="9" t="s">
        <v>1042</v>
      </c>
      <c r="E464" s="81">
        <v>14563091</v>
      </c>
      <c r="F464" s="81">
        <v>35894</v>
      </c>
      <c r="G464" s="81">
        <v>1</v>
      </c>
      <c r="H464" s="82">
        <v>359.46</v>
      </c>
      <c r="I464" s="251">
        <v>359.46</v>
      </c>
      <c r="J464" s="9" t="s">
        <v>1387</v>
      </c>
      <c r="K464" s="9" t="s">
        <v>1388</v>
      </c>
      <c r="L464" s="83">
        <v>45200</v>
      </c>
      <c r="M464" s="83">
        <v>45230</v>
      </c>
    </row>
    <row r="465" spans="1:13" ht="14.25" customHeight="1" x14ac:dyDescent="0.25">
      <c r="A465" s="9" t="s">
        <v>1578</v>
      </c>
      <c r="B465" s="81">
        <v>112709</v>
      </c>
      <c r="C465" s="81">
        <v>10757</v>
      </c>
      <c r="D465" s="9" t="s">
        <v>1540</v>
      </c>
      <c r="E465" s="81">
        <v>14563091</v>
      </c>
      <c r="F465" s="81">
        <v>29852</v>
      </c>
      <c r="G465" s="81">
        <v>1</v>
      </c>
      <c r="H465" s="82">
        <v>359.46</v>
      </c>
      <c r="I465" s="251">
        <v>359.46</v>
      </c>
      <c r="J465" s="9" t="s">
        <v>1387</v>
      </c>
      <c r="K465" s="9" t="s">
        <v>1388</v>
      </c>
      <c r="L465" s="83">
        <v>45200</v>
      </c>
      <c r="M465" s="83">
        <v>45230</v>
      </c>
    </row>
    <row r="466" spans="1:13" ht="14.25" customHeight="1" x14ac:dyDescent="0.25">
      <c r="A466" s="9" t="s">
        <v>32</v>
      </c>
      <c r="B466" s="81">
        <v>122821</v>
      </c>
      <c r="C466" s="81">
        <v>10757</v>
      </c>
      <c r="D466" s="9" t="s">
        <v>1719</v>
      </c>
      <c r="E466" s="81">
        <v>14563091</v>
      </c>
      <c r="F466" s="81">
        <v>57263</v>
      </c>
      <c r="G466" s="81">
        <v>1</v>
      </c>
      <c r="H466" s="82">
        <v>359.46</v>
      </c>
      <c r="I466" s="251">
        <v>359.46</v>
      </c>
      <c r="J466" s="9" t="s">
        <v>1387</v>
      </c>
      <c r="K466" s="9" t="s">
        <v>1388</v>
      </c>
      <c r="L466" s="83">
        <v>45200</v>
      </c>
      <c r="M466" s="83">
        <v>45230</v>
      </c>
    </row>
    <row r="467" spans="1:13" ht="14.25" customHeight="1" x14ac:dyDescent="0.25">
      <c r="A467" s="9" t="s">
        <v>1578</v>
      </c>
      <c r="B467" s="81">
        <v>112713</v>
      </c>
      <c r="C467" s="81">
        <v>10757</v>
      </c>
      <c r="D467" s="9" t="s">
        <v>357</v>
      </c>
      <c r="E467" s="81">
        <v>14563091</v>
      </c>
      <c r="F467" s="81">
        <v>29860</v>
      </c>
      <c r="G467" s="81">
        <v>1</v>
      </c>
      <c r="H467" s="82">
        <v>359.46</v>
      </c>
      <c r="I467" s="251">
        <v>359.46</v>
      </c>
      <c r="J467" s="9" t="s">
        <v>1387</v>
      </c>
      <c r="K467" s="9" t="s">
        <v>1388</v>
      </c>
      <c r="L467" s="83">
        <v>45200</v>
      </c>
      <c r="M467" s="83">
        <v>45230</v>
      </c>
    </row>
    <row r="468" spans="1:13" ht="14.25" customHeight="1" x14ac:dyDescent="0.25">
      <c r="A468" s="9" t="s">
        <v>10</v>
      </c>
      <c r="B468" s="81">
        <v>112716</v>
      </c>
      <c r="C468" s="81">
        <v>10751</v>
      </c>
      <c r="D468" s="9" t="s">
        <v>359</v>
      </c>
      <c r="E468" s="81">
        <v>14563091</v>
      </c>
      <c r="F468" s="81">
        <v>29866</v>
      </c>
      <c r="G468" s="81">
        <v>1</v>
      </c>
      <c r="H468" s="82">
        <v>359.46</v>
      </c>
      <c r="I468" s="251">
        <v>359.46</v>
      </c>
      <c r="J468" s="9" t="s">
        <v>1387</v>
      </c>
      <c r="K468" s="9" t="s">
        <v>1388</v>
      </c>
      <c r="L468" s="83">
        <v>45200</v>
      </c>
      <c r="M468" s="83">
        <v>45230</v>
      </c>
    </row>
    <row r="469" spans="1:13" ht="14.25" customHeight="1" x14ac:dyDescent="0.25">
      <c r="A469" s="9" t="s">
        <v>0</v>
      </c>
      <c r="B469" s="81">
        <v>112720</v>
      </c>
      <c r="C469" s="81">
        <v>10751</v>
      </c>
      <c r="D469" s="9" t="s">
        <v>363</v>
      </c>
      <c r="E469" s="81">
        <v>14563091</v>
      </c>
      <c r="F469" s="81">
        <v>29874</v>
      </c>
      <c r="G469" s="81">
        <v>1</v>
      </c>
      <c r="H469" s="82">
        <v>359.46</v>
      </c>
      <c r="I469" s="251">
        <v>359.46</v>
      </c>
      <c r="J469" s="9" t="s">
        <v>1387</v>
      </c>
      <c r="K469" s="9" t="s">
        <v>1388</v>
      </c>
      <c r="L469" s="83">
        <v>45200</v>
      </c>
      <c r="M469" s="83">
        <v>45230</v>
      </c>
    </row>
    <row r="470" spans="1:13" ht="14.25" customHeight="1" x14ac:dyDescent="0.25">
      <c r="A470" s="9" t="s">
        <v>32</v>
      </c>
      <c r="B470" s="81">
        <v>112724</v>
      </c>
      <c r="C470" s="81">
        <v>10766</v>
      </c>
      <c r="D470" s="9" t="s">
        <v>365</v>
      </c>
      <c r="E470" s="81">
        <v>14563091</v>
      </c>
      <c r="F470" s="81">
        <v>29882</v>
      </c>
      <c r="G470" s="81">
        <v>1</v>
      </c>
      <c r="H470" s="82">
        <v>359.46</v>
      </c>
      <c r="I470" s="251">
        <v>359.46</v>
      </c>
      <c r="J470" s="9" t="s">
        <v>1387</v>
      </c>
      <c r="K470" s="9" t="s">
        <v>1388</v>
      </c>
      <c r="L470" s="83">
        <v>45200</v>
      </c>
      <c r="M470" s="83">
        <v>45230</v>
      </c>
    </row>
    <row r="471" spans="1:13" ht="14.25" customHeight="1" x14ac:dyDescent="0.25">
      <c r="A471" s="9" t="s">
        <v>1578</v>
      </c>
      <c r="B471" s="81">
        <v>114120</v>
      </c>
      <c r="C471" s="81">
        <v>10762</v>
      </c>
      <c r="D471" s="9" t="s">
        <v>1010</v>
      </c>
      <c r="E471" s="81">
        <v>14563091</v>
      </c>
      <c r="F471" s="81">
        <v>34391</v>
      </c>
      <c r="G471" s="81">
        <v>1</v>
      </c>
      <c r="H471" s="82">
        <v>359.46</v>
      </c>
      <c r="I471" s="251">
        <v>359.46</v>
      </c>
      <c r="J471" s="9" t="s">
        <v>1387</v>
      </c>
      <c r="K471" s="9" t="s">
        <v>1388</v>
      </c>
      <c r="L471" s="83">
        <v>45200</v>
      </c>
      <c r="M471" s="83">
        <v>45230</v>
      </c>
    </row>
    <row r="472" spans="1:13" ht="14.25" customHeight="1" x14ac:dyDescent="0.25">
      <c r="A472" s="9" t="s">
        <v>0</v>
      </c>
      <c r="B472" s="81">
        <v>112737</v>
      </c>
      <c r="C472" s="81">
        <v>10750</v>
      </c>
      <c r="D472" s="9" t="s">
        <v>374</v>
      </c>
      <c r="E472" s="81">
        <v>14563091</v>
      </c>
      <c r="F472" s="81">
        <v>29908</v>
      </c>
      <c r="G472" s="81">
        <v>1</v>
      </c>
      <c r="H472" s="82">
        <v>359.46</v>
      </c>
      <c r="I472" s="251">
        <v>359.46</v>
      </c>
      <c r="J472" s="9" t="s">
        <v>1387</v>
      </c>
      <c r="K472" s="9" t="s">
        <v>1388</v>
      </c>
      <c r="L472" s="83">
        <v>45200</v>
      </c>
      <c r="M472" s="83">
        <v>45230</v>
      </c>
    </row>
    <row r="473" spans="1:13" ht="14.25" customHeight="1" x14ac:dyDescent="0.25">
      <c r="A473" s="9" t="s">
        <v>1578</v>
      </c>
      <c r="B473" s="81">
        <v>112742</v>
      </c>
      <c r="C473" s="81">
        <v>10771</v>
      </c>
      <c r="D473" s="9" t="s">
        <v>376</v>
      </c>
      <c r="E473" s="81">
        <v>14563091</v>
      </c>
      <c r="F473" s="81">
        <v>29918</v>
      </c>
      <c r="G473" s="81">
        <v>1</v>
      </c>
      <c r="H473" s="82">
        <v>359.46</v>
      </c>
      <c r="I473" s="251">
        <v>359.46</v>
      </c>
      <c r="J473" s="9" t="s">
        <v>1387</v>
      </c>
      <c r="K473" s="9" t="s">
        <v>1388</v>
      </c>
      <c r="L473" s="83">
        <v>45200</v>
      </c>
      <c r="M473" s="83">
        <v>45230</v>
      </c>
    </row>
    <row r="474" spans="1:13" ht="14.25" customHeight="1" x14ac:dyDescent="0.25">
      <c r="A474" s="9" t="s">
        <v>8</v>
      </c>
      <c r="B474" s="81">
        <v>121956</v>
      </c>
      <c r="C474" s="81">
        <v>10758</v>
      </c>
      <c r="D474" s="9" t="s">
        <v>1607</v>
      </c>
      <c r="E474" s="81">
        <v>14563091</v>
      </c>
      <c r="F474" s="81">
        <v>54967</v>
      </c>
      <c r="G474" s="81">
        <v>1</v>
      </c>
      <c r="H474" s="82">
        <v>359.46</v>
      </c>
      <c r="I474" s="251">
        <v>359.46</v>
      </c>
      <c r="J474" s="9" t="s">
        <v>1387</v>
      </c>
      <c r="K474" s="9" t="s">
        <v>1388</v>
      </c>
      <c r="L474" s="83">
        <v>45200</v>
      </c>
      <c r="M474" s="83">
        <v>45230</v>
      </c>
    </row>
    <row r="475" spans="1:13" ht="14.25" customHeight="1" x14ac:dyDescent="0.25">
      <c r="A475" s="9" t="s">
        <v>1578</v>
      </c>
      <c r="B475" s="81">
        <v>112745</v>
      </c>
      <c r="C475" s="81">
        <v>10771</v>
      </c>
      <c r="D475" s="9" t="s">
        <v>379</v>
      </c>
      <c r="E475" s="81">
        <v>14563091</v>
      </c>
      <c r="F475" s="81">
        <v>29924</v>
      </c>
      <c r="G475" s="81">
        <v>1</v>
      </c>
      <c r="H475" s="82">
        <v>359.46</v>
      </c>
      <c r="I475" s="251">
        <v>359.46</v>
      </c>
      <c r="J475" s="9" t="s">
        <v>1387</v>
      </c>
      <c r="K475" s="9" t="s">
        <v>1388</v>
      </c>
      <c r="L475" s="83">
        <v>45200</v>
      </c>
      <c r="M475" s="83">
        <v>45230</v>
      </c>
    </row>
    <row r="476" spans="1:13" ht="14.25" customHeight="1" x14ac:dyDescent="0.25">
      <c r="A476" s="9" t="s">
        <v>0</v>
      </c>
      <c r="B476" s="81">
        <v>114606</v>
      </c>
      <c r="C476" s="81">
        <v>10754</v>
      </c>
      <c r="D476" s="9" t="s">
        <v>1058</v>
      </c>
      <c r="E476" s="81">
        <v>14563091</v>
      </c>
      <c r="F476" s="81">
        <v>36530</v>
      </c>
      <c r="G476" s="81">
        <v>1</v>
      </c>
      <c r="H476" s="82">
        <v>359.46</v>
      </c>
      <c r="I476" s="251">
        <v>359.46</v>
      </c>
      <c r="J476" s="9" t="s">
        <v>1387</v>
      </c>
      <c r="K476" s="9" t="s">
        <v>1388</v>
      </c>
      <c r="L476" s="83">
        <v>45200</v>
      </c>
      <c r="M476" s="83">
        <v>45230</v>
      </c>
    </row>
    <row r="477" spans="1:13" ht="14.25" customHeight="1" x14ac:dyDescent="0.25">
      <c r="A477" s="9" t="s">
        <v>0</v>
      </c>
      <c r="B477" s="81">
        <v>112749</v>
      </c>
      <c r="C477" s="81">
        <v>10750</v>
      </c>
      <c r="D477" s="9" t="s">
        <v>382</v>
      </c>
      <c r="E477" s="81">
        <v>14563091</v>
      </c>
      <c r="F477" s="81">
        <v>29932</v>
      </c>
      <c r="G477" s="81">
        <v>1</v>
      </c>
      <c r="H477" s="82">
        <v>359.46</v>
      </c>
      <c r="I477" s="251">
        <v>359.46</v>
      </c>
      <c r="J477" s="9" t="s">
        <v>1387</v>
      </c>
      <c r="K477" s="9" t="s">
        <v>1388</v>
      </c>
      <c r="L477" s="83">
        <v>45200</v>
      </c>
      <c r="M477" s="83">
        <v>45230</v>
      </c>
    </row>
    <row r="478" spans="1:13" ht="14.25" customHeight="1" x14ac:dyDescent="0.25">
      <c r="A478" s="9" t="s">
        <v>1578</v>
      </c>
      <c r="B478" s="81">
        <v>112753</v>
      </c>
      <c r="C478" s="81">
        <v>10771</v>
      </c>
      <c r="D478" s="9" t="s">
        <v>383</v>
      </c>
      <c r="E478" s="81">
        <v>14563091</v>
      </c>
      <c r="F478" s="81">
        <v>29940</v>
      </c>
      <c r="G478" s="81">
        <v>1</v>
      </c>
      <c r="H478" s="82">
        <v>359.46</v>
      </c>
      <c r="I478" s="251">
        <v>359.46</v>
      </c>
      <c r="J478" s="9" t="s">
        <v>1387</v>
      </c>
      <c r="K478" s="9" t="s">
        <v>1388</v>
      </c>
      <c r="L478" s="83">
        <v>45200</v>
      </c>
      <c r="M478" s="83">
        <v>45230</v>
      </c>
    </row>
    <row r="479" spans="1:13" ht="14.25" customHeight="1" x14ac:dyDescent="0.25">
      <c r="A479" s="9" t="s">
        <v>1578</v>
      </c>
      <c r="B479" s="81">
        <v>112757</v>
      </c>
      <c r="C479" s="81">
        <v>10768</v>
      </c>
      <c r="D479" s="9" t="s">
        <v>386</v>
      </c>
      <c r="E479" s="81">
        <v>14563091</v>
      </c>
      <c r="F479" s="81">
        <v>29948</v>
      </c>
      <c r="G479" s="81">
        <v>1</v>
      </c>
      <c r="H479" s="82">
        <v>359.46</v>
      </c>
      <c r="I479" s="251">
        <v>359.46</v>
      </c>
      <c r="J479" s="9" t="s">
        <v>1387</v>
      </c>
      <c r="K479" s="9" t="s">
        <v>1388</v>
      </c>
      <c r="L479" s="83">
        <v>45200</v>
      </c>
      <c r="M479" s="83">
        <v>45230</v>
      </c>
    </row>
    <row r="480" spans="1:13" ht="14.25" customHeight="1" x14ac:dyDescent="0.25">
      <c r="A480" s="9" t="s">
        <v>1578</v>
      </c>
      <c r="B480" s="81">
        <v>114918</v>
      </c>
      <c r="C480" s="81">
        <v>10758</v>
      </c>
      <c r="D480" s="9" t="s">
        <v>1107</v>
      </c>
      <c r="E480" s="81">
        <v>14563091</v>
      </c>
      <c r="F480" s="81">
        <v>37618</v>
      </c>
      <c r="G480" s="81">
        <v>1</v>
      </c>
      <c r="H480" s="82">
        <v>359.46</v>
      </c>
      <c r="I480" s="251">
        <v>359.46</v>
      </c>
      <c r="J480" s="9" t="s">
        <v>1387</v>
      </c>
      <c r="K480" s="9" t="s">
        <v>1388</v>
      </c>
      <c r="L480" s="83">
        <v>45200</v>
      </c>
      <c r="M480" s="83">
        <v>45230</v>
      </c>
    </row>
    <row r="481" spans="1:13" ht="14.25" customHeight="1" x14ac:dyDescent="0.25">
      <c r="A481" s="9" t="s">
        <v>8</v>
      </c>
      <c r="B481" s="81">
        <v>115214</v>
      </c>
      <c r="C481" s="81">
        <v>10758</v>
      </c>
      <c r="D481" s="9" t="s">
        <v>1140</v>
      </c>
      <c r="E481" s="81">
        <v>14563091</v>
      </c>
      <c r="F481" s="81">
        <v>38473</v>
      </c>
      <c r="G481" s="81">
        <v>1</v>
      </c>
      <c r="H481" s="82">
        <v>359.46</v>
      </c>
      <c r="I481" s="251">
        <v>359.46</v>
      </c>
      <c r="J481" s="9" t="s">
        <v>1387</v>
      </c>
      <c r="K481" s="9" t="s">
        <v>1388</v>
      </c>
      <c r="L481" s="83">
        <v>45200</v>
      </c>
      <c r="M481" s="83">
        <v>45230</v>
      </c>
    </row>
    <row r="482" spans="1:13" ht="14.25" customHeight="1" x14ac:dyDescent="0.25">
      <c r="A482" s="9" t="s">
        <v>1578</v>
      </c>
      <c r="B482" s="81">
        <v>115397</v>
      </c>
      <c r="C482" s="81">
        <v>10757</v>
      </c>
      <c r="D482" s="9" t="s">
        <v>1150</v>
      </c>
      <c r="E482" s="81">
        <v>14563091</v>
      </c>
      <c r="F482" s="81">
        <v>39000</v>
      </c>
      <c r="G482" s="81">
        <v>1</v>
      </c>
      <c r="H482" s="82">
        <v>311.52999999999997</v>
      </c>
      <c r="I482" s="251">
        <v>311.52999999999997</v>
      </c>
      <c r="J482" s="9" t="s">
        <v>1387</v>
      </c>
      <c r="K482" s="9" t="s">
        <v>1388</v>
      </c>
      <c r="L482" s="83">
        <v>45200</v>
      </c>
      <c r="M482" s="83">
        <v>45230</v>
      </c>
    </row>
    <row r="483" spans="1:13" ht="14.25" customHeight="1" x14ac:dyDescent="0.25">
      <c r="A483" s="9" t="s">
        <v>0</v>
      </c>
      <c r="B483" s="81">
        <v>115378</v>
      </c>
      <c r="C483" s="81">
        <v>10758</v>
      </c>
      <c r="D483" s="9" t="s">
        <v>1149</v>
      </c>
      <c r="E483" s="81">
        <v>14563091</v>
      </c>
      <c r="F483" s="81">
        <v>38948</v>
      </c>
      <c r="G483" s="81">
        <v>1</v>
      </c>
      <c r="H483" s="82">
        <v>359.46</v>
      </c>
      <c r="I483" s="251">
        <v>359.46</v>
      </c>
      <c r="J483" s="9" t="s">
        <v>1387</v>
      </c>
      <c r="K483" s="9" t="s">
        <v>1388</v>
      </c>
      <c r="L483" s="83">
        <v>45200</v>
      </c>
      <c r="M483" s="83">
        <v>45230</v>
      </c>
    </row>
    <row r="484" spans="1:13" ht="14.25" customHeight="1" x14ac:dyDescent="0.25">
      <c r="A484" s="9" t="s">
        <v>8</v>
      </c>
      <c r="B484" s="81">
        <v>114729</v>
      </c>
      <c r="C484" s="81">
        <v>10750</v>
      </c>
      <c r="D484" s="9" t="s">
        <v>1080</v>
      </c>
      <c r="E484" s="81">
        <v>14563091</v>
      </c>
      <c r="F484" s="81">
        <v>36906</v>
      </c>
      <c r="G484" s="81">
        <v>1</v>
      </c>
      <c r="H484" s="82">
        <v>359.46</v>
      </c>
      <c r="I484" s="251">
        <v>359.46</v>
      </c>
      <c r="J484" s="9" t="s">
        <v>1387</v>
      </c>
      <c r="K484" s="9" t="s">
        <v>1388</v>
      </c>
      <c r="L484" s="83">
        <v>45200</v>
      </c>
      <c r="M484" s="83">
        <v>45230</v>
      </c>
    </row>
    <row r="485" spans="1:13" ht="14.25" customHeight="1" x14ac:dyDescent="0.25">
      <c r="A485" s="9" t="s">
        <v>10</v>
      </c>
      <c r="B485" s="81">
        <v>119665</v>
      </c>
      <c r="C485" s="81">
        <v>10751</v>
      </c>
      <c r="D485" s="9" t="s">
        <v>1462</v>
      </c>
      <c r="E485" s="81">
        <v>14563091</v>
      </c>
      <c r="F485" s="81">
        <v>49657</v>
      </c>
      <c r="G485" s="81">
        <v>1</v>
      </c>
      <c r="H485" s="82">
        <v>359.46</v>
      </c>
      <c r="I485" s="251">
        <v>359.46</v>
      </c>
      <c r="J485" s="9" t="s">
        <v>1387</v>
      </c>
      <c r="K485" s="9" t="s">
        <v>1388</v>
      </c>
      <c r="L485" s="83">
        <v>45200</v>
      </c>
      <c r="M485" s="83">
        <v>45230</v>
      </c>
    </row>
    <row r="486" spans="1:13" ht="14.25" customHeight="1" x14ac:dyDescent="0.25">
      <c r="A486" s="9" t="s">
        <v>19</v>
      </c>
      <c r="B486" s="81">
        <v>112764</v>
      </c>
      <c r="C486" s="81">
        <v>10771</v>
      </c>
      <c r="D486" s="9" t="s">
        <v>390</v>
      </c>
      <c r="E486" s="81">
        <v>14563091</v>
      </c>
      <c r="F486" s="81">
        <v>29962</v>
      </c>
      <c r="G486" s="81">
        <v>1</v>
      </c>
      <c r="H486" s="82">
        <v>359.46</v>
      </c>
      <c r="I486" s="251">
        <v>359.46</v>
      </c>
      <c r="J486" s="9" t="s">
        <v>1387</v>
      </c>
      <c r="K486" s="9" t="s">
        <v>1388</v>
      </c>
      <c r="L486" s="83">
        <v>45200</v>
      </c>
      <c r="M486" s="83">
        <v>45230</v>
      </c>
    </row>
    <row r="487" spans="1:13" ht="14.25" customHeight="1" x14ac:dyDescent="0.25">
      <c r="A487" s="9" t="s">
        <v>0</v>
      </c>
      <c r="B487" s="81">
        <v>114316</v>
      </c>
      <c r="C487" s="81">
        <v>10758</v>
      </c>
      <c r="D487" s="9" t="s">
        <v>1032</v>
      </c>
      <c r="E487" s="81">
        <v>14563091</v>
      </c>
      <c r="F487" s="81">
        <v>35850</v>
      </c>
      <c r="G487" s="81">
        <v>1</v>
      </c>
      <c r="H487" s="82">
        <v>335.49</v>
      </c>
      <c r="I487" s="251">
        <v>335.49</v>
      </c>
      <c r="J487" s="9" t="s">
        <v>1387</v>
      </c>
      <c r="K487" s="9" t="s">
        <v>1388</v>
      </c>
      <c r="L487" s="83">
        <v>45200</v>
      </c>
      <c r="M487" s="83">
        <v>45230</v>
      </c>
    </row>
    <row r="488" spans="1:13" ht="14.25" customHeight="1" x14ac:dyDescent="0.25">
      <c r="A488" s="9" t="s">
        <v>0</v>
      </c>
      <c r="B488" s="81">
        <v>115818</v>
      </c>
      <c r="C488" s="81">
        <v>10757</v>
      </c>
      <c r="D488" s="9" t="s">
        <v>1335</v>
      </c>
      <c r="E488" s="81">
        <v>14563091</v>
      </c>
      <c r="F488" s="81">
        <v>40311</v>
      </c>
      <c r="G488" s="81">
        <v>1</v>
      </c>
      <c r="H488" s="82">
        <v>359.46</v>
      </c>
      <c r="I488" s="251">
        <v>359.46</v>
      </c>
      <c r="J488" s="9" t="s">
        <v>1387</v>
      </c>
      <c r="K488" s="9" t="s">
        <v>1388</v>
      </c>
      <c r="L488" s="83">
        <v>45200</v>
      </c>
      <c r="M488" s="83">
        <v>45230</v>
      </c>
    </row>
    <row r="489" spans="1:13" ht="14.25" customHeight="1" x14ac:dyDescent="0.25">
      <c r="A489" s="9" t="s">
        <v>8</v>
      </c>
      <c r="B489" s="81">
        <v>112766</v>
      </c>
      <c r="C489" s="81">
        <v>10757</v>
      </c>
      <c r="D489" s="9" t="s">
        <v>392</v>
      </c>
      <c r="E489" s="81">
        <v>14563091</v>
      </c>
      <c r="F489" s="81">
        <v>29966</v>
      </c>
      <c r="G489" s="81">
        <v>1</v>
      </c>
      <c r="H489" s="82">
        <v>359.46</v>
      </c>
      <c r="I489" s="251">
        <v>359.46</v>
      </c>
      <c r="J489" s="9" t="s">
        <v>1387</v>
      </c>
      <c r="K489" s="9" t="s">
        <v>1388</v>
      </c>
      <c r="L489" s="83">
        <v>45200</v>
      </c>
      <c r="M489" s="83">
        <v>45230</v>
      </c>
    </row>
    <row r="490" spans="1:13" ht="14.25" customHeight="1" x14ac:dyDescent="0.25">
      <c r="A490" s="9" t="s">
        <v>1578</v>
      </c>
      <c r="B490" s="81">
        <v>112768</v>
      </c>
      <c r="C490" s="81">
        <v>10761</v>
      </c>
      <c r="D490" s="9" t="s">
        <v>394</v>
      </c>
      <c r="E490" s="81">
        <v>14563091</v>
      </c>
      <c r="F490" s="81">
        <v>29970</v>
      </c>
      <c r="G490" s="81">
        <v>1</v>
      </c>
      <c r="H490" s="82">
        <v>359.46</v>
      </c>
      <c r="I490" s="251">
        <v>359.46</v>
      </c>
      <c r="J490" s="9" t="s">
        <v>1387</v>
      </c>
      <c r="K490" s="9" t="s">
        <v>1388</v>
      </c>
      <c r="L490" s="83">
        <v>45200</v>
      </c>
      <c r="M490" s="83">
        <v>45230</v>
      </c>
    </row>
    <row r="491" spans="1:13" ht="14.25" customHeight="1" x14ac:dyDescent="0.25">
      <c r="A491" s="9" t="s">
        <v>32</v>
      </c>
      <c r="B491" s="81">
        <v>112799</v>
      </c>
      <c r="C491" s="81">
        <v>10760</v>
      </c>
      <c r="D491" s="9" t="s">
        <v>418</v>
      </c>
      <c r="E491" s="81">
        <v>14563091</v>
      </c>
      <c r="F491" s="81">
        <v>30032</v>
      </c>
      <c r="G491" s="81">
        <v>1</v>
      </c>
      <c r="H491" s="82">
        <v>359.46</v>
      </c>
      <c r="I491" s="251">
        <v>359.46</v>
      </c>
      <c r="J491" s="9" t="s">
        <v>1387</v>
      </c>
      <c r="K491" s="9" t="s">
        <v>1388</v>
      </c>
      <c r="L491" s="83">
        <v>45200</v>
      </c>
      <c r="M491" s="83">
        <v>45230</v>
      </c>
    </row>
    <row r="492" spans="1:13" ht="14.25" customHeight="1" x14ac:dyDescent="0.25">
      <c r="A492" s="9" t="s">
        <v>1578</v>
      </c>
      <c r="B492" s="81">
        <v>116738</v>
      </c>
      <c r="C492" s="81">
        <v>10743</v>
      </c>
      <c r="D492" s="9" t="s">
        <v>1336</v>
      </c>
      <c r="E492" s="81">
        <v>14563091</v>
      </c>
      <c r="F492" s="81">
        <v>42864</v>
      </c>
      <c r="G492" s="81">
        <v>1</v>
      </c>
      <c r="H492" s="82">
        <v>359.46</v>
      </c>
      <c r="I492" s="251">
        <v>359.46</v>
      </c>
      <c r="J492" s="9" t="s">
        <v>1387</v>
      </c>
      <c r="K492" s="9" t="s">
        <v>1389</v>
      </c>
      <c r="L492" s="83">
        <v>45200</v>
      </c>
      <c r="M492" s="83">
        <v>45230</v>
      </c>
    </row>
    <row r="493" spans="1:13" ht="14.25" customHeight="1" x14ac:dyDescent="0.25">
      <c r="A493" s="9" t="s">
        <v>1578</v>
      </c>
      <c r="B493" s="81">
        <v>113714</v>
      </c>
      <c r="C493" s="81">
        <v>10743</v>
      </c>
      <c r="D493" s="9" t="s">
        <v>930</v>
      </c>
      <c r="E493" s="81">
        <v>14563091</v>
      </c>
      <c r="F493" s="81">
        <v>31862</v>
      </c>
      <c r="G493" s="81">
        <v>1</v>
      </c>
      <c r="H493" s="82">
        <v>359.46</v>
      </c>
      <c r="I493" s="251">
        <v>359.46</v>
      </c>
      <c r="J493" s="9" t="s">
        <v>1387</v>
      </c>
      <c r="K493" s="9" t="s">
        <v>1388</v>
      </c>
      <c r="L493" s="83">
        <v>45200</v>
      </c>
      <c r="M493" s="83">
        <v>45230</v>
      </c>
    </row>
    <row r="494" spans="1:13" ht="14.25" customHeight="1" x14ac:dyDescent="0.25">
      <c r="A494" s="9" t="s">
        <v>1578</v>
      </c>
      <c r="B494" s="81">
        <v>114765</v>
      </c>
      <c r="C494" s="81">
        <v>10768</v>
      </c>
      <c r="D494" s="9" t="s">
        <v>1096</v>
      </c>
      <c r="E494" s="81">
        <v>14563091</v>
      </c>
      <c r="F494" s="81">
        <v>36978</v>
      </c>
      <c r="G494" s="81">
        <v>1</v>
      </c>
      <c r="H494" s="82">
        <v>359.46</v>
      </c>
      <c r="I494" s="251">
        <v>359.46</v>
      </c>
      <c r="J494" s="9" t="s">
        <v>1387</v>
      </c>
      <c r="K494" s="9" t="s">
        <v>1388</v>
      </c>
      <c r="L494" s="83">
        <v>45200</v>
      </c>
      <c r="M494" s="83">
        <v>45230</v>
      </c>
    </row>
    <row r="495" spans="1:13" ht="14.25" customHeight="1" x14ac:dyDescent="0.25">
      <c r="A495" s="9" t="s">
        <v>8</v>
      </c>
      <c r="B495" s="81">
        <v>122822</v>
      </c>
      <c r="C495" s="81">
        <v>10757</v>
      </c>
      <c r="D495" s="9" t="s">
        <v>1720</v>
      </c>
      <c r="E495" s="81">
        <v>14563091</v>
      </c>
      <c r="F495" s="81">
        <v>57215</v>
      </c>
      <c r="G495" s="81">
        <v>1</v>
      </c>
      <c r="H495" s="82">
        <v>359.46</v>
      </c>
      <c r="I495" s="251">
        <v>359.46</v>
      </c>
      <c r="J495" s="9" t="s">
        <v>1387</v>
      </c>
      <c r="K495" s="9" t="s">
        <v>1388</v>
      </c>
      <c r="L495" s="83">
        <v>45200</v>
      </c>
      <c r="M495" s="83">
        <v>45230</v>
      </c>
    </row>
    <row r="496" spans="1:13" ht="14.25" customHeight="1" x14ac:dyDescent="0.25">
      <c r="A496" s="9" t="s">
        <v>10</v>
      </c>
      <c r="B496" s="81">
        <v>112818</v>
      </c>
      <c r="C496" s="81">
        <v>10771</v>
      </c>
      <c r="D496" s="9" t="s">
        <v>432</v>
      </c>
      <c r="E496" s="81">
        <v>14563091</v>
      </c>
      <c r="F496" s="81">
        <v>30070</v>
      </c>
      <c r="G496" s="81">
        <v>1</v>
      </c>
      <c r="H496" s="82">
        <v>359.46</v>
      </c>
      <c r="I496" s="251">
        <v>359.46</v>
      </c>
      <c r="J496" s="9" t="s">
        <v>1387</v>
      </c>
      <c r="K496" s="9" t="s">
        <v>1388</v>
      </c>
      <c r="L496" s="83">
        <v>45200</v>
      </c>
      <c r="M496" s="83">
        <v>45230</v>
      </c>
    </row>
    <row r="497" spans="1:13" ht="14.25" customHeight="1" x14ac:dyDescent="0.25">
      <c r="A497" s="9" t="s">
        <v>19</v>
      </c>
      <c r="B497" s="81">
        <v>115409</v>
      </c>
      <c r="C497" s="81">
        <v>10757</v>
      </c>
      <c r="D497" s="9" t="s">
        <v>1157</v>
      </c>
      <c r="E497" s="81">
        <v>14563091</v>
      </c>
      <c r="F497" s="81">
        <v>39024</v>
      </c>
      <c r="G497" s="81">
        <v>1</v>
      </c>
      <c r="H497" s="82">
        <v>359.46</v>
      </c>
      <c r="I497" s="251">
        <v>359.46</v>
      </c>
      <c r="J497" s="9" t="s">
        <v>1387</v>
      </c>
      <c r="K497" s="9" t="s">
        <v>1388</v>
      </c>
      <c r="L497" s="83">
        <v>45200</v>
      </c>
      <c r="M497" s="83">
        <v>45230</v>
      </c>
    </row>
    <row r="498" spans="1:13" ht="14.25" customHeight="1" x14ac:dyDescent="0.25">
      <c r="A498" s="9" t="s">
        <v>0</v>
      </c>
      <c r="B498" s="81">
        <v>122089</v>
      </c>
      <c r="C498" s="81">
        <v>10766</v>
      </c>
      <c r="D498" s="9" t="s">
        <v>1627</v>
      </c>
      <c r="E498" s="81">
        <v>14563091</v>
      </c>
      <c r="F498" s="81">
        <v>55292</v>
      </c>
      <c r="G498" s="81">
        <v>1</v>
      </c>
      <c r="H498" s="82">
        <v>359.46</v>
      </c>
      <c r="I498" s="251">
        <v>359.46</v>
      </c>
      <c r="J498" s="9" t="s">
        <v>1387</v>
      </c>
      <c r="K498" s="9" t="s">
        <v>1388</v>
      </c>
      <c r="L498" s="83">
        <v>45200</v>
      </c>
      <c r="M498" s="83">
        <v>45230</v>
      </c>
    </row>
    <row r="499" spans="1:13" ht="14.25" customHeight="1" x14ac:dyDescent="0.25">
      <c r="A499" s="9" t="s">
        <v>1578</v>
      </c>
      <c r="B499" s="81">
        <v>112829</v>
      </c>
      <c r="C499" s="81">
        <v>10757</v>
      </c>
      <c r="D499" s="9" t="s">
        <v>440</v>
      </c>
      <c r="E499" s="81">
        <v>14563091</v>
      </c>
      <c r="F499" s="81">
        <v>30092</v>
      </c>
      <c r="G499" s="81">
        <v>1</v>
      </c>
      <c r="H499" s="82">
        <v>359.46</v>
      </c>
      <c r="I499" s="251">
        <v>359.46</v>
      </c>
      <c r="J499" s="9" t="s">
        <v>1387</v>
      </c>
      <c r="K499" s="9" t="s">
        <v>1388</v>
      </c>
      <c r="L499" s="83">
        <v>45200</v>
      </c>
      <c r="M499" s="83">
        <v>45230</v>
      </c>
    </row>
    <row r="500" spans="1:13" ht="14.25" customHeight="1" x14ac:dyDescent="0.25">
      <c r="A500" s="9" t="s">
        <v>1578</v>
      </c>
      <c r="B500" s="81">
        <v>112832</v>
      </c>
      <c r="C500" s="81">
        <v>10768</v>
      </c>
      <c r="D500" s="9" t="s">
        <v>442</v>
      </c>
      <c r="E500" s="81">
        <v>14563091</v>
      </c>
      <c r="F500" s="81">
        <v>30098</v>
      </c>
      <c r="G500" s="81">
        <v>1</v>
      </c>
      <c r="H500" s="82">
        <v>359.46</v>
      </c>
      <c r="I500" s="251">
        <v>359.46</v>
      </c>
      <c r="J500" s="9" t="s">
        <v>1387</v>
      </c>
      <c r="K500" s="9" t="s">
        <v>1388</v>
      </c>
      <c r="L500" s="83">
        <v>45200</v>
      </c>
      <c r="M500" s="83">
        <v>45230</v>
      </c>
    </row>
    <row r="501" spans="1:13" ht="14.25" customHeight="1" x14ac:dyDescent="0.25">
      <c r="A501" s="9" t="s">
        <v>8</v>
      </c>
      <c r="B501" s="81">
        <v>112840</v>
      </c>
      <c r="C501" s="81">
        <v>10750</v>
      </c>
      <c r="D501" s="9" t="s">
        <v>447</v>
      </c>
      <c r="E501" s="81">
        <v>14563091</v>
      </c>
      <c r="F501" s="81">
        <v>30114</v>
      </c>
      <c r="G501" s="81">
        <v>1</v>
      </c>
      <c r="H501" s="82">
        <v>359.46</v>
      </c>
      <c r="I501" s="251">
        <v>359.46</v>
      </c>
      <c r="J501" s="9" t="s">
        <v>1387</v>
      </c>
      <c r="K501" s="9" t="s">
        <v>1388</v>
      </c>
      <c r="L501" s="83">
        <v>45200</v>
      </c>
      <c r="M501" s="83">
        <v>45230</v>
      </c>
    </row>
    <row r="502" spans="1:13" ht="14.25" customHeight="1" x14ac:dyDescent="0.25">
      <c r="A502" s="9" t="s">
        <v>8</v>
      </c>
      <c r="B502" s="81">
        <v>112849</v>
      </c>
      <c r="C502" s="81">
        <v>10750</v>
      </c>
      <c r="D502" s="9" t="s">
        <v>451</v>
      </c>
      <c r="E502" s="81">
        <v>14563091</v>
      </c>
      <c r="F502" s="81">
        <v>30132</v>
      </c>
      <c r="G502" s="81">
        <v>1</v>
      </c>
      <c r="H502" s="82">
        <v>359.46</v>
      </c>
      <c r="I502" s="251">
        <v>359.46</v>
      </c>
      <c r="J502" s="9" t="s">
        <v>1387</v>
      </c>
      <c r="K502" s="9" t="s">
        <v>1388</v>
      </c>
      <c r="L502" s="83">
        <v>45200</v>
      </c>
      <c r="M502" s="83">
        <v>45230</v>
      </c>
    </row>
    <row r="503" spans="1:13" ht="14.25" customHeight="1" x14ac:dyDescent="0.25">
      <c r="A503" s="9" t="s">
        <v>0</v>
      </c>
      <c r="B503" s="81">
        <v>112864</v>
      </c>
      <c r="C503" s="81">
        <v>10750</v>
      </c>
      <c r="D503" s="9" t="s">
        <v>1337</v>
      </c>
      <c r="E503" s="81">
        <v>14563091</v>
      </c>
      <c r="F503" s="81">
        <v>30162</v>
      </c>
      <c r="G503" s="81">
        <v>1</v>
      </c>
      <c r="H503" s="82">
        <v>359.46</v>
      </c>
      <c r="I503" s="251">
        <v>359.46</v>
      </c>
      <c r="J503" s="9" t="s">
        <v>1387</v>
      </c>
      <c r="K503" s="9" t="s">
        <v>1388</v>
      </c>
      <c r="L503" s="83">
        <v>45200</v>
      </c>
      <c r="M503" s="83">
        <v>45230</v>
      </c>
    </row>
    <row r="504" spans="1:13" ht="14.25" customHeight="1" x14ac:dyDescent="0.25">
      <c r="A504" s="9" t="s">
        <v>10</v>
      </c>
      <c r="B504" s="81">
        <v>112870</v>
      </c>
      <c r="C504" s="81">
        <v>10750</v>
      </c>
      <c r="D504" s="9" t="s">
        <v>1338</v>
      </c>
      <c r="E504" s="81">
        <v>14563091</v>
      </c>
      <c r="F504" s="81">
        <v>30174</v>
      </c>
      <c r="G504" s="81">
        <v>1</v>
      </c>
      <c r="H504" s="82">
        <v>359.46</v>
      </c>
      <c r="I504" s="251">
        <v>359.46</v>
      </c>
      <c r="J504" s="9" t="s">
        <v>1387</v>
      </c>
      <c r="K504" s="9" t="s">
        <v>1388</v>
      </c>
      <c r="L504" s="83">
        <v>45200</v>
      </c>
      <c r="M504" s="83">
        <v>45230</v>
      </c>
    </row>
    <row r="505" spans="1:13" ht="14.25" customHeight="1" x14ac:dyDescent="0.25">
      <c r="A505" s="9" t="s">
        <v>8</v>
      </c>
      <c r="B505" s="81">
        <v>112886</v>
      </c>
      <c r="C505" s="81">
        <v>10751</v>
      </c>
      <c r="D505" s="9" t="s">
        <v>1339</v>
      </c>
      <c r="E505" s="81">
        <v>14563091</v>
      </c>
      <c r="F505" s="81">
        <v>30206</v>
      </c>
      <c r="G505" s="81">
        <v>1</v>
      </c>
      <c r="H505" s="82">
        <v>359.46</v>
      </c>
      <c r="I505" s="251">
        <v>359.46</v>
      </c>
      <c r="J505" s="9" t="s">
        <v>1387</v>
      </c>
      <c r="K505" s="9" t="s">
        <v>1388</v>
      </c>
      <c r="L505" s="83">
        <v>45200</v>
      </c>
      <c r="M505" s="83">
        <v>45230</v>
      </c>
    </row>
    <row r="506" spans="1:13" ht="14.25" customHeight="1" x14ac:dyDescent="0.25">
      <c r="A506" s="9" t="s">
        <v>1578</v>
      </c>
      <c r="B506" s="81">
        <v>114954</v>
      </c>
      <c r="C506" s="81">
        <v>10763</v>
      </c>
      <c r="D506" s="9" t="s">
        <v>1125</v>
      </c>
      <c r="E506" s="81">
        <v>14563091</v>
      </c>
      <c r="F506" s="81">
        <v>37684</v>
      </c>
      <c r="G506" s="81">
        <v>1</v>
      </c>
      <c r="H506" s="82">
        <v>359.46</v>
      </c>
      <c r="I506" s="251">
        <v>359.46</v>
      </c>
      <c r="J506" s="9" t="s">
        <v>1387</v>
      </c>
      <c r="K506" s="9" t="s">
        <v>1388</v>
      </c>
      <c r="L506" s="83">
        <v>45200</v>
      </c>
      <c r="M506" s="83">
        <v>45230</v>
      </c>
    </row>
    <row r="507" spans="1:13" ht="14.25" customHeight="1" x14ac:dyDescent="0.25">
      <c r="A507" s="9" t="s">
        <v>1578</v>
      </c>
      <c r="B507" s="81">
        <v>112904</v>
      </c>
      <c r="C507" s="81">
        <v>10762</v>
      </c>
      <c r="D507" s="9" t="s">
        <v>488</v>
      </c>
      <c r="E507" s="81">
        <v>14563091</v>
      </c>
      <c r="F507" s="81">
        <v>30242</v>
      </c>
      <c r="G507" s="81">
        <v>1</v>
      </c>
      <c r="H507" s="82">
        <v>359.46</v>
      </c>
      <c r="I507" s="251">
        <v>359.46</v>
      </c>
      <c r="J507" s="9" t="s">
        <v>1387</v>
      </c>
      <c r="K507" s="9" t="s">
        <v>1388</v>
      </c>
      <c r="L507" s="83">
        <v>45200</v>
      </c>
      <c r="M507" s="83">
        <v>45230</v>
      </c>
    </row>
    <row r="508" spans="1:13" ht="14.25" customHeight="1" x14ac:dyDescent="0.25">
      <c r="A508" s="9" t="s">
        <v>0</v>
      </c>
      <c r="B508" s="81">
        <v>112912</v>
      </c>
      <c r="C508" s="81">
        <v>10750</v>
      </c>
      <c r="D508" s="9" t="s">
        <v>1340</v>
      </c>
      <c r="E508" s="81">
        <v>14563091</v>
      </c>
      <c r="F508" s="81">
        <v>30258</v>
      </c>
      <c r="G508" s="81">
        <v>1</v>
      </c>
      <c r="H508" s="82">
        <v>359.46</v>
      </c>
      <c r="I508" s="251">
        <v>359.46</v>
      </c>
      <c r="J508" s="9" t="s">
        <v>1387</v>
      </c>
      <c r="K508" s="9" t="s">
        <v>1388</v>
      </c>
      <c r="L508" s="83">
        <v>45200</v>
      </c>
      <c r="M508" s="83">
        <v>45230</v>
      </c>
    </row>
    <row r="509" spans="1:13" ht="14.25" customHeight="1" x14ac:dyDescent="0.25">
      <c r="A509" s="9" t="s">
        <v>0</v>
      </c>
      <c r="B509" s="81">
        <v>112974</v>
      </c>
      <c r="C509" s="81">
        <v>10750</v>
      </c>
      <c r="D509" s="9" t="s">
        <v>526</v>
      </c>
      <c r="E509" s="81">
        <v>14563091</v>
      </c>
      <c r="F509" s="81">
        <v>30382</v>
      </c>
      <c r="G509" s="81">
        <v>1</v>
      </c>
      <c r="H509" s="82">
        <v>359.46</v>
      </c>
      <c r="I509" s="251">
        <v>359.46</v>
      </c>
      <c r="J509" s="9" t="s">
        <v>1387</v>
      </c>
      <c r="K509" s="9" t="s">
        <v>1388</v>
      </c>
      <c r="L509" s="83">
        <v>45200</v>
      </c>
      <c r="M509" s="83">
        <v>45230</v>
      </c>
    </row>
    <row r="510" spans="1:13" ht="14.25" customHeight="1" x14ac:dyDescent="0.25">
      <c r="A510" s="9" t="s">
        <v>0</v>
      </c>
      <c r="B510" s="81">
        <v>112978</v>
      </c>
      <c r="C510" s="81">
        <v>10750</v>
      </c>
      <c r="D510" s="9" t="s">
        <v>1341</v>
      </c>
      <c r="E510" s="81">
        <v>14563091</v>
      </c>
      <c r="F510" s="81">
        <v>30390</v>
      </c>
      <c r="G510" s="81">
        <v>1</v>
      </c>
      <c r="H510" s="82">
        <v>359.46</v>
      </c>
      <c r="I510" s="251">
        <v>359.46</v>
      </c>
      <c r="J510" s="9" t="s">
        <v>1387</v>
      </c>
      <c r="K510" s="9" t="s">
        <v>1388</v>
      </c>
      <c r="L510" s="83">
        <v>45200</v>
      </c>
      <c r="M510" s="83">
        <v>45230</v>
      </c>
    </row>
    <row r="511" spans="1:13" ht="14.25" customHeight="1" x14ac:dyDescent="0.25">
      <c r="A511" s="9" t="s">
        <v>1578</v>
      </c>
      <c r="B511" s="81">
        <v>119632</v>
      </c>
      <c r="C511" s="81">
        <v>10757</v>
      </c>
      <c r="D511" s="9" t="s">
        <v>1463</v>
      </c>
      <c r="E511" s="81">
        <v>14563091</v>
      </c>
      <c r="F511" s="81">
        <v>49572</v>
      </c>
      <c r="G511" s="81">
        <v>1</v>
      </c>
      <c r="H511" s="82">
        <v>359.46</v>
      </c>
      <c r="I511" s="251">
        <v>359.46</v>
      </c>
      <c r="J511" s="9" t="s">
        <v>1387</v>
      </c>
      <c r="K511" s="9" t="s">
        <v>1388</v>
      </c>
      <c r="L511" s="83">
        <v>45200</v>
      </c>
      <c r="M511" s="83">
        <v>45230</v>
      </c>
    </row>
    <row r="512" spans="1:13" ht="14.25" customHeight="1" x14ac:dyDescent="0.25">
      <c r="A512" s="9" t="s">
        <v>1578</v>
      </c>
      <c r="B512" s="81">
        <v>114770</v>
      </c>
      <c r="C512" s="81">
        <v>10768</v>
      </c>
      <c r="D512" s="9" t="s">
        <v>1342</v>
      </c>
      <c r="E512" s="81">
        <v>14563091</v>
      </c>
      <c r="F512" s="81">
        <v>36988</v>
      </c>
      <c r="G512" s="81">
        <v>1</v>
      </c>
      <c r="H512" s="82">
        <v>359.46</v>
      </c>
      <c r="I512" s="251">
        <v>359.46</v>
      </c>
      <c r="J512" s="9" t="s">
        <v>1387</v>
      </c>
      <c r="K512" s="9" t="s">
        <v>1388</v>
      </c>
      <c r="L512" s="83">
        <v>45200</v>
      </c>
      <c r="M512" s="83">
        <v>45230</v>
      </c>
    </row>
    <row r="513" spans="1:13" ht="14.25" customHeight="1" x14ac:dyDescent="0.25">
      <c r="A513" s="9" t="s">
        <v>1578</v>
      </c>
      <c r="B513" s="81">
        <v>113029</v>
      </c>
      <c r="C513" s="81">
        <v>10761</v>
      </c>
      <c r="D513" s="9" t="s">
        <v>549</v>
      </c>
      <c r="E513" s="81">
        <v>14563091</v>
      </c>
      <c r="F513" s="81">
        <v>30492</v>
      </c>
      <c r="G513" s="81">
        <v>1</v>
      </c>
      <c r="H513" s="82">
        <v>359.46</v>
      </c>
      <c r="I513" s="251">
        <v>359.46</v>
      </c>
      <c r="J513" s="9" t="s">
        <v>1387</v>
      </c>
      <c r="K513" s="9" t="s">
        <v>1388</v>
      </c>
      <c r="L513" s="83">
        <v>45200</v>
      </c>
      <c r="M513" s="83">
        <v>45230</v>
      </c>
    </row>
    <row r="514" spans="1:13" ht="14.25" customHeight="1" x14ac:dyDescent="0.25">
      <c r="A514" s="9" t="s">
        <v>1578</v>
      </c>
      <c r="B514" s="81">
        <v>113035</v>
      </c>
      <c r="C514" s="81">
        <v>10761</v>
      </c>
      <c r="D514" s="9" t="s">
        <v>1343</v>
      </c>
      <c r="E514" s="81">
        <v>14563091</v>
      </c>
      <c r="F514" s="81">
        <v>30504</v>
      </c>
      <c r="G514" s="81">
        <v>1</v>
      </c>
      <c r="H514" s="82">
        <v>359.46</v>
      </c>
      <c r="I514" s="251">
        <v>359.46</v>
      </c>
      <c r="J514" s="9" t="s">
        <v>1387</v>
      </c>
      <c r="K514" s="9" t="s">
        <v>1388</v>
      </c>
      <c r="L514" s="83">
        <v>45200</v>
      </c>
      <c r="M514" s="83">
        <v>45230</v>
      </c>
    </row>
    <row r="515" spans="1:13" ht="14.25" customHeight="1" x14ac:dyDescent="0.25">
      <c r="A515" s="9" t="s">
        <v>19</v>
      </c>
      <c r="B515" s="81">
        <v>120172</v>
      </c>
      <c r="C515" s="81">
        <v>10766</v>
      </c>
      <c r="D515" s="9" t="s">
        <v>1500</v>
      </c>
      <c r="E515" s="81">
        <v>14563091</v>
      </c>
      <c r="F515" s="81">
        <v>50890</v>
      </c>
      <c r="G515" s="81">
        <v>1</v>
      </c>
      <c r="H515" s="82">
        <v>359.46</v>
      </c>
      <c r="I515" s="251">
        <v>359.46</v>
      </c>
      <c r="J515" s="9" t="s">
        <v>1387</v>
      </c>
      <c r="K515" s="9" t="s">
        <v>1388</v>
      </c>
      <c r="L515" s="83">
        <v>45200</v>
      </c>
      <c r="M515" s="83">
        <v>45230</v>
      </c>
    </row>
    <row r="516" spans="1:13" ht="14.25" customHeight="1" x14ac:dyDescent="0.25">
      <c r="A516" s="9" t="s">
        <v>1578</v>
      </c>
      <c r="B516" s="81">
        <v>113064</v>
      </c>
      <c r="C516" s="81">
        <v>10761</v>
      </c>
      <c r="D516" s="9" t="s">
        <v>1344</v>
      </c>
      <c r="E516" s="81">
        <v>14563091</v>
      </c>
      <c r="F516" s="81">
        <v>30562</v>
      </c>
      <c r="G516" s="81">
        <v>1</v>
      </c>
      <c r="H516" s="82">
        <v>359.46</v>
      </c>
      <c r="I516" s="251">
        <v>359.46</v>
      </c>
      <c r="J516" s="9" t="s">
        <v>1387</v>
      </c>
      <c r="K516" s="9" t="s">
        <v>1388</v>
      </c>
      <c r="L516" s="83">
        <v>45200</v>
      </c>
      <c r="M516" s="83">
        <v>45230</v>
      </c>
    </row>
    <row r="517" spans="1:13" ht="14.25" customHeight="1" x14ac:dyDescent="0.25">
      <c r="A517" s="9" t="s">
        <v>0</v>
      </c>
      <c r="B517" s="81">
        <v>113071</v>
      </c>
      <c r="C517" s="81">
        <v>10771</v>
      </c>
      <c r="D517" s="9" t="s">
        <v>568</v>
      </c>
      <c r="E517" s="81">
        <v>14563091</v>
      </c>
      <c r="F517" s="81">
        <v>30576</v>
      </c>
      <c r="G517" s="81">
        <v>1</v>
      </c>
      <c r="H517" s="82">
        <v>359.46</v>
      </c>
      <c r="I517" s="251">
        <v>359.46</v>
      </c>
      <c r="J517" s="9" t="s">
        <v>1387</v>
      </c>
      <c r="K517" s="9" t="s">
        <v>1388</v>
      </c>
      <c r="L517" s="83">
        <v>45200</v>
      </c>
      <c r="M517" s="83">
        <v>45230</v>
      </c>
    </row>
    <row r="518" spans="1:13" ht="14.25" customHeight="1" x14ac:dyDescent="0.25">
      <c r="A518" s="9" t="s">
        <v>0</v>
      </c>
      <c r="B518" s="81">
        <v>113075</v>
      </c>
      <c r="C518" s="81">
        <v>10750</v>
      </c>
      <c r="D518" s="9" t="s">
        <v>572</v>
      </c>
      <c r="E518" s="81">
        <v>14563091</v>
      </c>
      <c r="F518" s="81">
        <v>30584</v>
      </c>
      <c r="G518" s="81">
        <v>1</v>
      </c>
      <c r="H518" s="82">
        <v>359.46</v>
      </c>
      <c r="I518" s="251">
        <v>359.46</v>
      </c>
      <c r="J518" s="9" t="s">
        <v>1387</v>
      </c>
      <c r="K518" s="9" t="s">
        <v>1388</v>
      </c>
      <c r="L518" s="83">
        <v>45200</v>
      </c>
      <c r="M518" s="83">
        <v>45230</v>
      </c>
    </row>
    <row r="519" spans="1:13" ht="14.25" customHeight="1" x14ac:dyDescent="0.25">
      <c r="A519" s="9" t="s">
        <v>8</v>
      </c>
      <c r="B519" s="81">
        <v>117407</v>
      </c>
      <c r="C519" s="81">
        <v>10750</v>
      </c>
      <c r="D519" s="9" t="s">
        <v>1269</v>
      </c>
      <c r="E519" s="81">
        <v>14563091</v>
      </c>
      <c r="F519" s="81">
        <v>44516</v>
      </c>
      <c r="G519" s="81">
        <v>1</v>
      </c>
      <c r="H519" s="82">
        <v>359.46</v>
      </c>
      <c r="I519" s="251">
        <v>359.46</v>
      </c>
      <c r="J519" s="9" t="s">
        <v>1387</v>
      </c>
      <c r="K519" s="9" t="s">
        <v>1388</v>
      </c>
      <c r="L519" s="83">
        <v>45200</v>
      </c>
      <c r="M519" s="83">
        <v>45230</v>
      </c>
    </row>
    <row r="520" spans="1:13" ht="14.25" customHeight="1" x14ac:dyDescent="0.25">
      <c r="A520" s="9" t="s">
        <v>8</v>
      </c>
      <c r="B520" s="81">
        <v>113079</v>
      </c>
      <c r="C520" s="81">
        <v>10757</v>
      </c>
      <c r="D520" s="9" t="s">
        <v>574</v>
      </c>
      <c r="E520" s="81">
        <v>14563091</v>
      </c>
      <c r="F520" s="81">
        <v>30592</v>
      </c>
      <c r="G520" s="81">
        <v>1</v>
      </c>
      <c r="H520" s="82">
        <v>359.46</v>
      </c>
      <c r="I520" s="251">
        <v>359.46</v>
      </c>
      <c r="J520" s="9" t="s">
        <v>1387</v>
      </c>
      <c r="K520" s="9" t="s">
        <v>1388</v>
      </c>
      <c r="L520" s="83">
        <v>45200</v>
      </c>
      <c r="M520" s="83">
        <v>45230</v>
      </c>
    </row>
    <row r="521" spans="1:13" ht="14.25" customHeight="1" x14ac:dyDescent="0.25">
      <c r="A521" s="9" t="s">
        <v>0</v>
      </c>
      <c r="B521" s="81">
        <v>116323</v>
      </c>
      <c r="C521" s="81">
        <v>10758</v>
      </c>
      <c r="D521" s="9" t="s">
        <v>1204</v>
      </c>
      <c r="E521" s="81">
        <v>14563091</v>
      </c>
      <c r="F521" s="81">
        <v>41858</v>
      </c>
      <c r="G521" s="81">
        <v>1</v>
      </c>
      <c r="H521" s="82">
        <v>359.46</v>
      </c>
      <c r="I521" s="251">
        <v>359.46</v>
      </c>
      <c r="J521" s="9" t="s">
        <v>1387</v>
      </c>
      <c r="K521" s="9" t="s">
        <v>1388</v>
      </c>
      <c r="L521" s="83">
        <v>45200</v>
      </c>
      <c r="M521" s="83">
        <v>45230</v>
      </c>
    </row>
    <row r="522" spans="1:13" ht="14.25" customHeight="1" x14ac:dyDescent="0.25">
      <c r="A522" s="9" t="s">
        <v>0</v>
      </c>
      <c r="B522" s="81">
        <v>116003</v>
      </c>
      <c r="C522" s="81">
        <v>10763</v>
      </c>
      <c r="D522" s="9" t="s">
        <v>1167</v>
      </c>
      <c r="E522" s="81">
        <v>14563091</v>
      </c>
      <c r="F522" s="81">
        <v>40861</v>
      </c>
      <c r="G522" s="81">
        <v>1</v>
      </c>
      <c r="H522" s="82">
        <v>359.46</v>
      </c>
      <c r="I522" s="251">
        <v>359.46</v>
      </c>
      <c r="J522" s="9" t="s">
        <v>1387</v>
      </c>
      <c r="K522" s="9" t="s">
        <v>1388</v>
      </c>
      <c r="L522" s="83">
        <v>45200</v>
      </c>
      <c r="M522" s="83">
        <v>45230</v>
      </c>
    </row>
    <row r="523" spans="1:13" ht="14.25" customHeight="1" x14ac:dyDescent="0.25">
      <c r="A523" s="9" t="s">
        <v>0</v>
      </c>
      <c r="B523" s="81">
        <v>119679</v>
      </c>
      <c r="C523" s="81">
        <v>10758</v>
      </c>
      <c r="D523" s="9" t="s">
        <v>1464</v>
      </c>
      <c r="E523" s="81">
        <v>14563091</v>
      </c>
      <c r="F523" s="81">
        <v>49687</v>
      </c>
      <c r="G523" s="81">
        <v>1</v>
      </c>
      <c r="H523" s="82">
        <v>359.46</v>
      </c>
      <c r="I523" s="251">
        <v>359.46</v>
      </c>
      <c r="J523" s="9" t="s">
        <v>1387</v>
      </c>
      <c r="K523" s="9" t="s">
        <v>1388</v>
      </c>
      <c r="L523" s="83">
        <v>45200</v>
      </c>
      <c r="M523" s="83">
        <v>45230</v>
      </c>
    </row>
    <row r="524" spans="1:13" ht="14.25" customHeight="1" x14ac:dyDescent="0.25">
      <c r="A524" s="9" t="s">
        <v>0</v>
      </c>
      <c r="B524" s="81">
        <v>113111</v>
      </c>
      <c r="C524" s="81">
        <v>10757</v>
      </c>
      <c r="D524" s="9" t="s">
        <v>590</v>
      </c>
      <c r="E524" s="81">
        <v>14563091</v>
      </c>
      <c r="F524" s="81">
        <v>30656</v>
      </c>
      <c r="G524" s="81">
        <v>1</v>
      </c>
      <c r="H524" s="82">
        <v>359.46</v>
      </c>
      <c r="I524" s="251">
        <v>359.46</v>
      </c>
      <c r="J524" s="9" t="s">
        <v>1387</v>
      </c>
      <c r="K524" s="9" t="s">
        <v>1388</v>
      </c>
      <c r="L524" s="83">
        <v>45200</v>
      </c>
      <c r="M524" s="83">
        <v>45230</v>
      </c>
    </row>
    <row r="525" spans="1:13" ht="14.25" customHeight="1" x14ac:dyDescent="0.25">
      <c r="A525" s="9" t="s">
        <v>19</v>
      </c>
      <c r="B525" s="81">
        <v>117412</v>
      </c>
      <c r="C525" s="81">
        <v>10751</v>
      </c>
      <c r="D525" s="9" t="s">
        <v>1273</v>
      </c>
      <c r="E525" s="81">
        <v>14563091</v>
      </c>
      <c r="F525" s="81">
        <v>44524</v>
      </c>
      <c r="G525" s="81">
        <v>1</v>
      </c>
      <c r="H525" s="82">
        <v>359.46</v>
      </c>
      <c r="I525" s="251">
        <v>359.46</v>
      </c>
      <c r="J525" s="9" t="s">
        <v>1387</v>
      </c>
      <c r="K525" s="9" t="s">
        <v>1388</v>
      </c>
      <c r="L525" s="83">
        <v>45200</v>
      </c>
      <c r="M525" s="83">
        <v>45230</v>
      </c>
    </row>
    <row r="526" spans="1:13" ht="14.25" customHeight="1" x14ac:dyDescent="0.25">
      <c r="A526" s="9" t="s">
        <v>0</v>
      </c>
      <c r="B526" s="81">
        <v>114269</v>
      </c>
      <c r="C526" s="81">
        <v>10758</v>
      </c>
      <c r="D526" s="9" t="s">
        <v>1510</v>
      </c>
      <c r="E526" s="81">
        <v>14563091</v>
      </c>
      <c r="F526" s="81">
        <v>35817</v>
      </c>
      <c r="G526" s="81">
        <v>1</v>
      </c>
      <c r="H526" s="82">
        <v>359.46</v>
      </c>
      <c r="I526" s="251">
        <v>359.46</v>
      </c>
      <c r="J526" s="9" t="s">
        <v>1387</v>
      </c>
      <c r="K526" s="9" t="s">
        <v>1388</v>
      </c>
      <c r="L526" s="83">
        <v>45200</v>
      </c>
      <c r="M526" s="83">
        <v>45230</v>
      </c>
    </row>
    <row r="527" spans="1:13" ht="14.25" customHeight="1" x14ac:dyDescent="0.25">
      <c r="A527" s="9" t="s">
        <v>1578</v>
      </c>
      <c r="B527" s="81">
        <v>113121</v>
      </c>
      <c r="C527" s="81">
        <v>10757</v>
      </c>
      <c r="D527" s="9" t="s">
        <v>1285</v>
      </c>
      <c r="E527" s="81">
        <v>14563091</v>
      </c>
      <c r="F527" s="81">
        <v>30676</v>
      </c>
      <c r="G527" s="81">
        <v>1</v>
      </c>
      <c r="H527" s="82">
        <v>359.46</v>
      </c>
      <c r="I527" s="251">
        <v>359.46</v>
      </c>
      <c r="J527" s="9" t="s">
        <v>1387</v>
      </c>
      <c r="K527" s="9" t="s">
        <v>1388</v>
      </c>
      <c r="L527" s="83">
        <v>45200</v>
      </c>
      <c r="M527" s="83">
        <v>45230</v>
      </c>
    </row>
    <row r="528" spans="1:13" ht="14.25" customHeight="1" x14ac:dyDescent="0.25">
      <c r="A528" s="9" t="s">
        <v>19</v>
      </c>
      <c r="B528" s="81">
        <v>113131</v>
      </c>
      <c r="C528" s="81">
        <v>10750</v>
      </c>
      <c r="D528" s="9" t="s">
        <v>600</v>
      </c>
      <c r="E528" s="81">
        <v>14563091</v>
      </c>
      <c r="F528" s="81">
        <v>30696</v>
      </c>
      <c r="G528" s="81">
        <v>1</v>
      </c>
      <c r="H528" s="82">
        <v>359.46</v>
      </c>
      <c r="I528" s="251">
        <v>359.46</v>
      </c>
      <c r="J528" s="9" t="s">
        <v>1387</v>
      </c>
      <c r="K528" s="9" t="s">
        <v>1388</v>
      </c>
      <c r="L528" s="83">
        <v>45200</v>
      </c>
      <c r="M528" s="83">
        <v>45230</v>
      </c>
    </row>
    <row r="529" spans="1:13" ht="14.25" customHeight="1" x14ac:dyDescent="0.25">
      <c r="A529" s="9" t="s">
        <v>1578</v>
      </c>
      <c r="B529" s="81">
        <v>113136</v>
      </c>
      <c r="C529" s="81">
        <v>10759</v>
      </c>
      <c r="D529" s="9" t="s">
        <v>604</v>
      </c>
      <c r="E529" s="81">
        <v>14563091</v>
      </c>
      <c r="F529" s="81">
        <v>30706</v>
      </c>
      <c r="G529" s="81">
        <v>1</v>
      </c>
      <c r="H529" s="82">
        <v>359.46</v>
      </c>
      <c r="I529" s="251">
        <v>359.46</v>
      </c>
      <c r="J529" s="9" t="s">
        <v>1387</v>
      </c>
      <c r="K529" s="9" t="s">
        <v>1388</v>
      </c>
      <c r="L529" s="83">
        <v>45200</v>
      </c>
      <c r="M529" s="83">
        <v>45230</v>
      </c>
    </row>
    <row r="530" spans="1:13" ht="14.25" customHeight="1" x14ac:dyDescent="0.25">
      <c r="A530" s="9" t="s">
        <v>1578</v>
      </c>
      <c r="B530" s="81">
        <v>113150</v>
      </c>
      <c r="C530" s="81">
        <v>10768</v>
      </c>
      <c r="D530" s="9" t="s">
        <v>612</v>
      </c>
      <c r="E530" s="81">
        <v>14563091</v>
      </c>
      <c r="F530" s="81">
        <v>30734</v>
      </c>
      <c r="G530" s="81">
        <v>1</v>
      </c>
      <c r="H530" s="82">
        <v>359.46</v>
      </c>
      <c r="I530" s="251">
        <v>359.46</v>
      </c>
      <c r="J530" s="9" t="s">
        <v>1387</v>
      </c>
      <c r="K530" s="9" t="s">
        <v>1388</v>
      </c>
      <c r="L530" s="83">
        <v>45200</v>
      </c>
      <c r="M530" s="83">
        <v>45230</v>
      </c>
    </row>
    <row r="531" spans="1:13" ht="14.25" customHeight="1" x14ac:dyDescent="0.25">
      <c r="A531" s="9" t="s">
        <v>10</v>
      </c>
      <c r="B531" s="81">
        <v>113153</v>
      </c>
      <c r="C531" s="81">
        <v>10766</v>
      </c>
      <c r="D531" s="9" t="s">
        <v>614</v>
      </c>
      <c r="E531" s="81">
        <v>14563091</v>
      </c>
      <c r="F531" s="81">
        <v>30740</v>
      </c>
      <c r="G531" s="81">
        <v>1</v>
      </c>
      <c r="H531" s="82">
        <v>359.46</v>
      </c>
      <c r="I531" s="251">
        <v>359.46</v>
      </c>
      <c r="J531" s="9" t="s">
        <v>1387</v>
      </c>
      <c r="K531" s="9" t="s">
        <v>1388</v>
      </c>
      <c r="L531" s="83">
        <v>45200</v>
      </c>
      <c r="M531" s="83">
        <v>45230</v>
      </c>
    </row>
    <row r="532" spans="1:13" ht="14.25" customHeight="1" x14ac:dyDescent="0.25">
      <c r="A532" s="9" t="s">
        <v>0</v>
      </c>
      <c r="B532" s="81">
        <v>113179</v>
      </c>
      <c r="C532" s="81">
        <v>10760</v>
      </c>
      <c r="D532" s="9" t="s">
        <v>630</v>
      </c>
      <c r="E532" s="81">
        <v>14563091</v>
      </c>
      <c r="F532" s="81">
        <v>30792</v>
      </c>
      <c r="G532" s="81">
        <v>1</v>
      </c>
      <c r="H532" s="82">
        <v>359.46</v>
      </c>
      <c r="I532" s="251">
        <v>359.46</v>
      </c>
      <c r="J532" s="9" t="s">
        <v>1387</v>
      </c>
      <c r="K532" s="9" t="s">
        <v>1388</v>
      </c>
      <c r="L532" s="83">
        <v>45200</v>
      </c>
      <c r="M532" s="83">
        <v>45230</v>
      </c>
    </row>
    <row r="533" spans="1:13" ht="14.25" customHeight="1" x14ac:dyDescent="0.25">
      <c r="A533" s="9" t="s">
        <v>0</v>
      </c>
      <c r="B533" s="81">
        <v>113181</v>
      </c>
      <c r="C533" s="81">
        <v>10757</v>
      </c>
      <c r="D533" s="9" t="s">
        <v>631</v>
      </c>
      <c r="E533" s="81">
        <v>14563091</v>
      </c>
      <c r="F533" s="81">
        <v>30796</v>
      </c>
      <c r="G533" s="81">
        <v>1</v>
      </c>
      <c r="H533" s="82">
        <v>359.46</v>
      </c>
      <c r="I533" s="251">
        <v>359.46</v>
      </c>
      <c r="J533" s="9" t="s">
        <v>1387</v>
      </c>
      <c r="K533" s="9" t="s">
        <v>1388</v>
      </c>
      <c r="L533" s="83">
        <v>45200</v>
      </c>
      <c r="M533" s="83">
        <v>45230</v>
      </c>
    </row>
    <row r="534" spans="1:13" ht="14.25" customHeight="1" x14ac:dyDescent="0.25">
      <c r="A534" s="9" t="s">
        <v>8</v>
      </c>
      <c r="B534" s="81">
        <v>116235</v>
      </c>
      <c r="C534" s="81">
        <v>10750</v>
      </c>
      <c r="D534" s="9" t="s">
        <v>1195</v>
      </c>
      <c r="E534" s="81">
        <v>14563091</v>
      </c>
      <c r="F534" s="81">
        <v>41577</v>
      </c>
      <c r="G534" s="81">
        <v>1</v>
      </c>
      <c r="H534" s="82">
        <v>359.46</v>
      </c>
      <c r="I534" s="251">
        <v>359.46</v>
      </c>
      <c r="J534" s="9" t="s">
        <v>1387</v>
      </c>
      <c r="K534" s="9" t="s">
        <v>1388</v>
      </c>
      <c r="L534" s="83">
        <v>45200</v>
      </c>
      <c r="M534" s="83">
        <v>45230</v>
      </c>
    </row>
    <row r="535" spans="1:13" ht="14.25" customHeight="1" x14ac:dyDescent="0.25">
      <c r="A535" s="9" t="s">
        <v>8</v>
      </c>
      <c r="B535" s="81">
        <v>113194</v>
      </c>
      <c r="C535" s="81">
        <v>10750</v>
      </c>
      <c r="D535" s="9" t="s">
        <v>1345</v>
      </c>
      <c r="E535" s="81">
        <v>14563091</v>
      </c>
      <c r="F535" s="81">
        <v>30822</v>
      </c>
      <c r="G535" s="81">
        <v>1</v>
      </c>
      <c r="H535" s="82">
        <v>359.46</v>
      </c>
      <c r="I535" s="251">
        <v>359.46</v>
      </c>
      <c r="J535" s="9" t="s">
        <v>1387</v>
      </c>
      <c r="K535" s="9" t="s">
        <v>1388</v>
      </c>
      <c r="L535" s="83">
        <v>45200</v>
      </c>
      <c r="M535" s="83">
        <v>45230</v>
      </c>
    </row>
    <row r="536" spans="1:13" ht="14.25" customHeight="1" x14ac:dyDescent="0.25">
      <c r="A536" s="9" t="s">
        <v>8</v>
      </c>
      <c r="B536" s="81">
        <v>113199</v>
      </c>
      <c r="C536" s="81">
        <v>10750</v>
      </c>
      <c r="D536" s="9" t="s">
        <v>640</v>
      </c>
      <c r="E536" s="81">
        <v>14563091</v>
      </c>
      <c r="F536" s="81">
        <v>30832</v>
      </c>
      <c r="G536" s="81">
        <v>1</v>
      </c>
      <c r="H536" s="82">
        <v>359.46</v>
      </c>
      <c r="I536" s="251">
        <v>359.46</v>
      </c>
      <c r="J536" s="9" t="s">
        <v>1387</v>
      </c>
      <c r="K536" s="9" t="s">
        <v>1388</v>
      </c>
      <c r="L536" s="83">
        <v>45200</v>
      </c>
      <c r="M536" s="83">
        <v>45230</v>
      </c>
    </row>
    <row r="537" spans="1:13" ht="14.25" customHeight="1" x14ac:dyDescent="0.25">
      <c r="A537" s="9" t="s">
        <v>32</v>
      </c>
      <c r="B537" s="81">
        <v>113202</v>
      </c>
      <c r="C537" s="81">
        <v>10755</v>
      </c>
      <c r="D537" s="9" t="s">
        <v>642</v>
      </c>
      <c r="E537" s="81">
        <v>14563091</v>
      </c>
      <c r="F537" s="81">
        <v>30838</v>
      </c>
      <c r="G537" s="81">
        <v>1</v>
      </c>
      <c r="H537" s="82">
        <v>359.46</v>
      </c>
      <c r="I537" s="251">
        <v>359.46</v>
      </c>
      <c r="J537" s="9" t="s">
        <v>1387</v>
      </c>
      <c r="K537" s="9" t="s">
        <v>1388</v>
      </c>
      <c r="L537" s="83">
        <v>45200</v>
      </c>
      <c r="M537" s="83">
        <v>45230</v>
      </c>
    </row>
    <row r="538" spans="1:13" ht="14.25" customHeight="1" x14ac:dyDescent="0.25">
      <c r="A538" s="9" t="s">
        <v>10</v>
      </c>
      <c r="B538" s="81">
        <v>113206</v>
      </c>
      <c r="C538" s="81">
        <v>10750</v>
      </c>
      <c r="D538" s="9" t="s">
        <v>647</v>
      </c>
      <c r="E538" s="81">
        <v>14563091</v>
      </c>
      <c r="F538" s="81">
        <v>30846</v>
      </c>
      <c r="G538" s="81">
        <v>1</v>
      </c>
      <c r="H538" s="82">
        <v>359.46</v>
      </c>
      <c r="I538" s="251">
        <v>359.46</v>
      </c>
      <c r="J538" s="9" t="s">
        <v>1387</v>
      </c>
      <c r="K538" s="9" t="s">
        <v>1388</v>
      </c>
      <c r="L538" s="83">
        <v>45200</v>
      </c>
      <c r="M538" s="83">
        <v>45230</v>
      </c>
    </row>
    <row r="539" spans="1:13" ht="14.25" customHeight="1" x14ac:dyDescent="0.25">
      <c r="A539" s="9" t="s">
        <v>0</v>
      </c>
      <c r="B539" s="81">
        <v>113209</v>
      </c>
      <c r="C539" s="81">
        <v>10750</v>
      </c>
      <c r="D539" s="9" t="s">
        <v>649</v>
      </c>
      <c r="E539" s="81">
        <v>14563091</v>
      </c>
      <c r="F539" s="81">
        <v>30852</v>
      </c>
      <c r="G539" s="81">
        <v>1</v>
      </c>
      <c r="H539" s="82">
        <v>359.46</v>
      </c>
      <c r="I539" s="251">
        <v>359.46</v>
      </c>
      <c r="J539" s="9" t="s">
        <v>1387</v>
      </c>
      <c r="K539" s="9" t="s">
        <v>1388</v>
      </c>
      <c r="L539" s="83">
        <v>45200</v>
      </c>
      <c r="M539" s="83">
        <v>45230</v>
      </c>
    </row>
    <row r="540" spans="1:13" ht="14.25" customHeight="1" x14ac:dyDescent="0.25">
      <c r="A540" s="9" t="s">
        <v>1578</v>
      </c>
      <c r="B540" s="81">
        <v>116804</v>
      </c>
      <c r="C540" s="81">
        <v>10771</v>
      </c>
      <c r="D540" s="9" t="s">
        <v>1224</v>
      </c>
      <c r="E540" s="81">
        <v>14563091</v>
      </c>
      <c r="F540" s="81">
        <v>43071</v>
      </c>
      <c r="G540" s="81">
        <v>1</v>
      </c>
      <c r="H540" s="82">
        <v>359.46</v>
      </c>
      <c r="I540" s="251">
        <v>359.46</v>
      </c>
      <c r="J540" s="9" t="s">
        <v>1387</v>
      </c>
      <c r="K540" s="9" t="s">
        <v>1388</v>
      </c>
      <c r="L540" s="83">
        <v>45200</v>
      </c>
      <c r="M540" s="83">
        <v>45230</v>
      </c>
    </row>
    <row r="541" spans="1:13" ht="14.25" customHeight="1" x14ac:dyDescent="0.25">
      <c r="A541" s="9" t="s">
        <v>0</v>
      </c>
      <c r="B541" s="81">
        <v>113225</v>
      </c>
      <c r="C541" s="81">
        <v>10750</v>
      </c>
      <c r="D541" s="9" t="s">
        <v>656</v>
      </c>
      <c r="E541" s="81">
        <v>14563091</v>
      </c>
      <c r="F541" s="81">
        <v>30884</v>
      </c>
      <c r="G541" s="81">
        <v>1</v>
      </c>
      <c r="H541" s="82">
        <v>359.46</v>
      </c>
      <c r="I541" s="251">
        <v>359.46</v>
      </c>
      <c r="J541" s="9" t="s">
        <v>1387</v>
      </c>
      <c r="K541" s="9" t="s">
        <v>1388</v>
      </c>
      <c r="L541" s="83">
        <v>45200</v>
      </c>
      <c r="M541" s="83">
        <v>45230</v>
      </c>
    </row>
    <row r="542" spans="1:13" ht="14.25" customHeight="1" x14ac:dyDescent="0.25">
      <c r="A542" s="9" t="s">
        <v>1578</v>
      </c>
      <c r="B542" s="81">
        <v>113228</v>
      </c>
      <c r="C542" s="81">
        <v>10767</v>
      </c>
      <c r="D542" s="9" t="s">
        <v>659</v>
      </c>
      <c r="E542" s="81">
        <v>14563091</v>
      </c>
      <c r="F542" s="81">
        <v>30890</v>
      </c>
      <c r="G542" s="81">
        <v>1</v>
      </c>
      <c r="H542" s="82">
        <v>359.46</v>
      </c>
      <c r="I542" s="251">
        <v>359.46</v>
      </c>
      <c r="J542" s="9" t="s">
        <v>1387</v>
      </c>
      <c r="K542" s="9" t="s">
        <v>1388</v>
      </c>
      <c r="L542" s="83">
        <v>45200</v>
      </c>
      <c r="M542" s="83">
        <v>45230</v>
      </c>
    </row>
    <row r="543" spans="1:13" ht="14.25" customHeight="1" x14ac:dyDescent="0.25">
      <c r="A543" s="9" t="s">
        <v>0</v>
      </c>
      <c r="B543" s="81">
        <v>113233</v>
      </c>
      <c r="C543" s="81">
        <v>10758</v>
      </c>
      <c r="D543" s="9" t="s">
        <v>661</v>
      </c>
      <c r="E543" s="81">
        <v>14563091</v>
      </c>
      <c r="F543" s="81">
        <v>30900</v>
      </c>
      <c r="G543" s="81">
        <v>1</v>
      </c>
      <c r="H543" s="82">
        <v>359.46</v>
      </c>
      <c r="I543" s="251">
        <v>359.46</v>
      </c>
      <c r="J543" s="9" t="s">
        <v>1387</v>
      </c>
      <c r="K543" s="9" t="s">
        <v>1388</v>
      </c>
      <c r="L543" s="83">
        <v>45200</v>
      </c>
      <c r="M543" s="83">
        <v>45230</v>
      </c>
    </row>
    <row r="544" spans="1:13" ht="14.25" customHeight="1" x14ac:dyDescent="0.25">
      <c r="A544" s="9" t="s">
        <v>1578</v>
      </c>
      <c r="B544" s="81">
        <v>113246</v>
      </c>
      <c r="C544" s="81">
        <v>10745</v>
      </c>
      <c r="D544" s="9" t="s">
        <v>666</v>
      </c>
      <c r="E544" s="81">
        <v>14563091</v>
      </c>
      <c r="F544" s="81">
        <v>30926</v>
      </c>
      <c r="G544" s="81">
        <v>1</v>
      </c>
      <c r="H544" s="82">
        <v>359.46</v>
      </c>
      <c r="I544" s="251">
        <v>359.46</v>
      </c>
      <c r="J544" s="9" t="s">
        <v>1387</v>
      </c>
      <c r="K544" s="9" t="s">
        <v>1388</v>
      </c>
      <c r="L544" s="83">
        <v>45200</v>
      </c>
      <c r="M544" s="83">
        <v>45230</v>
      </c>
    </row>
    <row r="545" spans="1:13" ht="14.25" customHeight="1" x14ac:dyDescent="0.25">
      <c r="A545" s="9" t="s">
        <v>19</v>
      </c>
      <c r="B545" s="81">
        <v>113249</v>
      </c>
      <c r="C545" s="81">
        <v>10751</v>
      </c>
      <c r="D545" s="9" t="s">
        <v>667</v>
      </c>
      <c r="E545" s="81">
        <v>14563091</v>
      </c>
      <c r="F545" s="81">
        <v>30932</v>
      </c>
      <c r="G545" s="81">
        <v>1</v>
      </c>
      <c r="H545" s="82">
        <v>359.46</v>
      </c>
      <c r="I545" s="251">
        <v>359.46</v>
      </c>
      <c r="J545" s="9" t="s">
        <v>1387</v>
      </c>
      <c r="K545" s="9" t="s">
        <v>1388</v>
      </c>
      <c r="L545" s="83">
        <v>45200</v>
      </c>
      <c r="M545" s="83">
        <v>45230</v>
      </c>
    </row>
    <row r="546" spans="1:13" ht="14.25" customHeight="1" x14ac:dyDescent="0.25">
      <c r="A546" s="9" t="s">
        <v>0</v>
      </c>
      <c r="B546" s="81">
        <v>118057</v>
      </c>
      <c r="C546" s="81">
        <v>10757</v>
      </c>
      <c r="D546" s="9" t="s">
        <v>1399</v>
      </c>
      <c r="E546" s="81">
        <v>14563091</v>
      </c>
      <c r="F546" s="81">
        <v>45902</v>
      </c>
      <c r="G546" s="81">
        <v>1</v>
      </c>
      <c r="H546" s="82">
        <v>359.46</v>
      </c>
      <c r="I546" s="251">
        <v>359.46</v>
      </c>
      <c r="J546" s="9" t="s">
        <v>1387</v>
      </c>
      <c r="K546" s="9" t="s">
        <v>1388</v>
      </c>
      <c r="L546" s="83">
        <v>45200</v>
      </c>
      <c r="M546" s="83">
        <v>45230</v>
      </c>
    </row>
    <row r="547" spans="1:13" ht="14.25" customHeight="1" x14ac:dyDescent="0.25">
      <c r="A547" s="9" t="s">
        <v>19</v>
      </c>
      <c r="B547" s="81">
        <v>113260</v>
      </c>
      <c r="C547" s="81">
        <v>10761</v>
      </c>
      <c r="D547" s="9" t="s">
        <v>673</v>
      </c>
      <c r="E547" s="81">
        <v>14563091</v>
      </c>
      <c r="F547" s="81">
        <v>30954</v>
      </c>
      <c r="G547" s="81">
        <v>1</v>
      </c>
      <c r="H547" s="82">
        <v>359.46</v>
      </c>
      <c r="I547" s="251">
        <v>359.46</v>
      </c>
      <c r="J547" s="9" t="s">
        <v>1387</v>
      </c>
      <c r="K547" s="9" t="s">
        <v>1388</v>
      </c>
      <c r="L547" s="83">
        <v>45200</v>
      </c>
      <c r="M547" s="83">
        <v>45230</v>
      </c>
    </row>
    <row r="548" spans="1:13" ht="14.25" customHeight="1" x14ac:dyDescent="0.25">
      <c r="A548" s="9" t="s">
        <v>19</v>
      </c>
      <c r="B548" s="81">
        <v>113264</v>
      </c>
      <c r="C548" s="81">
        <v>10750</v>
      </c>
      <c r="D548" s="9" t="s">
        <v>676</v>
      </c>
      <c r="E548" s="81">
        <v>14563091</v>
      </c>
      <c r="F548" s="81">
        <v>30962</v>
      </c>
      <c r="G548" s="81">
        <v>1</v>
      </c>
      <c r="H548" s="82">
        <v>359.46</v>
      </c>
      <c r="I548" s="251">
        <v>359.46</v>
      </c>
      <c r="J548" s="9" t="s">
        <v>1387</v>
      </c>
      <c r="K548" s="9" t="s">
        <v>1388</v>
      </c>
      <c r="L548" s="83">
        <v>45200</v>
      </c>
      <c r="M548" s="83">
        <v>45230</v>
      </c>
    </row>
    <row r="549" spans="1:13" ht="14.25" customHeight="1" x14ac:dyDescent="0.25">
      <c r="A549" s="9" t="s">
        <v>8</v>
      </c>
      <c r="B549" s="81">
        <v>113268</v>
      </c>
      <c r="C549" s="81">
        <v>10766</v>
      </c>
      <c r="D549" s="9" t="s">
        <v>677</v>
      </c>
      <c r="E549" s="81">
        <v>14563091</v>
      </c>
      <c r="F549" s="81">
        <v>30970</v>
      </c>
      <c r="G549" s="81">
        <v>1</v>
      </c>
      <c r="H549" s="82">
        <v>359.46</v>
      </c>
      <c r="I549" s="251">
        <v>359.46</v>
      </c>
      <c r="J549" s="9" t="s">
        <v>1387</v>
      </c>
      <c r="K549" s="9" t="s">
        <v>1388</v>
      </c>
      <c r="L549" s="83">
        <v>45200</v>
      </c>
      <c r="M549" s="83">
        <v>45230</v>
      </c>
    </row>
    <row r="550" spans="1:13" ht="14.25" customHeight="1" x14ac:dyDescent="0.25">
      <c r="A550" s="9" t="s">
        <v>0</v>
      </c>
      <c r="B550" s="81">
        <v>113272</v>
      </c>
      <c r="C550" s="81">
        <v>10750</v>
      </c>
      <c r="D550" s="9" t="s">
        <v>679</v>
      </c>
      <c r="E550" s="81">
        <v>14563091</v>
      </c>
      <c r="F550" s="81">
        <v>30978</v>
      </c>
      <c r="G550" s="81">
        <v>1</v>
      </c>
      <c r="H550" s="82">
        <v>359.46</v>
      </c>
      <c r="I550" s="251">
        <v>359.46</v>
      </c>
      <c r="J550" s="9" t="s">
        <v>1387</v>
      </c>
      <c r="K550" s="9" t="s">
        <v>1388</v>
      </c>
      <c r="L550" s="83">
        <v>45200</v>
      </c>
      <c r="M550" s="83">
        <v>45230</v>
      </c>
    </row>
    <row r="551" spans="1:13" ht="14.25" customHeight="1" x14ac:dyDescent="0.25">
      <c r="A551" s="9" t="s">
        <v>8</v>
      </c>
      <c r="B551" s="81">
        <v>113274</v>
      </c>
      <c r="C551" s="81">
        <v>10750</v>
      </c>
      <c r="D551" s="9" t="s">
        <v>681</v>
      </c>
      <c r="E551" s="81">
        <v>14563091</v>
      </c>
      <c r="F551" s="81">
        <v>30982</v>
      </c>
      <c r="G551" s="81">
        <v>1</v>
      </c>
      <c r="H551" s="82">
        <v>359.46</v>
      </c>
      <c r="I551" s="251">
        <v>359.46</v>
      </c>
      <c r="J551" s="9" t="s">
        <v>1387</v>
      </c>
      <c r="K551" s="9" t="s">
        <v>1388</v>
      </c>
      <c r="L551" s="83">
        <v>45200</v>
      </c>
      <c r="M551" s="83">
        <v>45230</v>
      </c>
    </row>
    <row r="552" spans="1:13" ht="14.25" customHeight="1" x14ac:dyDescent="0.25">
      <c r="A552" s="9" t="s">
        <v>10</v>
      </c>
      <c r="B552" s="81">
        <v>113278</v>
      </c>
      <c r="C552" s="81">
        <v>10763</v>
      </c>
      <c r="D552" s="9" t="s">
        <v>683</v>
      </c>
      <c r="E552" s="81">
        <v>14563091</v>
      </c>
      <c r="F552" s="81">
        <v>30990</v>
      </c>
      <c r="G552" s="81">
        <v>1</v>
      </c>
      <c r="H552" s="82">
        <v>359.46</v>
      </c>
      <c r="I552" s="251">
        <v>359.46</v>
      </c>
      <c r="J552" s="9" t="s">
        <v>1387</v>
      </c>
      <c r="K552" s="9" t="s">
        <v>1388</v>
      </c>
      <c r="L552" s="83">
        <v>45200</v>
      </c>
      <c r="M552" s="83">
        <v>45230</v>
      </c>
    </row>
    <row r="553" spans="1:13" ht="14.25" customHeight="1" x14ac:dyDescent="0.25">
      <c r="A553" s="9" t="s">
        <v>19</v>
      </c>
      <c r="B553" s="81">
        <v>113280</v>
      </c>
      <c r="C553" s="81">
        <v>10757</v>
      </c>
      <c r="D553" s="9" t="s">
        <v>685</v>
      </c>
      <c r="E553" s="81">
        <v>14563091</v>
      </c>
      <c r="F553" s="81">
        <v>30994</v>
      </c>
      <c r="G553" s="81">
        <v>1</v>
      </c>
      <c r="H553" s="82">
        <v>359.46</v>
      </c>
      <c r="I553" s="251">
        <v>359.46</v>
      </c>
      <c r="J553" s="9" t="s">
        <v>1387</v>
      </c>
      <c r="K553" s="9" t="s">
        <v>1388</v>
      </c>
      <c r="L553" s="83">
        <v>45200</v>
      </c>
      <c r="M553" s="83">
        <v>45230</v>
      </c>
    </row>
    <row r="554" spans="1:13" ht="14.25" customHeight="1" x14ac:dyDescent="0.25">
      <c r="A554" s="9" t="s">
        <v>8</v>
      </c>
      <c r="B554" s="81">
        <v>113287</v>
      </c>
      <c r="C554" s="81">
        <v>10750</v>
      </c>
      <c r="D554" s="9" t="s">
        <v>688</v>
      </c>
      <c r="E554" s="81">
        <v>14563091</v>
      </c>
      <c r="F554" s="81">
        <v>31008</v>
      </c>
      <c r="G554" s="81">
        <v>1</v>
      </c>
      <c r="H554" s="82">
        <v>359.46</v>
      </c>
      <c r="I554" s="251">
        <v>359.46</v>
      </c>
      <c r="J554" s="9" t="s">
        <v>1387</v>
      </c>
      <c r="K554" s="9" t="s">
        <v>1388</v>
      </c>
      <c r="L554" s="83">
        <v>45200</v>
      </c>
      <c r="M554" s="83">
        <v>45230</v>
      </c>
    </row>
    <row r="555" spans="1:13" ht="14.25" customHeight="1" x14ac:dyDescent="0.25">
      <c r="A555" s="9" t="s">
        <v>1578</v>
      </c>
      <c r="B555" s="81">
        <v>122570</v>
      </c>
      <c r="C555" s="81">
        <v>10761</v>
      </c>
      <c r="D555" s="9" t="s">
        <v>1683</v>
      </c>
      <c r="E555" s="81">
        <v>14563091</v>
      </c>
      <c r="F555" s="81">
        <v>56531</v>
      </c>
      <c r="G555" s="81">
        <v>1</v>
      </c>
      <c r="H555" s="82">
        <v>359.46</v>
      </c>
      <c r="I555" s="251">
        <v>359.46</v>
      </c>
      <c r="J555" s="9" t="s">
        <v>1387</v>
      </c>
      <c r="K555" s="9" t="s">
        <v>1388</v>
      </c>
      <c r="L555" s="83">
        <v>45200</v>
      </c>
      <c r="M555" s="83">
        <v>45230</v>
      </c>
    </row>
    <row r="556" spans="1:13" ht="14.25" customHeight="1" x14ac:dyDescent="0.25">
      <c r="A556" s="9" t="s">
        <v>10</v>
      </c>
      <c r="B556" s="81">
        <v>113289</v>
      </c>
      <c r="C556" s="81">
        <v>10750</v>
      </c>
      <c r="D556" s="9" t="s">
        <v>690</v>
      </c>
      <c r="E556" s="81">
        <v>14563091</v>
      </c>
      <c r="F556" s="81">
        <v>31012</v>
      </c>
      <c r="G556" s="81">
        <v>1</v>
      </c>
      <c r="H556" s="82">
        <v>359.46</v>
      </c>
      <c r="I556" s="251">
        <v>359.46</v>
      </c>
      <c r="J556" s="9" t="s">
        <v>1387</v>
      </c>
      <c r="K556" s="9" t="s">
        <v>1388</v>
      </c>
      <c r="L556" s="83">
        <v>45200</v>
      </c>
      <c r="M556" s="83">
        <v>45230</v>
      </c>
    </row>
    <row r="557" spans="1:13" ht="14.25" customHeight="1" x14ac:dyDescent="0.25">
      <c r="A557" s="9" t="s">
        <v>8</v>
      </c>
      <c r="B557" s="81">
        <v>122079</v>
      </c>
      <c r="C557" s="81">
        <v>10766</v>
      </c>
      <c r="D557" s="9" t="s">
        <v>1628</v>
      </c>
      <c r="E557" s="81">
        <v>14563091</v>
      </c>
      <c r="F557" s="81">
        <v>55274</v>
      </c>
      <c r="G557" s="81">
        <v>1</v>
      </c>
      <c r="H557" s="82">
        <v>359.46</v>
      </c>
      <c r="I557" s="251">
        <v>359.46</v>
      </c>
      <c r="J557" s="9" t="s">
        <v>1387</v>
      </c>
      <c r="K557" s="9" t="s">
        <v>1388</v>
      </c>
      <c r="L557" s="83">
        <v>45200</v>
      </c>
      <c r="M557" s="83">
        <v>45230</v>
      </c>
    </row>
    <row r="558" spans="1:13" ht="14.25" customHeight="1" x14ac:dyDescent="0.25">
      <c r="A558" s="9" t="s">
        <v>1578</v>
      </c>
      <c r="B558" s="81">
        <v>113298</v>
      </c>
      <c r="C558" s="81">
        <v>10768</v>
      </c>
      <c r="D558" s="9" t="s">
        <v>693</v>
      </c>
      <c r="E558" s="81">
        <v>14563091</v>
      </c>
      <c r="F558" s="81">
        <v>31030</v>
      </c>
      <c r="G558" s="81">
        <v>1</v>
      </c>
      <c r="H558" s="82">
        <v>359.46</v>
      </c>
      <c r="I558" s="251">
        <v>359.46</v>
      </c>
      <c r="J558" s="9" t="s">
        <v>1387</v>
      </c>
      <c r="K558" s="9" t="s">
        <v>1388</v>
      </c>
      <c r="L558" s="83">
        <v>45200</v>
      </c>
      <c r="M558" s="83">
        <v>45230</v>
      </c>
    </row>
    <row r="559" spans="1:13" ht="14.25" customHeight="1" x14ac:dyDescent="0.25">
      <c r="A559" s="9" t="s">
        <v>1578</v>
      </c>
      <c r="B559" s="81">
        <v>113308</v>
      </c>
      <c r="C559" s="81">
        <v>10743</v>
      </c>
      <c r="D559" s="9" t="s">
        <v>697</v>
      </c>
      <c r="E559" s="81">
        <v>14563091</v>
      </c>
      <c r="F559" s="81">
        <v>31050</v>
      </c>
      <c r="G559" s="81">
        <v>1</v>
      </c>
      <c r="H559" s="82">
        <v>359.46</v>
      </c>
      <c r="I559" s="251">
        <v>359.46</v>
      </c>
      <c r="J559" s="9" t="s">
        <v>1387</v>
      </c>
      <c r="K559" s="9" t="s">
        <v>1388</v>
      </c>
      <c r="L559" s="83">
        <v>45200</v>
      </c>
      <c r="M559" s="83">
        <v>45230</v>
      </c>
    </row>
    <row r="560" spans="1:13" ht="14.25" customHeight="1" x14ac:dyDescent="0.25">
      <c r="A560" s="9" t="s">
        <v>0</v>
      </c>
      <c r="B560" s="81">
        <v>113317</v>
      </c>
      <c r="C560" s="81">
        <v>10750</v>
      </c>
      <c r="D560" s="9" t="s">
        <v>702</v>
      </c>
      <c r="E560" s="81">
        <v>14563091</v>
      </c>
      <c r="F560" s="81">
        <v>31068</v>
      </c>
      <c r="G560" s="81">
        <v>1</v>
      </c>
      <c r="H560" s="82">
        <v>359.46</v>
      </c>
      <c r="I560" s="251">
        <v>359.46</v>
      </c>
      <c r="J560" s="9" t="s">
        <v>1387</v>
      </c>
      <c r="K560" s="9" t="s">
        <v>1388</v>
      </c>
      <c r="L560" s="83">
        <v>45200</v>
      </c>
      <c r="M560" s="83">
        <v>45230</v>
      </c>
    </row>
    <row r="561" spans="1:13" ht="14.25" customHeight="1" x14ac:dyDescent="0.25">
      <c r="A561" s="9" t="s">
        <v>10</v>
      </c>
      <c r="B561" s="81">
        <v>113323</v>
      </c>
      <c r="C561" s="81">
        <v>10766</v>
      </c>
      <c r="D561" s="9" t="s">
        <v>705</v>
      </c>
      <c r="E561" s="81">
        <v>14563091</v>
      </c>
      <c r="F561" s="81">
        <v>31080</v>
      </c>
      <c r="G561" s="81">
        <v>1</v>
      </c>
      <c r="H561" s="82">
        <v>359.46</v>
      </c>
      <c r="I561" s="251">
        <v>359.46</v>
      </c>
      <c r="J561" s="9" t="s">
        <v>1387</v>
      </c>
      <c r="K561" s="9" t="s">
        <v>1388</v>
      </c>
      <c r="L561" s="83">
        <v>45200</v>
      </c>
      <c r="M561" s="83">
        <v>45230</v>
      </c>
    </row>
    <row r="562" spans="1:13" ht="14.25" customHeight="1" x14ac:dyDescent="0.25">
      <c r="A562" s="9" t="s">
        <v>8</v>
      </c>
      <c r="B562" s="81">
        <v>113328</v>
      </c>
      <c r="C562" s="81">
        <v>10750</v>
      </c>
      <c r="D562" s="9" t="s">
        <v>709</v>
      </c>
      <c r="E562" s="81">
        <v>14563091</v>
      </c>
      <c r="F562" s="81">
        <v>31090</v>
      </c>
      <c r="G562" s="81">
        <v>1</v>
      </c>
      <c r="H562" s="82">
        <v>359.46</v>
      </c>
      <c r="I562" s="251">
        <v>359.46</v>
      </c>
      <c r="J562" s="9" t="s">
        <v>1387</v>
      </c>
      <c r="K562" s="9" t="s">
        <v>1388</v>
      </c>
      <c r="L562" s="83">
        <v>45200</v>
      </c>
      <c r="M562" s="83">
        <v>45230</v>
      </c>
    </row>
    <row r="563" spans="1:13" ht="14.25" customHeight="1" x14ac:dyDescent="0.25">
      <c r="A563" s="9" t="s">
        <v>1578</v>
      </c>
      <c r="B563" s="81">
        <v>113353</v>
      </c>
      <c r="C563" s="81">
        <v>10755</v>
      </c>
      <c r="D563" s="9" t="s">
        <v>721</v>
      </c>
      <c r="E563" s="81">
        <v>14563091</v>
      </c>
      <c r="F563" s="81">
        <v>31140</v>
      </c>
      <c r="G563" s="81">
        <v>1</v>
      </c>
      <c r="H563" s="82">
        <v>359.46</v>
      </c>
      <c r="I563" s="251">
        <v>359.46</v>
      </c>
      <c r="J563" s="9" t="s">
        <v>1387</v>
      </c>
      <c r="K563" s="9" t="s">
        <v>1388</v>
      </c>
      <c r="L563" s="83">
        <v>45200</v>
      </c>
      <c r="M563" s="83">
        <v>45230</v>
      </c>
    </row>
    <row r="564" spans="1:13" ht="14.25" customHeight="1" x14ac:dyDescent="0.25">
      <c r="A564" s="9" t="s">
        <v>0</v>
      </c>
      <c r="B564" s="81">
        <v>117235</v>
      </c>
      <c r="C564" s="81">
        <v>10748</v>
      </c>
      <c r="D564" s="9" t="s">
        <v>1252</v>
      </c>
      <c r="E564" s="81">
        <v>14563091</v>
      </c>
      <c r="F564" s="81">
        <v>44086</v>
      </c>
      <c r="G564" s="81">
        <v>1</v>
      </c>
      <c r="H564" s="82">
        <v>335.49</v>
      </c>
      <c r="I564" s="251">
        <v>335.49</v>
      </c>
      <c r="J564" s="9" t="s">
        <v>1387</v>
      </c>
      <c r="K564" s="9" t="s">
        <v>1388</v>
      </c>
      <c r="L564" s="83">
        <v>45200</v>
      </c>
      <c r="M564" s="83">
        <v>45230</v>
      </c>
    </row>
    <row r="565" spans="1:13" ht="14.25" customHeight="1" x14ac:dyDescent="0.25">
      <c r="A565" s="9" t="s">
        <v>32</v>
      </c>
      <c r="B565" s="81">
        <v>113357</v>
      </c>
      <c r="C565" s="81">
        <v>10750</v>
      </c>
      <c r="D565" s="9" t="s">
        <v>724</v>
      </c>
      <c r="E565" s="81">
        <v>14563091</v>
      </c>
      <c r="F565" s="81">
        <v>31148</v>
      </c>
      <c r="G565" s="81">
        <v>1</v>
      </c>
      <c r="H565" s="82">
        <v>359.46</v>
      </c>
      <c r="I565" s="251">
        <v>359.46</v>
      </c>
      <c r="J565" s="9" t="s">
        <v>1387</v>
      </c>
      <c r="K565" s="9" t="s">
        <v>1388</v>
      </c>
      <c r="L565" s="83">
        <v>45200</v>
      </c>
      <c r="M565" s="83">
        <v>45230</v>
      </c>
    </row>
    <row r="566" spans="1:13" ht="14.25" customHeight="1" x14ac:dyDescent="0.25">
      <c r="A566" s="9" t="s">
        <v>1578</v>
      </c>
      <c r="B566" s="81">
        <v>113367</v>
      </c>
      <c r="C566" s="81">
        <v>10768</v>
      </c>
      <c r="D566" s="9" t="s">
        <v>732</v>
      </c>
      <c r="E566" s="81">
        <v>14563091</v>
      </c>
      <c r="F566" s="81">
        <v>31168</v>
      </c>
      <c r="G566" s="81">
        <v>1</v>
      </c>
      <c r="H566" s="82">
        <v>359.46</v>
      </c>
      <c r="I566" s="251">
        <v>359.46</v>
      </c>
      <c r="J566" s="9" t="s">
        <v>1387</v>
      </c>
      <c r="K566" s="9" t="s">
        <v>1388</v>
      </c>
      <c r="L566" s="83">
        <v>45200</v>
      </c>
      <c r="M566" s="83">
        <v>45230</v>
      </c>
    </row>
    <row r="567" spans="1:13" ht="14.25" customHeight="1" x14ac:dyDescent="0.25">
      <c r="A567" s="9" t="s">
        <v>8</v>
      </c>
      <c r="B567" s="81">
        <v>114547</v>
      </c>
      <c r="C567" s="81">
        <v>10750</v>
      </c>
      <c r="D567" s="9" t="s">
        <v>1054</v>
      </c>
      <c r="E567" s="81">
        <v>14563091</v>
      </c>
      <c r="F567" s="81">
        <v>36371</v>
      </c>
      <c r="G567" s="81">
        <v>1</v>
      </c>
      <c r="H567" s="82">
        <v>359.46</v>
      </c>
      <c r="I567" s="251">
        <v>359.46</v>
      </c>
      <c r="J567" s="9" t="s">
        <v>1387</v>
      </c>
      <c r="K567" s="9" t="s">
        <v>1388</v>
      </c>
      <c r="L567" s="83">
        <v>45200</v>
      </c>
      <c r="M567" s="83">
        <v>45230</v>
      </c>
    </row>
    <row r="568" spans="1:13" ht="14.25" customHeight="1" x14ac:dyDescent="0.25">
      <c r="A568" s="9" t="s">
        <v>19</v>
      </c>
      <c r="B568" s="81">
        <v>113376</v>
      </c>
      <c r="C568" s="81">
        <v>10751</v>
      </c>
      <c r="D568" s="9" t="s">
        <v>738</v>
      </c>
      <c r="E568" s="81">
        <v>14563091</v>
      </c>
      <c r="F568" s="81">
        <v>31186</v>
      </c>
      <c r="G568" s="81">
        <v>1</v>
      </c>
      <c r="H568" s="82">
        <v>359.46</v>
      </c>
      <c r="I568" s="251">
        <v>359.46</v>
      </c>
      <c r="J568" s="9" t="s">
        <v>1387</v>
      </c>
      <c r="K568" s="9" t="s">
        <v>1388</v>
      </c>
      <c r="L568" s="83">
        <v>45200</v>
      </c>
      <c r="M568" s="83">
        <v>45230</v>
      </c>
    </row>
    <row r="569" spans="1:13" ht="14.25" customHeight="1" x14ac:dyDescent="0.25">
      <c r="A569" s="9" t="s">
        <v>19</v>
      </c>
      <c r="B569" s="81">
        <v>114107</v>
      </c>
      <c r="C569" s="81">
        <v>10750</v>
      </c>
      <c r="D569" s="9" t="s">
        <v>1007</v>
      </c>
      <c r="E569" s="81">
        <v>14563091</v>
      </c>
      <c r="F569" s="81">
        <v>34363</v>
      </c>
      <c r="G569" s="81">
        <v>1</v>
      </c>
      <c r="H569" s="82">
        <v>359.46</v>
      </c>
      <c r="I569" s="251">
        <v>359.46</v>
      </c>
      <c r="J569" s="9" t="s">
        <v>1387</v>
      </c>
      <c r="K569" s="9" t="s">
        <v>1388</v>
      </c>
      <c r="L569" s="83">
        <v>45200</v>
      </c>
      <c r="M569" s="83">
        <v>45230</v>
      </c>
    </row>
    <row r="570" spans="1:13" ht="14.25" customHeight="1" x14ac:dyDescent="0.25">
      <c r="A570" s="9" t="s">
        <v>10</v>
      </c>
      <c r="B570" s="81">
        <v>116316</v>
      </c>
      <c r="C570" s="81">
        <v>10757</v>
      </c>
      <c r="D570" s="9" t="s">
        <v>1200</v>
      </c>
      <c r="E570" s="81">
        <v>14563091</v>
      </c>
      <c r="F570" s="81">
        <v>41846</v>
      </c>
      <c r="G570" s="81">
        <v>1</v>
      </c>
      <c r="H570" s="82">
        <v>359.46</v>
      </c>
      <c r="I570" s="251">
        <v>359.46</v>
      </c>
      <c r="J570" s="9" t="s">
        <v>1387</v>
      </c>
      <c r="K570" s="9" t="s">
        <v>1388</v>
      </c>
      <c r="L570" s="83">
        <v>45200</v>
      </c>
      <c r="M570" s="83">
        <v>45230</v>
      </c>
    </row>
    <row r="571" spans="1:13" ht="14.25" customHeight="1" x14ac:dyDescent="0.25">
      <c r="A571" s="9" t="s">
        <v>10</v>
      </c>
      <c r="B571" s="81">
        <v>120357</v>
      </c>
      <c r="C571" s="81">
        <v>10757</v>
      </c>
      <c r="D571" s="9" t="s">
        <v>1504</v>
      </c>
      <c r="E571" s="81">
        <v>14563091</v>
      </c>
      <c r="F571" s="81">
        <v>51395</v>
      </c>
      <c r="G571" s="81">
        <v>1</v>
      </c>
      <c r="H571" s="82">
        <v>359.46</v>
      </c>
      <c r="I571" s="251">
        <v>359.46</v>
      </c>
      <c r="J571" s="9" t="s">
        <v>1387</v>
      </c>
      <c r="K571" s="9" t="s">
        <v>1388</v>
      </c>
      <c r="L571" s="83">
        <v>45200</v>
      </c>
      <c r="M571" s="83">
        <v>45230</v>
      </c>
    </row>
    <row r="572" spans="1:13" ht="14.25" customHeight="1" x14ac:dyDescent="0.25">
      <c r="A572" s="9" t="s">
        <v>0</v>
      </c>
      <c r="B572" s="81">
        <v>116728</v>
      </c>
      <c r="C572" s="81">
        <v>10745</v>
      </c>
      <c r="D572" s="9" t="s">
        <v>1219</v>
      </c>
      <c r="E572" s="81">
        <v>14563091</v>
      </c>
      <c r="F572" s="81">
        <v>42843</v>
      </c>
      <c r="G572" s="81">
        <v>1</v>
      </c>
      <c r="H572" s="82">
        <v>359.46</v>
      </c>
      <c r="I572" s="251">
        <v>359.46</v>
      </c>
      <c r="J572" s="9" t="s">
        <v>1387</v>
      </c>
      <c r="K572" s="9" t="s">
        <v>1388</v>
      </c>
      <c r="L572" s="83">
        <v>45200</v>
      </c>
      <c r="M572" s="83">
        <v>45230</v>
      </c>
    </row>
    <row r="573" spans="1:13" ht="14.25" customHeight="1" x14ac:dyDescent="0.25">
      <c r="A573" s="9" t="s">
        <v>19</v>
      </c>
      <c r="B573" s="81">
        <v>113391</v>
      </c>
      <c r="C573" s="81">
        <v>10754</v>
      </c>
      <c r="D573" s="9" t="s">
        <v>749</v>
      </c>
      <c r="E573" s="81">
        <v>14563091</v>
      </c>
      <c r="F573" s="81">
        <v>31216</v>
      </c>
      <c r="G573" s="81">
        <v>1</v>
      </c>
      <c r="H573" s="82">
        <v>359.46</v>
      </c>
      <c r="I573" s="251">
        <v>359.46</v>
      </c>
      <c r="J573" s="9" t="s">
        <v>1387</v>
      </c>
      <c r="K573" s="9" t="s">
        <v>1388</v>
      </c>
      <c r="L573" s="83">
        <v>45200</v>
      </c>
      <c r="M573" s="83">
        <v>45230</v>
      </c>
    </row>
    <row r="574" spans="1:13" ht="14.25" customHeight="1" x14ac:dyDescent="0.25">
      <c r="A574" s="9" t="s">
        <v>1578</v>
      </c>
      <c r="B574" s="81">
        <v>117245</v>
      </c>
      <c r="C574" s="81">
        <v>10748</v>
      </c>
      <c r="D574" s="9" t="s">
        <v>1076</v>
      </c>
      <c r="E574" s="81">
        <v>14563091</v>
      </c>
      <c r="F574" s="81">
        <v>44106</v>
      </c>
      <c r="G574" s="81">
        <v>1</v>
      </c>
      <c r="H574" s="82">
        <v>359.46</v>
      </c>
      <c r="I574" s="251">
        <v>359.46</v>
      </c>
      <c r="J574" s="9" t="s">
        <v>1387</v>
      </c>
      <c r="K574" s="9" t="s">
        <v>1388</v>
      </c>
      <c r="L574" s="83">
        <v>45200</v>
      </c>
      <c r="M574" s="83">
        <v>45230</v>
      </c>
    </row>
    <row r="575" spans="1:13" ht="14.25" customHeight="1" x14ac:dyDescent="0.25">
      <c r="A575" s="9" t="s">
        <v>8</v>
      </c>
      <c r="B575" s="81">
        <v>113394</v>
      </c>
      <c r="C575" s="81">
        <v>10756</v>
      </c>
      <c r="D575" s="9" t="s">
        <v>751</v>
      </c>
      <c r="E575" s="81">
        <v>14563091</v>
      </c>
      <c r="F575" s="81">
        <v>31222</v>
      </c>
      <c r="G575" s="81">
        <v>1</v>
      </c>
      <c r="H575" s="82">
        <v>359.46</v>
      </c>
      <c r="I575" s="251">
        <v>359.46</v>
      </c>
      <c r="J575" s="9" t="s">
        <v>1387</v>
      </c>
      <c r="K575" s="9" t="s">
        <v>1388</v>
      </c>
      <c r="L575" s="83">
        <v>45200</v>
      </c>
      <c r="M575" s="83">
        <v>45230</v>
      </c>
    </row>
    <row r="576" spans="1:13" ht="14.25" customHeight="1" x14ac:dyDescent="0.25">
      <c r="A576" s="9" t="s">
        <v>19</v>
      </c>
      <c r="B576" s="81">
        <v>121024</v>
      </c>
      <c r="C576" s="81">
        <v>10750</v>
      </c>
      <c r="D576" s="9" t="s">
        <v>1514</v>
      </c>
      <c r="E576" s="81">
        <v>14563091</v>
      </c>
      <c r="F576" s="81">
        <v>52797</v>
      </c>
      <c r="G576" s="81">
        <v>1</v>
      </c>
      <c r="H576" s="82">
        <v>359.46</v>
      </c>
      <c r="I576" s="251">
        <v>359.46</v>
      </c>
      <c r="J576" s="9" t="s">
        <v>1387</v>
      </c>
      <c r="K576" s="9" t="s">
        <v>1388</v>
      </c>
      <c r="L576" s="83">
        <v>45200</v>
      </c>
      <c r="M576" s="83">
        <v>45230</v>
      </c>
    </row>
    <row r="577" spans="1:13" ht="14.25" customHeight="1" x14ac:dyDescent="0.25">
      <c r="A577" s="9" t="s">
        <v>1246</v>
      </c>
      <c r="B577" s="81">
        <v>116652</v>
      </c>
      <c r="C577" s="81">
        <v>10773</v>
      </c>
      <c r="D577" s="9" t="s">
        <v>952</v>
      </c>
      <c r="E577" s="81">
        <v>14563091</v>
      </c>
      <c r="F577" s="81">
        <v>42633</v>
      </c>
      <c r="G577" s="81">
        <v>1</v>
      </c>
      <c r="H577" s="82">
        <v>359.46</v>
      </c>
      <c r="I577" s="251">
        <v>359.46</v>
      </c>
      <c r="J577" s="9" t="s">
        <v>1387</v>
      </c>
      <c r="K577" s="9" t="s">
        <v>1388</v>
      </c>
      <c r="L577" s="83">
        <v>45200</v>
      </c>
      <c r="M577" s="83">
        <v>45230</v>
      </c>
    </row>
    <row r="578" spans="1:13" ht="14.25" customHeight="1" x14ac:dyDescent="0.25">
      <c r="A578" s="9" t="s">
        <v>8</v>
      </c>
      <c r="B578" s="81">
        <v>113405</v>
      </c>
      <c r="C578" s="81">
        <v>10750</v>
      </c>
      <c r="D578" s="9" t="s">
        <v>757</v>
      </c>
      <c r="E578" s="81">
        <v>14563091</v>
      </c>
      <c r="F578" s="81">
        <v>31244</v>
      </c>
      <c r="G578" s="81">
        <v>1</v>
      </c>
      <c r="H578" s="82">
        <v>359.46</v>
      </c>
      <c r="I578" s="251">
        <v>359.46</v>
      </c>
      <c r="J578" s="9" t="s">
        <v>1387</v>
      </c>
      <c r="K578" s="9" t="s">
        <v>1388</v>
      </c>
      <c r="L578" s="83">
        <v>45200</v>
      </c>
      <c r="M578" s="83">
        <v>45230</v>
      </c>
    </row>
    <row r="579" spans="1:13" ht="14.25" customHeight="1" x14ac:dyDescent="0.25">
      <c r="A579" s="9" t="s">
        <v>0</v>
      </c>
      <c r="B579" s="81">
        <v>113413</v>
      </c>
      <c r="C579" s="81">
        <v>10750</v>
      </c>
      <c r="D579" s="9" t="s">
        <v>762</v>
      </c>
      <c r="E579" s="81">
        <v>14563091</v>
      </c>
      <c r="F579" s="81">
        <v>31260</v>
      </c>
      <c r="G579" s="81">
        <v>1</v>
      </c>
      <c r="H579" s="82">
        <v>359.46</v>
      </c>
      <c r="I579" s="251">
        <v>359.46</v>
      </c>
      <c r="J579" s="9" t="s">
        <v>1387</v>
      </c>
      <c r="K579" s="9" t="s">
        <v>1388</v>
      </c>
      <c r="L579" s="83">
        <v>45200</v>
      </c>
      <c r="M579" s="83">
        <v>45230</v>
      </c>
    </row>
    <row r="580" spans="1:13" ht="14.25" customHeight="1" x14ac:dyDescent="0.25">
      <c r="A580" s="9" t="s">
        <v>1578</v>
      </c>
      <c r="B580" s="81">
        <v>114948</v>
      </c>
      <c r="C580" s="81">
        <v>10757</v>
      </c>
      <c r="D580" s="9" t="s">
        <v>1097</v>
      </c>
      <c r="E580" s="81">
        <v>14563091</v>
      </c>
      <c r="F580" s="81">
        <v>37672</v>
      </c>
      <c r="G580" s="81">
        <v>1</v>
      </c>
      <c r="H580" s="82">
        <v>359.46</v>
      </c>
      <c r="I580" s="251">
        <v>359.46</v>
      </c>
      <c r="J580" s="9" t="s">
        <v>1387</v>
      </c>
      <c r="K580" s="9" t="s">
        <v>1388</v>
      </c>
      <c r="L580" s="83">
        <v>45200</v>
      </c>
      <c r="M580" s="83">
        <v>45230</v>
      </c>
    </row>
    <row r="581" spans="1:13" ht="14.25" customHeight="1" x14ac:dyDescent="0.25">
      <c r="A581" s="9" t="s">
        <v>8</v>
      </c>
      <c r="B581" s="81">
        <v>113418</v>
      </c>
      <c r="C581" s="81">
        <v>10751</v>
      </c>
      <c r="D581" s="9" t="s">
        <v>767</v>
      </c>
      <c r="E581" s="81">
        <v>14563091</v>
      </c>
      <c r="F581" s="81">
        <v>31270</v>
      </c>
      <c r="G581" s="81">
        <v>1</v>
      </c>
      <c r="H581" s="82">
        <v>359.46</v>
      </c>
      <c r="I581" s="251">
        <v>359.46</v>
      </c>
      <c r="J581" s="9" t="s">
        <v>1387</v>
      </c>
      <c r="K581" s="9" t="s">
        <v>1388</v>
      </c>
      <c r="L581" s="83">
        <v>45200</v>
      </c>
      <c r="M581" s="83">
        <v>45230</v>
      </c>
    </row>
    <row r="582" spans="1:13" ht="14.25" customHeight="1" x14ac:dyDescent="0.25">
      <c r="A582" s="9" t="s">
        <v>1578</v>
      </c>
      <c r="B582" s="81">
        <v>113421</v>
      </c>
      <c r="C582" s="81">
        <v>10761</v>
      </c>
      <c r="D582" s="9" t="s">
        <v>770</v>
      </c>
      <c r="E582" s="81">
        <v>14563091</v>
      </c>
      <c r="F582" s="81">
        <v>31276</v>
      </c>
      <c r="G582" s="81">
        <v>1</v>
      </c>
      <c r="H582" s="82">
        <v>359.46</v>
      </c>
      <c r="I582" s="251">
        <v>359.46</v>
      </c>
      <c r="J582" s="9" t="s">
        <v>1387</v>
      </c>
      <c r="K582" s="9" t="s">
        <v>1388</v>
      </c>
      <c r="L582" s="83">
        <v>45200</v>
      </c>
      <c r="M582" s="83">
        <v>45230</v>
      </c>
    </row>
    <row r="583" spans="1:13" ht="14.25" customHeight="1" x14ac:dyDescent="0.25">
      <c r="A583" s="9" t="s">
        <v>1578</v>
      </c>
      <c r="B583" s="81">
        <v>113433</v>
      </c>
      <c r="C583" s="81">
        <v>10771</v>
      </c>
      <c r="D583" s="9" t="s">
        <v>1346</v>
      </c>
      <c r="E583" s="81">
        <v>14563091</v>
      </c>
      <c r="F583" s="81">
        <v>31300</v>
      </c>
      <c r="G583" s="81">
        <v>1</v>
      </c>
      <c r="H583" s="82">
        <v>359.46</v>
      </c>
      <c r="I583" s="251">
        <v>359.46</v>
      </c>
      <c r="J583" s="9" t="s">
        <v>1387</v>
      </c>
      <c r="K583" s="9" t="s">
        <v>1388</v>
      </c>
      <c r="L583" s="83">
        <v>45200</v>
      </c>
      <c r="M583" s="83">
        <v>45230</v>
      </c>
    </row>
    <row r="584" spans="1:13" ht="14.25" customHeight="1" x14ac:dyDescent="0.25">
      <c r="A584" s="9" t="s">
        <v>1578</v>
      </c>
      <c r="B584" s="81">
        <v>113441</v>
      </c>
      <c r="C584" s="81">
        <v>10761</v>
      </c>
      <c r="D584" s="9" t="s">
        <v>781</v>
      </c>
      <c r="E584" s="81">
        <v>14563091</v>
      </c>
      <c r="F584" s="81">
        <v>31316</v>
      </c>
      <c r="G584" s="81">
        <v>1</v>
      </c>
      <c r="H584" s="82">
        <v>359.46</v>
      </c>
      <c r="I584" s="251">
        <v>359.46</v>
      </c>
      <c r="J584" s="9" t="s">
        <v>1387</v>
      </c>
      <c r="K584" s="9" t="s">
        <v>1388</v>
      </c>
      <c r="L584" s="83">
        <v>45200</v>
      </c>
      <c r="M584" s="83">
        <v>45230</v>
      </c>
    </row>
    <row r="585" spans="1:13" ht="14.25" customHeight="1" x14ac:dyDescent="0.25">
      <c r="A585" s="9" t="s">
        <v>8</v>
      </c>
      <c r="B585" s="81">
        <v>116238</v>
      </c>
      <c r="C585" s="81">
        <v>10754</v>
      </c>
      <c r="D585" s="9" t="s">
        <v>1198</v>
      </c>
      <c r="E585" s="81">
        <v>14563091</v>
      </c>
      <c r="F585" s="81">
        <v>41583</v>
      </c>
      <c r="G585" s="81">
        <v>1</v>
      </c>
      <c r="H585" s="82">
        <v>359.46</v>
      </c>
      <c r="I585" s="251">
        <v>359.46</v>
      </c>
      <c r="J585" s="9" t="s">
        <v>1387</v>
      </c>
      <c r="K585" s="9" t="s">
        <v>1388</v>
      </c>
      <c r="L585" s="83">
        <v>45200</v>
      </c>
      <c r="M585" s="83">
        <v>45230</v>
      </c>
    </row>
    <row r="586" spans="1:13" ht="14.25" customHeight="1" x14ac:dyDescent="0.25">
      <c r="A586" s="9" t="s">
        <v>8</v>
      </c>
      <c r="B586" s="81">
        <v>113455</v>
      </c>
      <c r="C586" s="81">
        <v>10757</v>
      </c>
      <c r="D586" s="9" t="s">
        <v>787</v>
      </c>
      <c r="E586" s="81">
        <v>14563091</v>
      </c>
      <c r="F586" s="81">
        <v>31344</v>
      </c>
      <c r="G586" s="81">
        <v>1</v>
      </c>
      <c r="H586" s="82">
        <v>359.46</v>
      </c>
      <c r="I586" s="251">
        <v>359.46</v>
      </c>
      <c r="J586" s="9" t="s">
        <v>1387</v>
      </c>
      <c r="K586" s="9" t="s">
        <v>1388</v>
      </c>
      <c r="L586" s="83">
        <v>45200</v>
      </c>
      <c r="M586" s="83">
        <v>45230</v>
      </c>
    </row>
    <row r="587" spans="1:13" ht="14.25" customHeight="1" x14ac:dyDescent="0.25">
      <c r="A587" s="9" t="s">
        <v>32</v>
      </c>
      <c r="B587" s="81">
        <v>113459</v>
      </c>
      <c r="C587" s="81">
        <v>10757</v>
      </c>
      <c r="D587" s="9" t="s">
        <v>790</v>
      </c>
      <c r="E587" s="81">
        <v>14563091</v>
      </c>
      <c r="F587" s="81">
        <v>31352</v>
      </c>
      <c r="G587" s="81">
        <v>1</v>
      </c>
      <c r="H587" s="82">
        <v>359.46</v>
      </c>
      <c r="I587" s="251">
        <v>359.46</v>
      </c>
      <c r="J587" s="9" t="s">
        <v>1387</v>
      </c>
      <c r="K587" s="9" t="s">
        <v>1388</v>
      </c>
      <c r="L587" s="83">
        <v>45200</v>
      </c>
      <c r="M587" s="83">
        <v>45230</v>
      </c>
    </row>
    <row r="588" spans="1:13" ht="14.25" customHeight="1" x14ac:dyDescent="0.25">
      <c r="A588" s="9" t="s">
        <v>10</v>
      </c>
      <c r="B588" s="81">
        <v>113464</v>
      </c>
      <c r="C588" s="81">
        <v>10756</v>
      </c>
      <c r="D588" s="9" t="s">
        <v>794</v>
      </c>
      <c r="E588" s="81">
        <v>14563091</v>
      </c>
      <c r="F588" s="81">
        <v>31362</v>
      </c>
      <c r="G588" s="81">
        <v>1</v>
      </c>
      <c r="H588" s="82">
        <v>359.46</v>
      </c>
      <c r="I588" s="251">
        <v>359.46</v>
      </c>
      <c r="J588" s="9" t="s">
        <v>1387</v>
      </c>
      <c r="K588" s="9" t="s">
        <v>1388</v>
      </c>
      <c r="L588" s="83">
        <v>45200</v>
      </c>
      <c r="M588" s="83">
        <v>45230</v>
      </c>
    </row>
    <row r="589" spans="1:13" ht="14.25" customHeight="1" x14ac:dyDescent="0.25">
      <c r="A589" s="9" t="s">
        <v>1578</v>
      </c>
      <c r="B589" s="81">
        <v>122425</v>
      </c>
      <c r="C589" s="81">
        <v>10766</v>
      </c>
      <c r="D589" s="9" t="s">
        <v>1684</v>
      </c>
      <c r="E589" s="81">
        <v>14563091</v>
      </c>
      <c r="F589" s="81">
        <v>56170</v>
      </c>
      <c r="G589" s="81">
        <v>1</v>
      </c>
      <c r="H589" s="82">
        <v>359.46</v>
      </c>
      <c r="I589" s="251">
        <v>359.46</v>
      </c>
      <c r="J589" s="9" t="s">
        <v>1387</v>
      </c>
      <c r="K589" s="9" t="s">
        <v>1388</v>
      </c>
      <c r="L589" s="83">
        <v>45200</v>
      </c>
      <c r="M589" s="83">
        <v>45230</v>
      </c>
    </row>
    <row r="590" spans="1:13" ht="14.25" customHeight="1" x14ac:dyDescent="0.25">
      <c r="A590" s="9" t="s">
        <v>10</v>
      </c>
      <c r="B590" s="81">
        <v>113471</v>
      </c>
      <c r="C590" s="81">
        <v>10766</v>
      </c>
      <c r="D590" s="9" t="s">
        <v>798</v>
      </c>
      <c r="E590" s="81">
        <v>14563091</v>
      </c>
      <c r="F590" s="81">
        <v>31376</v>
      </c>
      <c r="G590" s="81">
        <v>1</v>
      </c>
      <c r="H590" s="82">
        <v>359.46</v>
      </c>
      <c r="I590" s="251">
        <v>359.46</v>
      </c>
      <c r="J590" s="9" t="s">
        <v>1387</v>
      </c>
      <c r="K590" s="9" t="s">
        <v>1388</v>
      </c>
      <c r="L590" s="83">
        <v>45200</v>
      </c>
      <c r="M590" s="83">
        <v>45230</v>
      </c>
    </row>
    <row r="591" spans="1:13" ht="14.25" customHeight="1" x14ac:dyDescent="0.25">
      <c r="A591" s="9" t="s">
        <v>1578</v>
      </c>
      <c r="B591" s="81">
        <v>120191</v>
      </c>
      <c r="C591" s="81">
        <v>10745</v>
      </c>
      <c r="D591" s="9" t="s">
        <v>1493</v>
      </c>
      <c r="E591" s="81">
        <v>14563091</v>
      </c>
      <c r="F591" s="81">
        <v>50933</v>
      </c>
      <c r="G591" s="81">
        <v>1</v>
      </c>
      <c r="H591" s="82">
        <v>347.47</v>
      </c>
      <c r="I591" s="251">
        <v>347.47</v>
      </c>
      <c r="J591" s="9" t="s">
        <v>1387</v>
      </c>
      <c r="K591" s="9" t="s">
        <v>1388</v>
      </c>
      <c r="L591" s="83">
        <v>45200</v>
      </c>
      <c r="M591" s="83">
        <v>45230</v>
      </c>
    </row>
    <row r="592" spans="1:13" ht="14.25" customHeight="1" x14ac:dyDescent="0.25">
      <c r="A592" s="9" t="s">
        <v>1578</v>
      </c>
      <c r="B592" s="81">
        <v>121322</v>
      </c>
      <c r="C592" s="81">
        <v>10760</v>
      </c>
      <c r="D592" s="9" t="s">
        <v>1526</v>
      </c>
      <c r="E592" s="81">
        <v>14563091</v>
      </c>
      <c r="F592" s="81">
        <v>53498</v>
      </c>
      <c r="G592" s="81">
        <v>1</v>
      </c>
      <c r="H592" s="82">
        <v>359.46</v>
      </c>
      <c r="I592" s="251">
        <v>359.46</v>
      </c>
      <c r="J592" s="9" t="s">
        <v>1387</v>
      </c>
      <c r="K592" s="9" t="s">
        <v>1388</v>
      </c>
      <c r="L592" s="83">
        <v>45200</v>
      </c>
      <c r="M592" s="83">
        <v>45230</v>
      </c>
    </row>
    <row r="593" spans="1:13" ht="14.25" customHeight="1" x14ac:dyDescent="0.25">
      <c r="A593" s="9" t="s">
        <v>1578</v>
      </c>
      <c r="B593" s="81">
        <v>119113</v>
      </c>
      <c r="C593" s="81">
        <v>10758</v>
      </c>
      <c r="D593" s="9" t="s">
        <v>1433</v>
      </c>
      <c r="E593" s="81">
        <v>14563091</v>
      </c>
      <c r="F593" s="81">
        <v>48248</v>
      </c>
      <c r="G593" s="81">
        <v>1</v>
      </c>
      <c r="H593" s="82">
        <v>359.46</v>
      </c>
      <c r="I593" s="251">
        <v>359.46</v>
      </c>
      <c r="J593" s="9" t="s">
        <v>1387</v>
      </c>
      <c r="K593" s="9" t="s">
        <v>1388</v>
      </c>
      <c r="L593" s="83">
        <v>45200</v>
      </c>
      <c r="M593" s="83">
        <v>45230</v>
      </c>
    </row>
    <row r="594" spans="1:13" ht="14.25" customHeight="1" x14ac:dyDescent="0.25">
      <c r="A594" s="9" t="s">
        <v>8</v>
      </c>
      <c r="B594" s="81">
        <v>113474</v>
      </c>
      <c r="C594" s="81">
        <v>10757</v>
      </c>
      <c r="D594" s="9" t="s">
        <v>799</v>
      </c>
      <c r="E594" s="81">
        <v>14563091</v>
      </c>
      <c r="F594" s="81">
        <v>31382</v>
      </c>
      <c r="G594" s="81">
        <v>1</v>
      </c>
      <c r="H594" s="82">
        <v>359.46</v>
      </c>
      <c r="I594" s="251">
        <v>359.46</v>
      </c>
      <c r="J594" s="9" t="s">
        <v>1387</v>
      </c>
      <c r="K594" s="9" t="s">
        <v>1388</v>
      </c>
      <c r="L594" s="83">
        <v>45200</v>
      </c>
      <c r="M594" s="83">
        <v>45230</v>
      </c>
    </row>
    <row r="595" spans="1:13" ht="14.25" customHeight="1" x14ac:dyDescent="0.25">
      <c r="A595" s="9" t="s">
        <v>1578</v>
      </c>
      <c r="B595" s="81">
        <v>121323</v>
      </c>
      <c r="C595" s="81">
        <v>10760</v>
      </c>
      <c r="D595" s="9" t="s">
        <v>1527</v>
      </c>
      <c r="E595" s="81">
        <v>14563091</v>
      </c>
      <c r="F595" s="81">
        <v>53500</v>
      </c>
      <c r="G595" s="81">
        <v>1</v>
      </c>
      <c r="H595" s="82">
        <v>359.46</v>
      </c>
      <c r="I595" s="251">
        <v>359.46</v>
      </c>
      <c r="J595" s="9" t="s">
        <v>1387</v>
      </c>
      <c r="K595" s="9" t="s">
        <v>1388</v>
      </c>
      <c r="L595" s="83">
        <v>45200</v>
      </c>
      <c r="M595" s="83">
        <v>45230</v>
      </c>
    </row>
    <row r="596" spans="1:13" ht="14.25" customHeight="1" x14ac:dyDescent="0.25">
      <c r="A596" s="9" t="s">
        <v>1578</v>
      </c>
      <c r="B596" s="81">
        <v>113478</v>
      </c>
      <c r="C596" s="81">
        <v>10762</v>
      </c>
      <c r="D596" s="9" t="s">
        <v>801</v>
      </c>
      <c r="E596" s="81">
        <v>14563091</v>
      </c>
      <c r="F596" s="81">
        <v>31390</v>
      </c>
      <c r="G596" s="81">
        <v>1</v>
      </c>
      <c r="H596" s="82">
        <v>359.46</v>
      </c>
      <c r="I596" s="251">
        <v>359.46</v>
      </c>
      <c r="J596" s="9" t="s">
        <v>1387</v>
      </c>
      <c r="K596" s="9" t="s">
        <v>1388</v>
      </c>
      <c r="L596" s="83">
        <v>45200</v>
      </c>
      <c r="M596" s="83">
        <v>45230</v>
      </c>
    </row>
    <row r="597" spans="1:13" ht="14.25" customHeight="1" x14ac:dyDescent="0.25">
      <c r="A597" s="9" t="s">
        <v>1578</v>
      </c>
      <c r="B597" s="81">
        <v>114942</v>
      </c>
      <c r="C597" s="81">
        <v>10761</v>
      </c>
      <c r="D597" s="9" t="s">
        <v>1121</v>
      </c>
      <c r="E597" s="81">
        <v>14563091</v>
      </c>
      <c r="F597" s="81">
        <v>37660</v>
      </c>
      <c r="G597" s="81">
        <v>1</v>
      </c>
      <c r="H597" s="82">
        <v>359.46</v>
      </c>
      <c r="I597" s="251">
        <v>359.46</v>
      </c>
      <c r="J597" s="9" t="s">
        <v>1387</v>
      </c>
      <c r="K597" s="9" t="s">
        <v>1388</v>
      </c>
      <c r="L597" s="83">
        <v>45200</v>
      </c>
      <c r="M597" s="83">
        <v>45230</v>
      </c>
    </row>
    <row r="598" spans="1:13" ht="14.25" customHeight="1" x14ac:dyDescent="0.25">
      <c r="A598" s="9" t="s">
        <v>10</v>
      </c>
      <c r="B598" s="81">
        <v>113480</v>
      </c>
      <c r="C598" s="81">
        <v>10750</v>
      </c>
      <c r="D598" s="9" t="s">
        <v>802</v>
      </c>
      <c r="E598" s="81">
        <v>14563091</v>
      </c>
      <c r="F598" s="81">
        <v>31394</v>
      </c>
      <c r="G598" s="81">
        <v>1</v>
      </c>
      <c r="H598" s="82">
        <v>359.46</v>
      </c>
      <c r="I598" s="251">
        <v>359.46</v>
      </c>
      <c r="J598" s="9" t="s">
        <v>1387</v>
      </c>
      <c r="K598" s="9" t="s">
        <v>1388</v>
      </c>
      <c r="L598" s="83">
        <v>45200</v>
      </c>
      <c r="M598" s="83">
        <v>45230</v>
      </c>
    </row>
    <row r="599" spans="1:13" ht="14.25" customHeight="1" x14ac:dyDescent="0.25">
      <c r="A599" s="9" t="s">
        <v>1578</v>
      </c>
      <c r="B599" s="81">
        <v>114944</v>
      </c>
      <c r="C599" s="81">
        <v>10757</v>
      </c>
      <c r="D599" s="9" t="s">
        <v>1123</v>
      </c>
      <c r="E599" s="81">
        <v>14563091</v>
      </c>
      <c r="F599" s="81">
        <v>37664</v>
      </c>
      <c r="G599" s="81">
        <v>1</v>
      </c>
      <c r="H599" s="82">
        <v>359.46</v>
      </c>
      <c r="I599" s="251">
        <v>359.46</v>
      </c>
      <c r="J599" s="9" t="s">
        <v>1387</v>
      </c>
      <c r="K599" s="9" t="s">
        <v>1388</v>
      </c>
      <c r="L599" s="83">
        <v>45200</v>
      </c>
      <c r="M599" s="83">
        <v>45230</v>
      </c>
    </row>
    <row r="600" spans="1:13" ht="14.25" customHeight="1" x14ac:dyDescent="0.25">
      <c r="A600" s="9" t="s">
        <v>8</v>
      </c>
      <c r="B600" s="81">
        <v>117234</v>
      </c>
      <c r="C600" s="81">
        <v>10755</v>
      </c>
      <c r="D600" s="9" t="s">
        <v>1251</v>
      </c>
      <c r="E600" s="81">
        <v>14563091</v>
      </c>
      <c r="F600" s="81">
        <v>44084</v>
      </c>
      <c r="G600" s="81">
        <v>1</v>
      </c>
      <c r="H600" s="82">
        <v>359.46</v>
      </c>
      <c r="I600" s="251">
        <v>359.46</v>
      </c>
      <c r="J600" s="9" t="s">
        <v>1387</v>
      </c>
      <c r="K600" s="9" t="s">
        <v>1388</v>
      </c>
      <c r="L600" s="83">
        <v>45200</v>
      </c>
      <c r="M600" s="83">
        <v>45230</v>
      </c>
    </row>
    <row r="601" spans="1:13" ht="14.25" customHeight="1" x14ac:dyDescent="0.25">
      <c r="A601" s="9" t="s">
        <v>0</v>
      </c>
      <c r="B601" s="81">
        <v>121677</v>
      </c>
      <c r="C601" s="81">
        <v>10763</v>
      </c>
      <c r="D601" s="9" t="s">
        <v>1586</v>
      </c>
      <c r="E601" s="81">
        <v>14563091</v>
      </c>
      <c r="F601" s="81">
        <v>54320</v>
      </c>
      <c r="G601" s="81">
        <v>1</v>
      </c>
      <c r="H601" s="82">
        <v>359.46</v>
      </c>
      <c r="I601" s="251">
        <v>359.46</v>
      </c>
      <c r="J601" s="9" t="s">
        <v>1387</v>
      </c>
      <c r="K601" s="9" t="s">
        <v>1388</v>
      </c>
      <c r="L601" s="83">
        <v>45200</v>
      </c>
      <c r="M601" s="83">
        <v>45230</v>
      </c>
    </row>
    <row r="602" spans="1:13" ht="14.25" customHeight="1" x14ac:dyDescent="0.25">
      <c r="A602" s="9" t="s">
        <v>19</v>
      </c>
      <c r="B602" s="81">
        <v>113489</v>
      </c>
      <c r="C602" s="81">
        <v>10750</v>
      </c>
      <c r="D602" s="9" t="s">
        <v>806</v>
      </c>
      <c r="E602" s="81">
        <v>14563091</v>
      </c>
      <c r="F602" s="81">
        <v>31412</v>
      </c>
      <c r="G602" s="81">
        <v>1</v>
      </c>
      <c r="H602" s="82">
        <v>359.46</v>
      </c>
      <c r="I602" s="251">
        <v>359.46</v>
      </c>
      <c r="J602" s="9" t="s">
        <v>1387</v>
      </c>
      <c r="K602" s="9" t="s">
        <v>1388</v>
      </c>
      <c r="L602" s="83">
        <v>45200</v>
      </c>
      <c r="M602" s="83">
        <v>45230</v>
      </c>
    </row>
    <row r="603" spans="1:13" ht="14.25" customHeight="1" x14ac:dyDescent="0.25">
      <c r="A603" s="9" t="s">
        <v>0</v>
      </c>
      <c r="B603" s="81">
        <v>113499</v>
      </c>
      <c r="C603" s="81">
        <v>10750</v>
      </c>
      <c r="D603" s="9" t="s">
        <v>811</v>
      </c>
      <c r="E603" s="81">
        <v>14563091</v>
      </c>
      <c r="F603" s="81">
        <v>31432</v>
      </c>
      <c r="G603" s="81">
        <v>1</v>
      </c>
      <c r="H603" s="82">
        <v>359.46</v>
      </c>
      <c r="I603" s="251">
        <v>359.46</v>
      </c>
      <c r="J603" s="9" t="s">
        <v>1387</v>
      </c>
      <c r="K603" s="9" t="s">
        <v>1388</v>
      </c>
      <c r="L603" s="83">
        <v>45200</v>
      </c>
      <c r="M603" s="83">
        <v>45230</v>
      </c>
    </row>
    <row r="604" spans="1:13" ht="14.25" customHeight="1" x14ac:dyDescent="0.25">
      <c r="A604" s="9" t="s">
        <v>0</v>
      </c>
      <c r="B604" s="81">
        <v>113505</v>
      </c>
      <c r="C604" s="81">
        <v>10750</v>
      </c>
      <c r="D604" s="9" t="s">
        <v>814</v>
      </c>
      <c r="E604" s="81">
        <v>14563091</v>
      </c>
      <c r="F604" s="81">
        <v>31444</v>
      </c>
      <c r="G604" s="81">
        <v>1</v>
      </c>
      <c r="H604" s="82">
        <v>359.46</v>
      </c>
      <c r="I604" s="251">
        <v>359.46</v>
      </c>
      <c r="J604" s="9" t="s">
        <v>1387</v>
      </c>
      <c r="K604" s="9" t="s">
        <v>1388</v>
      </c>
      <c r="L604" s="83">
        <v>45200</v>
      </c>
      <c r="M604" s="83">
        <v>45230</v>
      </c>
    </row>
    <row r="605" spans="1:13" ht="14.25" customHeight="1" x14ac:dyDescent="0.25">
      <c r="A605" s="9" t="s">
        <v>8</v>
      </c>
      <c r="B605" s="81">
        <v>116229</v>
      </c>
      <c r="C605" s="81">
        <v>10761</v>
      </c>
      <c r="D605" s="9" t="s">
        <v>1192</v>
      </c>
      <c r="E605" s="81">
        <v>14563091</v>
      </c>
      <c r="F605" s="81">
        <v>41565</v>
      </c>
      <c r="G605" s="81">
        <v>1</v>
      </c>
      <c r="H605" s="82">
        <v>359.46</v>
      </c>
      <c r="I605" s="251">
        <v>359.46</v>
      </c>
      <c r="J605" s="9" t="s">
        <v>1387</v>
      </c>
      <c r="K605" s="9" t="s">
        <v>1388</v>
      </c>
      <c r="L605" s="83">
        <v>45200</v>
      </c>
      <c r="M605" s="83">
        <v>45230</v>
      </c>
    </row>
    <row r="606" spans="1:13" ht="14.25" customHeight="1" x14ac:dyDescent="0.25">
      <c r="A606" s="9" t="s">
        <v>0</v>
      </c>
      <c r="B606" s="81">
        <v>113519</v>
      </c>
      <c r="C606" s="81">
        <v>10756</v>
      </c>
      <c r="D606" s="9" t="s">
        <v>820</v>
      </c>
      <c r="E606" s="81">
        <v>14563091</v>
      </c>
      <c r="F606" s="81">
        <v>31472</v>
      </c>
      <c r="G606" s="81">
        <v>1</v>
      </c>
      <c r="H606" s="82">
        <v>359.46</v>
      </c>
      <c r="I606" s="251">
        <v>359.46</v>
      </c>
      <c r="J606" s="9" t="s">
        <v>1387</v>
      </c>
      <c r="K606" s="9" t="s">
        <v>1388</v>
      </c>
      <c r="L606" s="83">
        <v>45200</v>
      </c>
      <c r="M606" s="83">
        <v>45230</v>
      </c>
    </row>
    <row r="607" spans="1:13" ht="14.25" customHeight="1" x14ac:dyDescent="0.25">
      <c r="A607" s="9" t="s">
        <v>8</v>
      </c>
      <c r="B607" s="81">
        <v>112529</v>
      </c>
      <c r="C607" s="81">
        <v>10750</v>
      </c>
      <c r="D607" s="9" t="s">
        <v>241</v>
      </c>
      <c r="E607" s="81">
        <v>14563091</v>
      </c>
      <c r="F607" s="81">
        <v>29492</v>
      </c>
      <c r="G607" s="81">
        <v>1</v>
      </c>
      <c r="H607" s="82">
        <v>359.46</v>
      </c>
      <c r="I607" s="251">
        <v>359.46</v>
      </c>
      <c r="J607" s="9" t="s">
        <v>1387</v>
      </c>
      <c r="K607" s="9" t="s">
        <v>1388</v>
      </c>
      <c r="L607" s="83">
        <v>45200</v>
      </c>
      <c r="M607" s="83">
        <v>45230</v>
      </c>
    </row>
    <row r="608" spans="1:13" ht="14.25" customHeight="1" x14ac:dyDescent="0.25">
      <c r="A608" s="9" t="s">
        <v>1578</v>
      </c>
      <c r="B608" s="81">
        <v>114963</v>
      </c>
      <c r="C608" s="81">
        <v>10757</v>
      </c>
      <c r="D608" s="9" t="s">
        <v>1128</v>
      </c>
      <c r="E608" s="81">
        <v>14563091</v>
      </c>
      <c r="F608" s="81">
        <v>37703</v>
      </c>
      <c r="G608" s="81">
        <v>1</v>
      </c>
      <c r="H608" s="82">
        <v>359.46</v>
      </c>
      <c r="I608" s="251">
        <v>359.46</v>
      </c>
      <c r="J608" s="9" t="s">
        <v>1387</v>
      </c>
      <c r="K608" s="9" t="s">
        <v>1388</v>
      </c>
      <c r="L608" s="83">
        <v>45200</v>
      </c>
      <c r="M608" s="83">
        <v>45230</v>
      </c>
    </row>
    <row r="609" spans="1:13" ht="14.25" customHeight="1" x14ac:dyDescent="0.25">
      <c r="A609" s="9" t="s">
        <v>32</v>
      </c>
      <c r="B609" s="81">
        <v>122559</v>
      </c>
      <c r="C609" s="81">
        <v>10757</v>
      </c>
      <c r="D609" s="9" t="s">
        <v>1685</v>
      </c>
      <c r="E609" s="81">
        <v>14563091</v>
      </c>
      <c r="F609" s="81">
        <v>56552</v>
      </c>
      <c r="G609" s="81">
        <v>1</v>
      </c>
      <c r="H609" s="82">
        <v>359.46</v>
      </c>
      <c r="I609" s="251">
        <v>359.46</v>
      </c>
      <c r="J609" s="9" t="s">
        <v>1387</v>
      </c>
      <c r="K609" s="9" t="s">
        <v>1388</v>
      </c>
      <c r="L609" s="83">
        <v>45200</v>
      </c>
      <c r="M609" s="83">
        <v>45230</v>
      </c>
    </row>
    <row r="610" spans="1:13" ht="14.25" customHeight="1" x14ac:dyDescent="0.25">
      <c r="A610" s="9" t="s">
        <v>32</v>
      </c>
      <c r="B610" s="81">
        <v>121689</v>
      </c>
      <c r="C610" s="81">
        <v>10757</v>
      </c>
      <c r="D610" s="9" t="s">
        <v>1587</v>
      </c>
      <c r="E610" s="81">
        <v>14563091</v>
      </c>
      <c r="F610" s="81">
        <v>54455</v>
      </c>
      <c r="G610" s="81">
        <v>1</v>
      </c>
      <c r="H610" s="82">
        <v>335.49</v>
      </c>
      <c r="I610" s="251">
        <v>335.49</v>
      </c>
      <c r="J610" s="9" t="s">
        <v>1387</v>
      </c>
      <c r="K610" s="9" t="s">
        <v>1388</v>
      </c>
      <c r="L610" s="83">
        <v>45200</v>
      </c>
      <c r="M610" s="83">
        <v>45230</v>
      </c>
    </row>
    <row r="611" spans="1:13" ht="14.25" customHeight="1" x14ac:dyDescent="0.25">
      <c r="A611" s="9" t="s">
        <v>8</v>
      </c>
      <c r="B611" s="81">
        <v>121330</v>
      </c>
      <c r="C611" s="81">
        <v>10750</v>
      </c>
      <c r="D611" s="9" t="s">
        <v>1528</v>
      </c>
      <c r="E611" s="81">
        <v>14563091</v>
      </c>
      <c r="F611" s="81">
        <v>53510</v>
      </c>
      <c r="G611" s="81">
        <v>1</v>
      </c>
      <c r="H611" s="82">
        <v>359.46</v>
      </c>
      <c r="I611" s="251">
        <v>359.46</v>
      </c>
      <c r="J611" s="9" t="s">
        <v>1387</v>
      </c>
      <c r="K611" s="9" t="s">
        <v>1388</v>
      </c>
      <c r="L611" s="83">
        <v>45200</v>
      </c>
      <c r="M611" s="83">
        <v>45230</v>
      </c>
    </row>
    <row r="612" spans="1:13" ht="14.25" customHeight="1" x14ac:dyDescent="0.25">
      <c r="A612" s="9" t="s">
        <v>32</v>
      </c>
      <c r="B612" s="81">
        <v>112531</v>
      </c>
      <c r="C612" s="81">
        <v>10750</v>
      </c>
      <c r="D612" s="9" t="s">
        <v>243</v>
      </c>
      <c r="E612" s="81">
        <v>14563091</v>
      </c>
      <c r="F612" s="81">
        <v>29496</v>
      </c>
      <c r="G612" s="81">
        <v>1</v>
      </c>
      <c r="H612" s="82">
        <v>359.46</v>
      </c>
      <c r="I612" s="251">
        <v>359.46</v>
      </c>
      <c r="J612" s="9" t="s">
        <v>1387</v>
      </c>
      <c r="K612" s="9" t="s">
        <v>1388</v>
      </c>
      <c r="L612" s="83">
        <v>45200</v>
      </c>
      <c r="M612" s="83">
        <v>45230</v>
      </c>
    </row>
    <row r="613" spans="1:13" ht="14.25" customHeight="1" x14ac:dyDescent="0.25">
      <c r="A613" s="9" t="s">
        <v>0</v>
      </c>
      <c r="B613" s="81">
        <v>113426</v>
      </c>
      <c r="C613" s="81">
        <v>10750</v>
      </c>
      <c r="D613" s="9" t="s">
        <v>772</v>
      </c>
      <c r="E613" s="81">
        <v>14563091</v>
      </c>
      <c r="F613" s="81">
        <v>31286</v>
      </c>
      <c r="G613" s="81">
        <v>1</v>
      </c>
      <c r="H613" s="82">
        <v>359.46</v>
      </c>
      <c r="I613" s="251">
        <v>359.46</v>
      </c>
      <c r="J613" s="9" t="s">
        <v>1387</v>
      </c>
      <c r="K613" s="9" t="s">
        <v>1388</v>
      </c>
      <c r="L613" s="83">
        <v>45200</v>
      </c>
      <c r="M613" s="83">
        <v>45230</v>
      </c>
    </row>
    <row r="614" spans="1:13" ht="14.25" customHeight="1" x14ac:dyDescent="0.25">
      <c r="A614" s="9" t="s">
        <v>19</v>
      </c>
      <c r="B614" s="81">
        <v>113050</v>
      </c>
      <c r="C614" s="81">
        <v>10751</v>
      </c>
      <c r="D614" s="9" t="s">
        <v>560</v>
      </c>
      <c r="E614" s="81">
        <v>14563091</v>
      </c>
      <c r="F614" s="81">
        <v>30534</v>
      </c>
      <c r="G614" s="81">
        <v>1</v>
      </c>
      <c r="H614" s="82">
        <v>359.46</v>
      </c>
      <c r="I614" s="251">
        <v>359.46</v>
      </c>
      <c r="J614" s="9" t="s">
        <v>1387</v>
      </c>
      <c r="K614" s="9" t="s">
        <v>1388</v>
      </c>
      <c r="L614" s="83">
        <v>45200</v>
      </c>
      <c r="M614" s="83">
        <v>45230</v>
      </c>
    </row>
    <row r="615" spans="1:13" ht="14.25" customHeight="1" x14ac:dyDescent="0.25">
      <c r="A615" s="9" t="s">
        <v>0</v>
      </c>
      <c r="B615" s="81">
        <v>113093</v>
      </c>
      <c r="C615" s="81">
        <v>10757</v>
      </c>
      <c r="D615" s="9" t="s">
        <v>581</v>
      </c>
      <c r="E615" s="81">
        <v>14563091</v>
      </c>
      <c r="F615" s="81">
        <v>30620</v>
      </c>
      <c r="G615" s="81">
        <v>1</v>
      </c>
      <c r="H615" s="82">
        <v>359.46</v>
      </c>
      <c r="I615" s="251">
        <v>359.46</v>
      </c>
      <c r="J615" s="9" t="s">
        <v>1387</v>
      </c>
      <c r="K615" s="9" t="s">
        <v>1388</v>
      </c>
      <c r="L615" s="83">
        <v>45200</v>
      </c>
      <c r="M615" s="83">
        <v>45230</v>
      </c>
    </row>
    <row r="616" spans="1:13" ht="14.25" customHeight="1" x14ac:dyDescent="0.25">
      <c r="A616" s="9" t="s">
        <v>1578</v>
      </c>
      <c r="B616" s="81">
        <v>113094</v>
      </c>
      <c r="C616" s="81">
        <v>10748</v>
      </c>
      <c r="D616" s="9" t="s">
        <v>582</v>
      </c>
      <c r="E616" s="81">
        <v>14563091</v>
      </c>
      <c r="F616" s="81">
        <v>30622</v>
      </c>
      <c r="G616" s="81">
        <v>1</v>
      </c>
      <c r="H616" s="82">
        <v>359.46</v>
      </c>
      <c r="I616" s="251">
        <v>359.46</v>
      </c>
      <c r="J616" s="9" t="s">
        <v>1387</v>
      </c>
      <c r="K616" s="9" t="s">
        <v>1388</v>
      </c>
      <c r="L616" s="83">
        <v>45200</v>
      </c>
      <c r="M616" s="83">
        <v>45230</v>
      </c>
    </row>
    <row r="617" spans="1:13" ht="14.25" customHeight="1" x14ac:dyDescent="0.25">
      <c r="A617" s="9" t="s">
        <v>10</v>
      </c>
      <c r="B617" s="81">
        <v>112178</v>
      </c>
      <c r="C617" s="81">
        <v>10757</v>
      </c>
      <c r="D617" s="9" t="s">
        <v>16</v>
      </c>
      <c r="E617" s="81">
        <v>14563091</v>
      </c>
      <c r="F617" s="81">
        <v>28790</v>
      </c>
      <c r="G617" s="81">
        <v>1</v>
      </c>
      <c r="H617" s="82">
        <v>359.46</v>
      </c>
      <c r="I617" s="251">
        <v>359.46</v>
      </c>
      <c r="J617" s="9" t="s">
        <v>1387</v>
      </c>
      <c r="K617" s="9" t="s">
        <v>1388</v>
      </c>
      <c r="L617" s="83">
        <v>45200</v>
      </c>
      <c r="M617" s="83">
        <v>45230</v>
      </c>
    </row>
    <row r="618" spans="1:13" ht="14.25" customHeight="1" x14ac:dyDescent="0.25">
      <c r="A618" s="9" t="s">
        <v>1578</v>
      </c>
      <c r="B618" s="81">
        <v>113098</v>
      </c>
      <c r="C618" s="81">
        <v>10759</v>
      </c>
      <c r="D618" s="9" t="s">
        <v>584</v>
      </c>
      <c r="E618" s="81">
        <v>14563091</v>
      </c>
      <c r="F618" s="81">
        <v>30630</v>
      </c>
      <c r="G618" s="81">
        <v>1</v>
      </c>
      <c r="H618" s="82">
        <v>359.46</v>
      </c>
      <c r="I618" s="251">
        <v>359.46</v>
      </c>
      <c r="J618" s="9" t="s">
        <v>1387</v>
      </c>
      <c r="K618" s="9" t="s">
        <v>1388</v>
      </c>
      <c r="L618" s="83">
        <v>45200</v>
      </c>
      <c r="M618" s="83">
        <v>45230</v>
      </c>
    </row>
    <row r="619" spans="1:13" ht="14.25" customHeight="1" x14ac:dyDescent="0.25">
      <c r="A619" s="9" t="s">
        <v>8</v>
      </c>
      <c r="B619" s="81">
        <v>116236</v>
      </c>
      <c r="C619" s="81">
        <v>10750</v>
      </c>
      <c r="D619" s="9" t="s">
        <v>1196</v>
      </c>
      <c r="E619" s="81">
        <v>14563091</v>
      </c>
      <c r="F619" s="81">
        <v>41579</v>
      </c>
      <c r="G619" s="81">
        <v>1</v>
      </c>
      <c r="H619" s="82">
        <v>359.46</v>
      </c>
      <c r="I619" s="251">
        <v>359.46</v>
      </c>
      <c r="J619" s="9" t="s">
        <v>1387</v>
      </c>
      <c r="K619" s="9" t="s">
        <v>1388</v>
      </c>
      <c r="L619" s="83">
        <v>45200</v>
      </c>
      <c r="M619" s="83">
        <v>45230</v>
      </c>
    </row>
    <row r="620" spans="1:13" ht="14.25" customHeight="1" x14ac:dyDescent="0.25">
      <c r="A620" s="9" t="s">
        <v>0</v>
      </c>
      <c r="B620" s="81">
        <v>113072</v>
      </c>
      <c r="C620" s="81">
        <v>10757</v>
      </c>
      <c r="D620" s="9" t="s">
        <v>569</v>
      </c>
      <c r="E620" s="81">
        <v>14563091</v>
      </c>
      <c r="F620" s="81">
        <v>30578</v>
      </c>
      <c r="G620" s="81">
        <v>1</v>
      </c>
      <c r="H620" s="82">
        <v>359.46</v>
      </c>
      <c r="I620" s="251">
        <v>359.46</v>
      </c>
      <c r="J620" s="9" t="s">
        <v>1387</v>
      </c>
      <c r="K620" s="9" t="s">
        <v>1388</v>
      </c>
      <c r="L620" s="83">
        <v>45200</v>
      </c>
      <c r="M620" s="83">
        <v>45230</v>
      </c>
    </row>
    <row r="621" spans="1:13" ht="14.25" customHeight="1" x14ac:dyDescent="0.25">
      <c r="A621" s="9" t="s">
        <v>8</v>
      </c>
      <c r="B621" s="81">
        <v>112774</v>
      </c>
      <c r="C621" s="81">
        <v>10754</v>
      </c>
      <c r="D621" s="9" t="s">
        <v>398</v>
      </c>
      <c r="E621" s="81">
        <v>14563091</v>
      </c>
      <c r="F621" s="81">
        <v>29982</v>
      </c>
      <c r="G621" s="81">
        <v>1</v>
      </c>
      <c r="H621" s="82">
        <v>359.46</v>
      </c>
      <c r="I621" s="251">
        <v>359.46</v>
      </c>
      <c r="J621" s="9" t="s">
        <v>1387</v>
      </c>
      <c r="K621" s="9" t="s">
        <v>1388</v>
      </c>
      <c r="L621" s="83">
        <v>45200</v>
      </c>
      <c r="M621" s="83">
        <v>45230</v>
      </c>
    </row>
    <row r="622" spans="1:13" ht="14.25" customHeight="1" x14ac:dyDescent="0.25">
      <c r="A622" s="9" t="s">
        <v>1578</v>
      </c>
      <c r="B622" s="81">
        <v>113164</v>
      </c>
      <c r="C622" s="81">
        <v>10761</v>
      </c>
      <c r="D622" s="9" t="s">
        <v>622</v>
      </c>
      <c r="E622" s="81">
        <v>14563091</v>
      </c>
      <c r="F622" s="81">
        <v>30762</v>
      </c>
      <c r="G622" s="81">
        <v>1</v>
      </c>
      <c r="H622" s="82">
        <v>359.46</v>
      </c>
      <c r="I622" s="251">
        <v>359.46</v>
      </c>
      <c r="J622" s="9" t="s">
        <v>1387</v>
      </c>
      <c r="K622" s="9" t="s">
        <v>1388</v>
      </c>
      <c r="L622" s="83">
        <v>45200</v>
      </c>
      <c r="M622" s="83">
        <v>45230</v>
      </c>
    </row>
    <row r="623" spans="1:13" ht="14.25" customHeight="1" x14ac:dyDescent="0.25">
      <c r="A623" s="9" t="s">
        <v>32</v>
      </c>
      <c r="B623" s="81">
        <v>112967</v>
      </c>
      <c r="C623" s="81">
        <v>10755</v>
      </c>
      <c r="D623" s="9" t="s">
        <v>524</v>
      </c>
      <c r="E623" s="81">
        <v>14563091</v>
      </c>
      <c r="F623" s="81">
        <v>30368</v>
      </c>
      <c r="G623" s="81">
        <v>1</v>
      </c>
      <c r="H623" s="82">
        <v>359.46</v>
      </c>
      <c r="I623" s="251">
        <v>359.46</v>
      </c>
      <c r="J623" s="9" t="s">
        <v>1387</v>
      </c>
      <c r="K623" s="9" t="s">
        <v>1388</v>
      </c>
      <c r="L623" s="83">
        <v>45200</v>
      </c>
      <c r="M623" s="83">
        <v>45230</v>
      </c>
    </row>
    <row r="624" spans="1:13" ht="14.25" customHeight="1" x14ac:dyDescent="0.25">
      <c r="A624" s="9" t="s">
        <v>0</v>
      </c>
      <c r="B624" s="81">
        <v>121953</v>
      </c>
      <c r="C624" s="81">
        <v>10761</v>
      </c>
      <c r="D624" s="9" t="s">
        <v>1609</v>
      </c>
      <c r="E624" s="81">
        <v>14563091</v>
      </c>
      <c r="F624" s="81">
        <v>54961</v>
      </c>
      <c r="G624" s="81">
        <v>1</v>
      </c>
      <c r="H624" s="82">
        <v>359.46</v>
      </c>
      <c r="I624" s="251">
        <v>359.46</v>
      </c>
      <c r="J624" s="9" t="s">
        <v>1387</v>
      </c>
      <c r="K624" s="9" t="s">
        <v>1388</v>
      </c>
      <c r="L624" s="83">
        <v>45200</v>
      </c>
      <c r="M624" s="83">
        <v>45230</v>
      </c>
    </row>
    <row r="625" spans="1:13" ht="14.25" customHeight="1" x14ac:dyDescent="0.25">
      <c r="A625" s="9" t="s">
        <v>0</v>
      </c>
      <c r="B625" s="81">
        <v>116010</v>
      </c>
      <c r="C625" s="81">
        <v>10757</v>
      </c>
      <c r="D625" s="9" t="s">
        <v>1171</v>
      </c>
      <c r="E625" s="81">
        <v>14563091</v>
      </c>
      <c r="F625" s="81">
        <v>40875</v>
      </c>
      <c r="G625" s="81">
        <v>1</v>
      </c>
      <c r="H625" s="82">
        <v>359.46</v>
      </c>
      <c r="I625" s="251">
        <v>359.46</v>
      </c>
      <c r="J625" s="9" t="s">
        <v>1387</v>
      </c>
      <c r="K625" s="9" t="s">
        <v>1388</v>
      </c>
      <c r="L625" s="83">
        <v>45200</v>
      </c>
      <c r="M625" s="83">
        <v>45230</v>
      </c>
    </row>
    <row r="626" spans="1:13" ht="14.25" customHeight="1" x14ac:dyDescent="0.25">
      <c r="A626" s="9" t="s">
        <v>19</v>
      </c>
      <c r="B626" s="81">
        <v>121414</v>
      </c>
      <c r="C626" s="81">
        <v>10755</v>
      </c>
      <c r="D626" s="9" t="s">
        <v>1560</v>
      </c>
      <c r="E626" s="81">
        <v>14563091</v>
      </c>
      <c r="F626" s="81">
        <v>53708</v>
      </c>
      <c r="G626" s="81">
        <v>1</v>
      </c>
      <c r="H626" s="82">
        <v>359.46</v>
      </c>
      <c r="I626" s="251">
        <v>359.46</v>
      </c>
      <c r="J626" s="9" t="s">
        <v>1387</v>
      </c>
      <c r="K626" s="9" t="s">
        <v>1388</v>
      </c>
      <c r="L626" s="83">
        <v>45200</v>
      </c>
      <c r="M626" s="83">
        <v>45230</v>
      </c>
    </row>
    <row r="627" spans="1:13" ht="14.25" customHeight="1" x14ac:dyDescent="0.25">
      <c r="A627" s="9" t="s">
        <v>0</v>
      </c>
      <c r="B627" s="81">
        <v>113406</v>
      </c>
      <c r="C627" s="81">
        <v>10750</v>
      </c>
      <c r="D627" s="9" t="s">
        <v>758</v>
      </c>
      <c r="E627" s="81">
        <v>14563091</v>
      </c>
      <c r="F627" s="81">
        <v>31246</v>
      </c>
      <c r="G627" s="81">
        <v>1</v>
      </c>
      <c r="H627" s="82">
        <v>359.46</v>
      </c>
      <c r="I627" s="251">
        <v>359.46</v>
      </c>
      <c r="J627" s="9" t="s">
        <v>1387</v>
      </c>
      <c r="K627" s="9" t="s">
        <v>1388</v>
      </c>
      <c r="L627" s="83">
        <v>45200</v>
      </c>
      <c r="M627" s="83">
        <v>45230</v>
      </c>
    </row>
    <row r="628" spans="1:13" ht="14.25" customHeight="1" x14ac:dyDescent="0.25">
      <c r="A628" s="9" t="s">
        <v>0</v>
      </c>
      <c r="B628" s="81">
        <v>118059</v>
      </c>
      <c r="C628" s="81">
        <v>10757</v>
      </c>
      <c r="D628" s="9" t="s">
        <v>1424</v>
      </c>
      <c r="E628" s="81">
        <v>14563091</v>
      </c>
      <c r="F628" s="81">
        <v>45906</v>
      </c>
      <c r="G628" s="81">
        <v>1</v>
      </c>
      <c r="H628" s="82">
        <v>347.47</v>
      </c>
      <c r="I628" s="251">
        <v>347.47</v>
      </c>
      <c r="J628" s="9" t="s">
        <v>1387</v>
      </c>
      <c r="K628" s="9" t="s">
        <v>1388</v>
      </c>
      <c r="L628" s="83">
        <v>45200</v>
      </c>
      <c r="M628" s="83">
        <v>45230</v>
      </c>
    </row>
    <row r="629" spans="1:13" ht="14.25" customHeight="1" x14ac:dyDescent="0.25">
      <c r="A629" s="9" t="s">
        <v>1578</v>
      </c>
      <c r="B629" s="81">
        <v>113599</v>
      </c>
      <c r="C629" s="81">
        <v>10762</v>
      </c>
      <c r="D629" s="9" t="s">
        <v>866</v>
      </c>
      <c r="E629" s="81">
        <v>14563091</v>
      </c>
      <c r="F629" s="81">
        <v>31632</v>
      </c>
      <c r="G629" s="81">
        <v>1</v>
      </c>
      <c r="H629" s="82">
        <v>359.46</v>
      </c>
      <c r="I629" s="251">
        <v>359.46</v>
      </c>
      <c r="J629" s="9" t="s">
        <v>1387</v>
      </c>
      <c r="K629" s="9" t="s">
        <v>1388</v>
      </c>
      <c r="L629" s="83">
        <v>45200</v>
      </c>
      <c r="M629" s="83">
        <v>45230</v>
      </c>
    </row>
    <row r="630" spans="1:13" ht="14.25" customHeight="1" x14ac:dyDescent="0.25">
      <c r="A630" s="9" t="s">
        <v>0</v>
      </c>
      <c r="B630" s="81">
        <v>117409</v>
      </c>
      <c r="C630" s="81">
        <v>10750</v>
      </c>
      <c r="D630" s="9" t="s">
        <v>1271</v>
      </c>
      <c r="E630" s="81">
        <v>14563091</v>
      </c>
      <c r="F630" s="81">
        <v>44520</v>
      </c>
      <c r="G630" s="81">
        <v>1</v>
      </c>
      <c r="H630" s="82">
        <v>359.46</v>
      </c>
      <c r="I630" s="251">
        <v>359.46</v>
      </c>
      <c r="J630" s="9" t="s">
        <v>1387</v>
      </c>
      <c r="K630" s="9" t="s">
        <v>1388</v>
      </c>
      <c r="L630" s="83">
        <v>45200</v>
      </c>
      <c r="M630" s="83">
        <v>45230</v>
      </c>
    </row>
    <row r="631" spans="1:13" ht="14.25" customHeight="1" x14ac:dyDescent="0.25">
      <c r="A631" s="9" t="s">
        <v>32</v>
      </c>
      <c r="B631" s="81">
        <v>122835</v>
      </c>
      <c r="C631" s="81">
        <v>10758</v>
      </c>
      <c r="D631" s="9" t="s">
        <v>1721</v>
      </c>
      <c r="E631" s="81">
        <v>14563091</v>
      </c>
      <c r="F631" s="81">
        <v>57265</v>
      </c>
      <c r="G631" s="81">
        <v>1</v>
      </c>
      <c r="H631" s="82">
        <v>359.46</v>
      </c>
      <c r="I631" s="251">
        <v>359.46</v>
      </c>
      <c r="J631" s="9" t="s">
        <v>1387</v>
      </c>
      <c r="K631" s="9" t="s">
        <v>1388</v>
      </c>
      <c r="L631" s="83">
        <v>45200</v>
      </c>
      <c r="M631" s="83">
        <v>45230</v>
      </c>
    </row>
    <row r="632" spans="1:13" ht="14.25" customHeight="1" x14ac:dyDescent="0.25">
      <c r="A632" s="9" t="s">
        <v>1578</v>
      </c>
      <c r="B632" s="81">
        <v>113132</v>
      </c>
      <c r="C632" s="81">
        <v>10768</v>
      </c>
      <c r="D632" s="9" t="s">
        <v>601</v>
      </c>
      <c r="E632" s="81">
        <v>14563091</v>
      </c>
      <c r="F632" s="81">
        <v>30698</v>
      </c>
      <c r="G632" s="81">
        <v>1</v>
      </c>
      <c r="H632" s="82">
        <v>359.46</v>
      </c>
      <c r="I632" s="251">
        <v>359.46</v>
      </c>
      <c r="J632" s="9" t="s">
        <v>1387</v>
      </c>
      <c r="K632" s="9" t="s">
        <v>1388</v>
      </c>
      <c r="L632" s="83">
        <v>45200</v>
      </c>
      <c r="M632" s="83">
        <v>45230</v>
      </c>
    </row>
    <row r="633" spans="1:13" ht="14.25" customHeight="1" x14ac:dyDescent="0.25">
      <c r="A633" s="9" t="s">
        <v>1578</v>
      </c>
      <c r="B633" s="81">
        <v>112957</v>
      </c>
      <c r="C633" s="81">
        <v>10768</v>
      </c>
      <c r="D633" s="9" t="s">
        <v>1347</v>
      </c>
      <c r="E633" s="81">
        <v>14563091</v>
      </c>
      <c r="F633" s="81">
        <v>30348</v>
      </c>
      <c r="G633" s="81">
        <v>1</v>
      </c>
      <c r="H633" s="82">
        <v>359.46</v>
      </c>
      <c r="I633" s="251">
        <v>359.46</v>
      </c>
      <c r="J633" s="9" t="s">
        <v>1387</v>
      </c>
      <c r="K633" s="9" t="s">
        <v>1388</v>
      </c>
      <c r="L633" s="83">
        <v>45200</v>
      </c>
      <c r="M633" s="83">
        <v>45230</v>
      </c>
    </row>
    <row r="634" spans="1:13" ht="14.25" customHeight="1" x14ac:dyDescent="0.25">
      <c r="A634" s="9" t="s">
        <v>10</v>
      </c>
      <c r="B634" s="81">
        <v>112226</v>
      </c>
      <c r="C634" s="81">
        <v>10750</v>
      </c>
      <c r="D634" s="9" t="s">
        <v>48</v>
      </c>
      <c r="E634" s="81">
        <v>14563091</v>
      </c>
      <c r="F634" s="81">
        <v>28886</v>
      </c>
      <c r="G634" s="81">
        <v>1</v>
      </c>
      <c r="H634" s="82">
        <v>359.46</v>
      </c>
      <c r="I634" s="251">
        <v>359.46</v>
      </c>
      <c r="J634" s="9" t="s">
        <v>1387</v>
      </c>
      <c r="K634" s="9" t="s">
        <v>1388</v>
      </c>
      <c r="L634" s="83">
        <v>45200</v>
      </c>
      <c r="M634" s="83">
        <v>45230</v>
      </c>
    </row>
    <row r="635" spans="1:13" ht="14.25" customHeight="1" x14ac:dyDescent="0.25">
      <c r="A635" s="9" t="s">
        <v>1578</v>
      </c>
      <c r="B635" s="81">
        <v>113166</v>
      </c>
      <c r="C635" s="81">
        <v>10768</v>
      </c>
      <c r="D635" s="9" t="s">
        <v>623</v>
      </c>
      <c r="E635" s="81">
        <v>14563091</v>
      </c>
      <c r="F635" s="81">
        <v>30766</v>
      </c>
      <c r="G635" s="81">
        <v>1</v>
      </c>
      <c r="H635" s="82">
        <v>359.46</v>
      </c>
      <c r="I635" s="251">
        <v>359.46</v>
      </c>
      <c r="J635" s="9" t="s">
        <v>1387</v>
      </c>
      <c r="K635" s="9" t="s">
        <v>1388</v>
      </c>
      <c r="L635" s="83">
        <v>45200</v>
      </c>
      <c r="M635" s="83">
        <v>45230</v>
      </c>
    </row>
    <row r="636" spans="1:13" ht="14.25" customHeight="1" x14ac:dyDescent="0.25">
      <c r="A636" s="9" t="s">
        <v>8</v>
      </c>
      <c r="B636" s="81">
        <v>112789</v>
      </c>
      <c r="C636" s="81">
        <v>10750</v>
      </c>
      <c r="D636" s="9" t="s">
        <v>411</v>
      </c>
      <c r="E636" s="81">
        <v>14563091</v>
      </c>
      <c r="F636" s="81">
        <v>30012</v>
      </c>
      <c r="G636" s="81">
        <v>1</v>
      </c>
      <c r="H636" s="82">
        <v>359.46</v>
      </c>
      <c r="I636" s="251">
        <v>359.46</v>
      </c>
      <c r="J636" s="9" t="s">
        <v>1387</v>
      </c>
      <c r="K636" s="9" t="s">
        <v>1388</v>
      </c>
      <c r="L636" s="83">
        <v>45200</v>
      </c>
      <c r="M636" s="83">
        <v>45230</v>
      </c>
    </row>
    <row r="637" spans="1:13" ht="14.25" customHeight="1" x14ac:dyDescent="0.25">
      <c r="A637" s="9" t="s">
        <v>0</v>
      </c>
      <c r="B637" s="81">
        <v>113410</v>
      </c>
      <c r="C637" s="81">
        <v>10750</v>
      </c>
      <c r="D637" s="9" t="s">
        <v>760</v>
      </c>
      <c r="E637" s="81">
        <v>14563091</v>
      </c>
      <c r="F637" s="81">
        <v>31254</v>
      </c>
      <c r="G637" s="81">
        <v>1</v>
      </c>
      <c r="H637" s="82">
        <v>359.46</v>
      </c>
      <c r="I637" s="251">
        <v>359.46</v>
      </c>
      <c r="J637" s="9" t="s">
        <v>1387</v>
      </c>
      <c r="K637" s="9" t="s">
        <v>1388</v>
      </c>
      <c r="L637" s="83">
        <v>45200</v>
      </c>
      <c r="M637" s="83">
        <v>45230</v>
      </c>
    </row>
    <row r="638" spans="1:13" ht="14.25" customHeight="1" x14ac:dyDescent="0.25">
      <c r="A638" s="9" t="s">
        <v>1578</v>
      </c>
      <c r="B638" s="81">
        <v>114800</v>
      </c>
      <c r="C638" s="81">
        <v>10763</v>
      </c>
      <c r="D638" s="9" t="s">
        <v>1101</v>
      </c>
      <c r="E638" s="81">
        <v>14563091</v>
      </c>
      <c r="F638" s="81">
        <v>37065</v>
      </c>
      <c r="G638" s="81">
        <v>1</v>
      </c>
      <c r="H638" s="82">
        <v>359.46</v>
      </c>
      <c r="I638" s="251">
        <v>359.46</v>
      </c>
      <c r="J638" s="9" t="s">
        <v>1387</v>
      </c>
      <c r="K638" s="9" t="s">
        <v>1388</v>
      </c>
      <c r="L638" s="83">
        <v>45200</v>
      </c>
      <c r="M638" s="83">
        <v>45230</v>
      </c>
    </row>
    <row r="639" spans="1:13" ht="14.25" customHeight="1" x14ac:dyDescent="0.25">
      <c r="A639" s="9" t="s">
        <v>0</v>
      </c>
      <c r="B639" s="81">
        <v>115008</v>
      </c>
      <c r="C639" s="81">
        <v>10758</v>
      </c>
      <c r="D639" s="9" t="s">
        <v>1138</v>
      </c>
      <c r="E639" s="81">
        <v>14563091</v>
      </c>
      <c r="F639" s="81">
        <v>37801</v>
      </c>
      <c r="G639" s="81">
        <v>1</v>
      </c>
      <c r="H639" s="82">
        <v>359.46</v>
      </c>
      <c r="I639" s="251">
        <v>359.46</v>
      </c>
      <c r="J639" s="9" t="s">
        <v>1387</v>
      </c>
      <c r="K639" s="9" t="s">
        <v>1388</v>
      </c>
      <c r="L639" s="83">
        <v>45200</v>
      </c>
      <c r="M639" s="83">
        <v>45230</v>
      </c>
    </row>
    <row r="640" spans="1:13" ht="14.25" customHeight="1" x14ac:dyDescent="0.25">
      <c r="A640" s="9" t="s">
        <v>19</v>
      </c>
      <c r="B640" s="81">
        <v>114263</v>
      </c>
      <c r="C640" s="81">
        <v>10751</v>
      </c>
      <c r="D640" s="9" t="s">
        <v>1025</v>
      </c>
      <c r="E640" s="81">
        <v>14563091</v>
      </c>
      <c r="F640" s="81">
        <v>35805</v>
      </c>
      <c r="G640" s="81">
        <v>1</v>
      </c>
      <c r="H640" s="82">
        <v>359.46</v>
      </c>
      <c r="I640" s="251">
        <v>359.46</v>
      </c>
      <c r="J640" s="9" t="s">
        <v>1387</v>
      </c>
      <c r="K640" s="9" t="s">
        <v>1388</v>
      </c>
      <c r="L640" s="83">
        <v>45200</v>
      </c>
      <c r="M640" s="83">
        <v>45230</v>
      </c>
    </row>
    <row r="641" spans="1:13" ht="14.25" customHeight="1" x14ac:dyDescent="0.25">
      <c r="A641" s="9" t="s">
        <v>0</v>
      </c>
      <c r="B641" s="81">
        <v>116002</v>
      </c>
      <c r="C641" s="81">
        <v>10758</v>
      </c>
      <c r="D641" s="9" t="s">
        <v>1166</v>
      </c>
      <c r="E641" s="81">
        <v>14563091</v>
      </c>
      <c r="F641" s="81">
        <v>40859</v>
      </c>
      <c r="G641" s="81">
        <v>1</v>
      </c>
      <c r="H641" s="82">
        <v>359.46</v>
      </c>
      <c r="I641" s="251">
        <v>359.46</v>
      </c>
      <c r="J641" s="9" t="s">
        <v>1387</v>
      </c>
      <c r="K641" s="9" t="s">
        <v>1388</v>
      </c>
      <c r="L641" s="83">
        <v>45200</v>
      </c>
      <c r="M641" s="83">
        <v>45230</v>
      </c>
    </row>
    <row r="642" spans="1:13" ht="14.25" customHeight="1" x14ac:dyDescent="0.25">
      <c r="A642" s="9" t="s">
        <v>0</v>
      </c>
      <c r="B642" s="81">
        <v>121685</v>
      </c>
      <c r="C642" s="81">
        <v>10757</v>
      </c>
      <c r="D642" s="9" t="s">
        <v>1594</v>
      </c>
      <c r="E642" s="81">
        <v>14563091</v>
      </c>
      <c r="F642" s="81">
        <v>54457</v>
      </c>
      <c r="G642" s="81">
        <v>1</v>
      </c>
      <c r="H642" s="82">
        <v>359.46</v>
      </c>
      <c r="I642" s="251">
        <v>359.46</v>
      </c>
      <c r="J642" s="9" t="s">
        <v>1387</v>
      </c>
      <c r="K642" s="9" t="s">
        <v>1388</v>
      </c>
      <c r="L642" s="83">
        <v>45200</v>
      </c>
      <c r="M642" s="83">
        <v>45230</v>
      </c>
    </row>
    <row r="643" spans="1:13" ht="14.25" customHeight="1" x14ac:dyDescent="0.25">
      <c r="A643" s="9" t="s">
        <v>1578</v>
      </c>
      <c r="B643" s="81">
        <v>113123</v>
      </c>
      <c r="C643" s="81">
        <v>10757</v>
      </c>
      <c r="D643" s="9" t="s">
        <v>597</v>
      </c>
      <c r="E643" s="81">
        <v>14563091</v>
      </c>
      <c r="F643" s="81">
        <v>30680</v>
      </c>
      <c r="G643" s="81">
        <v>1</v>
      </c>
      <c r="H643" s="82">
        <v>359.46</v>
      </c>
      <c r="I643" s="251">
        <v>359.46</v>
      </c>
      <c r="J643" s="9" t="s">
        <v>1387</v>
      </c>
      <c r="K643" s="9" t="s">
        <v>1388</v>
      </c>
      <c r="L643" s="83">
        <v>45200</v>
      </c>
      <c r="M643" s="83">
        <v>45230</v>
      </c>
    </row>
    <row r="644" spans="1:13" ht="14.25" customHeight="1" x14ac:dyDescent="0.25">
      <c r="A644" s="9" t="s">
        <v>32</v>
      </c>
      <c r="B644" s="81">
        <v>121326</v>
      </c>
      <c r="C644" s="81">
        <v>10757</v>
      </c>
      <c r="D644" s="9" t="s">
        <v>1529</v>
      </c>
      <c r="E644" s="81">
        <v>14563091</v>
      </c>
      <c r="F644" s="81">
        <v>53534</v>
      </c>
      <c r="G644" s="81">
        <v>1</v>
      </c>
      <c r="H644" s="82">
        <v>359.46</v>
      </c>
      <c r="I644" s="251">
        <v>359.46</v>
      </c>
      <c r="J644" s="9" t="s">
        <v>1387</v>
      </c>
      <c r="K644" s="9" t="s">
        <v>1388</v>
      </c>
      <c r="L644" s="83">
        <v>45200</v>
      </c>
      <c r="M644" s="83">
        <v>45230</v>
      </c>
    </row>
    <row r="645" spans="1:13" ht="14.25" customHeight="1" x14ac:dyDescent="0.25">
      <c r="A645" s="9" t="s">
        <v>8</v>
      </c>
      <c r="B645" s="81">
        <v>112513</v>
      </c>
      <c r="C645" s="81">
        <v>10771</v>
      </c>
      <c r="D645" s="9" t="s">
        <v>230</v>
      </c>
      <c r="E645" s="81">
        <v>14563091</v>
      </c>
      <c r="F645" s="81">
        <v>29460</v>
      </c>
      <c r="G645" s="81">
        <v>1</v>
      </c>
      <c r="H645" s="82">
        <v>359.46</v>
      </c>
      <c r="I645" s="251">
        <v>359.46</v>
      </c>
      <c r="J645" s="9" t="s">
        <v>1387</v>
      </c>
      <c r="K645" s="9" t="s">
        <v>1388</v>
      </c>
      <c r="L645" s="83">
        <v>45200</v>
      </c>
      <c r="M645" s="83">
        <v>45230</v>
      </c>
    </row>
    <row r="646" spans="1:13" ht="14.25" customHeight="1" x14ac:dyDescent="0.25">
      <c r="A646" s="9" t="s">
        <v>1578</v>
      </c>
      <c r="B646" s="81">
        <v>122439</v>
      </c>
      <c r="C646" s="81">
        <v>10758</v>
      </c>
      <c r="D646" s="9" t="s">
        <v>1686</v>
      </c>
      <c r="E646" s="81">
        <v>14563091</v>
      </c>
      <c r="F646" s="81">
        <v>56198</v>
      </c>
      <c r="G646" s="81">
        <v>1</v>
      </c>
      <c r="H646" s="82">
        <v>359.46</v>
      </c>
      <c r="I646" s="251">
        <v>359.46</v>
      </c>
      <c r="J646" s="9" t="s">
        <v>1387</v>
      </c>
      <c r="K646" s="9" t="s">
        <v>1388</v>
      </c>
      <c r="L646" s="83">
        <v>45200</v>
      </c>
      <c r="M646" s="83">
        <v>45230</v>
      </c>
    </row>
    <row r="647" spans="1:13" ht="14.25" customHeight="1" x14ac:dyDescent="0.25">
      <c r="A647" s="9" t="s">
        <v>19</v>
      </c>
      <c r="B647" s="81">
        <v>121321</v>
      </c>
      <c r="C647" s="81">
        <v>10750</v>
      </c>
      <c r="D647" s="9" t="s">
        <v>1530</v>
      </c>
      <c r="E647" s="81">
        <v>14563091</v>
      </c>
      <c r="F647" s="81">
        <v>53496</v>
      </c>
      <c r="G647" s="81">
        <v>1</v>
      </c>
      <c r="H647" s="82">
        <v>359.46</v>
      </c>
      <c r="I647" s="251">
        <v>359.46</v>
      </c>
      <c r="J647" s="9" t="s">
        <v>1387</v>
      </c>
      <c r="K647" s="9" t="s">
        <v>1388</v>
      </c>
      <c r="L647" s="83">
        <v>45200</v>
      </c>
      <c r="M647" s="83">
        <v>45230</v>
      </c>
    </row>
    <row r="648" spans="1:13" ht="14.25" customHeight="1" x14ac:dyDescent="0.25">
      <c r="A648" s="9" t="s">
        <v>0</v>
      </c>
      <c r="B648" s="81">
        <v>112218</v>
      </c>
      <c r="C648" s="81">
        <v>10763</v>
      </c>
      <c r="D648" s="9" t="s">
        <v>1531</v>
      </c>
      <c r="E648" s="81">
        <v>14563091</v>
      </c>
      <c r="F648" s="81">
        <v>28870</v>
      </c>
      <c r="G648" s="81">
        <v>1</v>
      </c>
      <c r="H648" s="82">
        <v>359.46</v>
      </c>
      <c r="I648" s="251">
        <v>359.46</v>
      </c>
      <c r="J648" s="9" t="s">
        <v>1387</v>
      </c>
      <c r="K648" s="9" t="s">
        <v>1388</v>
      </c>
      <c r="L648" s="83">
        <v>45200</v>
      </c>
      <c r="M648" s="83">
        <v>45230</v>
      </c>
    </row>
    <row r="649" spans="1:13" ht="14.25" customHeight="1" x14ac:dyDescent="0.25">
      <c r="A649" s="9" t="s">
        <v>8</v>
      </c>
      <c r="B649" s="81">
        <v>112451</v>
      </c>
      <c r="C649" s="81">
        <v>10766</v>
      </c>
      <c r="D649" s="9" t="s">
        <v>189</v>
      </c>
      <c r="E649" s="81">
        <v>14563091</v>
      </c>
      <c r="F649" s="81">
        <v>29336</v>
      </c>
      <c r="G649" s="81">
        <v>1</v>
      </c>
      <c r="H649" s="82">
        <v>359.46</v>
      </c>
      <c r="I649" s="251">
        <v>359.46</v>
      </c>
      <c r="J649" s="9" t="s">
        <v>1387</v>
      </c>
      <c r="K649" s="9" t="s">
        <v>1388</v>
      </c>
      <c r="L649" s="83">
        <v>45200</v>
      </c>
      <c r="M649" s="83">
        <v>45230</v>
      </c>
    </row>
    <row r="650" spans="1:13" ht="14.25" customHeight="1" x14ac:dyDescent="0.25">
      <c r="A650" s="9" t="s">
        <v>1578</v>
      </c>
      <c r="B650" s="81">
        <v>113303</v>
      </c>
      <c r="C650" s="81">
        <v>10761</v>
      </c>
      <c r="D650" s="9" t="s">
        <v>695</v>
      </c>
      <c r="E650" s="81">
        <v>14563091</v>
      </c>
      <c r="F650" s="81">
        <v>31040</v>
      </c>
      <c r="G650" s="81">
        <v>1</v>
      </c>
      <c r="H650" s="82">
        <v>359.46</v>
      </c>
      <c r="I650" s="251">
        <v>359.46</v>
      </c>
      <c r="J650" s="9" t="s">
        <v>1387</v>
      </c>
      <c r="K650" s="9" t="s">
        <v>1388</v>
      </c>
      <c r="L650" s="83">
        <v>45200</v>
      </c>
      <c r="M650" s="83">
        <v>45230</v>
      </c>
    </row>
    <row r="651" spans="1:13" ht="14.25" customHeight="1" x14ac:dyDescent="0.25">
      <c r="A651" s="9" t="s">
        <v>1578</v>
      </c>
      <c r="B651" s="81">
        <v>113080</v>
      </c>
      <c r="C651" s="81">
        <v>10761</v>
      </c>
      <c r="D651" s="9" t="s">
        <v>575</v>
      </c>
      <c r="E651" s="81">
        <v>14563091</v>
      </c>
      <c r="F651" s="81">
        <v>30594</v>
      </c>
      <c r="G651" s="81">
        <v>1</v>
      </c>
      <c r="H651" s="82">
        <v>359.46</v>
      </c>
      <c r="I651" s="251">
        <v>359.46</v>
      </c>
      <c r="J651" s="9" t="s">
        <v>1387</v>
      </c>
      <c r="K651" s="9" t="s">
        <v>1388</v>
      </c>
      <c r="L651" s="83">
        <v>45200</v>
      </c>
      <c r="M651" s="83">
        <v>45230</v>
      </c>
    </row>
    <row r="652" spans="1:13" ht="14.25" customHeight="1" x14ac:dyDescent="0.25">
      <c r="A652" s="9" t="s">
        <v>8</v>
      </c>
      <c r="B652" s="81">
        <v>122575</v>
      </c>
      <c r="C652" s="81">
        <v>10758</v>
      </c>
      <c r="D652" s="9" t="s">
        <v>1687</v>
      </c>
      <c r="E652" s="81">
        <v>14563091</v>
      </c>
      <c r="F652" s="81">
        <v>56541</v>
      </c>
      <c r="G652" s="81">
        <v>1</v>
      </c>
      <c r="H652" s="82">
        <v>359.46</v>
      </c>
      <c r="I652" s="251">
        <v>359.46</v>
      </c>
      <c r="J652" s="9" t="s">
        <v>1387</v>
      </c>
      <c r="K652" s="9" t="s">
        <v>1388</v>
      </c>
      <c r="L652" s="83">
        <v>45200</v>
      </c>
      <c r="M652" s="83">
        <v>45230</v>
      </c>
    </row>
    <row r="653" spans="1:13" ht="14.25" customHeight="1" x14ac:dyDescent="0.25">
      <c r="A653" s="9" t="s">
        <v>1578</v>
      </c>
      <c r="B653" s="81">
        <v>113602</v>
      </c>
      <c r="C653" s="81">
        <v>10755</v>
      </c>
      <c r="D653" s="9" t="s">
        <v>867</v>
      </c>
      <c r="E653" s="81">
        <v>14563091</v>
      </c>
      <c r="F653" s="81">
        <v>31638</v>
      </c>
      <c r="G653" s="81">
        <v>1</v>
      </c>
      <c r="H653" s="82">
        <v>359.46</v>
      </c>
      <c r="I653" s="251">
        <v>359.46</v>
      </c>
      <c r="J653" s="9" t="s">
        <v>1387</v>
      </c>
      <c r="K653" s="9" t="s">
        <v>1388</v>
      </c>
      <c r="L653" s="83">
        <v>45200</v>
      </c>
      <c r="M653" s="83">
        <v>45230</v>
      </c>
    </row>
    <row r="654" spans="1:13" ht="14.25" customHeight="1" x14ac:dyDescent="0.25">
      <c r="A654" s="9" t="s">
        <v>0</v>
      </c>
      <c r="B654" s="81">
        <v>113432</v>
      </c>
      <c r="C654" s="81">
        <v>10754</v>
      </c>
      <c r="D654" s="9" t="s">
        <v>775</v>
      </c>
      <c r="E654" s="81">
        <v>14563091</v>
      </c>
      <c r="F654" s="81">
        <v>31298</v>
      </c>
      <c r="G654" s="81">
        <v>1</v>
      </c>
      <c r="H654" s="82">
        <v>359.46</v>
      </c>
      <c r="I654" s="251">
        <v>359.46</v>
      </c>
      <c r="J654" s="9" t="s">
        <v>1387</v>
      </c>
      <c r="K654" s="9" t="s">
        <v>1388</v>
      </c>
      <c r="L654" s="83">
        <v>45200</v>
      </c>
      <c r="M654" s="83">
        <v>45230</v>
      </c>
    </row>
    <row r="655" spans="1:13" ht="14.25" customHeight="1" x14ac:dyDescent="0.25">
      <c r="A655" s="9" t="s">
        <v>10</v>
      </c>
      <c r="B655" s="81">
        <v>112303</v>
      </c>
      <c r="C655" s="81">
        <v>10750</v>
      </c>
      <c r="D655" s="9" t="s">
        <v>99</v>
      </c>
      <c r="E655" s="81">
        <v>14563091</v>
      </c>
      <c r="F655" s="81">
        <v>29040</v>
      </c>
      <c r="G655" s="81">
        <v>1</v>
      </c>
      <c r="H655" s="82">
        <v>347.47</v>
      </c>
      <c r="I655" s="251">
        <v>347.47</v>
      </c>
      <c r="J655" s="9" t="s">
        <v>1387</v>
      </c>
      <c r="K655" s="9" t="s">
        <v>1388</v>
      </c>
      <c r="L655" s="83">
        <v>45200</v>
      </c>
      <c r="M655" s="83">
        <v>45230</v>
      </c>
    </row>
    <row r="656" spans="1:13" ht="14.25" customHeight="1" x14ac:dyDescent="0.25">
      <c r="A656" s="9" t="s">
        <v>0</v>
      </c>
      <c r="B656" s="81">
        <v>113081</v>
      </c>
      <c r="C656" s="81">
        <v>10757</v>
      </c>
      <c r="D656" s="9" t="s">
        <v>576</v>
      </c>
      <c r="E656" s="81">
        <v>14563091</v>
      </c>
      <c r="F656" s="81">
        <v>30596</v>
      </c>
      <c r="G656" s="81">
        <v>1</v>
      </c>
      <c r="H656" s="82">
        <v>347.47</v>
      </c>
      <c r="I656" s="251">
        <v>347.47</v>
      </c>
      <c r="J656" s="9" t="s">
        <v>1387</v>
      </c>
      <c r="K656" s="9" t="s">
        <v>1388</v>
      </c>
      <c r="L656" s="83">
        <v>45200</v>
      </c>
      <c r="M656" s="83">
        <v>45230</v>
      </c>
    </row>
    <row r="657" spans="1:13" ht="14.25" customHeight="1" x14ac:dyDescent="0.25">
      <c r="A657" s="9" t="s">
        <v>1578</v>
      </c>
      <c r="B657" s="81">
        <v>114925</v>
      </c>
      <c r="C657" s="81">
        <v>10771</v>
      </c>
      <c r="D657" s="9" t="s">
        <v>1110</v>
      </c>
      <c r="E657" s="81">
        <v>14563091</v>
      </c>
      <c r="F657" s="81">
        <v>37628</v>
      </c>
      <c r="G657" s="81">
        <v>1</v>
      </c>
      <c r="H657" s="82">
        <v>359.46</v>
      </c>
      <c r="I657" s="251">
        <v>359.46</v>
      </c>
      <c r="J657" s="9" t="s">
        <v>1387</v>
      </c>
      <c r="K657" s="9" t="s">
        <v>1388</v>
      </c>
      <c r="L657" s="83">
        <v>45200</v>
      </c>
      <c r="M657" s="83">
        <v>45230</v>
      </c>
    </row>
    <row r="658" spans="1:13" ht="14.25" customHeight="1" x14ac:dyDescent="0.25">
      <c r="A658" s="9" t="s">
        <v>8</v>
      </c>
      <c r="B658" s="81">
        <v>112338</v>
      </c>
      <c r="C658" s="81">
        <v>10757</v>
      </c>
      <c r="D658" s="9" t="s">
        <v>118</v>
      </c>
      <c r="E658" s="81">
        <v>14563091</v>
      </c>
      <c r="F658" s="81">
        <v>29110</v>
      </c>
      <c r="G658" s="81">
        <v>1</v>
      </c>
      <c r="H658" s="82">
        <v>359.46</v>
      </c>
      <c r="I658" s="251">
        <v>359.46</v>
      </c>
      <c r="J658" s="9" t="s">
        <v>1387</v>
      </c>
      <c r="K658" s="9" t="s">
        <v>1388</v>
      </c>
      <c r="L658" s="83">
        <v>45200</v>
      </c>
      <c r="M658" s="83">
        <v>45230</v>
      </c>
    </row>
    <row r="659" spans="1:13" ht="14.25" customHeight="1" x14ac:dyDescent="0.25">
      <c r="A659" s="9" t="s">
        <v>0</v>
      </c>
      <c r="B659" s="81">
        <v>113370</v>
      </c>
      <c r="C659" s="81">
        <v>10750</v>
      </c>
      <c r="D659" s="9" t="s">
        <v>735</v>
      </c>
      <c r="E659" s="81">
        <v>14563091</v>
      </c>
      <c r="F659" s="81">
        <v>31174</v>
      </c>
      <c r="G659" s="81">
        <v>1</v>
      </c>
      <c r="H659" s="82">
        <v>359.46</v>
      </c>
      <c r="I659" s="251">
        <v>359.46</v>
      </c>
      <c r="J659" s="9" t="s">
        <v>1387</v>
      </c>
      <c r="K659" s="9" t="s">
        <v>1388</v>
      </c>
      <c r="L659" s="83">
        <v>45200</v>
      </c>
      <c r="M659" s="83">
        <v>45230</v>
      </c>
    </row>
    <row r="660" spans="1:13" ht="14.25" customHeight="1" x14ac:dyDescent="0.25">
      <c r="A660" s="9" t="s">
        <v>10</v>
      </c>
      <c r="B660" s="81">
        <v>113120</v>
      </c>
      <c r="C660" s="81">
        <v>10756</v>
      </c>
      <c r="D660" s="9" t="s">
        <v>596</v>
      </c>
      <c r="E660" s="81">
        <v>14563091</v>
      </c>
      <c r="F660" s="81">
        <v>30674</v>
      </c>
      <c r="G660" s="81">
        <v>1</v>
      </c>
      <c r="H660" s="82">
        <v>359.46</v>
      </c>
      <c r="I660" s="251">
        <v>359.46</v>
      </c>
      <c r="J660" s="9" t="s">
        <v>1387</v>
      </c>
      <c r="K660" s="9" t="s">
        <v>1388</v>
      </c>
      <c r="L660" s="83">
        <v>45200</v>
      </c>
      <c r="M660" s="83">
        <v>45230</v>
      </c>
    </row>
    <row r="661" spans="1:13" ht="14.25" customHeight="1" x14ac:dyDescent="0.25">
      <c r="A661" s="9" t="s">
        <v>8</v>
      </c>
      <c r="B661" s="81">
        <v>112909</v>
      </c>
      <c r="C661" s="81">
        <v>10750</v>
      </c>
      <c r="D661" s="9" t="s">
        <v>492</v>
      </c>
      <c r="E661" s="81">
        <v>14563091</v>
      </c>
      <c r="F661" s="81">
        <v>30252</v>
      </c>
      <c r="G661" s="81">
        <v>1</v>
      </c>
      <c r="H661" s="82">
        <v>359.46</v>
      </c>
      <c r="I661" s="251">
        <v>359.46</v>
      </c>
      <c r="J661" s="9" t="s">
        <v>1387</v>
      </c>
      <c r="K661" s="9" t="s">
        <v>1388</v>
      </c>
      <c r="L661" s="83">
        <v>45200</v>
      </c>
      <c r="M661" s="83">
        <v>45230</v>
      </c>
    </row>
    <row r="662" spans="1:13" ht="14.25" customHeight="1" x14ac:dyDescent="0.25">
      <c r="A662" s="9" t="s">
        <v>10</v>
      </c>
      <c r="B662" s="81">
        <v>112204</v>
      </c>
      <c r="C662" s="81">
        <v>10745</v>
      </c>
      <c r="D662" s="9" t="s">
        <v>33</v>
      </c>
      <c r="E662" s="81">
        <v>14563091</v>
      </c>
      <c r="F662" s="81">
        <v>28842</v>
      </c>
      <c r="G662" s="81">
        <v>1</v>
      </c>
      <c r="H662" s="82">
        <v>359.46</v>
      </c>
      <c r="I662" s="251">
        <v>359.46</v>
      </c>
      <c r="J662" s="9" t="s">
        <v>1387</v>
      </c>
      <c r="K662" s="9" t="s">
        <v>1388</v>
      </c>
      <c r="L662" s="83">
        <v>45200</v>
      </c>
      <c r="M662" s="83">
        <v>45230</v>
      </c>
    </row>
    <row r="663" spans="1:13" ht="14.25" customHeight="1" x14ac:dyDescent="0.25">
      <c r="A663" s="9" t="s">
        <v>1578</v>
      </c>
      <c r="B663" s="81">
        <v>113715</v>
      </c>
      <c r="C663" s="81">
        <v>10771</v>
      </c>
      <c r="D663" s="9" t="s">
        <v>931</v>
      </c>
      <c r="E663" s="81">
        <v>14563091</v>
      </c>
      <c r="F663" s="81">
        <v>31864</v>
      </c>
      <c r="G663" s="81">
        <v>1</v>
      </c>
      <c r="H663" s="82">
        <v>359.46</v>
      </c>
      <c r="I663" s="251">
        <v>359.46</v>
      </c>
      <c r="J663" s="9" t="s">
        <v>1387</v>
      </c>
      <c r="K663" s="9" t="s">
        <v>1388</v>
      </c>
      <c r="L663" s="83">
        <v>45200</v>
      </c>
      <c r="M663" s="83">
        <v>45230</v>
      </c>
    </row>
    <row r="664" spans="1:13" ht="14.25" customHeight="1" x14ac:dyDescent="0.25">
      <c r="A664" s="9" t="s">
        <v>10</v>
      </c>
      <c r="B664" s="81">
        <v>112232</v>
      </c>
      <c r="C664" s="81">
        <v>10750</v>
      </c>
      <c r="D664" s="9" t="s">
        <v>53</v>
      </c>
      <c r="E664" s="81">
        <v>14563091</v>
      </c>
      <c r="F664" s="81">
        <v>28898</v>
      </c>
      <c r="G664" s="81">
        <v>1</v>
      </c>
      <c r="H664" s="82">
        <v>359.46</v>
      </c>
      <c r="I664" s="251">
        <v>359.46</v>
      </c>
      <c r="J664" s="9" t="s">
        <v>1387</v>
      </c>
      <c r="K664" s="9" t="s">
        <v>1388</v>
      </c>
      <c r="L664" s="83">
        <v>45200</v>
      </c>
      <c r="M664" s="83">
        <v>45230</v>
      </c>
    </row>
    <row r="665" spans="1:13" ht="14.25" customHeight="1" x14ac:dyDescent="0.25">
      <c r="A665" s="9" t="s">
        <v>19</v>
      </c>
      <c r="B665" s="81">
        <v>113021</v>
      </c>
      <c r="C665" s="81">
        <v>10754</v>
      </c>
      <c r="D665" s="9" t="s">
        <v>53</v>
      </c>
      <c r="E665" s="81">
        <v>14563091</v>
      </c>
      <c r="F665" s="81">
        <v>30476</v>
      </c>
      <c r="G665" s="81">
        <v>1</v>
      </c>
      <c r="H665" s="82">
        <v>359.46</v>
      </c>
      <c r="I665" s="251">
        <v>359.46</v>
      </c>
      <c r="J665" s="9" t="s">
        <v>1387</v>
      </c>
      <c r="K665" s="9" t="s">
        <v>1388</v>
      </c>
      <c r="L665" s="83">
        <v>45200</v>
      </c>
      <c r="M665" s="83">
        <v>45230</v>
      </c>
    </row>
    <row r="666" spans="1:13" ht="14.25" customHeight="1" x14ac:dyDescent="0.25">
      <c r="A666" s="9" t="s">
        <v>0</v>
      </c>
      <c r="B666" s="81">
        <v>113373</v>
      </c>
      <c r="C666" s="81">
        <v>10754</v>
      </c>
      <c r="D666" s="9" t="s">
        <v>53</v>
      </c>
      <c r="E666" s="81">
        <v>14563091</v>
      </c>
      <c r="F666" s="81">
        <v>31180</v>
      </c>
      <c r="G666" s="81">
        <v>1</v>
      </c>
      <c r="H666" s="82">
        <v>359.46</v>
      </c>
      <c r="I666" s="251">
        <v>359.46</v>
      </c>
      <c r="J666" s="9" t="s">
        <v>1387</v>
      </c>
      <c r="K666" s="9" t="s">
        <v>1388</v>
      </c>
      <c r="L666" s="83">
        <v>45200</v>
      </c>
      <c r="M666" s="83">
        <v>45230</v>
      </c>
    </row>
    <row r="667" spans="1:13" ht="14.25" customHeight="1" x14ac:dyDescent="0.25">
      <c r="A667" s="9" t="s">
        <v>0</v>
      </c>
      <c r="B667" s="81">
        <v>113420</v>
      </c>
      <c r="C667" s="81">
        <v>10750</v>
      </c>
      <c r="D667" s="9" t="s">
        <v>53</v>
      </c>
      <c r="E667" s="81">
        <v>14563091</v>
      </c>
      <c r="F667" s="81">
        <v>31274</v>
      </c>
      <c r="G667" s="81">
        <v>1</v>
      </c>
      <c r="H667" s="82">
        <v>359.46</v>
      </c>
      <c r="I667" s="251">
        <v>359.46</v>
      </c>
      <c r="J667" s="9" t="s">
        <v>1387</v>
      </c>
      <c r="K667" s="9" t="s">
        <v>1388</v>
      </c>
      <c r="L667" s="83">
        <v>45200</v>
      </c>
      <c r="M667" s="83">
        <v>45230</v>
      </c>
    </row>
    <row r="668" spans="1:13" ht="14.25" customHeight="1" x14ac:dyDescent="0.25">
      <c r="A668" s="9" t="s">
        <v>8</v>
      </c>
      <c r="B668" s="81">
        <v>112917</v>
      </c>
      <c r="C668" s="81">
        <v>10751</v>
      </c>
      <c r="D668" s="9" t="s">
        <v>349</v>
      </c>
      <c r="E668" s="81">
        <v>14563091</v>
      </c>
      <c r="F668" s="81">
        <v>30268</v>
      </c>
      <c r="G668" s="81">
        <v>1</v>
      </c>
      <c r="H668" s="82">
        <v>359.46</v>
      </c>
      <c r="I668" s="251">
        <v>359.46</v>
      </c>
      <c r="J668" s="9" t="s">
        <v>1387</v>
      </c>
      <c r="K668" s="9" t="s">
        <v>1388</v>
      </c>
      <c r="L668" s="83">
        <v>45200</v>
      </c>
      <c r="M668" s="83">
        <v>45230</v>
      </c>
    </row>
    <row r="669" spans="1:13" ht="14.25" customHeight="1" x14ac:dyDescent="0.25">
      <c r="A669" s="9" t="s">
        <v>8</v>
      </c>
      <c r="B669" s="81">
        <v>112341</v>
      </c>
      <c r="C669" s="81">
        <v>10757</v>
      </c>
      <c r="D669" s="9" t="s">
        <v>121</v>
      </c>
      <c r="E669" s="81">
        <v>14563091</v>
      </c>
      <c r="F669" s="81">
        <v>29116</v>
      </c>
      <c r="G669" s="81">
        <v>1</v>
      </c>
      <c r="H669" s="82">
        <v>359.46</v>
      </c>
      <c r="I669" s="251">
        <v>359.46</v>
      </c>
      <c r="J669" s="9" t="s">
        <v>1387</v>
      </c>
      <c r="K669" s="9" t="s">
        <v>1388</v>
      </c>
      <c r="L669" s="83">
        <v>45200</v>
      </c>
      <c r="M669" s="83">
        <v>45230</v>
      </c>
    </row>
    <row r="670" spans="1:13" ht="14.25" customHeight="1" x14ac:dyDescent="0.25">
      <c r="A670" s="9" t="s">
        <v>19</v>
      </c>
      <c r="B670" s="81">
        <v>112236</v>
      </c>
      <c r="C670" s="81">
        <v>10750</v>
      </c>
      <c r="D670" s="9" t="s">
        <v>55</v>
      </c>
      <c r="E670" s="81">
        <v>14563091</v>
      </c>
      <c r="F670" s="81">
        <v>28906</v>
      </c>
      <c r="G670" s="81">
        <v>1</v>
      </c>
      <c r="H670" s="82">
        <v>359.46</v>
      </c>
      <c r="I670" s="251">
        <v>359.46</v>
      </c>
      <c r="J670" s="9" t="s">
        <v>1387</v>
      </c>
      <c r="K670" s="9" t="s">
        <v>1388</v>
      </c>
      <c r="L670" s="83">
        <v>45200</v>
      </c>
      <c r="M670" s="83">
        <v>45230</v>
      </c>
    </row>
    <row r="671" spans="1:13" ht="14.25" customHeight="1" x14ac:dyDescent="0.25">
      <c r="A671" s="9" t="s">
        <v>19</v>
      </c>
      <c r="B671" s="81">
        <v>112991</v>
      </c>
      <c r="C671" s="81">
        <v>10771</v>
      </c>
      <c r="D671" s="9" t="s">
        <v>534</v>
      </c>
      <c r="E671" s="81">
        <v>14563091</v>
      </c>
      <c r="F671" s="81">
        <v>30416</v>
      </c>
      <c r="G671" s="81">
        <v>1</v>
      </c>
      <c r="H671" s="82">
        <v>359.46</v>
      </c>
      <c r="I671" s="251">
        <v>359.46</v>
      </c>
      <c r="J671" s="9" t="s">
        <v>1387</v>
      </c>
      <c r="K671" s="9" t="s">
        <v>1388</v>
      </c>
      <c r="L671" s="83">
        <v>45200</v>
      </c>
      <c r="M671" s="83">
        <v>45230</v>
      </c>
    </row>
    <row r="672" spans="1:13" ht="14.25" customHeight="1" x14ac:dyDescent="0.25">
      <c r="A672" s="9" t="s">
        <v>0</v>
      </c>
      <c r="B672" s="81">
        <v>113422</v>
      </c>
      <c r="C672" s="81">
        <v>10750</v>
      </c>
      <c r="D672" s="9" t="s">
        <v>771</v>
      </c>
      <c r="E672" s="81">
        <v>14563091</v>
      </c>
      <c r="F672" s="81">
        <v>31278</v>
      </c>
      <c r="G672" s="81">
        <v>1</v>
      </c>
      <c r="H672" s="82">
        <v>359.46</v>
      </c>
      <c r="I672" s="251">
        <v>359.46</v>
      </c>
      <c r="J672" s="9" t="s">
        <v>1387</v>
      </c>
      <c r="K672" s="9" t="s">
        <v>1388</v>
      </c>
      <c r="L672" s="83">
        <v>45200</v>
      </c>
      <c r="M672" s="83">
        <v>45230</v>
      </c>
    </row>
    <row r="673" spans="1:13" ht="14.25" customHeight="1" x14ac:dyDescent="0.25">
      <c r="A673" s="9" t="s">
        <v>0</v>
      </c>
      <c r="B673" s="81">
        <v>113375</v>
      </c>
      <c r="C673" s="81">
        <v>10750</v>
      </c>
      <c r="D673" s="9" t="s">
        <v>737</v>
      </c>
      <c r="E673" s="81">
        <v>14563091</v>
      </c>
      <c r="F673" s="81">
        <v>31184</v>
      </c>
      <c r="G673" s="81">
        <v>1</v>
      </c>
      <c r="H673" s="82">
        <v>359.46</v>
      </c>
      <c r="I673" s="251">
        <v>359.46</v>
      </c>
      <c r="J673" s="9" t="s">
        <v>1387</v>
      </c>
      <c r="K673" s="9" t="s">
        <v>1388</v>
      </c>
      <c r="L673" s="83">
        <v>45200</v>
      </c>
      <c r="M673" s="83">
        <v>45230</v>
      </c>
    </row>
    <row r="674" spans="1:13" ht="14.25" customHeight="1" x14ac:dyDescent="0.25">
      <c r="A674" s="9" t="s">
        <v>8</v>
      </c>
      <c r="B674" s="81">
        <v>112346</v>
      </c>
      <c r="C674" s="81">
        <v>10757</v>
      </c>
      <c r="D674" s="9" t="s">
        <v>123</v>
      </c>
      <c r="E674" s="81">
        <v>14563091</v>
      </c>
      <c r="F674" s="81">
        <v>29126</v>
      </c>
      <c r="G674" s="81">
        <v>1</v>
      </c>
      <c r="H674" s="82">
        <v>359.46</v>
      </c>
      <c r="I674" s="251">
        <v>359.46</v>
      </c>
      <c r="J674" s="9" t="s">
        <v>1387</v>
      </c>
      <c r="K674" s="9" t="s">
        <v>1388</v>
      </c>
      <c r="L674" s="83">
        <v>45200</v>
      </c>
      <c r="M674" s="83">
        <v>45230</v>
      </c>
    </row>
    <row r="675" spans="1:13" ht="14.25" customHeight="1" x14ac:dyDescent="0.25">
      <c r="A675" s="9" t="s">
        <v>10</v>
      </c>
      <c r="B675" s="81">
        <v>112208</v>
      </c>
      <c r="C675" s="81">
        <v>10766</v>
      </c>
      <c r="D675" s="9" t="s">
        <v>1348</v>
      </c>
      <c r="E675" s="81">
        <v>14563091</v>
      </c>
      <c r="F675" s="81">
        <v>28850</v>
      </c>
      <c r="G675" s="81">
        <v>1</v>
      </c>
      <c r="H675" s="82">
        <v>359.46</v>
      </c>
      <c r="I675" s="251">
        <v>359.46</v>
      </c>
      <c r="J675" s="9" t="s">
        <v>1387</v>
      </c>
      <c r="K675" s="9" t="s">
        <v>1388</v>
      </c>
      <c r="L675" s="83">
        <v>45200</v>
      </c>
      <c r="M675" s="83">
        <v>45230</v>
      </c>
    </row>
    <row r="676" spans="1:13" ht="14.25" customHeight="1" x14ac:dyDescent="0.25">
      <c r="A676" s="9" t="s">
        <v>10</v>
      </c>
      <c r="B676" s="81">
        <v>114541</v>
      </c>
      <c r="C676" s="81">
        <v>10757</v>
      </c>
      <c r="D676" s="9" t="s">
        <v>1052</v>
      </c>
      <c r="E676" s="81">
        <v>14563091</v>
      </c>
      <c r="F676" s="81">
        <v>36357</v>
      </c>
      <c r="G676" s="81">
        <v>1</v>
      </c>
      <c r="H676" s="82">
        <v>359.46</v>
      </c>
      <c r="I676" s="251">
        <v>359.46</v>
      </c>
      <c r="J676" s="9" t="s">
        <v>1387</v>
      </c>
      <c r="K676" s="9" t="s">
        <v>1388</v>
      </c>
      <c r="L676" s="83">
        <v>45200</v>
      </c>
      <c r="M676" s="83">
        <v>45230</v>
      </c>
    </row>
    <row r="677" spans="1:13" ht="14.25" customHeight="1" x14ac:dyDescent="0.25">
      <c r="A677" s="9" t="s">
        <v>10</v>
      </c>
      <c r="B677" s="81">
        <v>112238</v>
      </c>
      <c r="C677" s="81">
        <v>10751</v>
      </c>
      <c r="D677" s="9" t="s">
        <v>44</v>
      </c>
      <c r="E677" s="81">
        <v>14563091</v>
      </c>
      <c r="F677" s="81">
        <v>28910</v>
      </c>
      <c r="G677" s="81">
        <v>1</v>
      </c>
      <c r="H677" s="82">
        <v>359.46</v>
      </c>
      <c r="I677" s="251">
        <v>359.46</v>
      </c>
      <c r="J677" s="9" t="s">
        <v>1387</v>
      </c>
      <c r="K677" s="9" t="s">
        <v>1388</v>
      </c>
      <c r="L677" s="83">
        <v>45200</v>
      </c>
      <c r="M677" s="83">
        <v>45230</v>
      </c>
    </row>
    <row r="678" spans="1:13" ht="14.25" customHeight="1" x14ac:dyDescent="0.25">
      <c r="A678" s="9" t="s">
        <v>8</v>
      </c>
      <c r="B678" s="81">
        <v>112924</v>
      </c>
      <c r="C678" s="81">
        <v>10750</v>
      </c>
      <c r="D678" s="9" t="s">
        <v>499</v>
      </c>
      <c r="E678" s="81">
        <v>14563091</v>
      </c>
      <c r="F678" s="81">
        <v>30282</v>
      </c>
      <c r="G678" s="81">
        <v>1</v>
      </c>
      <c r="H678" s="82">
        <v>359.46</v>
      </c>
      <c r="I678" s="251">
        <v>359.46</v>
      </c>
      <c r="J678" s="9" t="s">
        <v>1387</v>
      </c>
      <c r="K678" s="9" t="s">
        <v>1388</v>
      </c>
      <c r="L678" s="83">
        <v>45200</v>
      </c>
      <c r="M678" s="83">
        <v>45230</v>
      </c>
    </row>
    <row r="679" spans="1:13" ht="14.25" customHeight="1" x14ac:dyDescent="0.25">
      <c r="A679" s="9" t="s">
        <v>8</v>
      </c>
      <c r="B679" s="81">
        <v>122251</v>
      </c>
      <c r="C679" s="81">
        <v>10758</v>
      </c>
      <c r="D679" s="9" t="s">
        <v>1653</v>
      </c>
      <c r="E679" s="81">
        <v>14563091</v>
      </c>
      <c r="F679" s="81">
        <v>55744</v>
      </c>
      <c r="G679" s="81">
        <v>1</v>
      </c>
      <c r="H679" s="82">
        <v>359.46</v>
      </c>
      <c r="I679" s="251">
        <v>359.46</v>
      </c>
      <c r="J679" s="9" t="s">
        <v>1387</v>
      </c>
      <c r="K679" s="9" t="s">
        <v>1388</v>
      </c>
      <c r="L679" s="83">
        <v>45200</v>
      </c>
      <c r="M679" s="83">
        <v>45230</v>
      </c>
    </row>
    <row r="680" spans="1:13" ht="14.25" customHeight="1" x14ac:dyDescent="0.25">
      <c r="A680" s="9" t="s">
        <v>0</v>
      </c>
      <c r="B680" s="81">
        <v>113363</v>
      </c>
      <c r="C680" s="81">
        <v>10750</v>
      </c>
      <c r="D680" s="9" t="s">
        <v>729</v>
      </c>
      <c r="E680" s="81">
        <v>14563091</v>
      </c>
      <c r="F680" s="81">
        <v>31160</v>
      </c>
      <c r="G680" s="81">
        <v>1</v>
      </c>
      <c r="H680" s="82">
        <v>359.46</v>
      </c>
      <c r="I680" s="251">
        <v>359.46</v>
      </c>
      <c r="J680" s="9" t="s">
        <v>1387</v>
      </c>
      <c r="K680" s="9" t="s">
        <v>1388</v>
      </c>
      <c r="L680" s="83">
        <v>45200</v>
      </c>
      <c r="M680" s="83">
        <v>45230</v>
      </c>
    </row>
    <row r="681" spans="1:13" ht="14.25" customHeight="1" x14ac:dyDescent="0.25">
      <c r="A681" s="9" t="s">
        <v>10</v>
      </c>
      <c r="B681" s="81">
        <v>112245</v>
      </c>
      <c r="C681" s="81">
        <v>10750</v>
      </c>
      <c r="D681" s="9" t="s">
        <v>60</v>
      </c>
      <c r="E681" s="81">
        <v>14563091</v>
      </c>
      <c r="F681" s="81">
        <v>28924</v>
      </c>
      <c r="G681" s="81">
        <v>1</v>
      </c>
      <c r="H681" s="82">
        <v>359.46</v>
      </c>
      <c r="I681" s="251">
        <v>359.46</v>
      </c>
      <c r="J681" s="9" t="s">
        <v>1387</v>
      </c>
      <c r="K681" s="9" t="s">
        <v>1388</v>
      </c>
      <c r="L681" s="83">
        <v>45200</v>
      </c>
      <c r="M681" s="83">
        <v>45230</v>
      </c>
    </row>
    <row r="682" spans="1:13" ht="14.25" customHeight="1" x14ac:dyDescent="0.25">
      <c r="A682" s="9" t="s">
        <v>1246</v>
      </c>
      <c r="B682" s="81">
        <v>116654</v>
      </c>
      <c r="C682" s="81">
        <v>10773</v>
      </c>
      <c r="D682" s="9" t="s">
        <v>956</v>
      </c>
      <c r="E682" s="81">
        <v>14563091</v>
      </c>
      <c r="F682" s="81">
        <v>42637</v>
      </c>
      <c r="G682" s="81">
        <v>1</v>
      </c>
      <c r="H682" s="82">
        <v>359.46</v>
      </c>
      <c r="I682" s="251">
        <v>359.46</v>
      </c>
      <c r="J682" s="9" t="s">
        <v>1387</v>
      </c>
      <c r="K682" s="9" t="s">
        <v>1388</v>
      </c>
      <c r="L682" s="83">
        <v>45200</v>
      </c>
      <c r="M682" s="83">
        <v>45230</v>
      </c>
    </row>
    <row r="683" spans="1:13" ht="14.25" customHeight="1" x14ac:dyDescent="0.25">
      <c r="A683" s="9" t="s">
        <v>8</v>
      </c>
      <c r="B683" s="81">
        <v>112349</v>
      </c>
      <c r="C683" s="81">
        <v>10757</v>
      </c>
      <c r="D683" s="9" t="s">
        <v>125</v>
      </c>
      <c r="E683" s="81">
        <v>14563091</v>
      </c>
      <c r="F683" s="81">
        <v>29132</v>
      </c>
      <c r="G683" s="81">
        <v>1</v>
      </c>
      <c r="H683" s="82">
        <v>359.46</v>
      </c>
      <c r="I683" s="251">
        <v>359.46</v>
      </c>
      <c r="J683" s="9" t="s">
        <v>1387</v>
      </c>
      <c r="K683" s="9" t="s">
        <v>1388</v>
      </c>
      <c r="L683" s="83">
        <v>45200</v>
      </c>
      <c r="M683" s="83">
        <v>45230</v>
      </c>
    </row>
    <row r="684" spans="1:13" ht="14.25" customHeight="1" x14ac:dyDescent="0.25">
      <c r="A684" s="9" t="s">
        <v>8</v>
      </c>
      <c r="B684" s="81">
        <v>112926</v>
      </c>
      <c r="C684" s="81">
        <v>10754</v>
      </c>
      <c r="D684" s="9" t="s">
        <v>500</v>
      </c>
      <c r="E684" s="81">
        <v>14563091</v>
      </c>
      <c r="F684" s="81">
        <v>30286</v>
      </c>
      <c r="G684" s="81">
        <v>1</v>
      </c>
      <c r="H684" s="82">
        <v>359.46</v>
      </c>
      <c r="I684" s="251">
        <v>359.46</v>
      </c>
      <c r="J684" s="9" t="s">
        <v>1387</v>
      </c>
      <c r="K684" s="9" t="s">
        <v>1388</v>
      </c>
      <c r="L684" s="83">
        <v>45200</v>
      </c>
      <c r="M684" s="83">
        <v>45230</v>
      </c>
    </row>
    <row r="685" spans="1:13" ht="14.25" customHeight="1" x14ac:dyDescent="0.25">
      <c r="A685" s="9" t="s">
        <v>1578</v>
      </c>
      <c r="B685" s="81">
        <v>122252</v>
      </c>
      <c r="C685" s="81">
        <v>10757</v>
      </c>
      <c r="D685" s="9" t="s">
        <v>1654</v>
      </c>
      <c r="E685" s="81">
        <v>14563091</v>
      </c>
      <c r="F685" s="81">
        <v>55746</v>
      </c>
      <c r="G685" s="81">
        <v>1</v>
      </c>
      <c r="H685" s="82">
        <v>359.46</v>
      </c>
      <c r="I685" s="251">
        <v>359.46</v>
      </c>
      <c r="J685" s="9" t="s">
        <v>1387</v>
      </c>
      <c r="K685" s="9" t="s">
        <v>1388</v>
      </c>
      <c r="L685" s="83">
        <v>45200</v>
      </c>
      <c r="M685" s="83">
        <v>45230</v>
      </c>
    </row>
    <row r="686" spans="1:13" ht="14.25" customHeight="1" x14ac:dyDescent="0.25">
      <c r="A686" s="9" t="s">
        <v>10</v>
      </c>
      <c r="B686" s="81">
        <v>112248</v>
      </c>
      <c r="C686" s="81">
        <v>10750</v>
      </c>
      <c r="D686" s="9" t="s">
        <v>61</v>
      </c>
      <c r="E686" s="81">
        <v>14563091</v>
      </c>
      <c r="F686" s="81">
        <v>28930</v>
      </c>
      <c r="G686" s="81">
        <v>1</v>
      </c>
      <c r="H686" s="82">
        <v>359.46</v>
      </c>
      <c r="I686" s="251">
        <v>359.46</v>
      </c>
      <c r="J686" s="9" t="s">
        <v>1387</v>
      </c>
      <c r="K686" s="9" t="s">
        <v>1388</v>
      </c>
      <c r="L686" s="83">
        <v>45200</v>
      </c>
      <c r="M686" s="83">
        <v>45230</v>
      </c>
    </row>
    <row r="687" spans="1:13" ht="14.25" customHeight="1" x14ac:dyDescent="0.25">
      <c r="A687" s="9" t="s">
        <v>19</v>
      </c>
      <c r="B687" s="81">
        <v>113056</v>
      </c>
      <c r="C687" s="81">
        <v>10751</v>
      </c>
      <c r="D687" s="9" t="s">
        <v>562</v>
      </c>
      <c r="E687" s="81">
        <v>14563091</v>
      </c>
      <c r="F687" s="81">
        <v>30546</v>
      </c>
      <c r="G687" s="81">
        <v>1</v>
      </c>
      <c r="H687" s="82">
        <v>359.46</v>
      </c>
      <c r="I687" s="251">
        <v>359.46</v>
      </c>
      <c r="J687" s="9" t="s">
        <v>1387</v>
      </c>
      <c r="K687" s="9" t="s">
        <v>1388</v>
      </c>
      <c r="L687" s="83">
        <v>45200</v>
      </c>
      <c r="M687" s="83">
        <v>45230</v>
      </c>
    </row>
    <row r="688" spans="1:13" ht="14.25" customHeight="1" x14ac:dyDescent="0.25">
      <c r="A688" s="9" t="s">
        <v>19</v>
      </c>
      <c r="B688" s="81">
        <v>112973</v>
      </c>
      <c r="C688" s="81">
        <v>10766</v>
      </c>
      <c r="D688" s="9" t="s">
        <v>525</v>
      </c>
      <c r="E688" s="81">
        <v>14563091</v>
      </c>
      <c r="F688" s="81">
        <v>30380</v>
      </c>
      <c r="G688" s="81">
        <v>1</v>
      </c>
      <c r="H688" s="82">
        <v>359.46</v>
      </c>
      <c r="I688" s="251">
        <v>359.46</v>
      </c>
      <c r="J688" s="9" t="s">
        <v>1387</v>
      </c>
      <c r="K688" s="9" t="s">
        <v>1388</v>
      </c>
      <c r="L688" s="83">
        <v>45200</v>
      </c>
      <c r="M688" s="83">
        <v>45230</v>
      </c>
    </row>
    <row r="689" spans="1:13" ht="14.25" customHeight="1" x14ac:dyDescent="0.25">
      <c r="A689" s="9" t="s">
        <v>8</v>
      </c>
      <c r="B689" s="81">
        <v>117239</v>
      </c>
      <c r="C689" s="81">
        <v>10755</v>
      </c>
      <c r="D689" s="9" t="s">
        <v>1255</v>
      </c>
      <c r="E689" s="81">
        <v>14563091</v>
      </c>
      <c r="F689" s="81">
        <v>44094</v>
      </c>
      <c r="G689" s="81">
        <v>1</v>
      </c>
      <c r="H689" s="82">
        <v>359.46</v>
      </c>
      <c r="I689" s="251">
        <v>359.46</v>
      </c>
      <c r="J689" s="9" t="s">
        <v>1387</v>
      </c>
      <c r="K689" s="9" t="s">
        <v>1388</v>
      </c>
      <c r="L689" s="83">
        <v>45200</v>
      </c>
      <c r="M689" s="83">
        <v>45230</v>
      </c>
    </row>
    <row r="690" spans="1:13" ht="14.25" customHeight="1" x14ac:dyDescent="0.25">
      <c r="A690" s="9" t="s">
        <v>1578</v>
      </c>
      <c r="B690" s="81">
        <v>112459</v>
      </c>
      <c r="C690" s="81">
        <v>10743</v>
      </c>
      <c r="D690" s="9" t="s">
        <v>195</v>
      </c>
      <c r="E690" s="81">
        <v>14563091</v>
      </c>
      <c r="F690" s="81">
        <v>29352</v>
      </c>
      <c r="G690" s="81">
        <v>1</v>
      </c>
      <c r="H690" s="82">
        <v>359.46</v>
      </c>
      <c r="I690" s="251">
        <v>359.46</v>
      </c>
      <c r="J690" s="9" t="s">
        <v>1387</v>
      </c>
      <c r="K690" s="9" t="s">
        <v>1388</v>
      </c>
      <c r="L690" s="83">
        <v>45200</v>
      </c>
      <c r="M690" s="83">
        <v>45230</v>
      </c>
    </row>
    <row r="691" spans="1:13" ht="14.25" customHeight="1" x14ac:dyDescent="0.25">
      <c r="A691" s="9" t="s">
        <v>0</v>
      </c>
      <c r="B691" s="81">
        <v>113377</v>
      </c>
      <c r="C691" s="81">
        <v>10754</v>
      </c>
      <c r="D691" s="9" t="s">
        <v>739</v>
      </c>
      <c r="E691" s="81">
        <v>14563091</v>
      </c>
      <c r="F691" s="81">
        <v>31188</v>
      </c>
      <c r="G691" s="81">
        <v>1</v>
      </c>
      <c r="H691" s="82">
        <v>359.46</v>
      </c>
      <c r="I691" s="251">
        <v>359.46</v>
      </c>
      <c r="J691" s="9" t="s">
        <v>1387</v>
      </c>
      <c r="K691" s="9" t="s">
        <v>1388</v>
      </c>
      <c r="L691" s="83">
        <v>45200</v>
      </c>
      <c r="M691" s="83">
        <v>45230</v>
      </c>
    </row>
    <row r="692" spans="1:13" ht="14.25" customHeight="1" x14ac:dyDescent="0.25">
      <c r="A692" s="9" t="s">
        <v>19</v>
      </c>
      <c r="B692" s="81">
        <v>112307</v>
      </c>
      <c r="C692" s="81">
        <v>10750</v>
      </c>
      <c r="D692" s="9" t="s">
        <v>101</v>
      </c>
      <c r="E692" s="81">
        <v>14563091</v>
      </c>
      <c r="F692" s="81">
        <v>29048</v>
      </c>
      <c r="G692" s="81">
        <v>1</v>
      </c>
      <c r="H692" s="82">
        <v>359.46</v>
      </c>
      <c r="I692" s="251">
        <v>359.46</v>
      </c>
      <c r="J692" s="9" t="s">
        <v>1387</v>
      </c>
      <c r="K692" s="9" t="s">
        <v>1388</v>
      </c>
      <c r="L692" s="83">
        <v>45200</v>
      </c>
      <c r="M692" s="83">
        <v>45230</v>
      </c>
    </row>
    <row r="693" spans="1:13" ht="14.25" customHeight="1" x14ac:dyDescent="0.25">
      <c r="A693" s="9" t="s">
        <v>8</v>
      </c>
      <c r="B693" s="81">
        <v>112927</v>
      </c>
      <c r="C693" s="81">
        <v>10750</v>
      </c>
      <c r="D693" s="9" t="s">
        <v>501</v>
      </c>
      <c r="E693" s="81">
        <v>14563091</v>
      </c>
      <c r="F693" s="81">
        <v>30288</v>
      </c>
      <c r="G693" s="81">
        <v>1</v>
      </c>
      <c r="H693" s="82">
        <v>359.46</v>
      </c>
      <c r="I693" s="251">
        <v>359.46</v>
      </c>
      <c r="J693" s="9" t="s">
        <v>1387</v>
      </c>
      <c r="K693" s="9" t="s">
        <v>1388</v>
      </c>
      <c r="L693" s="83">
        <v>45200</v>
      </c>
      <c r="M693" s="83">
        <v>45230</v>
      </c>
    </row>
    <row r="694" spans="1:13" ht="14.25" customHeight="1" x14ac:dyDescent="0.25">
      <c r="A694" s="9" t="s">
        <v>19</v>
      </c>
      <c r="B694" s="81">
        <v>112959</v>
      </c>
      <c r="C694" s="81">
        <v>10766</v>
      </c>
      <c r="D694" s="9" t="s">
        <v>520</v>
      </c>
      <c r="E694" s="81">
        <v>14563091</v>
      </c>
      <c r="F694" s="81">
        <v>30352</v>
      </c>
      <c r="G694" s="81">
        <v>1</v>
      </c>
      <c r="H694" s="82">
        <v>359.46</v>
      </c>
      <c r="I694" s="251">
        <v>359.46</v>
      </c>
      <c r="J694" s="9" t="s">
        <v>1387</v>
      </c>
      <c r="K694" s="9" t="s">
        <v>1388</v>
      </c>
      <c r="L694" s="83">
        <v>45200</v>
      </c>
      <c r="M694" s="83">
        <v>45230</v>
      </c>
    </row>
    <row r="695" spans="1:13" ht="14.25" customHeight="1" x14ac:dyDescent="0.25">
      <c r="A695" s="9" t="s">
        <v>8</v>
      </c>
      <c r="B695" s="81">
        <v>112928</v>
      </c>
      <c r="C695" s="81">
        <v>10750</v>
      </c>
      <c r="D695" s="9" t="s">
        <v>502</v>
      </c>
      <c r="E695" s="81">
        <v>14563091</v>
      </c>
      <c r="F695" s="81">
        <v>30290</v>
      </c>
      <c r="G695" s="81">
        <v>1</v>
      </c>
      <c r="H695" s="82">
        <v>359.46</v>
      </c>
      <c r="I695" s="251">
        <v>359.46</v>
      </c>
      <c r="J695" s="9" t="s">
        <v>1387</v>
      </c>
      <c r="K695" s="9" t="s">
        <v>1388</v>
      </c>
      <c r="L695" s="83">
        <v>45200</v>
      </c>
      <c r="M695" s="83">
        <v>45230</v>
      </c>
    </row>
    <row r="696" spans="1:13" ht="14.25" customHeight="1" x14ac:dyDescent="0.25">
      <c r="A696" s="9" t="s">
        <v>1578</v>
      </c>
      <c r="B696" s="81">
        <v>114922</v>
      </c>
      <c r="C696" s="81">
        <v>10761</v>
      </c>
      <c r="D696" s="9" t="s">
        <v>1108</v>
      </c>
      <c r="E696" s="81">
        <v>14563091</v>
      </c>
      <c r="F696" s="81">
        <v>37758</v>
      </c>
      <c r="G696" s="81">
        <v>1</v>
      </c>
      <c r="H696" s="82">
        <v>359.46</v>
      </c>
      <c r="I696" s="251">
        <v>359.46</v>
      </c>
      <c r="J696" s="9" t="s">
        <v>1387</v>
      </c>
      <c r="K696" s="9" t="s">
        <v>1388</v>
      </c>
      <c r="L696" s="83">
        <v>45200</v>
      </c>
      <c r="M696" s="83">
        <v>45230</v>
      </c>
    </row>
    <row r="697" spans="1:13" ht="14.25" customHeight="1" x14ac:dyDescent="0.25">
      <c r="A697" s="9" t="s">
        <v>10</v>
      </c>
      <c r="B697" s="81">
        <v>112212</v>
      </c>
      <c r="C697" s="81">
        <v>10758</v>
      </c>
      <c r="D697" s="9" t="s">
        <v>37</v>
      </c>
      <c r="E697" s="81">
        <v>14563091</v>
      </c>
      <c r="F697" s="81">
        <v>28858</v>
      </c>
      <c r="G697" s="81">
        <v>1</v>
      </c>
      <c r="H697" s="82">
        <v>359.46</v>
      </c>
      <c r="I697" s="251">
        <v>359.46</v>
      </c>
      <c r="J697" s="9" t="s">
        <v>1387</v>
      </c>
      <c r="K697" s="9" t="s">
        <v>1388</v>
      </c>
      <c r="L697" s="83">
        <v>45200</v>
      </c>
      <c r="M697" s="83">
        <v>45230</v>
      </c>
    </row>
    <row r="698" spans="1:13" ht="14.25" customHeight="1" x14ac:dyDescent="0.25">
      <c r="A698" s="9" t="s">
        <v>0</v>
      </c>
      <c r="B698" s="81">
        <v>118058</v>
      </c>
      <c r="C698" s="81">
        <v>10758</v>
      </c>
      <c r="D698" s="9" t="s">
        <v>1401</v>
      </c>
      <c r="E698" s="81">
        <v>14563091</v>
      </c>
      <c r="F698" s="81">
        <v>45904</v>
      </c>
      <c r="G698" s="81">
        <v>1</v>
      </c>
      <c r="H698" s="82">
        <v>359.46</v>
      </c>
      <c r="I698" s="251">
        <v>359.46</v>
      </c>
      <c r="J698" s="9" t="s">
        <v>1387</v>
      </c>
      <c r="K698" s="9" t="s">
        <v>1388</v>
      </c>
      <c r="L698" s="83">
        <v>45200</v>
      </c>
      <c r="M698" s="83">
        <v>45230</v>
      </c>
    </row>
    <row r="699" spans="1:13" ht="14.25" customHeight="1" x14ac:dyDescent="0.25">
      <c r="A699" s="9" t="s">
        <v>8</v>
      </c>
      <c r="B699" s="81">
        <v>112465</v>
      </c>
      <c r="C699" s="81">
        <v>10750</v>
      </c>
      <c r="D699" s="9" t="s">
        <v>197</v>
      </c>
      <c r="E699" s="81">
        <v>14563091</v>
      </c>
      <c r="F699" s="81">
        <v>29364</v>
      </c>
      <c r="G699" s="81">
        <v>1</v>
      </c>
      <c r="H699" s="82">
        <v>359.46</v>
      </c>
      <c r="I699" s="251">
        <v>359.46</v>
      </c>
      <c r="J699" s="9" t="s">
        <v>1387</v>
      </c>
      <c r="K699" s="9" t="s">
        <v>1388</v>
      </c>
      <c r="L699" s="83">
        <v>45200</v>
      </c>
      <c r="M699" s="83">
        <v>45230</v>
      </c>
    </row>
    <row r="700" spans="1:13" ht="14.25" customHeight="1" x14ac:dyDescent="0.25">
      <c r="A700" s="9" t="s">
        <v>1578</v>
      </c>
      <c r="B700" s="81">
        <v>113729</v>
      </c>
      <c r="C700" s="81">
        <v>10743</v>
      </c>
      <c r="D700" s="9" t="s">
        <v>944</v>
      </c>
      <c r="E700" s="81">
        <v>14563091</v>
      </c>
      <c r="F700" s="81">
        <v>31892</v>
      </c>
      <c r="G700" s="81">
        <v>1</v>
      </c>
      <c r="H700" s="82">
        <v>359.46</v>
      </c>
      <c r="I700" s="251">
        <v>359.46</v>
      </c>
      <c r="J700" s="9" t="s">
        <v>1387</v>
      </c>
      <c r="K700" s="9" t="s">
        <v>1388</v>
      </c>
      <c r="L700" s="83">
        <v>45200</v>
      </c>
      <c r="M700" s="83">
        <v>45230</v>
      </c>
    </row>
    <row r="701" spans="1:13" ht="14.25" customHeight="1" x14ac:dyDescent="0.25">
      <c r="A701" s="9" t="s">
        <v>1578</v>
      </c>
      <c r="B701" s="81">
        <v>113645</v>
      </c>
      <c r="C701" s="81">
        <v>10757</v>
      </c>
      <c r="D701" s="9" t="s">
        <v>891</v>
      </c>
      <c r="E701" s="81">
        <v>14563091</v>
      </c>
      <c r="F701" s="81">
        <v>31724</v>
      </c>
      <c r="G701" s="81">
        <v>1</v>
      </c>
      <c r="H701" s="82">
        <v>359.46</v>
      </c>
      <c r="I701" s="251">
        <v>359.46</v>
      </c>
      <c r="J701" s="9" t="s">
        <v>1387</v>
      </c>
      <c r="K701" s="9" t="s">
        <v>1388</v>
      </c>
      <c r="L701" s="83">
        <v>45200</v>
      </c>
      <c r="M701" s="83">
        <v>45230</v>
      </c>
    </row>
    <row r="702" spans="1:13" ht="14.25" customHeight="1" x14ac:dyDescent="0.25">
      <c r="A702" s="9" t="s">
        <v>32</v>
      </c>
      <c r="B702" s="81">
        <v>122826</v>
      </c>
      <c r="C702" s="81">
        <v>10757</v>
      </c>
      <c r="D702" s="9" t="s">
        <v>1722</v>
      </c>
      <c r="E702" s="81">
        <v>14563091</v>
      </c>
      <c r="F702" s="81">
        <v>57267</v>
      </c>
      <c r="G702" s="81">
        <v>1</v>
      </c>
      <c r="H702" s="82">
        <v>359.46</v>
      </c>
      <c r="I702" s="251">
        <v>359.46</v>
      </c>
      <c r="J702" s="9" t="s">
        <v>1387</v>
      </c>
      <c r="K702" s="9" t="s">
        <v>1388</v>
      </c>
      <c r="L702" s="83">
        <v>45200</v>
      </c>
      <c r="M702" s="83">
        <v>45230</v>
      </c>
    </row>
    <row r="703" spans="1:13" ht="14.25" customHeight="1" x14ac:dyDescent="0.25">
      <c r="A703" s="9" t="s">
        <v>1578</v>
      </c>
      <c r="B703" s="81">
        <v>113649</v>
      </c>
      <c r="C703" s="81">
        <v>10762</v>
      </c>
      <c r="D703" s="9" t="s">
        <v>894</v>
      </c>
      <c r="E703" s="81">
        <v>14563091</v>
      </c>
      <c r="F703" s="81">
        <v>31732</v>
      </c>
      <c r="G703" s="81">
        <v>1</v>
      </c>
      <c r="H703" s="82">
        <v>359.46</v>
      </c>
      <c r="I703" s="251">
        <v>359.46</v>
      </c>
      <c r="J703" s="9" t="s">
        <v>1387</v>
      </c>
      <c r="K703" s="9" t="s">
        <v>1388</v>
      </c>
      <c r="L703" s="83">
        <v>45200</v>
      </c>
      <c r="M703" s="83">
        <v>45230</v>
      </c>
    </row>
    <row r="704" spans="1:13" ht="14.25" customHeight="1" x14ac:dyDescent="0.25">
      <c r="A704" s="9" t="s">
        <v>1578</v>
      </c>
      <c r="B704" s="81">
        <v>119920</v>
      </c>
      <c r="C704" s="81">
        <v>10761</v>
      </c>
      <c r="D704" s="9" t="s">
        <v>1487</v>
      </c>
      <c r="E704" s="81">
        <v>14563091</v>
      </c>
      <c r="F704" s="81">
        <v>50245</v>
      </c>
      <c r="G704" s="81">
        <v>1</v>
      </c>
      <c r="H704" s="82">
        <v>359.46</v>
      </c>
      <c r="I704" s="251">
        <v>359.46</v>
      </c>
      <c r="J704" s="9" t="s">
        <v>1387</v>
      </c>
      <c r="K704" s="9" t="s">
        <v>1388</v>
      </c>
      <c r="L704" s="83">
        <v>45200</v>
      </c>
      <c r="M704" s="83">
        <v>45230</v>
      </c>
    </row>
    <row r="705" spans="1:13" ht="14.25" customHeight="1" x14ac:dyDescent="0.25">
      <c r="A705" s="9" t="s">
        <v>1578</v>
      </c>
      <c r="B705" s="81">
        <v>113125</v>
      </c>
      <c r="C705" s="81">
        <v>10761</v>
      </c>
      <c r="D705" s="9" t="s">
        <v>599</v>
      </c>
      <c r="E705" s="81">
        <v>14563091</v>
      </c>
      <c r="F705" s="81">
        <v>30684</v>
      </c>
      <c r="G705" s="81">
        <v>1</v>
      </c>
      <c r="H705" s="82">
        <v>359.46</v>
      </c>
      <c r="I705" s="251">
        <v>359.46</v>
      </c>
      <c r="J705" s="9" t="s">
        <v>1387</v>
      </c>
      <c r="K705" s="9" t="s">
        <v>1388</v>
      </c>
      <c r="L705" s="83">
        <v>45200</v>
      </c>
      <c r="M705" s="83">
        <v>45230</v>
      </c>
    </row>
    <row r="706" spans="1:13" ht="14.25" customHeight="1" x14ac:dyDescent="0.25">
      <c r="A706" s="9" t="s">
        <v>1578</v>
      </c>
      <c r="B706" s="81">
        <v>113339</v>
      </c>
      <c r="C706" s="81">
        <v>10771</v>
      </c>
      <c r="D706" s="9" t="s">
        <v>715</v>
      </c>
      <c r="E706" s="81">
        <v>14563091</v>
      </c>
      <c r="F706" s="81">
        <v>31112</v>
      </c>
      <c r="G706" s="81">
        <v>1</v>
      </c>
      <c r="H706" s="82">
        <v>359.46</v>
      </c>
      <c r="I706" s="251">
        <v>359.46</v>
      </c>
      <c r="J706" s="9" t="s">
        <v>1387</v>
      </c>
      <c r="K706" s="9" t="s">
        <v>1388</v>
      </c>
      <c r="L706" s="83">
        <v>45200</v>
      </c>
      <c r="M706" s="83">
        <v>45230</v>
      </c>
    </row>
    <row r="707" spans="1:13" ht="14.25" customHeight="1" x14ac:dyDescent="0.25">
      <c r="A707" s="9" t="s">
        <v>8</v>
      </c>
      <c r="B707" s="81">
        <v>112515</v>
      </c>
      <c r="C707" s="81">
        <v>10771</v>
      </c>
      <c r="D707" s="9" t="s">
        <v>232</v>
      </c>
      <c r="E707" s="81">
        <v>14563091</v>
      </c>
      <c r="F707" s="81">
        <v>29464</v>
      </c>
      <c r="G707" s="81">
        <v>1</v>
      </c>
      <c r="H707" s="82">
        <v>359.46</v>
      </c>
      <c r="I707" s="251">
        <v>359.46</v>
      </c>
      <c r="J707" s="9" t="s">
        <v>1387</v>
      </c>
      <c r="K707" s="9" t="s">
        <v>1388</v>
      </c>
      <c r="L707" s="83">
        <v>45200</v>
      </c>
      <c r="M707" s="83">
        <v>45230</v>
      </c>
    </row>
    <row r="708" spans="1:13" ht="14.25" customHeight="1" x14ac:dyDescent="0.25">
      <c r="A708" s="9" t="s">
        <v>32</v>
      </c>
      <c r="B708" s="81">
        <v>122561</v>
      </c>
      <c r="C708" s="81">
        <v>10757</v>
      </c>
      <c r="D708" s="9" t="s">
        <v>1688</v>
      </c>
      <c r="E708" s="81">
        <v>14563091</v>
      </c>
      <c r="F708" s="81">
        <v>56554</v>
      </c>
      <c r="G708" s="81">
        <v>1</v>
      </c>
      <c r="H708" s="82">
        <v>359.46</v>
      </c>
      <c r="I708" s="251">
        <v>359.46</v>
      </c>
      <c r="J708" s="9" t="s">
        <v>1387</v>
      </c>
      <c r="K708" s="9" t="s">
        <v>1388</v>
      </c>
      <c r="L708" s="83">
        <v>45200</v>
      </c>
      <c r="M708" s="83">
        <v>45230</v>
      </c>
    </row>
    <row r="709" spans="1:13" ht="14.25" customHeight="1" x14ac:dyDescent="0.25">
      <c r="A709" s="9" t="s">
        <v>0</v>
      </c>
      <c r="B709" s="81">
        <v>113435</v>
      </c>
      <c r="C709" s="81">
        <v>10750</v>
      </c>
      <c r="D709" s="9" t="s">
        <v>777</v>
      </c>
      <c r="E709" s="81">
        <v>14563091</v>
      </c>
      <c r="F709" s="81">
        <v>31304</v>
      </c>
      <c r="G709" s="81">
        <v>1</v>
      </c>
      <c r="H709" s="82">
        <v>359.46</v>
      </c>
      <c r="I709" s="251">
        <v>359.46</v>
      </c>
      <c r="J709" s="9" t="s">
        <v>1387</v>
      </c>
      <c r="K709" s="9" t="s">
        <v>1388</v>
      </c>
      <c r="L709" s="83">
        <v>45200</v>
      </c>
      <c r="M709" s="83">
        <v>45230</v>
      </c>
    </row>
    <row r="710" spans="1:13" ht="14.25" customHeight="1" x14ac:dyDescent="0.25">
      <c r="A710" s="9" t="s">
        <v>8</v>
      </c>
      <c r="B710" s="81">
        <v>115408</v>
      </c>
      <c r="C710" s="81">
        <v>10757</v>
      </c>
      <c r="D710" s="9" t="s">
        <v>1156</v>
      </c>
      <c r="E710" s="81">
        <v>14563091</v>
      </c>
      <c r="F710" s="81">
        <v>39022</v>
      </c>
      <c r="G710" s="81">
        <v>1</v>
      </c>
      <c r="H710" s="82">
        <v>359.46</v>
      </c>
      <c r="I710" s="251">
        <v>359.46</v>
      </c>
      <c r="J710" s="9" t="s">
        <v>1387</v>
      </c>
      <c r="K710" s="9" t="s">
        <v>1388</v>
      </c>
      <c r="L710" s="83">
        <v>45200</v>
      </c>
      <c r="M710" s="83">
        <v>45230</v>
      </c>
    </row>
    <row r="711" spans="1:13" ht="14.25" customHeight="1" x14ac:dyDescent="0.25">
      <c r="A711" s="9" t="s">
        <v>0</v>
      </c>
      <c r="B711" s="81">
        <v>114744</v>
      </c>
      <c r="C711" s="81">
        <v>10758</v>
      </c>
      <c r="D711" s="9" t="s">
        <v>1086</v>
      </c>
      <c r="E711" s="81">
        <v>14563091</v>
      </c>
      <c r="F711" s="81">
        <v>36936</v>
      </c>
      <c r="G711" s="81">
        <v>1</v>
      </c>
      <c r="H711" s="82">
        <v>359.46</v>
      </c>
      <c r="I711" s="251">
        <v>359.46</v>
      </c>
      <c r="J711" s="9" t="s">
        <v>1387</v>
      </c>
      <c r="K711" s="9" t="s">
        <v>1388</v>
      </c>
      <c r="L711" s="83">
        <v>45200</v>
      </c>
      <c r="M711" s="83">
        <v>45230</v>
      </c>
    </row>
    <row r="712" spans="1:13" ht="14.25" customHeight="1" x14ac:dyDescent="0.25">
      <c r="A712" s="9" t="s">
        <v>19</v>
      </c>
      <c r="B712" s="81">
        <v>112315</v>
      </c>
      <c r="C712" s="81">
        <v>10750</v>
      </c>
      <c r="D712" s="9" t="s">
        <v>103</v>
      </c>
      <c r="E712" s="81">
        <v>14563091</v>
      </c>
      <c r="F712" s="81">
        <v>29064</v>
      </c>
      <c r="G712" s="81">
        <v>1</v>
      </c>
      <c r="H712" s="82">
        <v>359.46</v>
      </c>
      <c r="I712" s="251">
        <v>359.46</v>
      </c>
      <c r="J712" s="9" t="s">
        <v>1387</v>
      </c>
      <c r="K712" s="9" t="s">
        <v>1388</v>
      </c>
      <c r="L712" s="83">
        <v>45200</v>
      </c>
      <c r="M712" s="83">
        <v>45230</v>
      </c>
    </row>
    <row r="713" spans="1:13" ht="14.25" customHeight="1" x14ac:dyDescent="0.25">
      <c r="A713" s="9" t="s">
        <v>0</v>
      </c>
      <c r="B713" s="81">
        <v>114493</v>
      </c>
      <c r="C713" s="81">
        <v>10750</v>
      </c>
      <c r="D713" s="9" t="s">
        <v>1039</v>
      </c>
      <c r="E713" s="81">
        <v>14563091</v>
      </c>
      <c r="F713" s="81">
        <v>35872</v>
      </c>
      <c r="G713" s="81">
        <v>1</v>
      </c>
      <c r="H713" s="82">
        <v>347.47</v>
      </c>
      <c r="I713" s="251">
        <v>347.47</v>
      </c>
      <c r="J713" s="9" t="s">
        <v>1387</v>
      </c>
      <c r="K713" s="9" t="s">
        <v>1388</v>
      </c>
      <c r="L713" s="83">
        <v>45200</v>
      </c>
      <c r="M713" s="83">
        <v>45230</v>
      </c>
    </row>
    <row r="714" spans="1:13" ht="14.25" customHeight="1" x14ac:dyDescent="0.25">
      <c r="A714" s="9" t="s">
        <v>8</v>
      </c>
      <c r="B714" s="81">
        <v>122080</v>
      </c>
      <c r="C714" s="81">
        <v>10757</v>
      </c>
      <c r="D714" s="9" t="s">
        <v>1629</v>
      </c>
      <c r="E714" s="81">
        <v>14563091</v>
      </c>
      <c r="F714" s="81">
        <v>55276</v>
      </c>
      <c r="G714" s="81">
        <v>1</v>
      </c>
      <c r="H714" s="82">
        <v>359.46</v>
      </c>
      <c r="I714" s="251">
        <v>359.46</v>
      </c>
      <c r="J714" s="9" t="s">
        <v>1387</v>
      </c>
      <c r="K714" s="9" t="s">
        <v>1388</v>
      </c>
      <c r="L714" s="83">
        <v>45200</v>
      </c>
      <c r="M714" s="83">
        <v>45230</v>
      </c>
    </row>
    <row r="715" spans="1:13" ht="14.25" customHeight="1" x14ac:dyDescent="0.25">
      <c r="A715" s="9" t="s">
        <v>0</v>
      </c>
      <c r="B715" s="81">
        <v>113381</v>
      </c>
      <c r="C715" s="81">
        <v>10750</v>
      </c>
      <c r="D715" s="9" t="s">
        <v>741</v>
      </c>
      <c r="E715" s="81">
        <v>14563091</v>
      </c>
      <c r="F715" s="81">
        <v>31196</v>
      </c>
      <c r="G715" s="81">
        <v>1</v>
      </c>
      <c r="H715" s="82">
        <v>359.46</v>
      </c>
      <c r="I715" s="251">
        <v>359.46</v>
      </c>
      <c r="J715" s="9" t="s">
        <v>1387</v>
      </c>
      <c r="K715" s="9" t="s">
        <v>1388</v>
      </c>
      <c r="L715" s="83">
        <v>45200</v>
      </c>
      <c r="M715" s="83">
        <v>45230</v>
      </c>
    </row>
    <row r="716" spans="1:13" ht="14.25" customHeight="1" x14ac:dyDescent="0.25">
      <c r="A716" s="9" t="s">
        <v>10</v>
      </c>
      <c r="B716" s="81">
        <v>112252</v>
      </c>
      <c r="C716" s="81">
        <v>10750</v>
      </c>
      <c r="D716" s="9" t="s">
        <v>63</v>
      </c>
      <c r="E716" s="81">
        <v>14563091</v>
      </c>
      <c r="F716" s="81">
        <v>28938</v>
      </c>
      <c r="G716" s="81">
        <v>1</v>
      </c>
      <c r="H716" s="82">
        <v>359.46</v>
      </c>
      <c r="I716" s="251">
        <v>359.46</v>
      </c>
      <c r="J716" s="9" t="s">
        <v>1387</v>
      </c>
      <c r="K716" s="9" t="s">
        <v>1388</v>
      </c>
      <c r="L716" s="83">
        <v>45200</v>
      </c>
      <c r="M716" s="83">
        <v>45230</v>
      </c>
    </row>
    <row r="717" spans="1:13" ht="14.25" customHeight="1" x14ac:dyDescent="0.25">
      <c r="A717" s="9" t="s">
        <v>19</v>
      </c>
      <c r="B717" s="81">
        <v>113036</v>
      </c>
      <c r="C717" s="81">
        <v>10751</v>
      </c>
      <c r="D717" s="9" t="s">
        <v>554</v>
      </c>
      <c r="E717" s="81">
        <v>14563091</v>
      </c>
      <c r="F717" s="81">
        <v>30506</v>
      </c>
      <c r="G717" s="81">
        <v>1</v>
      </c>
      <c r="H717" s="82">
        <v>359.46</v>
      </c>
      <c r="I717" s="251">
        <v>359.46</v>
      </c>
      <c r="J717" s="9" t="s">
        <v>1387</v>
      </c>
      <c r="K717" s="9" t="s">
        <v>1388</v>
      </c>
      <c r="L717" s="83">
        <v>45200</v>
      </c>
      <c r="M717" s="83">
        <v>45230</v>
      </c>
    </row>
    <row r="718" spans="1:13" ht="14.25" customHeight="1" x14ac:dyDescent="0.25">
      <c r="A718" s="9" t="s">
        <v>0</v>
      </c>
      <c r="B718" s="81">
        <v>113358</v>
      </c>
      <c r="C718" s="81">
        <v>10750</v>
      </c>
      <c r="D718" s="9" t="s">
        <v>725</v>
      </c>
      <c r="E718" s="81">
        <v>14563091</v>
      </c>
      <c r="F718" s="81">
        <v>31150</v>
      </c>
      <c r="G718" s="81">
        <v>1</v>
      </c>
      <c r="H718" s="82">
        <v>359.46</v>
      </c>
      <c r="I718" s="251">
        <v>359.46</v>
      </c>
      <c r="J718" s="9" t="s">
        <v>1387</v>
      </c>
      <c r="K718" s="9" t="s">
        <v>1388</v>
      </c>
      <c r="L718" s="83">
        <v>45200</v>
      </c>
      <c r="M718" s="83">
        <v>45230</v>
      </c>
    </row>
    <row r="719" spans="1:13" ht="14.25" customHeight="1" x14ac:dyDescent="0.25">
      <c r="A719" s="9" t="s">
        <v>1578</v>
      </c>
      <c r="B719" s="81">
        <v>113614</v>
      </c>
      <c r="C719" s="81">
        <v>10767</v>
      </c>
      <c r="D719" s="9" t="s">
        <v>779</v>
      </c>
      <c r="E719" s="81">
        <v>14563091</v>
      </c>
      <c r="F719" s="81">
        <v>31662</v>
      </c>
      <c r="G719" s="81">
        <v>1</v>
      </c>
      <c r="H719" s="82">
        <v>359.46</v>
      </c>
      <c r="I719" s="251">
        <v>359.46</v>
      </c>
      <c r="J719" s="9" t="s">
        <v>1387</v>
      </c>
      <c r="K719" s="9" t="s">
        <v>1388</v>
      </c>
      <c r="L719" s="83">
        <v>45200</v>
      </c>
      <c r="M719" s="83">
        <v>45230</v>
      </c>
    </row>
    <row r="720" spans="1:13" ht="14.25" customHeight="1" x14ac:dyDescent="0.25">
      <c r="A720" s="9" t="s">
        <v>1578</v>
      </c>
      <c r="B720" s="81">
        <v>113651</v>
      </c>
      <c r="C720" s="81">
        <v>10762</v>
      </c>
      <c r="D720" s="9" t="s">
        <v>779</v>
      </c>
      <c r="E720" s="81">
        <v>14563091</v>
      </c>
      <c r="F720" s="81">
        <v>31736</v>
      </c>
      <c r="G720" s="81">
        <v>1</v>
      </c>
      <c r="H720" s="82">
        <v>359.46</v>
      </c>
      <c r="I720" s="251">
        <v>359.46</v>
      </c>
      <c r="J720" s="9" t="s">
        <v>1387</v>
      </c>
      <c r="K720" s="9" t="s">
        <v>1388</v>
      </c>
      <c r="L720" s="83">
        <v>45200</v>
      </c>
      <c r="M720" s="83">
        <v>45230</v>
      </c>
    </row>
    <row r="721" spans="1:13" ht="14.25" customHeight="1" x14ac:dyDescent="0.25">
      <c r="A721" s="9" t="s">
        <v>0</v>
      </c>
      <c r="B721" s="81">
        <v>113437</v>
      </c>
      <c r="C721" s="81">
        <v>10754</v>
      </c>
      <c r="D721" s="9" t="s">
        <v>779</v>
      </c>
      <c r="E721" s="81">
        <v>14563091</v>
      </c>
      <c r="F721" s="81">
        <v>31308</v>
      </c>
      <c r="G721" s="81">
        <v>1</v>
      </c>
      <c r="H721" s="82">
        <v>359.46</v>
      </c>
      <c r="I721" s="251">
        <v>359.46</v>
      </c>
      <c r="J721" s="9" t="s">
        <v>1387</v>
      </c>
      <c r="K721" s="9" t="s">
        <v>1388</v>
      </c>
      <c r="L721" s="83">
        <v>45200</v>
      </c>
      <c r="M721" s="83">
        <v>45230</v>
      </c>
    </row>
    <row r="722" spans="1:13" ht="14.25" customHeight="1" x14ac:dyDescent="0.25">
      <c r="A722" s="9" t="s">
        <v>1578</v>
      </c>
      <c r="B722" s="81">
        <v>113617</v>
      </c>
      <c r="C722" s="81">
        <v>10761</v>
      </c>
      <c r="D722" s="9" t="s">
        <v>874</v>
      </c>
      <c r="E722" s="81">
        <v>14563091</v>
      </c>
      <c r="F722" s="81">
        <v>31668</v>
      </c>
      <c r="G722" s="81">
        <v>1</v>
      </c>
      <c r="H722" s="82">
        <v>359.46</v>
      </c>
      <c r="I722" s="251">
        <v>359.46</v>
      </c>
      <c r="J722" s="9" t="s">
        <v>1387</v>
      </c>
      <c r="K722" s="9" t="s">
        <v>1388</v>
      </c>
      <c r="L722" s="83">
        <v>45200</v>
      </c>
      <c r="M722" s="83">
        <v>45230</v>
      </c>
    </row>
    <row r="723" spans="1:13" ht="14.25" customHeight="1" x14ac:dyDescent="0.25">
      <c r="A723" s="9" t="s">
        <v>1578</v>
      </c>
      <c r="B723" s="81">
        <v>113134</v>
      </c>
      <c r="C723" s="81">
        <v>10768</v>
      </c>
      <c r="D723" s="9" t="s">
        <v>602</v>
      </c>
      <c r="E723" s="81">
        <v>14563091</v>
      </c>
      <c r="F723" s="81">
        <v>30702</v>
      </c>
      <c r="G723" s="81">
        <v>1</v>
      </c>
      <c r="H723" s="82">
        <v>359.46</v>
      </c>
      <c r="I723" s="251">
        <v>359.46</v>
      </c>
      <c r="J723" s="9" t="s">
        <v>1387</v>
      </c>
      <c r="K723" s="9" t="s">
        <v>1388</v>
      </c>
      <c r="L723" s="83">
        <v>45200</v>
      </c>
      <c r="M723" s="83">
        <v>45230</v>
      </c>
    </row>
    <row r="724" spans="1:13" ht="14.25" customHeight="1" x14ac:dyDescent="0.25">
      <c r="A724" s="9" t="s">
        <v>8</v>
      </c>
      <c r="B724" s="81">
        <v>112508</v>
      </c>
      <c r="C724" s="81">
        <v>10756</v>
      </c>
      <c r="D724" s="9" t="s">
        <v>226</v>
      </c>
      <c r="E724" s="81">
        <v>14563091</v>
      </c>
      <c r="F724" s="81">
        <v>29450</v>
      </c>
      <c r="G724" s="81">
        <v>1</v>
      </c>
      <c r="H724" s="82">
        <v>359.46</v>
      </c>
      <c r="I724" s="251">
        <v>359.46</v>
      </c>
      <c r="J724" s="9" t="s">
        <v>1387</v>
      </c>
      <c r="K724" s="9" t="s">
        <v>1388</v>
      </c>
      <c r="L724" s="83">
        <v>45200</v>
      </c>
      <c r="M724" s="83">
        <v>45230</v>
      </c>
    </row>
    <row r="725" spans="1:13" ht="14.25" customHeight="1" x14ac:dyDescent="0.25">
      <c r="A725" s="9" t="s">
        <v>1578</v>
      </c>
      <c r="B725" s="81">
        <v>113335</v>
      </c>
      <c r="C725" s="81">
        <v>10771</v>
      </c>
      <c r="D725" s="9" t="s">
        <v>713</v>
      </c>
      <c r="E725" s="81">
        <v>14563091</v>
      </c>
      <c r="F725" s="81">
        <v>31104</v>
      </c>
      <c r="G725" s="81">
        <v>1</v>
      </c>
      <c r="H725" s="82">
        <v>359.46</v>
      </c>
      <c r="I725" s="251">
        <v>359.46</v>
      </c>
      <c r="J725" s="9" t="s">
        <v>1387</v>
      </c>
      <c r="K725" s="9" t="s">
        <v>1388</v>
      </c>
      <c r="L725" s="83">
        <v>45200</v>
      </c>
      <c r="M725" s="83">
        <v>45230</v>
      </c>
    </row>
    <row r="726" spans="1:13" ht="14.25" customHeight="1" x14ac:dyDescent="0.25">
      <c r="A726" s="9" t="s">
        <v>1578</v>
      </c>
      <c r="B726" s="81">
        <v>113618</v>
      </c>
      <c r="C726" s="81">
        <v>10762</v>
      </c>
      <c r="D726" s="9" t="s">
        <v>1349</v>
      </c>
      <c r="E726" s="81">
        <v>14563091</v>
      </c>
      <c r="F726" s="81">
        <v>31670</v>
      </c>
      <c r="G726" s="81">
        <v>1</v>
      </c>
      <c r="H726" s="82">
        <v>359.46</v>
      </c>
      <c r="I726" s="251">
        <v>359.46</v>
      </c>
      <c r="J726" s="9" t="s">
        <v>1387</v>
      </c>
      <c r="K726" s="9" t="s">
        <v>1388</v>
      </c>
      <c r="L726" s="83">
        <v>45200</v>
      </c>
      <c r="M726" s="83">
        <v>45230</v>
      </c>
    </row>
    <row r="727" spans="1:13" ht="14.25" customHeight="1" x14ac:dyDescent="0.25">
      <c r="A727" s="9" t="s">
        <v>8</v>
      </c>
      <c r="B727" s="81">
        <v>112935</v>
      </c>
      <c r="C727" s="81">
        <v>10751</v>
      </c>
      <c r="D727" s="9" t="s">
        <v>504</v>
      </c>
      <c r="E727" s="81">
        <v>14563091</v>
      </c>
      <c r="F727" s="81">
        <v>30304</v>
      </c>
      <c r="G727" s="81">
        <v>1</v>
      </c>
      <c r="H727" s="82">
        <v>359.46</v>
      </c>
      <c r="I727" s="251">
        <v>359.46</v>
      </c>
      <c r="J727" s="9" t="s">
        <v>1387</v>
      </c>
      <c r="K727" s="9" t="s">
        <v>1388</v>
      </c>
      <c r="L727" s="83">
        <v>45200</v>
      </c>
      <c r="M727" s="83">
        <v>45230</v>
      </c>
    </row>
    <row r="728" spans="1:13" ht="14.25" customHeight="1" x14ac:dyDescent="0.25">
      <c r="A728" s="9" t="s">
        <v>19</v>
      </c>
      <c r="B728" s="81">
        <v>112979</v>
      </c>
      <c r="C728" s="81">
        <v>10755</v>
      </c>
      <c r="D728" s="9" t="s">
        <v>529</v>
      </c>
      <c r="E728" s="81">
        <v>14563091</v>
      </c>
      <c r="F728" s="81">
        <v>30392</v>
      </c>
      <c r="G728" s="81">
        <v>1</v>
      </c>
      <c r="H728" s="82">
        <v>359.46</v>
      </c>
      <c r="I728" s="251">
        <v>359.46</v>
      </c>
      <c r="J728" s="9" t="s">
        <v>1387</v>
      </c>
      <c r="K728" s="9" t="s">
        <v>1388</v>
      </c>
      <c r="L728" s="83">
        <v>45200</v>
      </c>
      <c r="M728" s="83">
        <v>45230</v>
      </c>
    </row>
    <row r="729" spans="1:13" ht="14.25" customHeight="1" x14ac:dyDescent="0.25">
      <c r="A729" s="9" t="s">
        <v>10</v>
      </c>
      <c r="B729" s="81">
        <v>112255</v>
      </c>
      <c r="C729" s="81">
        <v>10750</v>
      </c>
      <c r="D729" s="9" t="s">
        <v>66</v>
      </c>
      <c r="E729" s="81">
        <v>14563091</v>
      </c>
      <c r="F729" s="81">
        <v>28944</v>
      </c>
      <c r="G729" s="81">
        <v>1</v>
      </c>
      <c r="H729" s="82">
        <v>359.46</v>
      </c>
      <c r="I729" s="251">
        <v>359.46</v>
      </c>
      <c r="J729" s="9" t="s">
        <v>1387</v>
      </c>
      <c r="K729" s="9" t="s">
        <v>1388</v>
      </c>
      <c r="L729" s="83">
        <v>45200</v>
      </c>
      <c r="M729" s="83">
        <v>45230</v>
      </c>
    </row>
    <row r="730" spans="1:13" ht="14.25" customHeight="1" x14ac:dyDescent="0.25">
      <c r="A730" s="9" t="s">
        <v>1578</v>
      </c>
      <c r="B730" s="81">
        <v>119111</v>
      </c>
      <c r="C730" s="81">
        <v>10771</v>
      </c>
      <c r="D730" s="9" t="s">
        <v>1434</v>
      </c>
      <c r="E730" s="81">
        <v>14563091</v>
      </c>
      <c r="F730" s="81">
        <v>48244</v>
      </c>
      <c r="G730" s="81">
        <v>1</v>
      </c>
      <c r="H730" s="82">
        <v>359.46</v>
      </c>
      <c r="I730" s="251">
        <v>359.46</v>
      </c>
      <c r="J730" s="9" t="s">
        <v>1387</v>
      </c>
      <c r="K730" s="9" t="s">
        <v>1388</v>
      </c>
      <c r="L730" s="83">
        <v>45200</v>
      </c>
      <c r="M730" s="83">
        <v>45230</v>
      </c>
    </row>
    <row r="731" spans="1:13" ht="14.25" customHeight="1" x14ac:dyDescent="0.25">
      <c r="A731" s="9" t="s">
        <v>8</v>
      </c>
      <c r="B731" s="81">
        <v>112259</v>
      </c>
      <c r="C731" s="81">
        <v>10750</v>
      </c>
      <c r="D731" s="9" t="s">
        <v>70</v>
      </c>
      <c r="E731" s="81">
        <v>14563091</v>
      </c>
      <c r="F731" s="81">
        <v>28952</v>
      </c>
      <c r="G731" s="81">
        <v>1</v>
      </c>
      <c r="H731" s="82">
        <v>359.46</v>
      </c>
      <c r="I731" s="251">
        <v>359.46</v>
      </c>
      <c r="J731" s="9" t="s">
        <v>1387</v>
      </c>
      <c r="K731" s="9" t="s">
        <v>1388</v>
      </c>
      <c r="L731" s="83">
        <v>45200</v>
      </c>
      <c r="M731" s="83">
        <v>45230</v>
      </c>
    </row>
    <row r="732" spans="1:13" ht="14.25" customHeight="1" x14ac:dyDescent="0.25">
      <c r="A732" s="9" t="s">
        <v>19</v>
      </c>
      <c r="B732" s="81">
        <v>112989</v>
      </c>
      <c r="C732" s="81">
        <v>10756</v>
      </c>
      <c r="D732" s="9" t="s">
        <v>532</v>
      </c>
      <c r="E732" s="81">
        <v>14563091</v>
      </c>
      <c r="F732" s="81">
        <v>30412</v>
      </c>
      <c r="G732" s="81">
        <v>1</v>
      </c>
      <c r="H732" s="82">
        <v>359.46</v>
      </c>
      <c r="I732" s="251">
        <v>359.46</v>
      </c>
      <c r="J732" s="9" t="s">
        <v>1387</v>
      </c>
      <c r="K732" s="9" t="s">
        <v>1388</v>
      </c>
      <c r="L732" s="83">
        <v>45200</v>
      </c>
      <c r="M732" s="83">
        <v>45230</v>
      </c>
    </row>
    <row r="733" spans="1:13" ht="14.25" customHeight="1" x14ac:dyDescent="0.25">
      <c r="A733" s="9" t="s">
        <v>8</v>
      </c>
      <c r="B733" s="81">
        <v>112937</v>
      </c>
      <c r="C733" s="81">
        <v>10754</v>
      </c>
      <c r="D733" s="9" t="s">
        <v>506</v>
      </c>
      <c r="E733" s="81">
        <v>14563091</v>
      </c>
      <c r="F733" s="81">
        <v>30308</v>
      </c>
      <c r="G733" s="81">
        <v>1</v>
      </c>
      <c r="H733" s="82">
        <v>359.46</v>
      </c>
      <c r="I733" s="251">
        <v>359.46</v>
      </c>
      <c r="J733" s="9" t="s">
        <v>1387</v>
      </c>
      <c r="K733" s="9" t="s">
        <v>1388</v>
      </c>
      <c r="L733" s="83">
        <v>45200</v>
      </c>
      <c r="M733" s="83">
        <v>45230</v>
      </c>
    </row>
    <row r="734" spans="1:13" ht="14.25" customHeight="1" x14ac:dyDescent="0.25">
      <c r="A734" s="9" t="s">
        <v>8</v>
      </c>
      <c r="B734" s="81">
        <v>119112</v>
      </c>
      <c r="C734" s="81">
        <v>10758</v>
      </c>
      <c r="D734" s="9" t="s">
        <v>1435</v>
      </c>
      <c r="E734" s="81">
        <v>14563091</v>
      </c>
      <c r="F734" s="81">
        <v>48246</v>
      </c>
      <c r="G734" s="81">
        <v>1</v>
      </c>
      <c r="H734" s="82">
        <v>359.46</v>
      </c>
      <c r="I734" s="251">
        <v>359.46</v>
      </c>
      <c r="J734" s="9" t="s">
        <v>1387</v>
      </c>
      <c r="K734" s="9" t="s">
        <v>1388</v>
      </c>
      <c r="L734" s="83">
        <v>45200</v>
      </c>
      <c r="M734" s="83">
        <v>45230</v>
      </c>
    </row>
    <row r="735" spans="1:13" ht="14.25" customHeight="1" x14ac:dyDescent="0.25">
      <c r="A735" s="9" t="s">
        <v>0</v>
      </c>
      <c r="B735" s="81">
        <v>113384</v>
      </c>
      <c r="C735" s="81">
        <v>10754</v>
      </c>
      <c r="D735" s="9" t="s">
        <v>742</v>
      </c>
      <c r="E735" s="81">
        <v>14563091</v>
      </c>
      <c r="F735" s="81">
        <v>31202</v>
      </c>
      <c r="G735" s="81">
        <v>1</v>
      </c>
      <c r="H735" s="82">
        <v>359.46</v>
      </c>
      <c r="I735" s="251">
        <v>359.46</v>
      </c>
      <c r="J735" s="9" t="s">
        <v>1387</v>
      </c>
      <c r="K735" s="9" t="s">
        <v>1388</v>
      </c>
      <c r="L735" s="83">
        <v>45200</v>
      </c>
      <c r="M735" s="83">
        <v>45230</v>
      </c>
    </row>
    <row r="736" spans="1:13" ht="14.25" customHeight="1" x14ac:dyDescent="0.25">
      <c r="A736" s="9" t="s">
        <v>19</v>
      </c>
      <c r="B736" s="81">
        <v>112983</v>
      </c>
      <c r="C736" s="81">
        <v>10758</v>
      </c>
      <c r="D736" s="9" t="s">
        <v>530</v>
      </c>
      <c r="E736" s="81">
        <v>14563091</v>
      </c>
      <c r="F736" s="81">
        <v>30400</v>
      </c>
      <c r="G736" s="81">
        <v>1</v>
      </c>
      <c r="H736" s="82">
        <v>359.46</v>
      </c>
      <c r="I736" s="251">
        <v>359.46</v>
      </c>
      <c r="J736" s="9" t="s">
        <v>1387</v>
      </c>
      <c r="K736" s="9" t="s">
        <v>1388</v>
      </c>
      <c r="L736" s="83">
        <v>45200</v>
      </c>
      <c r="M736" s="83">
        <v>45230</v>
      </c>
    </row>
    <row r="737" spans="1:13" ht="14.25" customHeight="1" x14ac:dyDescent="0.25">
      <c r="A737" s="9" t="s">
        <v>10</v>
      </c>
      <c r="B737" s="81">
        <v>112320</v>
      </c>
      <c r="C737" s="81">
        <v>10750</v>
      </c>
      <c r="D737" s="9" t="s">
        <v>105</v>
      </c>
      <c r="E737" s="81">
        <v>14563091</v>
      </c>
      <c r="F737" s="81">
        <v>29074</v>
      </c>
      <c r="G737" s="81">
        <v>1</v>
      </c>
      <c r="H737" s="82">
        <v>359.46</v>
      </c>
      <c r="I737" s="251">
        <v>359.46</v>
      </c>
      <c r="J737" s="9" t="s">
        <v>1387</v>
      </c>
      <c r="K737" s="9" t="s">
        <v>1388</v>
      </c>
      <c r="L737" s="83">
        <v>45200</v>
      </c>
      <c r="M737" s="83">
        <v>45230</v>
      </c>
    </row>
    <row r="738" spans="1:13" ht="14.25" customHeight="1" x14ac:dyDescent="0.25">
      <c r="A738" s="9" t="s">
        <v>32</v>
      </c>
      <c r="B738" s="81">
        <v>112499</v>
      </c>
      <c r="C738" s="81">
        <v>10756</v>
      </c>
      <c r="D738" s="9" t="s">
        <v>218</v>
      </c>
      <c r="E738" s="81">
        <v>14563091</v>
      </c>
      <c r="F738" s="81">
        <v>29432</v>
      </c>
      <c r="G738" s="81">
        <v>1</v>
      </c>
      <c r="H738" s="82">
        <v>359.46</v>
      </c>
      <c r="I738" s="251">
        <v>359.46</v>
      </c>
      <c r="J738" s="9" t="s">
        <v>1387</v>
      </c>
      <c r="K738" s="9" t="s">
        <v>1388</v>
      </c>
      <c r="L738" s="83">
        <v>45200</v>
      </c>
      <c r="M738" s="83">
        <v>45230</v>
      </c>
    </row>
    <row r="739" spans="1:13" ht="14.25" customHeight="1" x14ac:dyDescent="0.25">
      <c r="A739" s="9" t="s">
        <v>0</v>
      </c>
      <c r="B739" s="81">
        <v>122834</v>
      </c>
      <c r="C739" s="81">
        <v>10758</v>
      </c>
      <c r="D739" s="9" t="s">
        <v>1723</v>
      </c>
      <c r="E739" s="81">
        <v>14563091</v>
      </c>
      <c r="F739" s="81">
        <v>57235</v>
      </c>
      <c r="G739" s="81">
        <v>1</v>
      </c>
      <c r="H739" s="82">
        <v>359.46</v>
      </c>
      <c r="I739" s="251">
        <v>359.46</v>
      </c>
      <c r="J739" s="9" t="s">
        <v>1387</v>
      </c>
      <c r="K739" s="9" t="s">
        <v>1388</v>
      </c>
      <c r="L739" s="83">
        <v>45200</v>
      </c>
      <c r="M739" s="83">
        <v>45230</v>
      </c>
    </row>
    <row r="740" spans="1:13" ht="14.25" customHeight="1" x14ac:dyDescent="0.25">
      <c r="A740" s="9" t="s">
        <v>19</v>
      </c>
      <c r="B740" s="81">
        <v>113039</v>
      </c>
      <c r="C740" s="81">
        <v>10751</v>
      </c>
      <c r="D740" s="9" t="s">
        <v>108</v>
      </c>
      <c r="E740" s="81">
        <v>14563091</v>
      </c>
      <c r="F740" s="81">
        <v>30512</v>
      </c>
      <c r="G740" s="81">
        <v>1</v>
      </c>
      <c r="H740" s="82">
        <v>359.46</v>
      </c>
      <c r="I740" s="251">
        <v>359.46</v>
      </c>
      <c r="J740" s="9" t="s">
        <v>1387</v>
      </c>
      <c r="K740" s="9" t="s">
        <v>1388</v>
      </c>
      <c r="L740" s="83">
        <v>45200</v>
      </c>
      <c r="M740" s="83">
        <v>45230</v>
      </c>
    </row>
    <row r="741" spans="1:13" ht="14.25" customHeight="1" x14ac:dyDescent="0.25">
      <c r="A741" s="9" t="s">
        <v>1578</v>
      </c>
      <c r="B741" s="81">
        <v>113628</v>
      </c>
      <c r="C741" s="81">
        <v>10756</v>
      </c>
      <c r="D741" s="9" t="s">
        <v>881</v>
      </c>
      <c r="E741" s="81">
        <v>14563091</v>
      </c>
      <c r="F741" s="81">
        <v>31690</v>
      </c>
      <c r="G741" s="81">
        <v>1</v>
      </c>
      <c r="H741" s="82">
        <v>359.46</v>
      </c>
      <c r="I741" s="251">
        <v>359.46</v>
      </c>
      <c r="J741" s="9" t="s">
        <v>1387</v>
      </c>
      <c r="K741" s="9" t="s">
        <v>1388</v>
      </c>
      <c r="L741" s="83">
        <v>45200</v>
      </c>
      <c r="M741" s="83">
        <v>45230</v>
      </c>
    </row>
    <row r="742" spans="1:13" ht="14.25" customHeight="1" x14ac:dyDescent="0.25">
      <c r="A742" s="9" t="s">
        <v>1578</v>
      </c>
      <c r="B742" s="81">
        <v>114923</v>
      </c>
      <c r="C742" s="81">
        <v>10757</v>
      </c>
      <c r="D742" s="9" t="s">
        <v>1109</v>
      </c>
      <c r="E742" s="81">
        <v>14563091</v>
      </c>
      <c r="F742" s="81">
        <v>37626</v>
      </c>
      <c r="G742" s="81">
        <v>1</v>
      </c>
      <c r="H742" s="82">
        <v>359.46</v>
      </c>
      <c r="I742" s="251">
        <v>359.46</v>
      </c>
      <c r="J742" s="9" t="s">
        <v>1387</v>
      </c>
      <c r="K742" s="9" t="s">
        <v>1388</v>
      </c>
      <c r="L742" s="83">
        <v>45200</v>
      </c>
      <c r="M742" s="83">
        <v>45230</v>
      </c>
    </row>
    <row r="743" spans="1:13" ht="14.25" customHeight="1" x14ac:dyDescent="0.25">
      <c r="A743" s="9" t="s">
        <v>8</v>
      </c>
      <c r="B743" s="81">
        <v>112352</v>
      </c>
      <c r="C743" s="81">
        <v>10755</v>
      </c>
      <c r="D743" s="9" t="s">
        <v>126</v>
      </c>
      <c r="E743" s="81">
        <v>14563091</v>
      </c>
      <c r="F743" s="81">
        <v>29138</v>
      </c>
      <c r="G743" s="81">
        <v>1</v>
      </c>
      <c r="H743" s="82">
        <v>359.46</v>
      </c>
      <c r="I743" s="251">
        <v>359.46</v>
      </c>
      <c r="J743" s="9" t="s">
        <v>1387</v>
      </c>
      <c r="K743" s="9" t="s">
        <v>1388</v>
      </c>
      <c r="L743" s="83">
        <v>45200</v>
      </c>
      <c r="M743" s="83">
        <v>45230</v>
      </c>
    </row>
    <row r="744" spans="1:13" ht="14.25" customHeight="1" x14ac:dyDescent="0.25">
      <c r="A744" s="9" t="s">
        <v>32</v>
      </c>
      <c r="B744" s="81">
        <v>112505</v>
      </c>
      <c r="C744" s="81">
        <v>10756</v>
      </c>
      <c r="D744" s="9" t="s">
        <v>223</v>
      </c>
      <c r="E744" s="81">
        <v>14563091</v>
      </c>
      <c r="F744" s="81">
        <v>29444</v>
      </c>
      <c r="G744" s="81">
        <v>1</v>
      </c>
      <c r="H744" s="82">
        <v>359.46</v>
      </c>
      <c r="I744" s="251">
        <v>359.46</v>
      </c>
      <c r="J744" s="9" t="s">
        <v>1387</v>
      </c>
      <c r="K744" s="9" t="s">
        <v>1388</v>
      </c>
      <c r="L744" s="83">
        <v>45200</v>
      </c>
      <c r="M744" s="83">
        <v>45230</v>
      </c>
    </row>
    <row r="745" spans="1:13" ht="14.25" customHeight="1" x14ac:dyDescent="0.25">
      <c r="A745" s="9" t="s">
        <v>10</v>
      </c>
      <c r="B745" s="81">
        <v>112328</v>
      </c>
      <c r="C745" s="81">
        <v>10750</v>
      </c>
      <c r="D745" s="9" t="s">
        <v>110</v>
      </c>
      <c r="E745" s="81">
        <v>14563091</v>
      </c>
      <c r="F745" s="81">
        <v>29090</v>
      </c>
      <c r="G745" s="81">
        <v>1</v>
      </c>
      <c r="H745" s="82">
        <v>359.46</v>
      </c>
      <c r="I745" s="251">
        <v>359.46</v>
      </c>
      <c r="J745" s="9" t="s">
        <v>1387</v>
      </c>
      <c r="K745" s="9" t="s">
        <v>1388</v>
      </c>
      <c r="L745" s="83">
        <v>45200</v>
      </c>
      <c r="M745" s="83">
        <v>45230</v>
      </c>
    </row>
    <row r="746" spans="1:13" ht="14.25" customHeight="1" x14ac:dyDescent="0.25">
      <c r="A746" s="9" t="s">
        <v>0</v>
      </c>
      <c r="B746" s="81">
        <v>113412</v>
      </c>
      <c r="C746" s="81">
        <v>10750</v>
      </c>
      <c r="D746" s="9" t="s">
        <v>761</v>
      </c>
      <c r="E746" s="81">
        <v>14563091</v>
      </c>
      <c r="F746" s="81">
        <v>31258</v>
      </c>
      <c r="G746" s="81">
        <v>1</v>
      </c>
      <c r="H746" s="82">
        <v>359.46</v>
      </c>
      <c r="I746" s="251">
        <v>359.46</v>
      </c>
      <c r="J746" s="9" t="s">
        <v>1387</v>
      </c>
      <c r="K746" s="9" t="s">
        <v>1388</v>
      </c>
      <c r="L746" s="83">
        <v>45200</v>
      </c>
      <c r="M746" s="83">
        <v>45230</v>
      </c>
    </row>
    <row r="747" spans="1:13" ht="14.25" customHeight="1" x14ac:dyDescent="0.25">
      <c r="A747" s="9" t="s">
        <v>1578</v>
      </c>
      <c r="B747" s="81">
        <v>113161</v>
      </c>
      <c r="C747" s="81">
        <v>10767</v>
      </c>
      <c r="D747" s="9" t="s">
        <v>620</v>
      </c>
      <c r="E747" s="81">
        <v>14563091</v>
      </c>
      <c r="F747" s="81">
        <v>30756</v>
      </c>
      <c r="G747" s="81">
        <v>1</v>
      </c>
      <c r="H747" s="82">
        <v>359.46</v>
      </c>
      <c r="I747" s="251">
        <v>359.46</v>
      </c>
      <c r="J747" s="9" t="s">
        <v>1387</v>
      </c>
      <c r="K747" s="9" t="s">
        <v>1388</v>
      </c>
      <c r="L747" s="83">
        <v>45200</v>
      </c>
      <c r="M747" s="83">
        <v>45230</v>
      </c>
    </row>
    <row r="748" spans="1:13" ht="14.25" customHeight="1" x14ac:dyDescent="0.25">
      <c r="A748" s="9" t="s">
        <v>8</v>
      </c>
      <c r="B748" s="81">
        <v>112940</v>
      </c>
      <c r="C748" s="81">
        <v>10750</v>
      </c>
      <c r="D748" s="9" t="s">
        <v>507</v>
      </c>
      <c r="E748" s="81">
        <v>14563091</v>
      </c>
      <c r="F748" s="81">
        <v>30314</v>
      </c>
      <c r="G748" s="81">
        <v>1</v>
      </c>
      <c r="H748" s="82">
        <v>359.46</v>
      </c>
      <c r="I748" s="251">
        <v>359.46</v>
      </c>
      <c r="J748" s="9" t="s">
        <v>1387</v>
      </c>
      <c r="K748" s="9" t="s">
        <v>1388</v>
      </c>
      <c r="L748" s="83">
        <v>45200</v>
      </c>
      <c r="M748" s="83">
        <v>45230</v>
      </c>
    </row>
    <row r="749" spans="1:13" ht="14.25" customHeight="1" x14ac:dyDescent="0.25">
      <c r="A749" s="9" t="s">
        <v>0</v>
      </c>
      <c r="B749" s="81">
        <v>112221</v>
      </c>
      <c r="C749" s="81">
        <v>10758</v>
      </c>
      <c r="D749" s="9" t="s">
        <v>42</v>
      </c>
      <c r="E749" s="81">
        <v>14563091</v>
      </c>
      <c r="F749" s="81">
        <v>28876</v>
      </c>
      <c r="G749" s="81">
        <v>1</v>
      </c>
      <c r="H749" s="82">
        <v>359.46</v>
      </c>
      <c r="I749" s="251">
        <v>359.46</v>
      </c>
      <c r="J749" s="9" t="s">
        <v>1387</v>
      </c>
      <c r="K749" s="9" t="s">
        <v>1388</v>
      </c>
      <c r="L749" s="83">
        <v>45200</v>
      </c>
      <c r="M749" s="83">
        <v>45230</v>
      </c>
    </row>
    <row r="750" spans="1:13" ht="14.25" customHeight="1" x14ac:dyDescent="0.25">
      <c r="A750" s="9" t="s">
        <v>8</v>
      </c>
      <c r="B750" s="81">
        <v>117244</v>
      </c>
      <c r="C750" s="81">
        <v>10755</v>
      </c>
      <c r="D750" s="9" t="s">
        <v>1258</v>
      </c>
      <c r="E750" s="81">
        <v>14563091</v>
      </c>
      <c r="F750" s="81">
        <v>44104</v>
      </c>
      <c r="G750" s="81">
        <v>1</v>
      </c>
      <c r="H750" s="82">
        <v>359.46</v>
      </c>
      <c r="I750" s="251">
        <v>359.46</v>
      </c>
      <c r="J750" s="9" t="s">
        <v>1387</v>
      </c>
      <c r="K750" s="9" t="s">
        <v>1388</v>
      </c>
      <c r="L750" s="83">
        <v>45200</v>
      </c>
      <c r="M750" s="83">
        <v>45230</v>
      </c>
    </row>
    <row r="751" spans="1:13" ht="14.25" customHeight="1" x14ac:dyDescent="0.25">
      <c r="A751" s="9" t="s">
        <v>8</v>
      </c>
      <c r="B751" s="81">
        <v>112517</v>
      </c>
      <c r="C751" s="81">
        <v>10751</v>
      </c>
      <c r="D751" s="9" t="s">
        <v>233</v>
      </c>
      <c r="E751" s="81">
        <v>14563091</v>
      </c>
      <c r="F751" s="81">
        <v>29468</v>
      </c>
      <c r="G751" s="81">
        <v>1</v>
      </c>
      <c r="H751" s="82">
        <v>359.46</v>
      </c>
      <c r="I751" s="251">
        <v>359.46</v>
      </c>
      <c r="J751" s="9" t="s">
        <v>1387</v>
      </c>
      <c r="K751" s="9" t="s">
        <v>1388</v>
      </c>
      <c r="L751" s="83">
        <v>45200</v>
      </c>
      <c r="M751" s="83">
        <v>45230</v>
      </c>
    </row>
    <row r="752" spans="1:13" ht="14.25" customHeight="1" x14ac:dyDescent="0.25">
      <c r="A752" s="9" t="s">
        <v>8</v>
      </c>
      <c r="B752" s="81">
        <v>112941</v>
      </c>
      <c r="C752" s="81">
        <v>10750</v>
      </c>
      <c r="D752" s="9" t="s">
        <v>508</v>
      </c>
      <c r="E752" s="81">
        <v>14563091</v>
      </c>
      <c r="F752" s="81">
        <v>30316</v>
      </c>
      <c r="G752" s="81">
        <v>1</v>
      </c>
      <c r="H752" s="82">
        <v>359.46</v>
      </c>
      <c r="I752" s="251">
        <v>359.46</v>
      </c>
      <c r="J752" s="9" t="s">
        <v>1387</v>
      </c>
      <c r="K752" s="9" t="s">
        <v>1388</v>
      </c>
      <c r="L752" s="83">
        <v>45200</v>
      </c>
      <c r="M752" s="83">
        <v>45230</v>
      </c>
    </row>
    <row r="753" spans="1:13" ht="14.25" customHeight="1" x14ac:dyDescent="0.25">
      <c r="A753" s="9" t="s">
        <v>8</v>
      </c>
      <c r="B753" s="81">
        <v>112943</v>
      </c>
      <c r="C753" s="81">
        <v>10750</v>
      </c>
      <c r="D753" s="9" t="s">
        <v>510</v>
      </c>
      <c r="E753" s="81">
        <v>14563091</v>
      </c>
      <c r="F753" s="81">
        <v>30320</v>
      </c>
      <c r="G753" s="81">
        <v>1</v>
      </c>
      <c r="H753" s="82">
        <v>359.46</v>
      </c>
      <c r="I753" s="251">
        <v>359.46</v>
      </c>
      <c r="J753" s="9" t="s">
        <v>1387</v>
      </c>
      <c r="K753" s="9" t="s">
        <v>1388</v>
      </c>
      <c r="L753" s="83">
        <v>45200</v>
      </c>
      <c r="M753" s="83">
        <v>45230</v>
      </c>
    </row>
    <row r="754" spans="1:13" ht="14.25" customHeight="1" x14ac:dyDescent="0.25">
      <c r="A754" s="9" t="s">
        <v>1578</v>
      </c>
      <c r="B754" s="81">
        <v>114924</v>
      </c>
      <c r="C754" s="81">
        <v>10766</v>
      </c>
      <c r="D754" s="9" t="s">
        <v>591</v>
      </c>
      <c r="E754" s="81">
        <v>14563091</v>
      </c>
      <c r="F754" s="81">
        <v>37760</v>
      </c>
      <c r="G754" s="81">
        <v>1</v>
      </c>
      <c r="H754" s="82">
        <v>359.46</v>
      </c>
      <c r="I754" s="251">
        <v>359.46</v>
      </c>
      <c r="J754" s="9" t="s">
        <v>1387</v>
      </c>
      <c r="K754" s="9" t="s">
        <v>1388</v>
      </c>
      <c r="L754" s="83">
        <v>45200</v>
      </c>
      <c r="M754" s="83">
        <v>45230</v>
      </c>
    </row>
    <row r="755" spans="1:13" ht="14.25" customHeight="1" x14ac:dyDescent="0.25">
      <c r="A755" s="9" t="s">
        <v>0</v>
      </c>
      <c r="B755" s="81">
        <v>113114</v>
      </c>
      <c r="C755" s="81">
        <v>10750</v>
      </c>
      <c r="D755" s="9" t="s">
        <v>591</v>
      </c>
      <c r="E755" s="81">
        <v>14563091</v>
      </c>
      <c r="F755" s="81">
        <v>30662</v>
      </c>
      <c r="G755" s="81">
        <v>1</v>
      </c>
      <c r="H755" s="82">
        <v>359.46</v>
      </c>
      <c r="I755" s="251">
        <v>359.46</v>
      </c>
      <c r="J755" s="9" t="s">
        <v>1387</v>
      </c>
      <c r="K755" s="9" t="s">
        <v>1388</v>
      </c>
      <c r="L755" s="83">
        <v>45200</v>
      </c>
      <c r="M755" s="83">
        <v>45230</v>
      </c>
    </row>
    <row r="756" spans="1:13" ht="14.25" customHeight="1" x14ac:dyDescent="0.25">
      <c r="A756" s="9" t="s">
        <v>1578</v>
      </c>
      <c r="B756" s="81">
        <v>122409</v>
      </c>
      <c r="C756" s="81">
        <v>10755</v>
      </c>
      <c r="D756" s="9" t="s">
        <v>1689</v>
      </c>
      <c r="E756" s="81">
        <v>14563091</v>
      </c>
      <c r="F756" s="81">
        <v>56138</v>
      </c>
      <c r="G756" s="81">
        <v>1</v>
      </c>
      <c r="H756" s="82">
        <v>359.46</v>
      </c>
      <c r="I756" s="251">
        <v>359.46</v>
      </c>
      <c r="J756" s="9" t="s">
        <v>1387</v>
      </c>
      <c r="K756" s="9" t="s">
        <v>1388</v>
      </c>
      <c r="L756" s="83">
        <v>45200</v>
      </c>
      <c r="M756" s="83">
        <v>45230</v>
      </c>
    </row>
    <row r="757" spans="1:13" ht="14.25" customHeight="1" x14ac:dyDescent="0.25">
      <c r="A757" s="9" t="s">
        <v>8</v>
      </c>
      <c r="B757" s="81">
        <v>121316</v>
      </c>
      <c r="C757" s="81">
        <v>10763</v>
      </c>
      <c r="D757" s="9" t="s">
        <v>1532</v>
      </c>
      <c r="E757" s="81">
        <v>14563091</v>
      </c>
      <c r="F757" s="81">
        <v>53486</v>
      </c>
      <c r="G757" s="81">
        <v>1</v>
      </c>
      <c r="H757" s="82">
        <v>359.46</v>
      </c>
      <c r="I757" s="251">
        <v>359.46</v>
      </c>
      <c r="J757" s="9" t="s">
        <v>1387</v>
      </c>
      <c r="K757" s="9" t="s">
        <v>1388</v>
      </c>
      <c r="L757" s="83">
        <v>45200</v>
      </c>
      <c r="M757" s="83">
        <v>45230</v>
      </c>
    </row>
    <row r="758" spans="1:13" ht="14.25" customHeight="1" x14ac:dyDescent="0.25">
      <c r="A758" s="9" t="s">
        <v>1578</v>
      </c>
      <c r="B758" s="81">
        <v>113344</v>
      </c>
      <c r="C758" s="81">
        <v>10762</v>
      </c>
      <c r="D758" s="9" t="s">
        <v>718</v>
      </c>
      <c r="E758" s="81">
        <v>14563091</v>
      </c>
      <c r="F758" s="81">
        <v>31122</v>
      </c>
      <c r="G758" s="81">
        <v>1</v>
      </c>
      <c r="H758" s="82">
        <v>359.46</v>
      </c>
      <c r="I758" s="251">
        <v>359.46</v>
      </c>
      <c r="J758" s="9" t="s">
        <v>1387</v>
      </c>
      <c r="K758" s="9" t="s">
        <v>1388</v>
      </c>
      <c r="L758" s="83">
        <v>45200</v>
      </c>
      <c r="M758" s="83">
        <v>45230</v>
      </c>
    </row>
    <row r="759" spans="1:13" ht="14.25" customHeight="1" x14ac:dyDescent="0.25">
      <c r="A759" s="9" t="s">
        <v>10</v>
      </c>
      <c r="B759" s="81">
        <v>112264</v>
      </c>
      <c r="C759" s="81">
        <v>10750</v>
      </c>
      <c r="D759" s="9" t="s">
        <v>1350</v>
      </c>
      <c r="E759" s="81">
        <v>14563091</v>
      </c>
      <c r="F759" s="81">
        <v>28962</v>
      </c>
      <c r="G759" s="81">
        <v>1</v>
      </c>
      <c r="H759" s="82">
        <v>359.46</v>
      </c>
      <c r="I759" s="251">
        <v>359.46</v>
      </c>
      <c r="J759" s="9" t="s">
        <v>1387</v>
      </c>
      <c r="K759" s="9" t="s">
        <v>1388</v>
      </c>
      <c r="L759" s="83">
        <v>45200</v>
      </c>
      <c r="M759" s="83">
        <v>45230</v>
      </c>
    </row>
    <row r="760" spans="1:13" ht="14.25" customHeight="1" x14ac:dyDescent="0.25">
      <c r="A760" s="9" t="s">
        <v>8</v>
      </c>
      <c r="B760" s="81">
        <v>112944</v>
      </c>
      <c r="C760" s="81">
        <v>10751</v>
      </c>
      <c r="D760" s="9" t="s">
        <v>511</v>
      </c>
      <c r="E760" s="81">
        <v>14563091</v>
      </c>
      <c r="F760" s="81">
        <v>30322</v>
      </c>
      <c r="G760" s="81">
        <v>1</v>
      </c>
      <c r="H760" s="82">
        <v>359.46</v>
      </c>
      <c r="I760" s="251">
        <v>359.46</v>
      </c>
      <c r="J760" s="9" t="s">
        <v>1387</v>
      </c>
      <c r="K760" s="9" t="s">
        <v>1388</v>
      </c>
      <c r="L760" s="83">
        <v>45200</v>
      </c>
      <c r="M760" s="83">
        <v>45230</v>
      </c>
    </row>
    <row r="761" spans="1:13" ht="14.25" customHeight="1" x14ac:dyDescent="0.25">
      <c r="A761" s="9" t="s">
        <v>1578</v>
      </c>
      <c r="B761" s="81">
        <v>113637</v>
      </c>
      <c r="C761" s="81">
        <v>10768</v>
      </c>
      <c r="D761" s="9" t="s">
        <v>888</v>
      </c>
      <c r="E761" s="81">
        <v>14563091</v>
      </c>
      <c r="F761" s="81">
        <v>31708</v>
      </c>
      <c r="G761" s="81">
        <v>1</v>
      </c>
      <c r="H761" s="82">
        <v>359.46</v>
      </c>
      <c r="I761" s="251">
        <v>359.46</v>
      </c>
      <c r="J761" s="9" t="s">
        <v>1387</v>
      </c>
      <c r="K761" s="9" t="s">
        <v>1388</v>
      </c>
      <c r="L761" s="83">
        <v>45200</v>
      </c>
      <c r="M761" s="83">
        <v>45230</v>
      </c>
    </row>
    <row r="762" spans="1:13" ht="14.25" customHeight="1" x14ac:dyDescent="0.25">
      <c r="A762" s="9" t="s">
        <v>0</v>
      </c>
      <c r="B762" s="81">
        <v>113448</v>
      </c>
      <c r="C762" s="81">
        <v>10754</v>
      </c>
      <c r="D762" s="9" t="s">
        <v>785</v>
      </c>
      <c r="E762" s="81">
        <v>14563091</v>
      </c>
      <c r="F762" s="81">
        <v>31330</v>
      </c>
      <c r="G762" s="81">
        <v>1</v>
      </c>
      <c r="H762" s="82">
        <v>359.46</v>
      </c>
      <c r="I762" s="251">
        <v>359.46</v>
      </c>
      <c r="J762" s="9" t="s">
        <v>1387</v>
      </c>
      <c r="K762" s="9" t="s">
        <v>1388</v>
      </c>
      <c r="L762" s="83">
        <v>45200</v>
      </c>
      <c r="M762" s="83">
        <v>45230</v>
      </c>
    </row>
    <row r="763" spans="1:13" ht="14.25" customHeight="1" x14ac:dyDescent="0.25">
      <c r="A763" s="9" t="s">
        <v>1578</v>
      </c>
      <c r="B763" s="81">
        <v>113320</v>
      </c>
      <c r="C763" s="81">
        <v>10768</v>
      </c>
      <c r="D763" s="9" t="s">
        <v>704</v>
      </c>
      <c r="E763" s="81">
        <v>14563091</v>
      </c>
      <c r="F763" s="81">
        <v>31074</v>
      </c>
      <c r="G763" s="81">
        <v>1</v>
      </c>
      <c r="H763" s="82">
        <v>359.46</v>
      </c>
      <c r="I763" s="251">
        <v>359.46</v>
      </c>
      <c r="J763" s="9" t="s">
        <v>1387</v>
      </c>
      <c r="K763" s="9" t="s">
        <v>1388</v>
      </c>
      <c r="L763" s="83">
        <v>45200</v>
      </c>
      <c r="M763" s="83">
        <v>45230</v>
      </c>
    </row>
    <row r="764" spans="1:13" ht="14.25" customHeight="1" x14ac:dyDescent="0.25">
      <c r="A764" s="9" t="s">
        <v>8</v>
      </c>
      <c r="B764" s="81">
        <v>112946</v>
      </c>
      <c r="C764" s="81">
        <v>10750</v>
      </c>
      <c r="D764" s="9" t="s">
        <v>256</v>
      </c>
      <c r="E764" s="81">
        <v>14563091</v>
      </c>
      <c r="F764" s="81">
        <v>30326</v>
      </c>
      <c r="G764" s="81">
        <v>1</v>
      </c>
      <c r="H764" s="82">
        <v>359.46</v>
      </c>
      <c r="I764" s="251">
        <v>359.46</v>
      </c>
      <c r="J764" s="9" t="s">
        <v>1387</v>
      </c>
      <c r="K764" s="9" t="s">
        <v>1388</v>
      </c>
      <c r="L764" s="83">
        <v>45200</v>
      </c>
      <c r="M764" s="83">
        <v>45230</v>
      </c>
    </row>
    <row r="765" spans="1:13" ht="14.25" customHeight="1" x14ac:dyDescent="0.25">
      <c r="A765" s="9" t="s">
        <v>0</v>
      </c>
      <c r="B765" s="81">
        <v>113362</v>
      </c>
      <c r="C765" s="81">
        <v>10754</v>
      </c>
      <c r="D765" s="9" t="s">
        <v>728</v>
      </c>
      <c r="E765" s="81">
        <v>14563091</v>
      </c>
      <c r="F765" s="81">
        <v>31158</v>
      </c>
      <c r="G765" s="81">
        <v>1</v>
      </c>
      <c r="H765" s="82">
        <v>359.46</v>
      </c>
      <c r="I765" s="251">
        <v>359.46</v>
      </c>
      <c r="J765" s="9" t="s">
        <v>1387</v>
      </c>
      <c r="K765" s="9" t="s">
        <v>1388</v>
      </c>
      <c r="L765" s="83">
        <v>45200</v>
      </c>
      <c r="M765" s="83">
        <v>45230</v>
      </c>
    </row>
    <row r="766" spans="1:13" ht="14.25" customHeight="1" x14ac:dyDescent="0.25">
      <c r="A766" s="9" t="s">
        <v>0</v>
      </c>
      <c r="B766" s="81">
        <v>113385</v>
      </c>
      <c r="C766" s="81">
        <v>10750</v>
      </c>
      <c r="D766" s="9" t="s">
        <v>743</v>
      </c>
      <c r="E766" s="81">
        <v>14563091</v>
      </c>
      <c r="F766" s="81">
        <v>31204</v>
      </c>
      <c r="G766" s="81">
        <v>1</v>
      </c>
      <c r="H766" s="82">
        <v>359.46</v>
      </c>
      <c r="I766" s="251">
        <v>359.46</v>
      </c>
      <c r="J766" s="9" t="s">
        <v>1387</v>
      </c>
      <c r="K766" s="9" t="s">
        <v>1388</v>
      </c>
      <c r="L766" s="83">
        <v>45200</v>
      </c>
      <c r="M766" s="83">
        <v>45230</v>
      </c>
    </row>
    <row r="767" spans="1:13" ht="14.25" customHeight="1" x14ac:dyDescent="0.25">
      <c r="A767" s="9" t="s">
        <v>32</v>
      </c>
      <c r="B767" s="81">
        <v>112353</v>
      </c>
      <c r="C767" s="81">
        <v>10750</v>
      </c>
      <c r="D767" s="9" t="s">
        <v>127</v>
      </c>
      <c r="E767" s="81">
        <v>14563091</v>
      </c>
      <c r="F767" s="81">
        <v>29140</v>
      </c>
      <c r="G767" s="81">
        <v>1</v>
      </c>
      <c r="H767" s="82">
        <v>359.46</v>
      </c>
      <c r="I767" s="251">
        <v>359.46</v>
      </c>
      <c r="J767" s="9" t="s">
        <v>1387</v>
      </c>
      <c r="K767" s="9" t="s">
        <v>1388</v>
      </c>
      <c r="L767" s="83">
        <v>45200</v>
      </c>
      <c r="M767" s="83">
        <v>45230</v>
      </c>
    </row>
    <row r="768" spans="1:13" ht="14.25" customHeight="1" x14ac:dyDescent="0.25">
      <c r="A768" s="9" t="s">
        <v>0</v>
      </c>
      <c r="B768" s="81">
        <v>113387</v>
      </c>
      <c r="C768" s="81">
        <v>10750</v>
      </c>
      <c r="D768" s="9" t="s">
        <v>1351</v>
      </c>
      <c r="E768" s="81">
        <v>14563091</v>
      </c>
      <c r="F768" s="81">
        <v>31208</v>
      </c>
      <c r="G768" s="81">
        <v>1</v>
      </c>
      <c r="H768" s="82">
        <v>359.46</v>
      </c>
      <c r="I768" s="251">
        <v>359.46</v>
      </c>
      <c r="J768" s="9" t="s">
        <v>1387</v>
      </c>
      <c r="K768" s="9" t="s">
        <v>1388</v>
      </c>
      <c r="L768" s="83">
        <v>45200</v>
      </c>
      <c r="M768" s="83">
        <v>45230</v>
      </c>
    </row>
    <row r="769" spans="1:13" ht="14.25" customHeight="1" x14ac:dyDescent="0.25">
      <c r="A769" s="9" t="s">
        <v>1578</v>
      </c>
      <c r="B769" s="81">
        <v>113158</v>
      </c>
      <c r="C769" s="81">
        <v>10767</v>
      </c>
      <c r="D769" s="9" t="s">
        <v>617</v>
      </c>
      <c r="E769" s="81">
        <v>14563091</v>
      </c>
      <c r="F769" s="81">
        <v>30750</v>
      </c>
      <c r="G769" s="81">
        <v>1</v>
      </c>
      <c r="H769" s="82">
        <v>359.46</v>
      </c>
      <c r="I769" s="251">
        <v>359.46</v>
      </c>
      <c r="J769" s="9" t="s">
        <v>1387</v>
      </c>
      <c r="K769" s="9" t="s">
        <v>1388</v>
      </c>
      <c r="L769" s="83">
        <v>45200</v>
      </c>
      <c r="M769" s="83">
        <v>45230</v>
      </c>
    </row>
    <row r="770" spans="1:13" ht="14.25" customHeight="1" x14ac:dyDescent="0.25">
      <c r="A770" s="9" t="s">
        <v>8</v>
      </c>
      <c r="B770" s="81">
        <v>112408</v>
      </c>
      <c r="C770" s="81">
        <v>10757</v>
      </c>
      <c r="D770" s="9" t="s">
        <v>161</v>
      </c>
      <c r="E770" s="81">
        <v>14563091</v>
      </c>
      <c r="F770" s="81">
        <v>29250</v>
      </c>
      <c r="G770" s="81">
        <v>1</v>
      </c>
      <c r="H770" s="82">
        <v>359.46</v>
      </c>
      <c r="I770" s="251">
        <v>359.46</v>
      </c>
      <c r="J770" s="9" t="s">
        <v>1387</v>
      </c>
      <c r="K770" s="9" t="s">
        <v>1388</v>
      </c>
      <c r="L770" s="83">
        <v>45200</v>
      </c>
      <c r="M770" s="83">
        <v>45230</v>
      </c>
    </row>
    <row r="771" spans="1:13" ht="14.25" customHeight="1" x14ac:dyDescent="0.25">
      <c r="A771" s="9" t="s">
        <v>0</v>
      </c>
      <c r="B771" s="81">
        <v>113417</v>
      </c>
      <c r="C771" s="81">
        <v>10750</v>
      </c>
      <c r="D771" s="9" t="s">
        <v>766</v>
      </c>
      <c r="E771" s="81">
        <v>14563091</v>
      </c>
      <c r="F771" s="81">
        <v>31268</v>
      </c>
      <c r="G771" s="81">
        <v>1</v>
      </c>
      <c r="H771" s="82">
        <v>359.46</v>
      </c>
      <c r="I771" s="251">
        <v>359.46</v>
      </c>
      <c r="J771" s="9" t="s">
        <v>1387</v>
      </c>
      <c r="K771" s="9" t="s">
        <v>1388</v>
      </c>
      <c r="L771" s="83">
        <v>45200</v>
      </c>
      <c r="M771" s="83">
        <v>45230</v>
      </c>
    </row>
    <row r="772" spans="1:13" ht="14.25" customHeight="1" x14ac:dyDescent="0.25">
      <c r="A772" s="9" t="s">
        <v>1578</v>
      </c>
      <c r="B772" s="81">
        <v>122405</v>
      </c>
      <c r="C772" s="81">
        <v>10768</v>
      </c>
      <c r="D772" s="9" t="s">
        <v>1690</v>
      </c>
      <c r="E772" s="81">
        <v>14563091</v>
      </c>
      <c r="F772" s="81">
        <v>56128</v>
      </c>
      <c r="G772" s="81">
        <v>1</v>
      </c>
      <c r="H772" s="82">
        <v>359.46</v>
      </c>
      <c r="I772" s="251">
        <v>359.46</v>
      </c>
      <c r="J772" s="9" t="s">
        <v>1387</v>
      </c>
      <c r="K772" s="9" t="s">
        <v>1388</v>
      </c>
      <c r="L772" s="83">
        <v>45200</v>
      </c>
      <c r="M772" s="83">
        <v>45230</v>
      </c>
    </row>
    <row r="773" spans="1:13" ht="14.25" customHeight="1" x14ac:dyDescent="0.25">
      <c r="A773" s="9" t="s">
        <v>0</v>
      </c>
      <c r="B773" s="81">
        <v>113366</v>
      </c>
      <c r="C773" s="81">
        <v>10750</v>
      </c>
      <c r="D773" s="9" t="s">
        <v>731</v>
      </c>
      <c r="E773" s="81">
        <v>14563091</v>
      </c>
      <c r="F773" s="81">
        <v>31166</v>
      </c>
      <c r="G773" s="81">
        <v>1</v>
      </c>
      <c r="H773" s="82">
        <v>359.46</v>
      </c>
      <c r="I773" s="251">
        <v>359.46</v>
      </c>
      <c r="J773" s="9" t="s">
        <v>1387</v>
      </c>
      <c r="K773" s="9" t="s">
        <v>1388</v>
      </c>
      <c r="L773" s="83">
        <v>45200</v>
      </c>
      <c r="M773" s="83">
        <v>45230</v>
      </c>
    </row>
    <row r="774" spans="1:13" ht="14.25" customHeight="1" x14ac:dyDescent="0.25">
      <c r="A774" s="9" t="s">
        <v>8</v>
      </c>
      <c r="B774" s="81">
        <v>119641</v>
      </c>
      <c r="C774" s="81">
        <v>10763</v>
      </c>
      <c r="D774" s="9" t="s">
        <v>1465</v>
      </c>
      <c r="E774" s="81">
        <v>14563091</v>
      </c>
      <c r="F774" s="81">
        <v>49597</v>
      </c>
      <c r="G774" s="81">
        <v>1</v>
      </c>
      <c r="H774" s="82">
        <v>359.46</v>
      </c>
      <c r="I774" s="251">
        <v>359.46</v>
      </c>
      <c r="J774" s="9" t="s">
        <v>1387</v>
      </c>
      <c r="K774" s="9" t="s">
        <v>1388</v>
      </c>
      <c r="L774" s="83">
        <v>45200</v>
      </c>
      <c r="M774" s="83">
        <v>45230</v>
      </c>
    </row>
    <row r="775" spans="1:13" ht="14.25" customHeight="1" x14ac:dyDescent="0.25">
      <c r="A775" s="9" t="s">
        <v>1578</v>
      </c>
      <c r="B775" s="81">
        <v>113162</v>
      </c>
      <c r="C775" s="81">
        <v>10761</v>
      </c>
      <c r="D775" s="9" t="s">
        <v>512</v>
      </c>
      <c r="E775" s="81">
        <v>14563091</v>
      </c>
      <c r="F775" s="81">
        <v>30758</v>
      </c>
      <c r="G775" s="81">
        <v>1</v>
      </c>
      <c r="H775" s="82">
        <v>359.46</v>
      </c>
      <c r="I775" s="251">
        <v>359.46</v>
      </c>
      <c r="J775" s="9" t="s">
        <v>1387</v>
      </c>
      <c r="K775" s="9" t="s">
        <v>1388</v>
      </c>
      <c r="L775" s="83">
        <v>45200</v>
      </c>
      <c r="M775" s="83">
        <v>45230</v>
      </c>
    </row>
    <row r="776" spans="1:13" ht="14.25" customHeight="1" x14ac:dyDescent="0.25">
      <c r="A776" s="9" t="s">
        <v>8</v>
      </c>
      <c r="B776" s="81">
        <v>112949</v>
      </c>
      <c r="C776" s="81">
        <v>10750</v>
      </c>
      <c r="D776" s="9" t="s">
        <v>513</v>
      </c>
      <c r="E776" s="81">
        <v>14563091</v>
      </c>
      <c r="F776" s="81">
        <v>30332</v>
      </c>
      <c r="G776" s="81">
        <v>1</v>
      </c>
      <c r="H776" s="82">
        <v>359.46</v>
      </c>
      <c r="I776" s="251">
        <v>359.46</v>
      </c>
      <c r="J776" s="9" t="s">
        <v>1387</v>
      </c>
      <c r="K776" s="9" t="s">
        <v>1388</v>
      </c>
      <c r="L776" s="83">
        <v>45200</v>
      </c>
      <c r="M776" s="83">
        <v>45230</v>
      </c>
    </row>
    <row r="777" spans="1:13" ht="14.25" customHeight="1" x14ac:dyDescent="0.25">
      <c r="A777" s="9" t="s">
        <v>32</v>
      </c>
      <c r="B777" s="81">
        <v>112495</v>
      </c>
      <c r="C777" s="81">
        <v>10766</v>
      </c>
      <c r="D777" s="9" t="s">
        <v>215</v>
      </c>
      <c r="E777" s="81">
        <v>14563091</v>
      </c>
      <c r="F777" s="81">
        <v>29424</v>
      </c>
      <c r="G777" s="81">
        <v>1</v>
      </c>
      <c r="H777" s="82">
        <v>359.46</v>
      </c>
      <c r="I777" s="251">
        <v>359.46</v>
      </c>
      <c r="J777" s="9" t="s">
        <v>1387</v>
      </c>
      <c r="K777" s="9" t="s">
        <v>1388</v>
      </c>
      <c r="L777" s="83">
        <v>45200</v>
      </c>
      <c r="M777" s="83">
        <v>45230</v>
      </c>
    </row>
    <row r="778" spans="1:13" ht="14.25" customHeight="1" x14ac:dyDescent="0.25">
      <c r="A778" s="9" t="s">
        <v>1578</v>
      </c>
      <c r="B778" s="81">
        <v>113118</v>
      </c>
      <c r="C778" s="81">
        <v>10771</v>
      </c>
      <c r="D778" s="9" t="s">
        <v>594</v>
      </c>
      <c r="E778" s="81">
        <v>14563091</v>
      </c>
      <c r="F778" s="81">
        <v>30670</v>
      </c>
      <c r="G778" s="81">
        <v>1</v>
      </c>
      <c r="H778" s="82">
        <v>359.46</v>
      </c>
      <c r="I778" s="251">
        <v>359.46</v>
      </c>
      <c r="J778" s="9" t="s">
        <v>1387</v>
      </c>
      <c r="K778" s="9" t="s">
        <v>1388</v>
      </c>
      <c r="L778" s="83">
        <v>45200</v>
      </c>
      <c r="M778" s="83">
        <v>45230</v>
      </c>
    </row>
    <row r="779" spans="1:13" ht="14.25" customHeight="1" x14ac:dyDescent="0.25">
      <c r="A779" s="9" t="s">
        <v>8</v>
      </c>
      <c r="B779" s="81">
        <v>112409</v>
      </c>
      <c r="C779" s="81">
        <v>10750</v>
      </c>
      <c r="D779" s="9" t="s">
        <v>162</v>
      </c>
      <c r="E779" s="81">
        <v>14563091</v>
      </c>
      <c r="F779" s="81">
        <v>29252</v>
      </c>
      <c r="G779" s="81">
        <v>1</v>
      </c>
      <c r="H779" s="82">
        <v>359.46</v>
      </c>
      <c r="I779" s="251">
        <v>359.46</v>
      </c>
      <c r="J779" s="9" t="s">
        <v>1387</v>
      </c>
      <c r="K779" s="9" t="s">
        <v>1388</v>
      </c>
      <c r="L779" s="83">
        <v>45200</v>
      </c>
      <c r="M779" s="83">
        <v>45230</v>
      </c>
    </row>
    <row r="780" spans="1:13" ht="14.25" customHeight="1" x14ac:dyDescent="0.25">
      <c r="A780" s="9" t="s">
        <v>1578</v>
      </c>
      <c r="B780" s="81">
        <v>113159</v>
      </c>
      <c r="C780" s="81">
        <v>10767</v>
      </c>
      <c r="D780" s="9" t="s">
        <v>618</v>
      </c>
      <c r="E780" s="81">
        <v>14563091</v>
      </c>
      <c r="F780" s="81">
        <v>30752</v>
      </c>
      <c r="G780" s="81">
        <v>1</v>
      </c>
      <c r="H780" s="82">
        <v>359.46</v>
      </c>
      <c r="I780" s="251">
        <v>359.46</v>
      </c>
      <c r="J780" s="9" t="s">
        <v>1387</v>
      </c>
      <c r="K780" s="9" t="s">
        <v>1388</v>
      </c>
      <c r="L780" s="83">
        <v>45200</v>
      </c>
      <c r="M780" s="83">
        <v>45230</v>
      </c>
    </row>
    <row r="781" spans="1:13" ht="14.25" customHeight="1" x14ac:dyDescent="0.25">
      <c r="A781" s="9" t="s">
        <v>0</v>
      </c>
      <c r="B781" s="81">
        <v>119114</v>
      </c>
      <c r="C781" s="81">
        <v>10751</v>
      </c>
      <c r="D781" s="9" t="s">
        <v>1436</v>
      </c>
      <c r="E781" s="81">
        <v>14563091</v>
      </c>
      <c r="F781" s="81">
        <v>48250</v>
      </c>
      <c r="G781" s="81">
        <v>1</v>
      </c>
      <c r="H781" s="82">
        <v>359.46</v>
      </c>
      <c r="I781" s="251">
        <v>359.46</v>
      </c>
      <c r="J781" s="9" t="s">
        <v>1387</v>
      </c>
      <c r="K781" s="9" t="s">
        <v>1388</v>
      </c>
      <c r="L781" s="83">
        <v>45200</v>
      </c>
      <c r="M781" s="83">
        <v>45230</v>
      </c>
    </row>
    <row r="782" spans="1:13" ht="14.25" customHeight="1" x14ac:dyDescent="0.25">
      <c r="A782" s="9" t="s">
        <v>1578</v>
      </c>
      <c r="B782" s="81">
        <v>116388</v>
      </c>
      <c r="C782" s="81">
        <v>10768</v>
      </c>
      <c r="D782" s="9" t="s">
        <v>1211</v>
      </c>
      <c r="E782" s="81">
        <v>14563091</v>
      </c>
      <c r="F782" s="81">
        <v>42044</v>
      </c>
      <c r="G782" s="81">
        <v>1</v>
      </c>
      <c r="H782" s="82">
        <v>359.46</v>
      </c>
      <c r="I782" s="251">
        <v>359.46</v>
      </c>
      <c r="J782" s="9" t="s">
        <v>1387</v>
      </c>
      <c r="K782" s="9" t="s">
        <v>1388</v>
      </c>
      <c r="L782" s="83">
        <v>45200</v>
      </c>
      <c r="M782" s="83">
        <v>45230</v>
      </c>
    </row>
    <row r="783" spans="1:13" ht="14.25" customHeight="1" x14ac:dyDescent="0.25">
      <c r="A783" s="9" t="s">
        <v>1578</v>
      </c>
      <c r="B783" s="81">
        <v>113655</v>
      </c>
      <c r="C783" s="81">
        <v>10768</v>
      </c>
      <c r="D783" s="9" t="s">
        <v>897</v>
      </c>
      <c r="E783" s="81">
        <v>14563091</v>
      </c>
      <c r="F783" s="81">
        <v>31744</v>
      </c>
      <c r="G783" s="81">
        <v>1</v>
      </c>
      <c r="H783" s="82">
        <v>359.46</v>
      </c>
      <c r="I783" s="251">
        <v>359.46</v>
      </c>
      <c r="J783" s="9" t="s">
        <v>1387</v>
      </c>
      <c r="K783" s="9" t="s">
        <v>1388</v>
      </c>
      <c r="L783" s="83">
        <v>45200</v>
      </c>
      <c r="M783" s="83">
        <v>45230</v>
      </c>
    </row>
    <row r="784" spans="1:13" ht="14.25" customHeight="1" x14ac:dyDescent="0.25">
      <c r="A784" s="9" t="s">
        <v>0</v>
      </c>
      <c r="B784" s="81">
        <v>114490</v>
      </c>
      <c r="C784" s="81">
        <v>10766</v>
      </c>
      <c r="D784" s="9" t="s">
        <v>1038</v>
      </c>
      <c r="E784" s="81">
        <v>14563091</v>
      </c>
      <c r="F784" s="81">
        <v>35870</v>
      </c>
      <c r="G784" s="81">
        <v>1</v>
      </c>
      <c r="H784" s="82">
        <v>359.46</v>
      </c>
      <c r="I784" s="251">
        <v>359.46</v>
      </c>
      <c r="J784" s="9" t="s">
        <v>1387</v>
      </c>
      <c r="K784" s="9" t="s">
        <v>1388</v>
      </c>
      <c r="L784" s="83">
        <v>45200</v>
      </c>
      <c r="M784" s="83">
        <v>45230</v>
      </c>
    </row>
    <row r="785" spans="1:13" ht="14.25" customHeight="1" x14ac:dyDescent="0.25">
      <c r="A785" s="9" t="s">
        <v>0</v>
      </c>
      <c r="B785" s="81">
        <v>113395</v>
      </c>
      <c r="C785" s="81">
        <v>10754</v>
      </c>
      <c r="D785" s="9" t="s">
        <v>752</v>
      </c>
      <c r="E785" s="81">
        <v>14563091</v>
      </c>
      <c r="F785" s="81">
        <v>31224</v>
      </c>
      <c r="G785" s="81">
        <v>1</v>
      </c>
      <c r="H785" s="82">
        <v>359.46</v>
      </c>
      <c r="I785" s="251">
        <v>359.46</v>
      </c>
      <c r="J785" s="9" t="s">
        <v>1387</v>
      </c>
      <c r="K785" s="9" t="s">
        <v>1388</v>
      </c>
      <c r="L785" s="83">
        <v>45200</v>
      </c>
      <c r="M785" s="83">
        <v>45230</v>
      </c>
    </row>
    <row r="786" spans="1:13" ht="14.25" customHeight="1" x14ac:dyDescent="0.25">
      <c r="A786" s="9" t="s">
        <v>1578</v>
      </c>
      <c r="B786" s="81">
        <v>119124</v>
      </c>
      <c r="C786" s="81">
        <v>10761</v>
      </c>
      <c r="D786" s="9" t="s">
        <v>1437</v>
      </c>
      <c r="E786" s="81">
        <v>14563091</v>
      </c>
      <c r="F786" s="81">
        <v>48274</v>
      </c>
      <c r="G786" s="81">
        <v>1</v>
      </c>
      <c r="H786" s="82">
        <v>359.46</v>
      </c>
      <c r="I786" s="251">
        <v>359.46</v>
      </c>
      <c r="J786" s="9" t="s">
        <v>1387</v>
      </c>
      <c r="K786" s="9" t="s">
        <v>1388</v>
      </c>
      <c r="L786" s="83">
        <v>45200</v>
      </c>
      <c r="M786" s="83">
        <v>45230</v>
      </c>
    </row>
    <row r="787" spans="1:13" ht="14.25" customHeight="1" x14ac:dyDescent="0.25">
      <c r="A787" s="9" t="s">
        <v>19</v>
      </c>
      <c r="B787" s="81">
        <v>112962</v>
      </c>
      <c r="C787" s="81">
        <v>10761</v>
      </c>
      <c r="D787" s="9" t="s">
        <v>522</v>
      </c>
      <c r="E787" s="81">
        <v>14563091</v>
      </c>
      <c r="F787" s="81">
        <v>30358</v>
      </c>
      <c r="G787" s="81">
        <v>1</v>
      </c>
      <c r="H787" s="82">
        <v>359.46</v>
      </c>
      <c r="I787" s="251">
        <v>359.46</v>
      </c>
      <c r="J787" s="9" t="s">
        <v>1387</v>
      </c>
      <c r="K787" s="9" t="s">
        <v>1388</v>
      </c>
      <c r="L787" s="83">
        <v>45200</v>
      </c>
      <c r="M787" s="83">
        <v>45230</v>
      </c>
    </row>
    <row r="788" spans="1:13" ht="14.25" customHeight="1" x14ac:dyDescent="0.25">
      <c r="A788" s="9" t="s">
        <v>0</v>
      </c>
      <c r="B788" s="81">
        <v>113458</v>
      </c>
      <c r="C788" s="81">
        <v>10750</v>
      </c>
      <c r="D788" s="9" t="s">
        <v>789</v>
      </c>
      <c r="E788" s="81">
        <v>14563091</v>
      </c>
      <c r="F788" s="81">
        <v>31350</v>
      </c>
      <c r="G788" s="81">
        <v>1</v>
      </c>
      <c r="H788" s="82">
        <v>359.46</v>
      </c>
      <c r="I788" s="251">
        <v>359.46</v>
      </c>
      <c r="J788" s="9" t="s">
        <v>1387</v>
      </c>
      <c r="K788" s="9" t="s">
        <v>1388</v>
      </c>
      <c r="L788" s="83">
        <v>45200</v>
      </c>
      <c r="M788" s="83">
        <v>45230</v>
      </c>
    </row>
    <row r="789" spans="1:13" ht="14.25" customHeight="1" x14ac:dyDescent="0.25">
      <c r="A789" s="9" t="s">
        <v>0</v>
      </c>
      <c r="B789" s="81">
        <v>113461</v>
      </c>
      <c r="C789" s="81">
        <v>10754</v>
      </c>
      <c r="D789" s="9" t="s">
        <v>792</v>
      </c>
      <c r="E789" s="81">
        <v>14563091</v>
      </c>
      <c r="F789" s="81">
        <v>31356</v>
      </c>
      <c r="G789" s="81">
        <v>1</v>
      </c>
      <c r="H789" s="82">
        <v>359.46</v>
      </c>
      <c r="I789" s="251">
        <v>359.46</v>
      </c>
      <c r="J789" s="9" t="s">
        <v>1387</v>
      </c>
      <c r="K789" s="9" t="s">
        <v>1388</v>
      </c>
      <c r="L789" s="83">
        <v>45200</v>
      </c>
      <c r="M789" s="83">
        <v>45230</v>
      </c>
    </row>
    <row r="790" spans="1:13" ht="14.25" customHeight="1" x14ac:dyDescent="0.25">
      <c r="A790" s="9" t="s">
        <v>1578</v>
      </c>
      <c r="B790" s="81">
        <v>114991</v>
      </c>
      <c r="C790" s="81">
        <v>10758</v>
      </c>
      <c r="D790" s="9" t="s">
        <v>1137</v>
      </c>
      <c r="E790" s="81">
        <v>14563091</v>
      </c>
      <c r="F790" s="81">
        <v>37756</v>
      </c>
      <c r="G790" s="81">
        <v>1</v>
      </c>
      <c r="H790" s="82">
        <v>359.46</v>
      </c>
      <c r="I790" s="251">
        <v>359.46</v>
      </c>
      <c r="J790" s="9" t="s">
        <v>1387</v>
      </c>
      <c r="K790" s="9" t="s">
        <v>1388</v>
      </c>
      <c r="L790" s="83">
        <v>45200</v>
      </c>
      <c r="M790" s="83">
        <v>45230</v>
      </c>
    </row>
    <row r="791" spans="1:13" ht="14.25" customHeight="1" x14ac:dyDescent="0.25">
      <c r="A791" s="9" t="s">
        <v>1578</v>
      </c>
      <c r="B791" s="81">
        <v>120180</v>
      </c>
      <c r="C791" s="81">
        <v>10771</v>
      </c>
      <c r="D791" s="9" t="s">
        <v>1494</v>
      </c>
      <c r="E791" s="81">
        <v>14563091</v>
      </c>
      <c r="F791" s="81">
        <v>50907</v>
      </c>
      <c r="G791" s="81">
        <v>1</v>
      </c>
      <c r="H791" s="82">
        <v>359.46</v>
      </c>
      <c r="I791" s="251">
        <v>359.46</v>
      </c>
      <c r="J791" s="9" t="s">
        <v>1387</v>
      </c>
      <c r="K791" s="9" t="s">
        <v>1388</v>
      </c>
      <c r="L791" s="83">
        <v>45200</v>
      </c>
      <c r="M791" s="83">
        <v>45230</v>
      </c>
    </row>
    <row r="792" spans="1:13" ht="14.25" customHeight="1" x14ac:dyDescent="0.25">
      <c r="A792" s="9" t="s">
        <v>1578</v>
      </c>
      <c r="B792" s="81">
        <v>113325</v>
      </c>
      <c r="C792" s="81">
        <v>10768</v>
      </c>
      <c r="D792" s="9" t="s">
        <v>707</v>
      </c>
      <c r="E792" s="81">
        <v>14563091</v>
      </c>
      <c r="F792" s="81">
        <v>31084</v>
      </c>
      <c r="G792" s="81">
        <v>1</v>
      </c>
      <c r="H792" s="82">
        <v>359.46</v>
      </c>
      <c r="I792" s="251">
        <v>359.46</v>
      </c>
      <c r="J792" s="9" t="s">
        <v>1387</v>
      </c>
      <c r="K792" s="9" t="s">
        <v>1388</v>
      </c>
      <c r="L792" s="83">
        <v>45200</v>
      </c>
      <c r="M792" s="83">
        <v>45230</v>
      </c>
    </row>
    <row r="793" spans="1:13" ht="14.25" customHeight="1" x14ac:dyDescent="0.25">
      <c r="A793" s="9" t="s">
        <v>1578</v>
      </c>
      <c r="B793" s="81">
        <v>113160</v>
      </c>
      <c r="C793" s="81">
        <v>10761</v>
      </c>
      <c r="D793" s="9" t="s">
        <v>619</v>
      </c>
      <c r="E793" s="81">
        <v>14563091</v>
      </c>
      <c r="F793" s="81">
        <v>30754</v>
      </c>
      <c r="G793" s="81">
        <v>1</v>
      </c>
      <c r="H793" s="82">
        <v>359.46</v>
      </c>
      <c r="I793" s="251">
        <v>359.46</v>
      </c>
      <c r="J793" s="9" t="s">
        <v>1387</v>
      </c>
      <c r="K793" s="9" t="s">
        <v>1388</v>
      </c>
      <c r="L793" s="83">
        <v>45200</v>
      </c>
      <c r="M793" s="83">
        <v>45230</v>
      </c>
    </row>
    <row r="794" spans="1:13" ht="14.25" customHeight="1" x14ac:dyDescent="0.25">
      <c r="A794" s="9" t="s">
        <v>8</v>
      </c>
      <c r="B794" s="81">
        <v>112442</v>
      </c>
      <c r="C794" s="81">
        <v>10757</v>
      </c>
      <c r="D794" s="9" t="s">
        <v>183</v>
      </c>
      <c r="E794" s="81">
        <v>14563091</v>
      </c>
      <c r="F794" s="81">
        <v>29318</v>
      </c>
      <c r="G794" s="81">
        <v>1</v>
      </c>
      <c r="H794" s="82">
        <v>359.46</v>
      </c>
      <c r="I794" s="251">
        <v>359.46</v>
      </c>
      <c r="J794" s="9" t="s">
        <v>1387</v>
      </c>
      <c r="K794" s="9" t="s">
        <v>1388</v>
      </c>
      <c r="L794" s="83">
        <v>45200</v>
      </c>
      <c r="M794" s="83">
        <v>45230</v>
      </c>
    </row>
    <row r="795" spans="1:13" ht="14.25" customHeight="1" x14ac:dyDescent="0.25">
      <c r="A795" s="9" t="s">
        <v>8</v>
      </c>
      <c r="B795" s="81">
        <v>112951</v>
      </c>
      <c r="C795" s="81">
        <v>10751</v>
      </c>
      <c r="D795" s="9" t="s">
        <v>515</v>
      </c>
      <c r="E795" s="81">
        <v>14563091</v>
      </c>
      <c r="F795" s="81">
        <v>30336</v>
      </c>
      <c r="G795" s="81">
        <v>1</v>
      </c>
      <c r="H795" s="82">
        <v>359.46</v>
      </c>
      <c r="I795" s="251">
        <v>359.46</v>
      </c>
      <c r="J795" s="9" t="s">
        <v>1387</v>
      </c>
      <c r="K795" s="9" t="s">
        <v>1388</v>
      </c>
      <c r="L795" s="83">
        <v>45200</v>
      </c>
      <c r="M795" s="83">
        <v>45230</v>
      </c>
    </row>
    <row r="796" spans="1:13" ht="14.25" customHeight="1" x14ac:dyDescent="0.25">
      <c r="A796" s="9" t="s">
        <v>10</v>
      </c>
      <c r="B796" s="81">
        <v>112269</v>
      </c>
      <c r="C796" s="81">
        <v>10751</v>
      </c>
      <c r="D796" s="9" t="s">
        <v>77</v>
      </c>
      <c r="E796" s="81">
        <v>14563091</v>
      </c>
      <c r="F796" s="81">
        <v>28972</v>
      </c>
      <c r="G796" s="81">
        <v>1</v>
      </c>
      <c r="H796" s="82">
        <v>359.46</v>
      </c>
      <c r="I796" s="251">
        <v>359.46</v>
      </c>
      <c r="J796" s="9" t="s">
        <v>1387</v>
      </c>
      <c r="K796" s="9" t="s">
        <v>1388</v>
      </c>
      <c r="L796" s="83">
        <v>45200</v>
      </c>
      <c r="M796" s="83">
        <v>45230</v>
      </c>
    </row>
    <row r="797" spans="1:13" ht="14.25" customHeight="1" x14ac:dyDescent="0.25">
      <c r="A797" s="9" t="s">
        <v>10</v>
      </c>
      <c r="B797" s="81">
        <v>112337</v>
      </c>
      <c r="C797" s="81">
        <v>10754</v>
      </c>
      <c r="D797" s="9" t="s">
        <v>117</v>
      </c>
      <c r="E797" s="81">
        <v>14563091</v>
      </c>
      <c r="F797" s="81">
        <v>29108</v>
      </c>
      <c r="G797" s="81">
        <v>1</v>
      </c>
      <c r="H797" s="82">
        <v>359.46</v>
      </c>
      <c r="I797" s="251">
        <v>359.46</v>
      </c>
      <c r="J797" s="9" t="s">
        <v>1387</v>
      </c>
      <c r="K797" s="9" t="s">
        <v>1388</v>
      </c>
      <c r="L797" s="83">
        <v>45200</v>
      </c>
      <c r="M797" s="83">
        <v>45230</v>
      </c>
    </row>
    <row r="798" spans="1:13" ht="14.25" customHeight="1" x14ac:dyDescent="0.25">
      <c r="A798" s="9" t="s">
        <v>19</v>
      </c>
      <c r="B798" s="81">
        <v>112986</v>
      </c>
      <c r="C798" s="81">
        <v>10755</v>
      </c>
      <c r="D798" s="9" t="s">
        <v>531</v>
      </c>
      <c r="E798" s="81">
        <v>14563091</v>
      </c>
      <c r="F798" s="81">
        <v>30406</v>
      </c>
      <c r="G798" s="81">
        <v>1</v>
      </c>
      <c r="H798" s="82">
        <v>359.46</v>
      </c>
      <c r="I798" s="251">
        <v>359.46</v>
      </c>
      <c r="J798" s="9" t="s">
        <v>1387</v>
      </c>
      <c r="K798" s="9" t="s">
        <v>1388</v>
      </c>
      <c r="L798" s="83">
        <v>45200</v>
      </c>
      <c r="M798" s="83">
        <v>45230</v>
      </c>
    </row>
    <row r="799" spans="1:13" ht="14.25" customHeight="1" x14ac:dyDescent="0.25">
      <c r="A799" s="9" t="s">
        <v>1578</v>
      </c>
      <c r="B799" s="81">
        <v>113327</v>
      </c>
      <c r="C799" s="81">
        <v>10768</v>
      </c>
      <c r="D799" s="9" t="s">
        <v>708</v>
      </c>
      <c r="E799" s="81">
        <v>14563091</v>
      </c>
      <c r="F799" s="81">
        <v>31088</v>
      </c>
      <c r="G799" s="81">
        <v>1</v>
      </c>
      <c r="H799" s="82">
        <v>359.46</v>
      </c>
      <c r="I799" s="251">
        <v>359.46</v>
      </c>
      <c r="J799" s="9" t="s">
        <v>1387</v>
      </c>
      <c r="K799" s="9" t="s">
        <v>1388</v>
      </c>
      <c r="L799" s="83">
        <v>45200</v>
      </c>
      <c r="M799" s="83">
        <v>45230</v>
      </c>
    </row>
    <row r="800" spans="1:13" ht="14.25" customHeight="1" x14ac:dyDescent="0.25">
      <c r="A800" s="9" t="s">
        <v>10</v>
      </c>
      <c r="B800" s="81">
        <v>112283</v>
      </c>
      <c r="C800" s="81">
        <v>10750</v>
      </c>
      <c r="D800" s="9" t="s">
        <v>89</v>
      </c>
      <c r="E800" s="81">
        <v>14563091</v>
      </c>
      <c r="F800" s="81">
        <v>29000</v>
      </c>
      <c r="G800" s="81">
        <v>1</v>
      </c>
      <c r="H800" s="82">
        <v>359.46</v>
      </c>
      <c r="I800" s="251">
        <v>359.46</v>
      </c>
      <c r="J800" s="9" t="s">
        <v>1387</v>
      </c>
      <c r="K800" s="9" t="s">
        <v>1388</v>
      </c>
      <c r="L800" s="83">
        <v>45200</v>
      </c>
      <c r="M800" s="83">
        <v>45230</v>
      </c>
    </row>
    <row r="801" spans="1:13" ht="14.25" customHeight="1" x14ac:dyDescent="0.25">
      <c r="A801" s="9" t="s">
        <v>0</v>
      </c>
      <c r="B801" s="81">
        <v>112223</v>
      </c>
      <c r="C801" s="81">
        <v>10750</v>
      </c>
      <c r="D801" s="9" t="s">
        <v>45</v>
      </c>
      <c r="E801" s="81">
        <v>14563091</v>
      </c>
      <c r="F801" s="81">
        <v>28880</v>
      </c>
      <c r="G801" s="81">
        <v>1</v>
      </c>
      <c r="H801" s="82">
        <v>359.46</v>
      </c>
      <c r="I801" s="251">
        <v>359.46</v>
      </c>
      <c r="J801" s="9" t="s">
        <v>1387</v>
      </c>
      <c r="K801" s="9" t="s">
        <v>1388</v>
      </c>
      <c r="L801" s="83">
        <v>45200</v>
      </c>
      <c r="M801" s="83">
        <v>45230</v>
      </c>
    </row>
    <row r="802" spans="1:13" ht="14.25" customHeight="1" x14ac:dyDescent="0.25">
      <c r="A802" s="9" t="s">
        <v>0</v>
      </c>
      <c r="B802" s="81">
        <v>113467</v>
      </c>
      <c r="C802" s="81">
        <v>10750</v>
      </c>
      <c r="D802" s="9" t="s">
        <v>795</v>
      </c>
      <c r="E802" s="81">
        <v>14563091</v>
      </c>
      <c r="F802" s="81">
        <v>31368</v>
      </c>
      <c r="G802" s="81">
        <v>1</v>
      </c>
      <c r="H802" s="82">
        <v>359.46</v>
      </c>
      <c r="I802" s="251">
        <v>359.46</v>
      </c>
      <c r="J802" s="9" t="s">
        <v>1387</v>
      </c>
      <c r="K802" s="9" t="s">
        <v>1388</v>
      </c>
      <c r="L802" s="83">
        <v>45200</v>
      </c>
      <c r="M802" s="83">
        <v>45230</v>
      </c>
    </row>
    <row r="803" spans="1:13" ht="14.25" customHeight="1" x14ac:dyDescent="0.25">
      <c r="A803" s="9" t="s">
        <v>19</v>
      </c>
      <c r="B803" s="81">
        <v>112964</v>
      </c>
      <c r="C803" s="81">
        <v>10761</v>
      </c>
      <c r="D803" s="9" t="s">
        <v>523</v>
      </c>
      <c r="E803" s="81">
        <v>14563091</v>
      </c>
      <c r="F803" s="81">
        <v>30362</v>
      </c>
      <c r="G803" s="81">
        <v>1</v>
      </c>
      <c r="H803" s="82">
        <v>359.46</v>
      </c>
      <c r="I803" s="251">
        <v>359.46</v>
      </c>
      <c r="J803" s="9" t="s">
        <v>1387</v>
      </c>
      <c r="K803" s="9" t="s">
        <v>1388</v>
      </c>
      <c r="L803" s="83">
        <v>45200</v>
      </c>
      <c r="M803" s="83">
        <v>45230</v>
      </c>
    </row>
    <row r="804" spans="1:13" ht="14.25" customHeight="1" x14ac:dyDescent="0.25">
      <c r="A804" s="9" t="s">
        <v>8</v>
      </c>
      <c r="B804" s="81">
        <v>112952</v>
      </c>
      <c r="C804" s="81">
        <v>10750</v>
      </c>
      <c r="D804" s="9" t="s">
        <v>516</v>
      </c>
      <c r="E804" s="81">
        <v>14563091</v>
      </c>
      <c r="F804" s="81">
        <v>30338</v>
      </c>
      <c r="G804" s="81">
        <v>1</v>
      </c>
      <c r="H804" s="82">
        <v>359.46</v>
      </c>
      <c r="I804" s="251">
        <v>359.46</v>
      </c>
      <c r="J804" s="9" t="s">
        <v>1387</v>
      </c>
      <c r="K804" s="9" t="s">
        <v>1388</v>
      </c>
      <c r="L804" s="83">
        <v>45200</v>
      </c>
      <c r="M804" s="83">
        <v>45230</v>
      </c>
    </row>
    <row r="805" spans="1:13" ht="14.25" customHeight="1" x14ac:dyDescent="0.25">
      <c r="A805" s="9" t="s">
        <v>32</v>
      </c>
      <c r="B805" s="81">
        <v>120176</v>
      </c>
      <c r="C805" s="81">
        <v>10766</v>
      </c>
      <c r="D805" s="9" t="s">
        <v>1495</v>
      </c>
      <c r="E805" s="81">
        <v>14563091</v>
      </c>
      <c r="F805" s="81">
        <v>50950</v>
      </c>
      <c r="G805" s="81">
        <v>1</v>
      </c>
      <c r="H805" s="82">
        <v>359.46</v>
      </c>
      <c r="I805" s="251">
        <v>359.46</v>
      </c>
      <c r="J805" s="9" t="s">
        <v>1387</v>
      </c>
      <c r="K805" s="9" t="s">
        <v>1388</v>
      </c>
      <c r="L805" s="83">
        <v>45200</v>
      </c>
      <c r="M805" s="83">
        <v>45230</v>
      </c>
    </row>
    <row r="806" spans="1:13" ht="14.25" customHeight="1" x14ac:dyDescent="0.25">
      <c r="A806" s="9" t="s">
        <v>10</v>
      </c>
      <c r="B806" s="81">
        <v>112280</v>
      </c>
      <c r="C806" s="81">
        <v>10750</v>
      </c>
      <c r="D806" s="9" t="s">
        <v>86</v>
      </c>
      <c r="E806" s="81">
        <v>14563091</v>
      </c>
      <c r="F806" s="81">
        <v>28994</v>
      </c>
      <c r="G806" s="81">
        <v>1</v>
      </c>
      <c r="H806" s="82">
        <v>359.46</v>
      </c>
      <c r="I806" s="251">
        <v>359.46</v>
      </c>
      <c r="J806" s="9" t="s">
        <v>1387</v>
      </c>
      <c r="K806" s="9" t="s">
        <v>1388</v>
      </c>
      <c r="L806" s="83">
        <v>45200</v>
      </c>
      <c r="M806" s="83">
        <v>45230</v>
      </c>
    </row>
    <row r="807" spans="1:13" ht="14.25" customHeight="1" x14ac:dyDescent="0.25">
      <c r="A807" s="9" t="s">
        <v>1578</v>
      </c>
      <c r="B807" s="81">
        <v>113633</v>
      </c>
      <c r="C807" s="81">
        <v>10755</v>
      </c>
      <c r="D807" s="9" t="s">
        <v>884</v>
      </c>
      <c r="E807" s="81">
        <v>14563091</v>
      </c>
      <c r="F807" s="81">
        <v>31700</v>
      </c>
      <c r="G807" s="81">
        <v>1</v>
      </c>
      <c r="H807" s="82">
        <v>359.46</v>
      </c>
      <c r="I807" s="251">
        <v>359.46</v>
      </c>
      <c r="J807" s="9" t="s">
        <v>1387</v>
      </c>
      <c r="K807" s="9" t="s">
        <v>1388</v>
      </c>
      <c r="L807" s="83">
        <v>45200</v>
      </c>
      <c r="M807" s="83">
        <v>45230</v>
      </c>
    </row>
    <row r="808" spans="1:13" ht="14.25" customHeight="1" x14ac:dyDescent="0.25">
      <c r="A808" s="9" t="s">
        <v>1578</v>
      </c>
      <c r="B808" s="81">
        <v>113163</v>
      </c>
      <c r="C808" s="81">
        <v>10768</v>
      </c>
      <c r="D808" s="9" t="s">
        <v>621</v>
      </c>
      <c r="E808" s="81">
        <v>14563091</v>
      </c>
      <c r="F808" s="81">
        <v>30760</v>
      </c>
      <c r="G808" s="81">
        <v>1</v>
      </c>
      <c r="H808" s="82">
        <v>359.46</v>
      </c>
      <c r="I808" s="251">
        <v>359.46</v>
      </c>
      <c r="J808" s="9" t="s">
        <v>1387</v>
      </c>
      <c r="K808" s="9" t="s">
        <v>1388</v>
      </c>
      <c r="L808" s="83">
        <v>45200</v>
      </c>
      <c r="M808" s="83">
        <v>45230</v>
      </c>
    </row>
    <row r="809" spans="1:13" ht="14.25" customHeight="1" x14ac:dyDescent="0.25">
      <c r="A809" s="9" t="s">
        <v>1578</v>
      </c>
      <c r="B809" s="81">
        <v>114926</v>
      </c>
      <c r="C809" s="81">
        <v>10763</v>
      </c>
      <c r="D809" s="9" t="s">
        <v>1111</v>
      </c>
      <c r="E809" s="81">
        <v>14563091</v>
      </c>
      <c r="F809" s="81">
        <v>37630</v>
      </c>
      <c r="G809" s="81">
        <v>1</v>
      </c>
      <c r="H809" s="82">
        <v>359.46</v>
      </c>
      <c r="I809" s="251">
        <v>359.46</v>
      </c>
      <c r="J809" s="9" t="s">
        <v>1387</v>
      </c>
      <c r="K809" s="9" t="s">
        <v>1388</v>
      </c>
      <c r="L809" s="83">
        <v>45200</v>
      </c>
      <c r="M809" s="83">
        <v>45230</v>
      </c>
    </row>
    <row r="810" spans="1:13" ht="14.25" customHeight="1" x14ac:dyDescent="0.25">
      <c r="A810" s="9" t="s">
        <v>10</v>
      </c>
      <c r="B810" s="81">
        <v>112330</v>
      </c>
      <c r="C810" s="81">
        <v>10750</v>
      </c>
      <c r="D810" s="9" t="s">
        <v>112</v>
      </c>
      <c r="E810" s="81">
        <v>14563091</v>
      </c>
      <c r="F810" s="81">
        <v>29094</v>
      </c>
      <c r="G810" s="81">
        <v>1</v>
      </c>
      <c r="H810" s="82">
        <v>359.46</v>
      </c>
      <c r="I810" s="251">
        <v>359.46</v>
      </c>
      <c r="J810" s="9" t="s">
        <v>1387</v>
      </c>
      <c r="K810" s="9" t="s">
        <v>1388</v>
      </c>
      <c r="L810" s="83">
        <v>45200</v>
      </c>
      <c r="M810" s="83">
        <v>45230</v>
      </c>
    </row>
    <row r="811" spans="1:13" ht="14.25" customHeight="1" x14ac:dyDescent="0.25">
      <c r="A811" s="9" t="s">
        <v>1578</v>
      </c>
      <c r="B811" s="81">
        <v>113635</v>
      </c>
      <c r="C811" s="81">
        <v>10757</v>
      </c>
      <c r="D811" s="9" t="s">
        <v>886</v>
      </c>
      <c r="E811" s="81">
        <v>14563091</v>
      </c>
      <c r="F811" s="81">
        <v>31704</v>
      </c>
      <c r="G811" s="81">
        <v>1</v>
      </c>
      <c r="H811" s="82">
        <v>359.46</v>
      </c>
      <c r="I811" s="251">
        <v>359.46</v>
      </c>
      <c r="J811" s="9" t="s">
        <v>1387</v>
      </c>
      <c r="K811" s="9" t="s">
        <v>1388</v>
      </c>
      <c r="L811" s="83">
        <v>45200</v>
      </c>
      <c r="M811" s="83">
        <v>45230</v>
      </c>
    </row>
    <row r="812" spans="1:13" ht="14.25" customHeight="1" x14ac:dyDescent="0.25">
      <c r="A812" s="9" t="s">
        <v>8</v>
      </c>
      <c r="B812" s="81">
        <v>112526</v>
      </c>
      <c r="C812" s="81">
        <v>10750</v>
      </c>
      <c r="D812" s="9" t="s">
        <v>239</v>
      </c>
      <c r="E812" s="81">
        <v>14563091</v>
      </c>
      <c r="F812" s="81">
        <v>29486</v>
      </c>
      <c r="G812" s="81">
        <v>1</v>
      </c>
      <c r="H812" s="82">
        <v>359.46</v>
      </c>
      <c r="I812" s="251">
        <v>359.46</v>
      </c>
      <c r="J812" s="9" t="s">
        <v>1387</v>
      </c>
      <c r="K812" s="9" t="s">
        <v>1388</v>
      </c>
      <c r="L812" s="83">
        <v>45200</v>
      </c>
      <c r="M812" s="83">
        <v>45230</v>
      </c>
    </row>
    <row r="813" spans="1:13" ht="14.25" customHeight="1" x14ac:dyDescent="0.25">
      <c r="A813" s="9" t="s">
        <v>10</v>
      </c>
      <c r="B813" s="81">
        <v>114712</v>
      </c>
      <c r="C813" s="81">
        <v>10750</v>
      </c>
      <c r="D813" s="9" t="s">
        <v>1078</v>
      </c>
      <c r="E813" s="81">
        <v>14563091</v>
      </c>
      <c r="F813" s="81">
        <v>36872</v>
      </c>
      <c r="G813" s="81">
        <v>1</v>
      </c>
      <c r="H813" s="82">
        <v>359.46</v>
      </c>
      <c r="I813" s="251">
        <v>359.46</v>
      </c>
      <c r="J813" s="9" t="s">
        <v>1387</v>
      </c>
      <c r="K813" s="9" t="s">
        <v>1388</v>
      </c>
      <c r="L813" s="83">
        <v>45200</v>
      </c>
      <c r="M813" s="83">
        <v>45230</v>
      </c>
    </row>
    <row r="814" spans="1:13" ht="14.25" customHeight="1" x14ac:dyDescent="0.25">
      <c r="A814" s="9" t="s">
        <v>8</v>
      </c>
      <c r="B814" s="81">
        <v>114110</v>
      </c>
      <c r="C814" s="81">
        <v>10757</v>
      </c>
      <c r="D814" s="9" t="s">
        <v>1009</v>
      </c>
      <c r="E814" s="81">
        <v>14563091</v>
      </c>
      <c r="F814" s="81">
        <v>34369</v>
      </c>
      <c r="G814" s="81">
        <v>1</v>
      </c>
      <c r="H814" s="82">
        <v>359.46</v>
      </c>
      <c r="I814" s="251">
        <v>359.46</v>
      </c>
      <c r="J814" s="9" t="s">
        <v>1387</v>
      </c>
      <c r="K814" s="9" t="s">
        <v>1388</v>
      </c>
      <c r="L814" s="83">
        <v>45200</v>
      </c>
      <c r="M814" s="83">
        <v>45230</v>
      </c>
    </row>
    <row r="815" spans="1:13" ht="14.25" customHeight="1" x14ac:dyDescent="0.25">
      <c r="A815" s="9" t="s">
        <v>19</v>
      </c>
      <c r="B815" s="81">
        <v>112188</v>
      </c>
      <c r="C815" s="81">
        <v>10756</v>
      </c>
      <c r="D815" s="9" t="s">
        <v>23</v>
      </c>
      <c r="E815" s="81">
        <v>14563091</v>
      </c>
      <c r="F815" s="81">
        <v>28810</v>
      </c>
      <c r="G815" s="81">
        <v>1</v>
      </c>
      <c r="H815" s="82">
        <v>359.46</v>
      </c>
      <c r="I815" s="251">
        <v>359.46</v>
      </c>
      <c r="J815" s="9" t="s">
        <v>1387</v>
      </c>
      <c r="K815" s="9" t="s">
        <v>1388</v>
      </c>
      <c r="L815" s="83">
        <v>45200</v>
      </c>
      <c r="M815" s="83">
        <v>45230</v>
      </c>
    </row>
    <row r="816" spans="1:13" ht="14.25" customHeight="1" x14ac:dyDescent="0.25">
      <c r="A816" s="9" t="s">
        <v>32</v>
      </c>
      <c r="B816" s="81">
        <v>112189</v>
      </c>
      <c r="C816" s="81">
        <v>10750</v>
      </c>
      <c r="D816" s="9" t="s">
        <v>24</v>
      </c>
      <c r="E816" s="81">
        <v>14563091</v>
      </c>
      <c r="F816" s="81">
        <v>28812</v>
      </c>
      <c r="G816" s="81">
        <v>1</v>
      </c>
      <c r="H816" s="82">
        <v>359.46</v>
      </c>
      <c r="I816" s="251">
        <v>359.46</v>
      </c>
      <c r="J816" s="9" t="s">
        <v>1387</v>
      </c>
      <c r="K816" s="9" t="s">
        <v>1388</v>
      </c>
      <c r="L816" s="83">
        <v>45200</v>
      </c>
      <c r="M816" s="83">
        <v>45230</v>
      </c>
    </row>
    <row r="817" spans="1:13" ht="14.25" customHeight="1" x14ac:dyDescent="0.25">
      <c r="A817" s="9" t="s">
        <v>0</v>
      </c>
      <c r="B817" s="81">
        <v>116976</v>
      </c>
      <c r="C817" s="81">
        <v>10757</v>
      </c>
      <c r="D817" s="9" t="s">
        <v>1238</v>
      </c>
      <c r="E817" s="81">
        <v>14563091</v>
      </c>
      <c r="F817" s="81">
        <v>43462</v>
      </c>
      <c r="G817" s="81">
        <v>1</v>
      </c>
      <c r="H817" s="82">
        <v>359.46</v>
      </c>
      <c r="I817" s="251">
        <v>359.46</v>
      </c>
      <c r="J817" s="9" t="s">
        <v>1387</v>
      </c>
      <c r="K817" s="9" t="s">
        <v>1388</v>
      </c>
      <c r="L817" s="83">
        <v>45200</v>
      </c>
      <c r="M817" s="83">
        <v>45230</v>
      </c>
    </row>
    <row r="818" spans="1:13" ht="14.25" customHeight="1" x14ac:dyDescent="0.25">
      <c r="A818" s="9" t="s">
        <v>32</v>
      </c>
      <c r="B818" s="81">
        <v>113921</v>
      </c>
      <c r="C818" s="81">
        <v>10771</v>
      </c>
      <c r="D818" s="9" t="s">
        <v>987</v>
      </c>
      <c r="E818" s="81">
        <v>14563091</v>
      </c>
      <c r="F818" s="81">
        <v>33812</v>
      </c>
      <c r="G818" s="81">
        <v>1</v>
      </c>
      <c r="H818" s="82">
        <v>359.46</v>
      </c>
      <c r="I818" s="251">
        <v>359.46</v>
      </c>
      <c r="J818" s="9" t="s">
        <v>1387</v>
      </c>
      <c r="K818" s="9" t="s">
        <v>1388</v>
      </c>
      <c r="L818" s="83">
        <v>45200</v>
      </c>
      <c r="M818" s="83">
        <v>45230</v>
      </c>
    </row>
    <row r="819" spans="1:13" ht="14.25" customHeight="1" x14ac:dyDescent="0.25">
      <c r="A819" s="9" t="s">
        <v>0</v>
      </c>
      <c r="B819" s="81">
        <v>112205</v>
      </c>
      <c r="C819" s="81">
        <v>10750</v>
      </c>
      <c r="D819" s="9" t="s">
        <v>34</v>
      </c>
      <c r="E819" s="81">
        <v>14563091</v>
      </c>
      <c r="F819" s="81">
        <v>28844</v>
      </c>
      <c r="G819" s="81">
        <v>1</v>
      </c>
      <c r="H819" s="82">
        <v>359.46</v>
      </c>
      <c r="I819" s="251">
        <v>359.46</v>
      </c>
      <c r="J819" s="9" t="s">
        <v>1387</v>
      </c>
      <c r="K819" s="9" t="s">
        <v>1388</v>
      </c>
      <c r="L819" s="83">
        <v>45200</v>
      </c>
      <c r="M819" s="83">
        <v>45230</v>
      </c>
    </row>
    <row r="820" spans="1:13" ht="14.25" customHeight="1" x14ac:dyDescent="0.25">
      <c r="A820" s="9" t="s">
        <v>8</v>
      </c>
      <c r="B820" s="81">
        <v>112209</v>
      </c>
      <c r="C820" s="81">
        <v>10750</v>
      </c>
      <c r="D820" s="9" t="s">
        <v>36</v>
      </c>
      <c r="E820" s="81">
        <v>14563091</v>
      </c>
      <c r="F820" s="81">
        <v>28852</v>
      </c>
      <c r="G820" s="81">
        <v>1</v>
      </c>
      <c r="H820" s="82">
        <v>359.46</v>
      </c>
      <c r="I820" s="251">
        <v>359.46</v>
      </c>
      <c r="J820" s="9" t="s">
        <v>1387</v>
      </c>
      <c r="K820" s="9" t="s">
        <v>1388</v>
      </c>
      <c r="L820" s="83">
        <v>45200</v>
      </c>
      <c r="M820" s="83">
        <v>45230</v>
      </c>
    </row>
    <row r="821" spans="1:13" ht="14.25" customHeight="1" x14ac:dyDescent="0.25">
      <c r="A821" s="9" t="s">
        <v>0</v>
      </c>
      <c r="B821" s="81">
        <v>116004</v>
      </c>
      <c r="C821" s="81">
        <v>10757</v>
      </c>
      <c r="D821" s="9" t="s">
        <v>1168</v>
      </c>
      <c r="E821" s="81">
        <v>14563091</v>
      </c>
      <c r="F821" s="81">
        <v>40863</v>
      </c>
      <c r="G821" s="81">
        <v>1</v>
      </c>
      <c r="H821" s="82">
        <v>323.51</v>
      </c>
      <c r="I821" s="251">
        <v>323.51</v>
      </c>
      <c r="J821" s="9" t="s">
        <v>1387</v>
      </c>
      <c r="K821" s="9" t="s">
        <v>1388</v>
      </c>
      <c r="L821" s="83">
        <v>45200</v>
      </c>
      <c r="M821" s="83">
        <v>45230</v>
      </c>
    </row>
    <row r="822" spans="1:13" ht="14.25" customHeight="1" x14ac:dyDescent="0.25">
      <c r="A822" s="9" t="s">
        <v>19</v>
      </c>
      <c r="B822" s="81">
        <v>112213</v>
      </c>
      <c r="C822" s="81">
        <v>10754</v>
      </c>
      <c r="D822" s="9" t="s">
        <v>38</v>
      </c>
      <c r="E822" s="81">
        <v>14563091</v>
      </c>
      <c r="F822" s="81">
        <v>28860</v>
      </c>
      <c r="G822" s="81">
        <v>1</v>
      </c>
      <c r="H822" s="82">
        <v>359.46</v>
      </c>
      <c r="I822" s="251">
        <v>359.46</v>
      </c>
      <c r="J822" s="9" t="s">
        <v>1387</v>
      </c>
      <c r="K822" s="9" t="s">
        <v>1388</v>
      </c>
      <c r="L822" s="83">
        <v>45200</v>
      </c>
      <c r="M822" s="83">
        <v>45230</v>
      </c>
    </row>
    <row r="823" spans="1:13" ht="14.25" customHeight="1" x14ac:dyDescent="0.25">
      <c r="A823" s="9" t="s">
        <v>8</v>
      </c>
      <c r="B823" s="81">
        <v>112222</v>
      </c>
      <c r="C823" s="81">
        <v>10750</v>
      </c>
      <c r="D823" s="9" t="s">
        <v>43</v>
      </c>
      <c r="E823" s="81">
        <v>14563091</v>
      </c>
      <c r="F823" s="81">
        <v>28878</v>
      </c>
      <c r="G823" s="81">
        <v>1</v>
      </c>
      <c r="H823" s="82">
        <v>359.46</v>
      </c>
      <c r="I823" s="251">
        <v>359.46</v>
      </c>
      <c r="J823" s="9" t="s">
        <v>1387</v>
      </c>
      <c r="K823" s="9" t="s">
        <v>1388</v>
      </c>
      <c r="L823" s="83">
        <v>45200</v>
      </c>
      <c r="M823" s="83">
        <v>45230</v>
      </c>
    </row>
    <row r="824" spans="1:13" ht="14.25" customHeight="1" x14ac:dyDescent="0.25">
      <c r="A824" s="9" t="s">
        <v>0</v>
      </c>
      <c r="B824" s="81">
        <v>112227</v>
      </c>
      <c r="C824" s="81">
        <v>10757</v>
      </c>
      <c r="D824" s="9" t="s">
        <v>49</v>
      </c>
      <c r="E824" s="81">
        <v>14563091</v>
      </c>
      <c r="F824" s="81">
        <v>28888</v>
      </c>
      <c r="G824" s="81">
        <v>1</v>
      </c>
      <c r="H824" s="82">
        <v>359.46</v>
      </c>
      <c r="I824" s="251">
        <v>359.46</v>
      </c>
      <c r="J824" s="9" t="s">
        <v>1387</v>
      </c>
      <c r="K824" s="9" t="s">
        <v>1388</v>
      </c>
      <c r="L824" s="83">
        <v>45200</v>
      </c>
      <c r="M824" s="83">
        <v>45230</v>
      </c>
    </row>
    <row r="825" spans="1:13" ht="14.25" customHeight="1" x14ac:dyDescent="0.25">
      <c r="A825" s="9" t="s">
        <v>1578</v>
      </c>
      <c r="B825" s="81">
        <v>114953</v>
      </c>
      <c r="C825" s="81">
        <v>10768</v>
      </c>
      <c r="D825" s="9" t="s">
        <v>1124</v>
      </c>
      <c r="E825" s="81">
        <v>14563091</v>
      </c>
      <c r="F825" s="81">
        <v>37682</v>
      </c>
      <c r="G825" s="81">
        <v>1</v>
      </c>
      <c r="H825" s="82">
        <v>359.46</v>
      </c>
      <c r="I825" s="251">
        <v>359.46</v>
      </c>
      <c r="J825" s="9" t="s">
        <v>1387</v>
      </c>
      <c r="K825" s="9" t="s">
        <v>1388</v>
      </c>
      <c r="L825" s="83">
        <v>45200</v>
      </c>
      <c r="M825" s="83">
        <v>45230</v>
      </c>
    </row>
    <row r="826" spans="1:13" ht="14.25" customHeight="1" x14ac:dyDescent="0.25">
      <c r="A826" s="9" t="s">
        <v>10</v>
      </c>
      <c r="B826" s="81">
        <v>112239</v>
      </c>
      <c r="C826" s="81">
        <v>10754</v>
      </c>
      <c r="D826" s="9" t="s">
        <v>57</v>
      </c>
      <c r="E826" s="81">
        <v>14563091</v>
      </c>
      <c r="F826" s="81">
        <v>28912</v>
      </c>
      <c r="G826" s="81">
        <v>1</v>
      </c>
      <c r="H826" s="82">
        <v>359.46</v>
      </c>
      <c r="I826" s="251">
        <v>359.46</v>
      </c>
      <c r="J826" s="9" t="s">
        <v>1387</v>
      </c>
      <c r="K826" s="9" t="s">
        <v>1388</v>
      </c>
      <c r="L826" s="83">
        <v>45200</v>
      </c>
      <c r="M826" s="83">
        <v>45230</v>
      </c>
    </row>
    <row r="827" spans="1:13" ht="14.25" customHeight="1" x14ac:dyDescent="0.25">
      <c r="A827" s="9" t="s">
        <v>1578</v>
      </c>
      <c r="B827" s="81">
        <v>112253</v>
      </c>
      <c r="C827" s="81">
        <v>10761</v>
      </c>
      <c r="D827" s="9" t="s">
        <v>64</v>
      </c>
      <c r="E827" s="81">
        <v>14563091</v>
      </c>
      <c r="F827" s="81">
        <v>28940</v>
      </c>
      <c r="G827" s="81">
        <v>1</v>
      </c>
      <c r="H827" s="82">
        <v>359.46</v>
      </c>
      <c r="I827" s="251">
        <v>359.46</v>
      </c>
      <c r="J827" s="9" t="s">
        <v>1387</v>
      </c>
      <c r="K827" s="9" t="s">
        <v>1388</v>
      </c>
      <c r="L827" s="83">
        <v>45200</v>
      </c>
      <c r="M827" s="83">
        <v>45230</v>
      </c>
    </row>
    <row r="828" spans="1:13" ht="14.25" customHeight="1" x14ac:dyDescent="0.25">
      <c r="A828" s="9" t="s">
        <v>1578</v>
      </c>
      <c r="B828" s="81">
        <v>114940</v>
      </c>
      <c r="C828" s="81">
        <v>10757</v>
      </c>
      <c r="D828" s="9" t="s">
        <v>1120</v>
      </c>
      <c r="E828" s="81">
        <v>14563091</v>
      </c>
      <c r="F828" s="81">
        <v>37762</v>
      </c>
      <c r="G828" s="81">
        <v>1</v>
      </c>
      <c r="H828" s="82">
        <v>359.46</v>
      </c>
      <c r="I828" s="251">
        <v>359.46</v>
      </c>
      <c r="J828" s="9" t="s">
        <v>1387</v>
      </c>
      <c r="K828" s="9" t="s">
        <v>1388</v>
      </c>
      <c r="L828" s="83">
        <v>45200</v>
      </c>
      <c r="M828" s="83">
        <v>45230</v>
      </c>
    </row>
    <row r="829" spans="1:13" ht="14.25" customHeight="1" x14ac:dyDescent="0.25">
      <c r="A829" s="9" t="s">
        <v>1578</v>
      </c>
      <c r="B829" s="81">
        <v>112256</v>
      </c>
      <c r="C829" s="81">
        <v>10755</v>
      </c>
      <c r="D829" s="9" t="s">
        <v>67</v>
      </c>
      <c r="E829" s="81">
        <v>14563091</v>
      </c>
      <c r="F829" s="81">
        <v>28946</v>
      </c>
      <c r="G829" s="81">
        <v>1</v>
      </c>
      <c r="H829" s="82">
        <v>359.46</v>
      </c>
      <c r="I829" s="251">
        <v>359.46</v>
      </c>
      <c r="J829" s="9" t="s">
        <v>1387</v>
      </c>
      <c r="K829" s="9" t="s">
        <v>1388</v>
      </c>
      <c r="L829" s="83">
        <v>45200</v>
      </c>
      <c r="M829" s="83">
        <v>45230</v>
      </c>
    </row>
    <row r="830" spans="1:13" ht="14.25" customHeight="1" x14ac:dyDescent="0.25">
      <c r="A830" s="9" t="s">
        <v>10</v>
      </c>
      <c r="B830" s="81">
        <v>112268</v>
      </c>
      <c r="C830" s="81">
        <v>10750</v>
      </c>
      <c r="D830" s="9" t="s">
        <v>76</v>
      </c>
      <c r="E830" s="81">
        <v>14563091</v>
      </c>
      <c r="F830" s="81">
        <v>28970</v>
      </c>
      <c r="G830" s="81">
        <v>1</v>
      </c>
      <c r="H830" s="82">
        <v>359.46</v>
      </c>
      <c r="I830" s="251">
        <v>359.46</v>
      </c>
      <c r="J830" s="9" t="s">
        <v>1387</v>
      </c>
      <c r="K830" s="9" t="s">
        <v>1388</v>
      </c>
      <c r="L830" s="83">
        <v>45200</v>
      </c>
      <c r="M830" s="83">
        <v>45230</v>
      </c>
    </row>
    <row r="831" spans="1:13" ht="14.25" customHeight="1" x14ac:dyDescent="0.25">
      <c r="A831" s="9" t="s">
        <v>32</v>
      </c>
      <c r="B831" s="81">
        <v>112273</v>
      </c>
      <c r="C831" s="81">
        <v>10755</v>
      </c>
      <c r="D831" s="9" t="s">
        <v>79</v>
      </c>
      <c r="E831" s="81">
        <v>14563091</v>
      </c>
      <c r="F831" s="81">
        <v>28980</v>
      </c>
      <c r="G831" s="81">
        <v>1</v>
      </c>
      <c r="H831" s="82">
        <v>359.46</v>
      </c>
      <c r="I831" s="251">
        <v>359.46</v>
      </c>
      <c r="J831" s="9" t="s">
        <v>1387</v>
      </c>
      <c r="K831" s="9" t="s">
        <v>1388</v>
      </c>
      <c r="L831" s="83">
        <v>45200</v>
      </c>
      <c r="M831" s="83">
        <v>45230</v>
      </c>
    </row>
    <row r="832" spans="1:13" ht="14.25" customHeight="1" x14ac:dyDescent="0.25">
      <c r="A832" s="9" t="s">
        <v>1578</v>
      </c>
      <c r="B832" s="81">
        <v>112281</v>
      </c>
      <c r="C832" s="81">
        <v>10761</v>
      </c>
      <c r="D832" s="9" t="s">
        <v>87</v>
      </c>
      <c r="E832" s="81">
        <v>14563091</v>
      </c>
      <c r="F832" s="81">
        <v>28996</v>
      </c>
      <c r="G832" s="81">
        <v>1</v>
      </c>
      <c r="H832" s="82">
        <v>359.46</v>
      </c>
      <c r="I832" s="251">
        <v>359.46</v>
      </c>
      <c r="J832" s="9" t="s">
        <v>1387</v>
      </c>
      <c r="K832" s="9" t="s">
        <v>1388</v>
      </c>
      <c r="L832" s="83">
        <v>45200</v>
      </c>
      <c r="M832" s="83">
        <v>45230</v>
      </c>
    </row>
    <row r="833" spans="1:13" ht="14.25" customHeight="1" x14ac:dyDescent="0.25">
      <c r="A833" s="9" t="s">
        <v>1578</v>
      </c>
      <c r="B833" s="81">
        <v>112292</v>
      </c>
      <c r="C833" s="81">
        <v>10767</v>
      </c>
      <c r="D833" s="9" t="s">
        <v>92</v>
      </c>
      <c r="E833" s="81">
        <v>14563091</v>
      </c>
      <c r="F833" s="81">
        <v>29018</v>
      </c>
      <c r="G833" s="81">
        <v>1</v>
      </c>
      <c r="H833" s="82">
        <v>359.46</v>
      </c>
      <c r="I833" s="251">
        <v>359.46</v>
      </c>
      <c r="J833" s="9" t="s">
        <v>1387</v>
      </c>
      <c r="K833" s="9" t="s">
        <v>1388</v>
      </c>
      <c r="L833" s="83">
        <v>45200</v>
      </c>
      <c r="M833" s="83">
        <v>45230</v>
      </c>
    </row>
    <row r="834" spans="1:13" ht="14.25" customHeight="1" x14ac:dyDescent="0.25">
      <c r="A834" s="9" t="s">
        <v>0</v>
      </c>
      <c r="B834" s="81">
        <v>121957</v>
      </c>
      <c r="C834" s="81">
        <v>10758</v>
      </c>
      <c r="D834" s="9" t="s">
        <v>1610</v>
      </c>
      <c r="E834" s="81">
        <v>14563091</v>
      </c>
      <c r="F834" s="81">
        <v>54969</v>
      </c>
      <c r="G834" s="81">
        <v>1</v>
      </c>
      <c r="H834" s="82">
        <v>359.46</v>
      </c>
      <c r="I834" s="251">
        <v>359.46</v>
      </c>
      <c r="J834" s="9" t="s">
        <v>1387</v>
      </c>
      <c r="K834" s="9" t="s">
        <v>1388</v>
      </c>
      <c r="L834" s="83">
        <v>45200</v>
      </c>
      <c r="M834" s="83">
        <v>45230</v>
      </c>
    </row>
    <row r="835" spans="1:13" ht="14.25" customHeight="1" x14ac:dyDescent="0.25">
      <c r="A835" s="9" t="s">
        <v>0</v>
      </c>
      <c r="B835" s="81">
        <v>112296</v>
      </c>
      <c r="C835" s="81">
        <v>10745</v>
      </c>
      <c r="D835" s="9" t="s">
        <v>94</v>
      </c>
      <c r="E835" s="81">
        <v>14563091</v>
      </c>
      <c r="F835" s="81">
        <v>29026</v>
      </c>
      <c r="G835" s="81">
        <v>1</v>
      </c>
      <c r="H835" s="82">
        <v>359.46</v>
      </c>
      <c r="I835" s="251">
        <v>359.46</v>
      </c>
      <c r="J835" s="9" t="s">
        <v>1387</v>
      </c>
      <c r="K835" s="9" t="s">
        <v>1388</v>
      </c>
      <c r="L835" s="83">
        <v>45200</v>
      </c>
      <c r="M835" s="83">
        <v>45230</v>
      </c>
    </row>
    <row r="836" spans="1:13" ht="14.25" customHeight="1" x14ac:dyDescent="0.25">
      <c r="A836" s="9" t="s">
        <v>19</v>
      </c>
      <c r="B836" s="81">
        <v>112309</v>
      </c>
      <c r="C836" s="81">
        <v>10758</v>
      </c>
      <c r="D836" s="9" t="s">
        <v>102</v>
      </c>
      <c r="E836" s="81">
        <v>14563091</v>
      </c>
      <c r="F836" s="81">
        <v>29052</v>
      </c>
      <c r="G836" s="81">
        <v>1</v>
      </c>
      <c r="H836" s="82">
        <v>359.46</v>
      </c>
      <c r="I836" s="251">
        <v>359.46</v>
      </c>
      <c r="J836" s="9" t="s">
        <v>1387</v>
      </c>
      <c r="K836" s="9" t="s">
        <v>1388</v>
      </c>
      <c r="L836" s="83">
        <v>45200</v>
      </c>
      <c r="M836" s="83">
        <v>45230</v>
      </c>
    </row>
    <row r="837" spans="1:13" ht="14.25" customHeight="1" x14ac:dyDescent="0.25">
      <c r="A837" s="9" t="s">
        <v>0</v>
      </c>
      <c r="B837" s="81">
        <v>112364</v>
      </c>
      <c r="C837" s="81">
        <v>10745</v>
      </c>
      <c r="D837" s="9" t="s">
        <v>132</v>
      </c>
      <c r="E837" s="81">
        <v>14563091</v>
      </c>
      <c r="F837" s="81">
        <v>29162</v>
      </c>
      <c r="G837" s="81">
        <v>1</v>
      </c>
      <c r="H837" s="82">
        <v>359.46</v>
      </c>
      <c r="I837" s="251">
        <v>359.46</v>
      </c>
      <c r="J837" s="9" t="s">
        <v>1387</v>
      </c>
      <c r="K837" s="9" t="s">
        <v>1388</v>
      </c>
      <c r="L837" s="83">
        <v>45200</v>
      </c>
      <c r="M837" s="83">
        <v>45230</v>
      </c>
    </row>
    <row r="838" spans="1:13" ht="14.25" customHeight="1" x14ac:dyDescent="0.25">
      <c r="A838" s="9" t="s">
        <v>8</v>
      </c>
      <c r="B838" s="81">
        <v>112370</v>
      </c>
      <c r="C838" s="81">
        <v>10757</v>
      </c>
      <c r="D838" s="9" t="s">
        <v>135</v>
      </c>
      <c r="E838" s="81">
        <v>14563091</v>
      </c>
      <c r="F838" s="81">
        <v>29174</v>
      </c>
      <c r="G838" s="81">
        <v>1</v>
      </c>
      <c r="H838" s="82">
        <v>359.46</v>
      </c>
      <c r="I838" s="251">
        <v>359.46</v>
      </c>
      <c r="J838" s="9" t="s">
        <v>1387</v>
      </c>
      <c r="K838" s="9" t="s">
        <v>1388</v>
      </c>
      <c r="L838" s="83">
        <v>45200</v>
      </c>
      <c r="M838" s="83">
        <v>45230</v>
      </c>
    </row>
    <row r="839" spans="1:13" ht="14.25" customHeight="1" x14ac:dyDescent="0.25">
      <c r="A839" s="9" t="s">
        <v>1578</v>
      </c>
      <c r="B839" s="81">
        <v>114128</v>
      </c>
      <c r="C839" s="81">
        <v>10768</v>
      </c>
      <c r="D839" s="9" t="s">
        <v>1014</v>
      </c>
      <c r="E839" s="81">
        <v>14563091</v>
      </c>
      <c r="F839" s="81">
        <v>34408</v>
      </c>
      <c r="G839" s="81">
        <v>1</v>
      </c>
      <c r="H839" s="82">
        <v>359.46</v>
      </c>
      <c r="I839" s="251">
        <v>359.46</v>
      </c>
      <c r="J839" s="9" t="s">
        <v>1387</v>
      </c>
      <c r="K839" s="9" t="s">
        <v>1388</v>
      </c>
      <c r="L839" s="83">
        <v>45200</v>
      </c>
      <c r="M839" s="83">
        <v>45230</v>
      </c>
    </row>
    <row r="840" spans="1:13" ht="14.25" customHeight="1" x14ac:dyDescent="0.25">
      <c r="A840" s="9" t="s">
        <v>1578</v>
      </c>
      <c r="B840" s="81">
        <v>112379</v>
      </c>
      <c r="C840" s="81">
        <v>10761</v>
      </c>
      <c r="D840" s="9" t="s">
        <v>142</v>
      </c>
      <c r="E840" s="81">
        <v>14563091</v>
      </c>
      <c r="F840" s="81">
        <v>29192</v>
      </c>
      <c r="G840" s="81">
        <v>1</v>
      </c>
      <c r="H840" s="82">
        <v>359.46</v>
      </c>
      <c r="I840" s="251">
        <v>359.46</v>
      </c>
      <c r="J840" s="9" t="s">
        <v>1387</v>
      </c>
      <c r="K840" s="9" t="s">
        <v>1388</v>
      </c>
      <c r="L840" s="83">
        <v>45200</v>
      </c>
      <c r="M840" s="83">
        <v>45230</v>
      </c>
    </row>
    <row r="841" spans="1:13" ht="14.25" customHeight="1" x14ac:dyDescent="0.25">
      <c r="A841" s="9" t="s">
        <v>1578</v>
      </c>
      <c r="B841" s="81">
        <v>112384</v>
      </c>
      <c r="C841" s="81">
        <v>10761</v>
      </c>
      <c r="D841" s="9" t="s">
        <v>148</v>
      </c>
      <c r="E841" s="81">
        <v>14563091</v>
      </c>
      <c r="F841" s="81">
        <v>29202</v>
      </c>
      <c r="G841" s="81">
        <v>1</v>
      </c>
      <c r="H841" s="82">
        <v>359.46</v>
      </c>
      <c r="I841" s="251">
        <v>359.46</v>
      </c>
      <c r="J841" s="9" t="s">
        <v>1387</v>
      </c>
      <c r="K841" s="9" t="s">
        <v>1388</v>
      </c>
      <c r="L841" s="83">
        <v>45200</v>
      </c>
      <c r="M841" s="83">
        <v>45230</v>
      </c>
    </row>
    <row r="842" spans="1:13" ht="14.25" customHeight="1" x14ac:dyDescent="0.25">
      <c r="A842" s="9" t="s">
        <v>1578</v>
      </c>
      <c r="B842" s="81">
        <v>115796</v>
      </c>
      <c r="C842" s="81">
        <v>10743</v>
      </c>
      <c r="D842" s="9" t="s">
        <v>1352</v>
      </c>
      <c r="E842" s="81">
        <v>14563091</v>
      </c>
      <c r="F842" s="81">
        <v>40250</v>
      </c>
      <c r="G842" s="81">
        <v>1</v>
      </c>
      <c r="H842" s="82">
        <v>359.46</v>
      </c>
      <c r="I842" s="251">
        <v>359.46</v>
      </c>
      <c r="J842" s="9" t="s">
        <v>1387</v>
      </c>
      <c r="K842" s="9" t="s">
        <v>1388</v>
      </c>
      <c r="L842" s="83">
        <v>45200</v>
      </c>
      <c r="M842" s="83">
        <v>45230</v>
      </c>
    </row>
    <row r="843" spans="1:13" ht="14.25" customHeight="1" x14ac:dyDescent="0.25">
      <c r="A843" s="9" t="s">
        <v>0</v>
      </c>
      <c r="B843" s="81">
        <v>112394</v>
      </c>
      <c r="C843" s="81">
        <v>10750</v>
      </c>
      <c r="D843" s="9" t="s">
        <v>152</v>
      </c>
      <c r="E843" s="81">
        <v>14563091</v>
      </c>
      <c r="F843" s="81">
        <v>29222</v>
      </c>
      <c r="G843" s="81">
        <v>1</v>
      </c>
      <c r="H843" s="82">
        <v>359.46</v>
      </c>
      <c r="I843" s="251">
        <v>359.46</v>
      </c>
      <c r="J843" s="9" t="s">
        <v>1387</v>
      </c>
      <c r="K843" s="9" t="s">
        <v>1388</v>
      </c>
      <c r="L843" s="83">
        <v>45200</v>
      </c>
      <c r="M843" s="83">
        <v>45230</v>
      </c>
    </row>
    <row r="844" spans="1:13" ht="14.25" customHeight="1" x14ac:dyDescent="0.25">
      <c r="A844" s="9" t="s">
        <v>0</v>
      </c>
      <c r="B844" s="81">
        <v>113762</v>
      </c>
      <c r="C844" s="81">
        <v>10773</v>
      </c>
      <c r="D844" s="9" t="s">
        <v>964</v>
      </c>
      <c r="E844" s="81">
        <v>14563091</v>
      </c>
      <c r="F844" s="81">
        <v>31965</v>
      </c>
      <c r="G844" s="81">
        <v>1</v>
      </c>
      <c r="H844" s="82">
        <v>359.46</v>
      </c>
      <c r="I844" s="251">
        <v>359.46</v>
      </c>
      <c r="J844" s="9" t="s">
        <v>1387</v>
      </c>
      <c r="K844" s="9" t="s">
        <v>1388</v>
      </c>
      <c r="L844" s="83">
        <v>45200</v>
      </c>
      <c r="M844" s="83">
        <v>45230</v>
      </c>
    </row>
    <row r="845" spans="1:13" ht="14.25" customHeight="1" x14ac:dyDescent="0.25">
      <c r="A845" s="9" t="s">
        <v>8</v>
      </c>
      <c r="B845" s="81">
        <v>116234</v>
      </c>
      <c r="C845" s="81">
        <v>10751</v>
      </c>
      <c r="D845" s="9" t="s">
        <v>1194</v>
      </c>
      <c r="E845" s="81">
        <v>14563091</v>
      </c>
      <c r="F845" s="81">
        <v>41575</v>
      </c>
      <c r="G845" s="81">
        <v>1</v>
      </c>
      <c r="H845" s="82">
        <v>359.46</v>
      </c>
      <c r="I845" s="251">
        <v>359.46</v>
      </c>
      <c r="J845" s="9" t="s">
        <v>1387</v>
      </c>
      <c r="K845" s="9" t="s">
        <v>1388</v>
      </c>
      <c r="L845" s="83">
        <v>45200</v>
      </c>
      <c r="M845" s="83">
        <v>45230</v>
      </c>
    </row>
    <row r="846" spans="1:13" ht="14.25" customHeight="1" x14ac:dyDescent="0.25">
      <c r="A846" s="9" t="s">
        <v>1578</v>
      </c>
      <c r="B846" s="81">
        <v>112401</v>
      </c>
      <c r="C846" s="81">
        <v>10749</v>
      </c>
      <c r="D846" s="9" t="s">
        <v>1353</v>
      </c>
      <c r="E846" s="81">
        <v>14563091</v>
      </c>
      <c r="F846" s="81">
        <v>29236</v>
      </c>
      <c r="G846" s="81">
        <v>1</v>
      </c>
      <c r="H846" s="82">
        <v>359.46</v>
      </c>
      <c r="I846" s="251">
        <v>359.46</v>
      </c>
      <c r="J846" s="9" t="s">
        <v>1387</v>
      </c>
      <c r="K846" s="9" t="s">
        <v>1388</v>
      </c>
      <c r="L846" s="83">
        <v>45200</v>
      </c>
      <c r="M846" s="83">
        <v>45230</v>
      </c>
    </row>
    <row r="847" spans="1:13" ht="14.25" customHeight="1" x14ac:dyDescent="0.25">
      <c r="A847" s="9" t="s">
        <v>0</v>
      </c>
      <c r="B847" s="81">
        <v>117236</v>
      </c>
      <c r="C847" s="81">
        <v>10750</v>
      </c>
      <c r="D847" s="9" t="s">
        <v>1253</v>
      </c>
      <c r="E847" s="81">
        <v>14563091</v>
      </c>
      <c r="F847" s="81">
        <v>44088</v>
      </c>
      <c r="G847" s="81">
        <v>1</v>
      </c>
      <c r="H847" s="82">
        <v>359.46</v>
      </c>
      <c r="I847" s="251">
        <v>359.46</v>
      </c>
      <c r="J847" s="9" t="s">
        <v>1387</v>
      </c>
      <c r="K847" s="9" t="s">
        <v>1388</v>
      </c>
      <c r="L847" s="83">
        <v>45200</v>
      </c>
      <c r="M847" s="83">
        <v>45230</v>
      </c>
    </row>
    <row r="848" spans="1:13" ht="14.25" customHeight="1" x14ac:dyDescent="0.25">
      <c r="A848" s="9" t="s">
        <v>1578</v>
      </c>
      <c r="B848" s="81">
        <v>119647</v>
      </c>
      <c r="C848" s="81">
        <v>10743</v>
      </c>
      <c r="D848" s="9" t="s">
        <v>1466</v>
      </c>
      <c r="E848" s="81">
        <v>14563091</v>
      </c>
      <c r="F848" s="81">
        <v>49609</v>
      </c>
      <c r="G848" s="81">
        <v>1</v>
      </c>
      <c r="H848" s="82">
        <v>359.46</v>
      </c>
      <c r="I848" s="251">
        <v>359.46</v>
      </c>
      <c r="J848" s="9" t="s">
        <v>1387</v>
      </c>
      <c r="K848" s="9" t="s">
        <v>1388</v>
      </c>
      <c r="L848" s="83">
        <v>45200</v>
      </c>
      <c r="M848" s="83">
        <v>45230</v>
      </c>
    </row>
    <row r="849" spans="1:13" ht="14.25" customHeight="1" x14ac:dyDescent="0.25">
      <c r="A849" s="9" t="s">
        <v>1578</v>
      </c>
      <c r="B849" s="81">
        <v>112415</v>
      </c>
      <c r="C849" s="81">
        <v>10761</v>
      </c>
      <c r="D849" s="9" t="s">
        <v>1354</v>
      </c>
      <c r="E849" s="81">
        <v>14563091</v>
      </c>
      <c r="F849" s="81">
        <v>29264</v>
      </c>
      <c r="G849" s="81">
        <v>1</v>
      </c>
      <c r="H849" s="82">
        <v>359.46</v>
      </c>
      <c r="I849" s="251">
        <v>359.46</v>
      </c>
      <c r="J849" s="9" t="s">
        <v>1387</v>
      </c>
      <c r="K849" s="9" t="s">
        <v>1388</v>
      </c>
      <c r="L849" s="83">
        <v>45200</v>
      </c>
      <c r="M849" s="83">
        <v>45230</v>
      </c>
    </row>
    <row r="850" spans="1:13" ht="14.25" customHeight="1" x14ac:dyDescent="0.25">
      <c r="A850" s="9" t="s">
        <v>0</v>
      </c>
      <c r="B850" s="81">
        <v>112418</v>
      </c>
      <c r="C850" s="81">
        <v>10750</v>
      </c>
      <c r="D850" s="9" t="s">
        <v>168</v>
      </c>
      <c r="E850" s="81">
        <v>14563091</v>
      </c>
      <c r="F850" s="81">
        <v>29270</v>
      </c>
      <c r="G850" s="81">
        <v>1</v>
      </c>
      <c r="H850" s="82">
        <v>359.46</v>
      </c>
      <c r="I850" s="251">
        <v>359.46</v>
      </c>
      <c r="J850" s="9" t="s">
        <v>1387</v>
      </c>
      <c r="K850" s="9" t="s">
        <v>1388</v>
      </c>
      <c r="L850" s="83">
        <v>45200</v>
      </c>
      <c r="M850" s="83">
        <v>45230</v>
      </c>
    </row>
    <row r="851" spans="1:13" ht="14.25" customHeight="1" x14ac:dyDescent="0.25">
      <c r="A851" s="9" t="s">
        <v>8</v>
      </c>
      <c r="B851" s="81">
        <v>112421</v>
      </c>
      <c r="C851" s="81">
        <v>10763</v>
      </c>
      <c r="D851" s="9" t="s">
        <v>170</v>
      </c>
      <c r="E851" s="81">
        <v>14563091</v>
      </c>
      <c r="F851" s="81">
        <v>29276</v>
      </c>
      <c r="G851" s="81">
        <v>1</v>
      </c>
      <c r="H851" s="82">
        <v>359.46</v>
      </c>
      <c r="I851" s="251">
        <v>359.46</v>
      </c>
      <c r="J851" s="9" t="s">
        <v>1387</v>
      </c>
      <c r="K851" s="9" t="s">
        <v>1388</v>
      </c>
      <c r="L851" s="83">
        <v>45200</v>
      </c>
      <c r="M851" s="83">
        <v>45230</v>
      </c>
    </row>
    <row r="852" spans="1:13" ht="14.25" customHeight="1" x14ac:dyDescent="0.25">
      <c r="A852" s="9" t="s">
        <v>10</v>
      </c>
      <c r="B852" s="81">
        <v>112431</v>
      </c>
      <c r="C852" s="81">
        <v>10757</v>
      </c>
      <c r="D852" s="9" t="s">
        <v>174</v>
      </c>
      <c r="E852" s="81">
        <v>14563091</v>
      </c>
      <c r="F852" s="81">
        <v>29296</v>
      </c>
      <c r="G852" s="81">
        <v>1</v>
      </c>
      <c r="H852" s="82">
        <v>359.46</v>
      </c>
      <c r="I852" s="251">
        <v>359.46</v>
      </c>
      <c r="J852" s="9" t="s">
        <v>1387</v>
      </c>
      <c r="K852" s="9" t="s">
        <v>1388</v>
      </c>
      <c r="L852" s="83">
        <v>45200</v>
      </c>
      <c r="M852" s="83">
        <v>45230</v>
      </c>
    </row>
    <row r="853" spans="1:13" ht="14.25" customHeight="1" x14ac:dyDescent="0.25">
      <c r="A853" s="9" t="s">
        <v>1578</v>
      </c>
      <c r="B853" s="81">
        <v>112437</v>
      </c>
      <c r="C853" s="81">
        <v>10755</v>
      </c>
      <c r="D853" s="9" t="s">
        <v>179</v>
      </c>
      <c r="E853" s="81">
        <v>14563091</v>
      </c>
      <c r="F853" s="81">
        <v>29308</v>
      </c>
      <c r="G853" s="81">
        <v>1</v>
      </c>
      <c r="H853" s="82">
        <v>359.46</v>
      </c>
      <c r="I853" s="251">
        <v>359.46</v>
      </c>
      <c r="J853" s="9" t="s">
        <v>1387</v>
      </c>
      <c r="K853" s="9" t="s">
        <v>1388</v>
      </c>
      <c r="L853" s="83">
        <v>45200</v>
      </c>
      <c r="M853" s="83">
        <v>45230</v>
      </c>
    </row>
    <row r="854" spans="1:13" ht="14.25" customHeight="1" x14ac:dyDescent="0.25">
      <c r="A854" s="9" t="s">
        <v>0</v>
      </c>
      <c r="B854" s="81">
        <v>112470</v>
      </c>
      <c r="C854" s="81">
        <v>10763</v>
      </c>
      <c r="D854" s="9" t="s">
        <v>199</v>
      </c>
      <c r="E854" s="81">
        <v>14563091</v>
      </c>
      <c r="F854" s="81">
        <v>29374</v>
      </c>
      <c r="G854" s="81">
        <v>1</v>
      </c>
      <c r="H854" s="82">
        <v>359.46</v>
      </c>
      <c r="I854" s="251">
        <v>359.46</v>
      </c>
      <c r="J854" s="9" t="s">
        <v>1387</v>
      </c>
      <c r="K854" s="9" t="s">
        <v>1388</v>
      </c>
      <c r="L854" s="83">
        <v>45200</v>
      </c>
      <c r="M854" s="83">
        <v>45230</v>
      </c>
    </row>
    <row r="855" spans="1:13" ht="14.25" customHeight="1" x14ac:dyDescent="0.25">
      <c r="A855" s="9" t="s">
        <v>1578</v>
      </c>
      <c r="B855" s="81">
        <v>122837</v>
      </c>
      <c r="C855" s="81">
        <v>10755</v>
      </c>
      <c r="D855" s="9" t="s">
        <v>1737</v>
      </c>
      <c r="E855" s="81">
        <v>14563091</v>
      </c>
      <c r="F855" s="81">
        <v>57239</v>
      </c>
      <c r="G855" s="81">
        <v>1</v>
      </c>
      <c r="H855" s="82">
        <v>359.46</v>
      </c>
      <c r="I855" s="251">
        <v>359.46</v>
      </c>
      <c r="J855" s="9" t="s">
        <v>1387</v>
      </c>
      <c r="K855" s="9" t="s">
        <v>1388</v>
      </c>
      <c r="L855" s="83">
        <v>45200</v>
      </c>
      <c r="M855" s="83">
        <v>45230</v>
      </c>
    </row>
    <row r="856" spans="1:13" ht="14.25" customHeight="1" x14ac:dyDescent="0.25">
      <c r="A856" s="9" t="s">
        <v>32</v>
      </c>
      <c r="B856" s="81">
        <v>122560</v>
      </c>
      <c r="C856" s="81">
        <v>10766</v>
      </c>
      <c r="D856" s="9" t="s">
        <v>1691</v>
      </c>
      <c r="E856" s="81">
        <v>14563091</v>
      </c>
      <c r="F856" s="81">
        <v>56556</v>
      </c>
      <c r="G856" s="81">
        <v>1</v>
      </c>
      <c r="H856" s="82">
        <v>359.46</v>
      </c>
      <c r="I856" s="251">
        <v>359.46</v>
      </c>
      <c r="J856" s="9" t="s">
        <v>1387</v>
      </c>
      <c r="K856" s="9" t="s">
        <v>1388</v>
      </c>
      <c r="L856" s="83">
        <v>45200</v>
      </c>
      <c r="M856" s="83">
        <v>45230</v>
      </c>
    </row>
    <row r="857" spans="1:13" ht="14.25" customHeight="1" x14ac:dyDescent="0.25">
      <c r="A857" s="9" t="s">
        <v>1578</v>
      </c>
      <c r="B857" s="81">
        <v>113782</v>
      </c>
      <c r="C857" s="81">
        <v>10743</v>
      </c>
      <c r="D857" s="9" t="s">
        <v>1355</v>
      </c>
      <c r="E857" s="81">
        <v>14563091</v>
      </c>
      <c r="F857" s="81">
        <v>32014</v>
      </c>
      <c r="G857" s="81">
        <v>1</v>
      </c>
      <c r="H857" s="82">
        <v>359.46</v>
      </c>
      <c r="I857" s="251">
        <v>359.46</v>
      </c>
      <c r="J857" s="9" t="s">
        <v>1387</v>
      </c>
      <c r="K857" s="9" t="s">
        <v>1388</v>
      </c>
      <c r="L857" s="83">
        <v>45200</v>
      </c>
      <c r="M857" s="83">
        <v>45230</v>
      </c>
    </row>
    <row r="858" spans="1:13" ht="14.25" customHeight="1" x14ac:dyDescent="0.25">
      <c r="A858" s="9" t="s">
        <v>10</v>
      </c>
      <c r="B858" s="81">
        <v>116978</v>
      </c>
      <c r="C858" s="81">
        <v>10745</v>
      </c>
      <c r="D858" s="9" t="s">
        <v>1240</v>
      </c>
      <c r="E858" s="81">
        <v>14563091</v>
      </c>
      <c r="F858" s="81">
        <v>43466</v>
      </c>
      <c r="G858" s="81">
        <v>1</v>
      </c>
      <c r="H858" s="82">
        <v>359.46</v>
      </c>
      <c r="I858" s="251">
        <v>359.46</v>
      </c>
      <c r="J858" s="9" t="s">
        <v>1387</v>
      </c>
      <c r="K858" s="9" t="s">
        <v>1388</v>
      </c>
      <c r="L858" s="83">
        <v>45200</v>
      </c>
      <c r="M858" s="83">
        <v>45230</v>
      </c>
    </row>
    <row r="859" spans="1:13" ht="14.25" customHeight="1" x14ac:dyDescent="0.25">
      <c r="A859" s="9" t="s">
        <v>0</v>
      </c>
      <c r="B859" s="81">
        <v>115371</v>
      </c>
      <c r="C859" s="81">
        <v>10760</v>
      </c>
      <c r="D859" s="9" t="s">
        <v>1148</v>
      </c>
      <c r="E859" s="81">
        <v>14563091</v>
      </c>
      <c r="F859" s="81">
        <v>38934</v>
      </c>
      <c r="G859" s="81">
        <v>1</v>
      </c>
      <c r="H859" s="82">
        <v>359.46</v>
      </c>
      <c r="I859" s="251">
        <v>359.46</v>
      </c>
      <c r="J859" s="9" t="s">
        <v>1387</v>
      </c>
      <c r="K859" s="9" t="s">
        <v>1388</v>
      </c>
      <c r="L859" s="83">
        <v>45200</v>
      </c>
      <c r="M859" s="83">
        <v>45230</v>
      </c>
    </row>
    <row r="860" spans="1:13" ht="14.25" customHeight="1" x14ac:dyDescent="0.25">
      <c r="A860" s="9" t="s">
        <v>1578</v>
      </c>
      <c r="B860" s="81">
        <v>112478</v>
      </c>
      <c r="C860" s="81">
        <v>10768</v>
      </c>
      <c r="D860" s="9" t="s">
        <v>206</v>
      </c>
      <c r="E860" s="81">
        <v>14563091</v>
      </c>
      <c r="F860" s="81">
        <v>29390</v>
      </c>
      <c r="G860" s="81">
        <v>1</v>
      </c>
      <c r="H860" s="82">
        <v>359.46</v>
      </c>
      <c r="I860" s="251">
        <v>359.46</v>
      </c>
      <c r="J860" s="9" t="s">
        <v>1387</v>
      </c>
      <c r="K860" s="9" t="s">
        <v>1388</v>
      </c>
      <c r="L860" s="83">
        <v>45200</v>
      </c>
      <c r="M860" s="83">
        <v>45230</v>
      </c>
    </row>
    <row r="861" spans="1:13" ht="14.25" customHeight="1" x14ac:dyDescent="0.25">
      <c r="A861" s="9" t="s">
        <v>1578</v>
      </c>
      <c r="B861" s="81">
        <v>114927</v>
      </c>
      <c r="C861" s="81">
        <v>10758</v>
      </c>
      <c r="D861" s="9" t="s">
        <v>1356</v>
      </c>
      <c r="E861" s="81">
        <v>14563091</v>
      </c>
      <c r="F861" s="81">
        <v>37632</v>
      </c>
      <c r="G861" s="81">
        <v>1</v>
      </c>
      <c r="H861" s="82">
        <v>359.46</v>
      </c>
      <c r="I861" s="251">
        <v>359.46</v>
      </c>
      <c r="J861" s="9" t="s">
        <v>1387</v>
      </c>
      <c r="K861" s="9" t="s">
        <v>1388</v>
      </c>
      <c r="L861" s="83">
        <v>45200</v>
      </c>
      <c r="M861" s="83">
        <v>45230</v>
      </c>
    </row>
    <row r="862" spans="1:13" ht="14.25" customHeight="1" x14ac:dyDescent="0.25">
      <c r="A862" s="9" t="s">
        <v>8</v>
      </c>
      <c r="B862" s="81">
        <v>112503</v>
      </c>
      <c r="C862" s="81">
        <v>10766</v>
      </c>
      <c r="D862" s="9" t="s">
        <v>221</v>
      </c>
      <c r="E862" s="81">
        <v>14563091</v>
      </c>
      <c r="F862" s="81">
        <v>29440</v>
      </c>
      <c r="G862" s="81">
        <v>1</v>
      </c>
      <c r="H862" s="82">
        <v>359.46</v>
      </c>
      <c r="I862" s="251">
        <v>359.46</v>
      </c>
      <c r="J862" s="9" t="s">
        <v>1387</v>
      </c>
      <c r="K862" s="9" t="s">
        <v>1388</v>
      </c>
      <c r="L862" s="83">
        <v>45200</v>
      </c>
      <c r="M862" s="83">
        <v>45230</v>
      </c>
    </row>
    <row r="863" spans="1:13" ht="14.25" customHeight="1" x14ac:dyDescent="0.25">
      <c r="A863" s="9" t="s">
        <v>32</v>
      </c>
      <c r="B863" s="81">
        <v>116385</v>
      </c>
      <c r="C863" s="81">
        <v>10757</v>
      </c>
      <c r="D863" s="9" t="s">
        <v>1209</v>
      </c>
      <c r="E863" s="81">
        <v>14563091</v>
      </c>
      <c r="F863" s="81">
        <v>42040</v>
      </c>
      <c r="G863" s="81">
        <v>1</v>
      </c>
      <c r="H863" s="82">
        <v>359.46</v>
      </c>
      <c r="I863" s="251">
        <v>359.46</v>
      </c>
      <c r="J863" s="9" t="s">
        <v>1387</v>
      </c>
      <c r="K863" s="9" t="s">
        <v>1388</v>
      </c>
      <c r="L863" s="83">
        <v>45200</v>
      </c>
      <c r="M863" s="83">
        <v>45230</v>
      </c>
    </row>
    <row r="864" spans="1:13" ht="14.25" customHeight="1" x14ac:dyDescent="0.25">
      <c r="A864" s="9" t="s">
        <v>0</v>
      </c>
      <c r="B864" s="81">
        <v>112542</v>
      </c>
      <c r="C864" s="81">
        <v>10763</v>
      </c>
      <c r="D864" s="9" t="s">
        <v>252</v>
      </c>
      <c r="E864" s="81">
        <v>14563091</v>
      </c>
      <c r="F864" s="81">
        <v>29518</v>
      </c>
      <c r="G864" s="81">
        <v>1</v>
      </c>
      <c r="H864" s="82">
        <v>359.46</v>
      </c>
      <c r="I864" s="251">
        <v>359.46</v>
      </c>
      <c r="J864" s="9" t="s">
        <v>1387</v>
      </c>
      <c r="K864" s="9" t="s">
        <v>1388</v>
      </c>
      <c r="L864" s="83">
        <v>45200</v>
      </c>
      <c r="M864" s="83">
        <v>45230</v>
      </c>
    </row>
    <row r="865" spans="1:13" ht="14.25" customHeight="1" x14ac:dyDescent="0.25">
      <c r="A865" s="9" t="s">
        <v>0</v>
      </c>
      <c r="B865" s="81">
        <v>112545</v>
      </c>
      <c r="C865" s="81">
        <v>10750</v>
      </c>
      <c r="D865" s="9" t="s">
        <v>253</v>
      </c>
      <c r="E865" s="81">
        <v>14563091</v>
      </c>
      <c r="F865" s="81">
        <v>29524</v>
      </c>
      <c r="G865" s="81">
        <v>1</v>
      </c>
      <c r="H865" s="82">
        <v>359.46</v>
      </c>
      <c r="I865" s="251">
        <v>359.46</v>
      </c>
      <c r="J865" s="9" t="s">
        <v>1387</v>
      </c>
      <c r="K865" s="9" t="s">
        <v>1388</v>
      </c>
      <c r="L865" s="83">
        <v>45200</v>
      </c>
      <c r="M865" s="83">
        <v>45230</v>
      </c>
    </row>
    <row r="866" spans="1:13" ht="14.25" customHeight="1" x14ac:dyDescent="0.25">
      <c r="A866" s="9" t="s">
        <v>1578</v>
      </c>
      <c r="B866" s="81">
        <v>112546</v>
      </c>
      <c r="C866" s="81">
        <v>10771</v>
      </c>
      <c r="D866" s="9" t="s">
        <v>1357</v>
      </c>
      <c r="E866" s="81">
        <v>14563091</v>
      </c>
      <c r="F866" s="81">
        <v>29526</v>
      </c>
      <c r="G866" s="81">
        <v>1</v>
      </c>
      <c r="H866" s="82">
        <v>359.46</v>
      </c>
      <c r="I866" s="251">
        <v>359.46</v>
      </c>
      <c r="J866" s="9" t="s">
        <v>1387</v>
      </c>
      <c r="K866" s="9" t="s">
        <v>1388</v>
      </c>
      <c r="L866" s="83">
        <v>45200</v>
      </c>
      <c r="M866" s="83">
        <v>45230</v>
      </c>
    </row>
    <row r="867" spans="1:13" ht="14.25" customHeight="1" x14ac:dyDescent="0.25">
      <c r="A867" s="9" t="s">
        <v>1578</v>
      </c>
      <c r="B867" s="81">
        <v>118649</v>
      </c>
      <c r="C867" s="81">
        <v>10761</v>
      </c>
      <c r="D867" s="9" t="s">
        <v>1402</v>
      </c>
      <c r="E867" s="81">
        <v>14563091</v>
      </c>
      <c r="F867" s="81">
        <v>47191</v>
      </c>
      <c r="G867" s="81">
        <v>1</v>
      </c>
      <c r="H867" s="82">
        <v>359.46</v>
      </c>
      <c r="I867" s="251">
        <v>359.46</v>
      </c>
      <c r="J867" s="9" t="s">
        <v>1387</v>
      </c>
      <c r="K867" s="9" t="s">
        <v>1388</v>
      </c>
      <c r="L867" s="83">
        <v>45200</v>
      </c>
      <c r="M867" s="83">
        <v>45230</v>
      </c>
    </row>
    <row r="868" spans="1:13" ht="14.25" customHeight="1" x14ac:dyDescent="0.25">
      <c r="A868" s="9" t="s">
        <v>1578</v>
      </c>
      <c r="B868" s="81">
        <v>122571</v>
      </c>
      <c r="C868" s="81">
        <v>10761</v>
      </c>
      <c r="D868" s="9" t="s">
        <v>1692</v>
      </c>
      <c r="E868" s="81">
        <v>14563091</v>
      </c>
      <c r="F868" s="81">
        <v>56533</v>
      </c>
      <c r="G868" s="81">
        <v>1</v>
      </c>
      <c r="H868" s="82">
        <v>359.46</v>
      </c>
      <c r="I868" s="251">
        <v>359.46</v>
      </c>
      <c r="J868" s="9" t="s">
        <v>1387</v>
      </c>
      <c r="K868" s="9" t="s">
        <v>1388</v>
      </c>
      <c r="L868" s="83">
        <v>45200</v>
      </c>
      <c r="M868" s="83">
        <v>45230</v>
      </c>
    </row>
    <row r="869" spans="1:13" ht="14.25" customHeight="1" x14ac:dyDescent="0.25">
      <c r="A869" s="9" t="s">
        <v>1578</v>
      </c>
      <c r="B869" s="81">
        <v>121476</v>
      </c>
      <c r="C869" s="81">
        <v>10755</v>
      </c>
      <c r="D869" s="9" t="s">
        <v>1574</v>
      </c>
      <c r="E869" s="81">
        <v>14563091</v>
      </c>
      <c r="F869" s="81">
        <v>53832</v>
      </c>
      <c r="G869" s="81">
        <v>1</v>
      </c>
      <c r="H869" s="82">
        <v>359.46</v>
      </c>
      <c r="I869" s="251">
        <v>359.46</v>
      </c>
      <c r="J869" s="9" t="s">
        <v>1387</v>
      </c>
      <c r="K869" s="9" t="s">
        <v>1388</v>
      </c>
      <c r="L869" s="83">
        <v>45200</v>
      </c>
      <c r="M869" s="83">
        <v>45230</v>
      </c>
    </row>
    <row r="870" spans="1:13" ht="14.25" customHeight="1" x14ac:dyDescent="0.25">
      <c r="A870" s="9" t="s">
        <v>0</v>
      </c>
      <c r="B870" s="81">
        <v>112558</v>
      </c>
      <c r="C870" s="81">
        <v>10771</v>
      </c>
      <c r="D870" s="9" t="s">
        <v>264</v>
      </c>
      <c r="E870" s="81">
        <v>14563091</v>
      </c>
      <c r="F870" s="81">
        <v>29550</v>
      </c>
      <c r="G870" s="81">
        <v>1</v>
      </c>
      <c r="H870" s="82">
        <v>359.46</v>
      </c>
      <c r="I870" s="251">
        <v>359.46</v>
      </c>
      <c r="J870" s="9" t="s">
        <v>1387</v>
      </c>
      <c r="K870" s="9" t="s">
        <v>1388</v>
      </c>
      <c r="L870" s="83">
        <v>45200</v>
      </c>
      <c r="M870" s="83">
        <v>45230</v>
      </c>
    </row>
    <row r="871" spans="1:13" ht="14.25" customHeight="1" x14ac:dyDescent="0.25">
      <c r="A871" s="9" t="s">
        <v>0</v>
      </c>
      <c r="B871" s="81">
        <v>112577</v>
      </c>
      <c r="C871" s="81">
        <v>10750</v>
      </c>
      <c r="D871" s="9" t="s">
        <v>274</v>
      </c>
      <c r="E871" s="81">
        <v>14563091</v>
      </c>
      <c r="F871" s="81">
        <v>29588</v>
      </c>
      <c r="G871" s="81">
        <v>1</v>
      </c>
      <c r="H871" s="82">
        <v>359.46</v>
      </c>
      <c r="I871" s="251">
        <v>359.46</v>
      </c>
      <c r="J871" s="9" t="s">
        <v>1387</v>
      </c>
      <c r="K871" s="9" t="s">
        <v>1388</v>
      </c>
      <c r="L871" s="83">
        <v>45200</v>
      </c>
      <c r="M871" s="83">
        <v>45230</v>
      </c>
    </row>
    <row r="872" spans="1:13" ht="14.25" customHeight="1" x14ac:dyDescent="0.25">
      <c r="A872" s="9" t="s">
        <v>1578</v>
      </c>
      <c r="B872" s="81">
        <v>112583</v>
      </c>
      <c r="C872" s="81">
        <v>10762</v>
      </c>
      <c r="D872" s="9" t="s">
        <v>278</v>
      </c>
      <c r="E872" s="81">
        <v>14563091</v>
      </c>
      <c r="F872" s="81">
        <v>29600</v>
      </c>
      <c r="G872" s="81">
        <v>1</v>
      </c>
      <c r="H872" s="82">
        <v>359.46</v>
      </c>
      <c r="I872" s="251">
        <v>359.46</v>
      </c>
      <c r="J872" s="9" t="s">
        <v>1387</v>
      </c>
      <c r="K872" s="9" t="s">
        <v>1388</v>
      </c>
      <c r="L872" s="83">
        <v>45200</v>
      </c>
      <c r="M872" s="83">
        <v>45230</v>
      </c>
    </row>
    <row r="873" spans="1:13" ht="14.25" customHeight="1" x14ac:dyDescent="0.25">
      <c r="A873" s="9" t="s">
        <v>1578</v>
      </c>
      <c r="B873" s="81">
        <v>112589</v>
      </c>
      <c r="C873" s="81">
        <v>10743</v>
      </c>
      <c r="D873" s="9" t="s">
        <v>281</v>
      </c>
      <c r="E873" s="81">
        <v>14563091</v>
      </c>
      <c r="F873" s="81">
        <v>29612</v>
      </c>
      <c r="G873" s="81">
        <v>1</v>
      </c>
      <c r="H873" s="82">
        <v>359.46</v>
      </c>
      <c r="I873" s="251">
        <v>359.46</v>
      </c>
      <c r="J873" s="9" t="s">
        <v>1387</v>
      </c>
      <c r="K873" s="9" t="s">
        <v>1388</v>
      </c>
      <c r="L873" s="83">
        <v>45200</v>
      </c>
      <c r="M873" s="83">
        <v>45230</v>
      </c>
    </row>
    <row r="874" spans="1:13" ht="14.25" customHeight="1" x14ac:dyDescent="0.25">
      <c r="A874" s="9" t="s">
        <v>0</v>
      </c>
      <c r="B874" s="81">
        <v>112596</v>
      </c>
      <c r="C874" s="81">
        <v>10750</v>
      </c>
      <c r="D874" s="9" t="s">
        <v>284</v>
      </c>
      <c r="E874" s="81">
        <v>14563091</v>
      </c>
      <c r="F874" s="81">
        <v>29626</v>
      </c>
      <c r="G874" s="81">
        <v>1</v>
      </c>
      <c r="H874" s="82">
        <v>359.46</v>
      </c>
      <c r="I874" s="251">
        <v>359.46</v>
      </c>
      <c r="J874" s="9" t="s">
        <v>1387</v>
      </c>
      <c r="K874" s="9" t="s">
        <v>1388</v>
      </c>
      <c r="L874" s="83">
        <v>45200</v>
      </c>
      <c r="M874" s="83">
        <v>45230</v>
      </c>
    </row>
    <row r="875" spans="1:13" ht="14.25" customHeight="1" x14ac:dyDescent="0.25">
      <c r="A875" s="9" t="s">
        <v>0</v>
      </c>
      <c r="B875" s="81">
        <v>115404</v>
      </c>
      <c r="C875" s="81">
        <v>10750</v>
      </c>
      <c r="D875" s="9" t="s">
        <v>1154</v>
      </c>
      <c r="E875" s="81">
        <v>14563091</v>
      </c>
      <c r="F875" s="81">
        <v>39014</v>
      </c>
      <c r="G875" s="81">
        <v>1</v>
      </c>
      <c r="H875" s="82">
        <v>359.46</v>
      </c>
      <c r="I875" s="251">
        <v>359.46</v>
      </c>
      <c r="J875" s="9" t="s">
        <v>1387</v>
      </c>
      <c r="K875" s="9" t="s">
        <v>1388</v>
      </c>
      <c r="L875" s="83">
        <v>45200</v>
      </c>
      <c r="M875" s="83">
        <v>45230</v>
      </c>
    </row>
    <row r="876" spans="1:13" ht="14.25" customHeight="1" x14ac:dyDescent="0.25">
      <c r="A876" s="9" t="s">
        <v>1578</v>
      </c>
      <c r="B876" s="81">
        <v>112604</v>
      </c>
      <c r="C876" s="81">
        <v>10767</v>
      </c>
      <c r="D876" s="9" t="s">
        <v>289</v>
      </c>
      <c r="E876" s="81">
        <v>14563091</v>
      </c>
      <c r="F876" s="81">
        <v>29642</v>
      </c>
      <c r="G876" s="81">
        <v>1</v>
      </c>
      <c r="H876" s="82">
        <v>359.46</v>
      </c>
      <c r="I876" s="251">
        <v>359.46</v>
      </c>
      <c r="J876" s="9" t="s">
        <v>1387</v>
      </c>
      <c r="K876" s="9" t="s">
        <v>1388</v>
      </c>
      <c r="L876" s="83">
        <v>45200</v>
      </c>
      <c r="M876" s="83">
        <v>45230</v>
      </c>
    </row>
    <row r="877" spans="1:13" ht="14.25" customHeight="1" x14ac:dyDescent="0.25">
      <c r="A877" s="9" t="s">
        <v>1578</v>
      </c>
      <c r="B877" s="81">
        <v>112611</v>
      </c>
      <c r="C877" s="81">
        <v>10755</v>
      </c>
      <c r="D877" s="9" t="s">
        <v>295</v>
      </c>
      <c r="E877" s="81">
        <v>14563091</v>
      </c>
      <c r="F877" s="81">
        <v>29656</v>
      </c>
      <c r="G877" s="81">
        <v>1</v>
      </c>
      <c r="H877" s="82">
        <v>359.46</v>
      </c>
      <c r="I877" s="251">
        <v>359.46</v>
      </c>
      <c r="J877" s="9" t="s">
        <v>1387</v>
      </c>
      <c r="K877" s="9" t="s">
        <v>1388</v>
      </c>
      <c r="L877" s="83">
        <v>45200</v>
      </c>
      <c r="M877" s="83">
        <v>45230</v>
      </c>
    </row>
    <row r="878" spans="1:13" ht="14.25" customHeight="1" x14ac:dyDescent="0.25">
      <c r="A878" s="9" t="s">
        <v>19</v>
      </c>
      <c r="B878" s="81">
        <v>112617</v>
      </c>
      <c r="C878" s="81">
        <v>10750</v>
      </c>
      <c r="D878" s="9" t="s">
        <v>300</v>
      </c>
      <c r="E878" s="81">
        <v>14563091</v>
      </c>
      <c r="F878" s="81">
        <v>29668</v>
      </c>
      <c r="G878" s="81">
        <v>1</v>
      </c>
      <c r="H878" s="82">
        <v>359.46</v>
      </c>
      <c r="I878" s="251">
        <v>359.46</v>
      </c>
      <c r="J878" s="9" t="s">
        <v>1387</v>
      </c>
      <c r="K878" s="9" t="s">
        <v>1388</v>
      </c>
      <c r="L878" s="83">
        <v>45200</v>
      </c>
      <c r="M878" s="83">
        <v>45230</v>
      </c>
    </row>
    <row r="879" spans="1:13" ht="14.25" customHeight="1" x14ac:dyDescent="0.25">
      <c r="A879" s="9" t="s">
        <v>1578</v>
      </c>
      <c r="B879" s="81">
        <v>112625</v>
      </c>
      <c r="C879" s="81">
        <v>10745</v>
      </c>
      <c r="D879" s="9" t="s">
        <v>305</v>
      </c>
      <c r="E879" s="81">
        <v>14563091</v>
      </c>
      <c r="F879" s="81">
        <v>29684</v>
      </c>
      <c r="G879" s="81">
        <v>1</v>
      </c>
      <c r="H879" s="82">
        <v>359.46</v>
      </c>
      <c r="I879" s="251">
        <v>359.46</v>
      </c>
      <c r="J879" s="9" t="s">
        <v>1387</v>
      </c>
      <c r="K879" s="9" t="s">
        <v>1388</v>
      </c>
      <c r="L879" s="83">
        <v>45200</v>
      </c>
      <c r="M879" s="83">
        <v>45230</v>
      </c>
    </row>
    <row r="880" spans="1:13" ht="14.25" customHeight="1" x14ac:dyDescent="0.25">
      <c r="A880" s="9" t="s">
        <v>0</v>
      </c>
      <c r="B880" s="81">
        <v>112630</v>
      </c>
      <c r="C880" s="81">
        <v>10757</v>
      </c>
      <c r="D880" s="9" t="s">
        <v>309</v>
      </c>
      <c r="E880" s="81">
        <v>14563091</v>
      </c>
      <c r="F880" s="81">
        <v>29694</v>
      </c>
      <c r="G880" s="81">
        <v>1</v>
      </c>
      <c r="H880" s="82">
        <v>359.46</v>
      </c>
      <c r="I880" s="251">
        <v>359.46</v>
      </c>
      <c r="J880" s="9" t="s">
        <v>1387</v>
      </c>
      <c r="K880" s="9" t="s">
        <v>1388</v>
      </c>
      <c r="L880" s="83">
        <v>45200</v>
      </c>
      <c r="M880" s="83">
        <v>45230</v>
      </c>
    </row>
    <row r="881" spans="1:13" ht="14.25" customHeight="1" x14ac:dyDescent="0.25">
      <c r="A881" s="9" t="s">
        <v>32</v>
      </c>
      <c r="B881" s="81">
        <v>114736</v>
      </c>
      <c r="C881" s="81">
        <v>10758</v>
      </c>
      <c r="D881" s="9" t="s">
        <v>1084</v>
      </c>
      <c r="E881" s="81">
        <v>14563091</v>
      </c>
      <c r="F881" s="81">
        <v>36920</v>
      </c>
      <c r="G881" s="81">
        <v>1</v>
      </c>
      <c r="H881" s="82">
        <v>359.46</v>
      </c>
      <c r="I881" s="251">
        <v>359.46</v>
      </c>
      <c r="J881" s="9" t="s">
        <v>1387</v>
      </c>
      <c r="K881" s="9" t="s">
        <v>1388</v>
      </c>
      <c r="L881" s="83">
        <v>45200</v>
      </c>
      <c r="M881" s="83">
        <v>45230</v>
      </c>
    </row>
    <row r="882" spans="1:13" ht="14.25" customHeight="1" x14ac:dyDescent="0.25">
      <c r="A882" s="9" t="s">
        <v>10</v>
      </c>
      <c r="B882" s="81">
        <v>116024</v>
      </c>
      <c r="C882" s="81">
        <v>10760</v>
      </c>
      <c r="D882" s="9" t="s">
        <v>1174</v>
      </c>
      <c r="E882" s="81">
        <v>14563091</v>
      </c>
      <c r="F882" s="81">
        <v>40908</v>
      </c>
      <c r="G882" s="81">
        <v>1</v>
      </c>
      <c r="H882" s="82">
        <v>359.46</v>
      </c>
      <c r="I882" s="251">
        <v>359.46</v>
      </c>
      <c r="J882" s="9" t="s">
        <v>1387</v>
      </c>
      <c r="K882" s="9" t="s">
        <v>1388</v>
      </c>
      <c r="L882" s="83">
        <v>45200</v>
      </c>
      <c r="M882" s="83">
        <v>45230</v>
      </c>
    </row>
    <row r="883" spans="1:13" ht="14.25" customHeight="1" x14ac:dyDescent="0.25">
      <c r="A883" s="9" t="s">
        <v>1578</v>
      </c>
      <c r="B883" s="81">
        <v>112640</v>
      </c>
      <c r="C883" s="81">
        <v>10771</v>
      </c>
      <c r="D883" s="9" t="s">
        <v>314</v>
      </c>
      <c r="E883" s="81">
        <v>14563091</v>
      </c>
      <c r="F883" s="81">
        <v>29714</v>
      </c>
      <c r="G883" s="81">
        <v>1</v>
      </c>
      <c r="H883" s="82">
        <v>359.46</v>
      </c>
      <c r="I883" s="251">
        <v>359.46</v>
      </c>
      <c r="J883" s="9" t="s">
        <v>1387</v>
      </c>
      <c r="K883" s="9" t="s">
        <v>1388</v>
      </c>
      <c r="L883" s="83">
        <v>45200</v>
      </c>
      <c r="M883" s="83">
        <v>45230</v>
      </c>
    </row>
    <row r="884" spans="1:13" ht="14.25" customHeight="1" x14ac:dyDescent="0.25">
      <c r="A884" s="9" t="s">
        <v>8</v>
      </c>
      <c r="B884" s="81">
        <v>112649</v>
      </c>
      <c r="C884" s="81">
        <v>10750</v>
      </c>
      <c r="D884" s="9" t="s">
        <v>318</v>
      </c>
      <c r="E884" s="81">
        <v>14563091</v>
      </c>
      <c r="F884" s="81">
        <v>29732</v>
      </c>
      <c r="G884" s="81">
        <v>1</v>
      </c>
      <c r="H884" s="82">
        <v>359.46</v>
      </c>
      <c r="I884" s="251">
        <v>359.46</v>
      </c>
      <c r="J884" s="9" t="s">
        <v>1387</v>
      </c>
      <c r="K884" s="9" t="s">
        <v>1388</v>
      </c>
      <c r="L884" s="83">
        <v>45200</v>
      </c>
      <c r="M884" s="83">
        <v>45230</v>
      </c>
    </row>
    <row r="885" spans="1:13" ht="14.25" customHeight="1" x14ac:dyDescent="0.25">
      <c r="A885" s="9" t="s">
        <v>1578</v>
      </c>
      <c r="B885" s="81">
        <v>122088</v>
      </c>
      <c r="C885" s="81">
        <v>10760</v>
      </c>
      <c r="D885" s="9" t="s">
        <v>1630</v>
      </c>
      <c r="E885" s="81">
        <v>14563091</v>
      </c>
      <c r="F885" s="81">
        <v>55290</v>
      </c>
      <c r="G885" s="81">
        <v>1</v>
      </c>
      <c r="H885" s="82">
        <v>359.46</v>
      </c>
      <c r="I885" s="251">
        <v>359.46</v>
      </c>
      <c r="J885" s="9" t="s">
        <v>1387</v>
      </c>
      <c r="K885" s="9" t="s">
        <v>1388</v>
      </c>
      <c r="L885" s="83">
        <v>45200</v>
      </c>
      <c r="M885" s="83">
        <v>45230</v>
      </c>
    </row>
    <row r="886" spans="1:13" ht="14.25" customHeight="1" x14ac:dyDescent="0.25">
      <c r="A886" s="9" t="s">
        <v>0</v>
      </c>
      <c r="B886" s="81">
        <v>113768</v>
      </c>
      <c r="C886" s="81">
        <v>10771</v>
      </c>
      <c r="D886" s="9" t="s">
        <v>968</v>
      </c>
      <c r="E886" s="81">
        <v>14563091</v>
      </c>
      <c r="F886" s="81">
        <v>31982</v>
      </c>
      <c r="G886" s="81">
        <v>1</v>
      </c>
      <c r="H886" s="82">
        <v>359.46</v>
      </c>
      <c r="I886" s="251">
        <v>359.46</v>
      </c>
      <c r="J886" s="9" t="s">
        <v>1387</v>
      </c>
      <c r="K886" s="9" t="s">
        <v>1388</v>
      </c>
      <c r="L886" s="83">
        <v>45200</v>
      </c>
      <c r="M886" s="83">
        <v>45230</v>
      </c>
    </row>
    <row r="887" spans="1:13" ht="14.25" customHeight="1" x14ac:dyDescent="0.25">
      <c r="A887" s="9" t="s">
        <v>10</v>
      </c>
      <c r="B887" s="81">
        <v>114749</v>
      </c>
      <c r="C887" s="81">
        <v>10758</v>
      </c>
      <c r="D887" s="9" t="s">
        <v>1089</v>
      </c>
      <c r="E887" s="81">
        <v>14563091</v>
      </c>
      <c r="F887" s="81">
        <v>36946</v>
      </c>
      <c r="G887" s="81">
        <v>1</v>
      </c>
      <c r="H887" s="82">
        <v>359.46</v>
      </c>
      <c r="I887" s="251">
        <v>359.46</v>
      </c>
      <c r="J887" s="9" t="s">
        <v>1387</v>
      </c>
      <c r="K887" s="9" t="s">
        <v>1388</v>
      </c>
      <c r="L887" s="83">
        <v>45200</v>
      </c>
      <c r="M887" s="83">
        <v>45230</v>
      </c>
    </row>
    <row r="888" spans="1:13" ht="14.25" customHeight="1" x14ac:dyDescent="0.25">
      <c r="A888" s="9" t="s">
        <v>1578</v>
      </c>
      <c r="B888" s="81">
        <v>112667</v>
      </c>
      <c r="C888" s="81">
        <v>10771</v>
      </c>
      <c r="D888" s="9" t="s">
        <v>328</v>
      </c>
      <c r="E888" s="81">
        <v>14563091</v>
      </c>
      <c r="F888" s="81">
        <v>29768</v>
      </c>
      <c r="G888" s="81">
        <v>1</v>
      </c>
      <c r="H888" s="82">
        <v>359.46</v>
      </c>
      <c r="I888" s="251">
        <v>359.46</v>
      </c>
      <c r="J888" s="9" t="s">
        <v>1387</v>
      </c>
      <c r="K888" s="9" t="s">
        <v>1388</v>
      </c>
      <c r="L888" s="83">
        <v>45200</v>
      </c>
      <c r="M888" s="83">
        <v>45230</v>
      </c>
    </row>
    <row r="889" spans="1:13" ht="14.25" customHeight="1" x14ac:dyDescent="0.25">
      <c r="A889" s="9" t="s">
        <v>1578</v>
      </c>
      <c r="B889" s="81">
        <v>112677</v>
      </c>
      <c r="C889" s="81">
        <v>10759</v>
      </c>
      <c r="D889" s="9" t="s">
        <v>333</v>
      </c>
      <c r="E889" s="81">
        <v>14563091</v>
      </c>
      <c r="F889" s="81">
        <v>29788</v>
      </c>
      <c r="G889" s="81">
        <v>1</v>
      </c>
      <c r="H889" s="82">
        <v>359.46</v>
      </c>
      <c r="I889" s="251">
        <v>359.46</v>
      </c>
      <c r="J889" s="9" t="s">
        <v>1387</v>
      </c>
      <c r="K889" s="9" t="s">
        <v>1388</v>
      </c>
      <c r="L889" s="83">
        <v>45200</v>
      </c>
      <c r="M889" s="83">
        <v>45230</v>
      </c>
    </row>
    <row r="890" spans="1:13" ht="14.25" customHeight="1" x14ac:dyDescent="0.25">
      <c r="A890" s="9" t="s">
        <v>8</v>
      </c>
      <c r="B890" s="81">
        <v>112682</v>
      </c>
      <c r="C890" s="81">
        <v>10766</v>
      </c>
      <c r="D890" s="9" t="s">
        <v>337</v>
      </c>
      <c r="E890" s="81">
        <v>14563091</v>
      </c>
      <c r="F890" s="81">
        <v>29798</v>
      </c>
      <c r="G890" s="81">
        <v>1</v>
      </c>
      <c r="H890" s="82">
        <v>359.46</v>
      </c>
      <c r="I890" s="251">
        <v>359.46</v>
      </c>
      <c r="J890" s="9" t="s">
        <v>1387</v>
      </c>
      <c r="K890" s="9" t="s">
        <v>1388</v>
      </c>
      <c r="L890" s="83">
        <v>45200</v>
      </c>
      <c r="M890" s="83">
        <v>45230</v>
      </c>
    </row>
    <row r="891" spans="1:13" ht="14.25" customHeight="1" x14ac:dyDescent="0.25">
      <c r="A891" s="9" t="s">
        <v>10</v>
      </c>
      <c r="B891" s="81">
        <v>112684</v>
      </c>
      <c r="C891" s="81">
        <v>10750</v>
      </c>
      <c r="D891" s="9" t="s">
        <v>339</v>
      </c>
      <c r="E891" s="81">
        <v>14563091</v>
      </c>
      <c r="F891" s="81">
        <v>29802</v>
      </c>
      <c r="G891" s="81">
        <v>1</v>
      </c>
      <c r="H891" s="82">
        <v>359.46</v>
      </c>
      <c r="I891" s="251">
        <v>359.46</v>
      </c>
      <c r="J891" s="9" t="s">
        <v>1387</v>
      </c>
      <c r="K891" s="9" t="s">
        <v>1388</v>
      </c>
      <c r="L891" s="83">
        <v>45200</v>
      </c>
      <c r="M891" s="83">
        <v>45230</v>
      </c>
    </row>
    <row r="892" spans="1:13" ht="14.25" customHeight="1" x14ac:dyDescent="0.25">
      <c r="A892" s="9" t="s">
        <v>0</v>
      </c>
      <c r="B892" s="81">
        <v>112687</v>
      </c>
      <c r="C892" s="81">
        <v>10750</v>
      </c>
      <c r="D892" s="9" t="s">
        <v>342</v>
      </c>
      <c r="E892" s="81">
        <v>14563091</v>
      </c>
      <c r="F892" s="81">
        <v>29808</v>
      </c>
      <c r="G892" s="81">
        <v>1</v>
      </c>
      <c r="H892" s="82">
        <v>359.46</v>
      </c>
      <c r="I892" s="251">
        <v>359.46</v>
      </c>
      <c r="J892" s="9" t="s">
        <v>1387</v>
      </c>
      <c r="K892" s="9" t="s">
        <v>1388</v>
      </c>
      <c r="L892" s="83">
        <v>45200</v>
      </c>
      <c r="M892" s="83">
        <v>45230</v>
      </c>
    </row>
    <row r="893" spans="1:13" ht="14.25" customHeight="1" x14ac:dyDescent="0.25">
      <c r="A893" s="9" t="s">
        <v>10</v>
      </c>
      <c r="B893" s="81">
        <v>112690</v>
      </c>
      <c r="C893" s="81">
        <v>10757</v>
      </c>
      <c r="D893" s="9" t="s">
        <v>1543</v>
      </c>
      <c r="E893" s="81">
        <v>14563091</v>
      </c>
      <c r="F893" s="81">
        <v>29814</v>
      </c>
      <c r="G893" s="81">
        <v>1</v>
      </c>
      <c r="H893" s="82">
        <v>347.47</v>
      </c>
      <c r="I893" s="251">
        <v>347.47</v>
      </c>
      <c r="J893" s="9" t="s">
        <v>1387</v>
      </c>
      <c r="K893" s="9" t="s">
        <v>1388</v>
      </c>
      <c r="L893" s="83">
        <v>45200</v>
      </c>
      <c r="M893" s="83">
        <v>45230</v>
      </c>
    </row>
    <row r="894" spans="1:13" ht="14.25" customHeight="1" x14ac:dyDescent="0.25">
      <c r="A894" s="9" t="s">
        <v>8</v>
      </c>
      <c r="B894" s="81">
        <v>114030</v>
      </c>
      <c r="C894" s="81">
        <v>10757</v>
      </c>
      <c r="D894" s="9" t="s">
        <v>995</v>
      </c>
      <c r="E894" s="81">
        <v>14563091</v>
      </c>
      <c r="F894" s="81">
        <v>34124</v>
      </c>
      <c r="G894" s="81">
        <v>1</v>
      </c>
      <c r="H894" s="82">
        <v>359.46</v>
      </c>
      <c r="I894" s="251">
        <v>359.46</v>
      </c>
      <c r="J894" s="9" t="s">
        <v>1387</v>
      </c>
      <c r="K894" s="9" t="s">
        <v>1388</v>
      </c>
      <c r="L894" s="83">
        <v>45200</v>
      </c>
      <c r="M894" s="83">
        <v>45230</v>
      </c>
    </row>
    <row r="895" spans="1:13" ht="14.25" customHeight="1" x14ac:dyDescent="0.25">
      <c r="A895" s="9" t="s">
        <v>0</v>
      </c>
      <c r="B895" s="81">
        <v>119643</v>
      </c>
      <c r="C895" s="81">
        <v>10757</v>
      </c>
      <c r="D895" s="9" t="s">
        <v>1468</v>
      </c>
      <c r="E895" s="81">
        <v>14563091</v>
      </c>
      <c r="F895" s="81">
        <v>49601</v>
      </c>
      <c r="G895" s="81">
        <v>1</v>
      </c>
      <c r="H895" s="82">
        <v>359.46</v>
      </c>
      <c r="I895" s="251">
        <v>359.46</v>
      </c>
      <c r="J895" s="9" t="s">
        <v>1387</v>
      </c>
      <c r="K895" s="9" t="s">
        <v>1388</v>
      </c>
      <c r="L895" s="83">
        <v>45200</v>
      </c>
      <c r="M895" s="83">
        <v>45230</v>
      </c>
    </row>
    <row r="896" spans="1:13" ht="14.25" customHeight="1" x14ac:dyDescent="0.25">
      <c r="A896" s="9" t="s">
        <v>1578</v>
      </c>
      <c r="B896" s="81">
        <v>116386</v>
      </c>
      <c r="C896" s="81">
        <v>10766</v>
      </c>
      <c r="D896" s="9" t="s">
        <v>1210</v>
      </c>
      <c r="E896" s="81">
        <v>14563091</v>
      </c>
      <c r="F896" s="81">
        <v>42042</v>
      </c>
      <c r="G896" s="81">
        <v>1</v>
      </c>
      <c r="H896" s="82">
        <v>359.46</v>
      </c>
      <c r="I896" s="251">
        <v>359.46</v>
      </c>
      <c r="J896" s="9" t="s">
        <v>1387</v>
      </c>
      <c r="K896" s="9" t="s">
        <v>1388</v>
      </c>
      <c r="L896" s="83">
        <v>45200</v>
      </c>
      <c r="M896" s="83">
        <v>45230</v>
      </c>
    </row>
    <row r="897" spans="1:13" ht="14.25" customHeight="1" x14ac:dyDescent="0.25">
      <c r="A897" s="9" t="s">
        <v>19</v>
      </c>
      <c r="B897" s="81">
        <v>112693</v>
      </c>
      <c r="C897" s="81">
        <v>10754</v>
      </c>
      <c r="D897" s="9" t="s">
        <v>345</v>
      </c>
      <c r="E897" s="81">
        <v>14563091</v>
      </c>
      <c r="F897" s="81">
        <v>29820</v>
      </c>
      <c r="G897" s="81">
        <v>1</v>
      </c>
      <c r="H897" s="82">
        <v>359.46</v>
      </c>
      <c r="I897" s="251">
        <v>359.46</v>
      </c>
      <c r="J897" s="9" t="s">
        <v>1387</v>
      </c>
      <c r="K897" s="9" t="s">
        <v>1388</v>
      </c>
      <c r="L897" s="83">
        <v>45200</v>
      </c>
      <c r="M897" s="83">
        <v>45230</v>
      </c>
    </row>
    <row r="898" spans="1:13" ht="14.25" customHeight="1" x14ac:dyDescent="0.25">
      <c r="A898" s="9" t="s">
        <v>19</v>
      </c>
      <c r="B898" s="81">
        <v>112694</v>
      </c>
      <c r="C898" s="81">
        <v>10756</v>
      </c>
      <c r="D898" s="9" t="s">
        <v>346</v>
      </c>
      <c r="E898" s="81">
        <v>14563091</v>
      </c>
      <c r="F898" s="81">
        <v>29822</v>
      </c>
      <c r="G898" s="81">
        <v>1</v>
      </c>
      <c r="H898" s="82">
        <v>359.46</v>
      </c>
      <c r="I898" s="251">
        <v>359.46</v>
      </c>
      <c r="J898" s="9" t="s">
        <v>1387</v>
      </c>
      <c r="K898" s="9" t="s">
        <v>1388</v>
      </c>
      <c r="L898" s="83">
        <v>45200</v>
      </c>
      <c r="M898" s="83">
        <v>45230</v>
      </c>
    </row>
    <row r="899" spans="1:13" ht="14.25" customHeight="1" x14ac:dyDescent="0.25">
      <c r="A899" s="9" t="s">
        <v>0</v>
      </c>
      <c r="B899" s="81">
        <v>112699</v>
      </c>
      <c r="C899" s="81">
        <v>10750</v>
      </c>
      <c r="D899" s="9" t="s">
        <v>350</v>
      </c>
      <c r="E899" s="81">
        <v>14563091</v>
      </c>
      <c r="F899" s="81">
        <v>29832</v>
      </c>
      <c r="G899" s="81">
        <v>1</v>
      </c>
      <c r="H899" s="82">
        <v>359.46</v>
      </c>
      <c r="I899" s="251">
        <v>359.46</v>
      </c>
      <c r="J899" s="9" t="s">
        <v>1387</v>
      </c>
      <c r="K899" s="9" t="s">
        <v>1388</v>
      </c>
      <c r="L899" s="83">
        <v>45200</v>
      </c>
      <c r="M899" s="83">
        <v>45230</v>
      </c>
    </row>
    <row r="900" spans="1:13" ht="14.25" customHeight="1" x14ac:dyDescent="0.25">
      <c r="A900" s="9" t="s">
        <v>1578</v>
      </c>
      <c r="B900" s="81">
        <v>119922</v>
      </c>
      <c r="C900" s="81">
        <v>10766</v>
      </c>
      <c r="D900" s="9" t="s">
        <v>1479</v>
      </c>
      <c r="E900" s="81">
        <v>14563091</v>
      </c>
      <c r="F900" s="81">
        <v>50249</v>
      </c>
      <c r="G900" s="81">
        <v>1</v>
      </c>
      <c r="H900" s="82">
        <v>359.46</v>
      </c>
      <c r="I900" s="251">
        <v>359.46</v>
      </c>
      <c r="J900" s="9" t="s">
        <v>1387</v>
      </c>
      <c r="K900" s="9" t="s">
        <v>1388</v>
      </c>
      <c r="L900" s="83">
        <v>45200</v>
      </c>
      <c r="M900" s="83">
        <v>45230</v>
      </c>
    </row>
    <row r="901" spans="1:13" ht="14.25" customHeight="1" x14ac:dyDescent="0.25">
      <c r="A901" s="9" t="s">
        <v>0</v>
      </c>
      <c r="B901" s="81">
        <v>118060</v>
      </c>
      <c r="C901" s="81">
        <v>10757</v>
      </c>
      <c r="D901" s="9" t="s">
        <v>1403</v>
      </c>
      <c r="E901" s="81">
        <v>14563091</v>
      </c>
      <c r="F901" s="81">
        <v>45908</v>
      </c>
      <c r="G901" s="81">
        <v>1</v>
      </c>
      <c r="H901" s="82">
        <v>359.46</v>
      </c>
      <c r="I901" s="251">
        <v>359.46</v>
      </c>
      <c r="J901" s="9" t="s">
        <v>1387</v>
      </c>
      <c r="K901" s="9" t="s">
        <v>1388</v>
      </c>
      <c r="L901" s="83">
        <v>45200</v>
      </c>
      <c r="M901" s="83">
        <v>45230</v>
      </c>
    </row>
    <row r="902" spans="1:13" ht="14.25" customHeight="1" x14ac:dyDescent="0.25">
      <c r="A902" s="9" t="s">
        <v>0</v>
      </c>
      <c r="B902" s="81">
        <v>112732</v>
      </c>
      <c r="C902" s="81">
        <v>10758</v>
      </c>
      <c r="D902" s="9" t="s">
        <v>371</v>
      </c>
      <c r="E902" s="81">
        <v>14563091</v>
      </c>
      <c r="F902" s="81">
        <v>29898</v>
      </c>
      <c r="G902" s="81">
        <v>1</v>
      </c>
      <c r="H902" s="82">
        <v>359.46</v>
      </c>
      <c r="I902" s="251">
        <v>359.46</v>
      </c>
      <c r="J902" s="9" t="s">
        <v>1387</v>
      </c>
      <c r="K902" s="9" t="s">
        <v>1388</v>
      </c>
      <c r="L902" s="83">
        <v>45200</v>
      </c>
      <c r="M902" s="83">
        <v>45230</v>
      </c>
    </row>
    <row r="903" spans="1:13" ht="14.25" customHeight="1" x14ac:dyDescent="0.25">
      <c r="A903" s="9" t="s">
        <v>10</v>
      </c>
      <c r="B903" s="81">
        <v>112748</v>
      </c>
      <c r="C903" s="81">
        <v>10757</v>
      </c>
      <c r="D903" s="9" t="s">
        <v>381</v>
      </c>
      <c r="E903" s="81">
        <v>14563091</v>
      </c>
      <c r="F903" s="81">
        <v>29930</v>
      </c>
      <c r="G903" s="81">
        <v>1</v>
      </c>
      <c r="H903" s="82">
        <v>359.46</v>
      </c>
      <c r="I903" s="251">
        <v>359.46</v>
      </c>
      <c r="J903" s="9" t="s">
        <v>1387</v>
      </c>
      <c r="K903" s="9" t="s">
        <v>1388</v>
      </c>
      <c r="L903" s="83">
        <v>45200</v>
      </c>
      <c r="M903" s="83">
        <v>45230</v>
      </c>
    </row>
    <row r="904" spans="1:13" ht="14.25" customHeight="1" x14ac:dyDescent="0.25">
      <c r="A904" s="9" t="s">
        <v>1578</v>
      </c>
      <c r="B904" s="81">
        <v>112771</v>
      </c>
      <c r="C904" s="81">
        <v>10768</v>
      </c>
      <c r="D904" s="9" t="s">
        <v>396</v>
      </c>
      <c r="E904" s="81">
        <v>14563091</v>
      </c>
      <c r="F904" s="81">
        <v>29976</v>
      </c>
      <c r="G904" s="81">
        <v>1</v>
      </c>
      <c r="H904" s="82">
        <v>359.46</v>
      </c>
      <c r="I904" s="251">
        <v>359.46</v>
      </c>
      <c r="J904" s="9" t="s">
        <v>1387</v>
      </c>
      <c r="K904" s="9" t="s">
        <v>1388</v>
      </c>
      <c r="L904" s="83">
        <v>45200</v>
      </c>
      <c r="M904" s="83">
        <v>45230</v>
      </c>
    </row>
    <row r="905" spans="1:13" ht="14.25" customHeight="1" x14ac:dyDescent="0.25">
      <c r="A905" s="9" t="s">
        <v>0</v>
      </c>
      <c r="B905" s="81">
        <v>112775</v>
      </c>
      <c r="C905" s="81">
        <v>10757</v>
      </c>
      <c r="D905" s="9" t="s">
        <v>1453</v>
      </c>
      <c r="E905" s="81">
        <v>14563091</v>
      </c>
      <c r="F905" s="81">
        <v>29984</v>
      </c>
      <c r="G905" s="81">
        <v>1</v>
      </c>
      <c r="H905" s="82">
        <v>359.46</v>
      </c>
      <c r="I905" s="251">
        <v>359.46</v>
      </c>
      <c r="J905" s="9" t="s">
        <v>1387</v>
      </c>
      <c r="K905" s="9" t="s">
        <v>1388</v>
      </c>
      <c r="L905" s="83">
        <v>45200</v>
      </c>
      <c r="M905" s="83">
        <v>45230</v>
      </c>
    </row>
    <row r="906" spans="1:13" ht="14.25" customHeight="1" x14ac:dyDescent="0.25">
      <c r="A906" s="9" t="s">
        <v>1580</v>
      </c>
      <c r="B906" s="81">
        <v>119242</v>
      </c>
      <c r="C906" s="81">
        <v>10775</v>
      </c>
      <c r="D906" s="9" t="s">
        <v>1448</v>
      </c>
      <c r="E906" s="81">
        <v>14563091</v>
      </c>
      <c r="F906" s="81">
        <v>48554</v>
      </c>
      <c r="G906" s="81">
        <v>1</v>
      </c>
      <c r="H906" s="82">
        <v>359.46</v>
      </c>
      <c r="I906" s="251">
        <v>359.46</v>
      </c>
      <c r="J906" s="9" t="s">
        <v>1387</v>
      </c>
      <c r="K906" s="9" t="s">
        <v>1388</v>
      </c>
      <c r="L906" s="83">
        <v>45200</v>
      </c>
      <c r="M906" s="83">
        <v>45230</v>
      </c>
    </row>
    <row r="907" spans="1:13" ht="14.25" customHeight="1" x14ac:dyDescent="0.25">
      <c r="A907" s="9" t="s">
        <v>0</v>
      </c>
      <c r="B907" s="81">
        <v>112781</v>
      </c>
      <c r="C907" s="81">
        <v>10756</v>
      </c>
      <c r="D907" s="9" t="s">
        <v>404</v>
      </c>
      <c r="E907" s="81">
        <v>14563091</v>
      </c>
      <c r="F907" s="81">
        <v>29996</v>
      </c>
      <c r="G907" s="81">
        <v>1</v>
      </c>
      <c r="H907" s="82">
        <v>359.46</v>
      </c>
      <c r="I907" s="251">
        <v>359.46</v>
      </c>
      <c r="J907" s="9" t="s">
        <v>1387</v>
      </c>
      <c r="K907" s="9" t="s">
        <v>1388</v>
      </c>
      <c r="L907" s="83">
        <v>45200</v>
      </c>
      <c r="M907" s="83">
        <v>45230</v>
      </c>
    </row>
    <row r="908" spans="1:13" ht="14.25" customHeight="1" x14ac:dyDescent="0.25">
      <c r="A908" s="9" t="s">
        <v>1578</v>
      </c>
      <c r="B908" s="81">
        <v>122632</v>
      </c>
      <c r="C908" s="81">
        <v>10757</v>
      </c>
      <c r="D908" s="9" t="s">
        <v>1705</v>
      </c>
      <c r="E908" s="81">
        <v>14563091</v>
      </c>
      <c r="F908" s="81">
        <v>56692</v>
      </c>
      <c r="G908" s="81">
        <v>1</v>
      </c>
      <c r="H908" s="82">
        <v>359.46</v>
      </c>
      <c r="I908" s="251">
        <v>359.46</v>
      </c>
      <c r="J908" s="9" t="s">
        <v>1387</v>
      </c>
      <c r="K908" s="9" t="s">
        <v>1388</v>
      </c>
      <c r="L908" s="83">
        <v>45200</v>
      </c>
      <c r="M908" s="83">
        <v>45230</v>
      </c>
    </row>
    <row r="909" spans="1:13" ht="14.25" customHeight="1" x14ac:dyDescent="0.25">
      <c r="A909" s="9" t="s">
        <v>0</v>
      </c>
      <c r="B909" s="81">
        <v>114527</v>
      </c>
      <c r="C909" s="81">
        <v>10750</v>
      </c>
      <c r="D909" s="9" t="s">
        <v>1048</v>
      </c>
      <c r="E909" s="81">
        <v>14563091</v>
      </c>
      <c r="F909" s="81">
        <v>36334</v>
      </c>
      <c r="G909" s="81">
        <v>1</v>
      </c>
      <c r="H909" s="82">
        <v>359.46</v>
      </c>
      <c r="I909" s="251">
        <v>359.46</v>
      </c>
      <c r="J909" s="9" t="s">
        <v>1387</v>
      </c>
      <c r="K909" s="9" t="s">
        <v>1388</v>
      </c>
      <c r="L909" s="83">
        <v>45200</v>
      </c>
      <c r="M909" s="83">
        <v>45230</v>
      </c>
    </row>
    <row r="910" spans="1:13" ht="14.25" customHeight="1" x14ac:dyDescent="0.25">
      <c r="A910" s="9" t="s">
        <v>0</v>
      </c>
      <c r="B910" s="81">
        <v>112803</v>
      </c>
      <c r="C910" s="81">
        <v>10750</v>
      </c>
      <c r="D910" s="9" t="s">
        <v>421</v>
      </c>
      <c r="E910" s="81">
        <v>14563091</v>
      </c>
      <c r="F910" s="81">
        <v>30040</v>
      </c>
      <c r="G910" s="81">
        <v>1</v>
      </c>
      <c r="H910" s="82">
        <v>359.46</v>
      </c>
      <c r="I910" s="251">
        <v>359.46</v>
      </c>
      <c r="J910" s="9" t="s">
        <v>1387</v>
      </c>
      <c r="K910" s="9" t="s">
        <v>1388</v>
      </c>
      <c r="L910" s="83">
        <v>45200</v>
      </c>
      <c r="M910" s="83">
        <v>45230</v>
      </c>
    </row>
    <row r="911" spans="1:13" ht="14.25" customHeight="1" x14ac:dyDescent="0.25">
      <c r="A911" s="9" t="s">
        <v>8</v>
      </c>
      <c r="B911" s="81">
        <v>112809</v>
      </c>
      <c r="C911" s="81">
        <v>10757</v>
      </c>
      <c r="D911" s="9" t="s">
        <v>425</v>
      </c>
      <c r="E911" s="81">
        <v>14563091</v>
      </c>
      <c r="F911" s="81">
        <v>30052</v>
      </c>
      <c r="G911" s="81">
        <v>1</v>
      </c>
      <c r="H911" s="82">
        <v>359.46</v>
      </c>
      <c r="I911" s="251">
        <v>359.46</v>
      </c>
      <c r="J911" s="9" t="s">
        <v>1387</v>
      </c>
      <c r="K911" s="9" t="s">
        <v>1388</v>
      </c>
      <c r="L911" s="83">
        <v>45200</v>
      </c>
      <c r="M911" s="83">
        <v>45230</v>
      </c>
    </row>
    <row r="912" spans="1:13" ht="14.25" customHeight="1" x14ac:dyDescent="0.25">
      <c r="A912" s="9" t="s">
        <v>1578</v>
      </c>
      <c r="B912" s="81">
        <v>116980</v>
      </c>
      <c r="C912" s="81">
        <v>10757</v>
      </c>
      <c r="D912" s="9" t="s">
        <v>1241</v>
      </c>
      <c r="E912" s="81">
        <v>14563091</v>
      </c>
      <c r="F912" s="81">
        <v>43470</v>
      </c>
      <c r="G912" s="81">
        <v>1</v>
      </c>
      <c r="H912" s="82">
        <v>359.46</v>
      </c>
      <c r="I912" s="251">
        <v>359.46</v>
      </c>
      <c r="J912" s="9" t="s">
        <v>1387</v>
      </c>
      <c r="K912" s="9" t="s">
        <v>1388</v>
      </c>
      <c r="L912" s="83">
        <v>45200</v>
      </c>
      <c r="M912" s="83">
        <v>45230</v>
      </c>
    </row>
    <row r="913" spans="1:13" ht="14.25" customHeight="1" x14ac:dyDescent="0.25">
      <c r="A913" s="9" t="s">
        <v>10</v>
      </c>
      <c r="B913" s="81">
        <v>121317</v>
      </c>
      <c r="C913" s="81">
        <v>10757</v>
      </c>
      <c r="D913" s="9" t="s">
        <v>1533</v>
      </c>
      <c r="E913" s="81">
        <v>14563091</v>
      </c>
      <c r="F913" s="81">
        <v>53488</v>
      </c>
      <c r="G913" s="81">
        <v>1</v>
      </c>
      <c r="H913" s="82">
        <v>347.47</v>
      </c>
      <c r="I913" s="251">
        <v>347.47</v>
      </c>
      <c r="J913" s="9" t="s">
        <v>1387</v>
      </c>
      <c r="K913" s="9" t="s">
        <v>1388</v>
      </c>
      <c r="L913" s="83">
        <v>45200</v>
      </c>
      <c r="M913" s="83">
        <v>45230</v>
      </c>
    </row>
    <row r="914" spans="1:13" ht="14.25" customHeight="1" x14ac:dyDescent="0.25">
      <c r="A914" s="9" t="s">
        <v>10</v>
      </c>
      <c r="B914" s="81">
        <v>112813</v>
      </c>
      <c r="C914" s="81">
        <v>10763</v>
      </c>
      <c r="D914" s="9" t="s">
        <v>393</v>
      </c>
      <c r="E914" s="81">
        <v>14563091</v>
      </c>
      <c r="F914" s="81">
        <v>30060</v>
      </c>
      <c r="G914" s="81">
        <v>1</v>
      </c>
      <c r="H914" s="82">
        <v>359.46</v>
      </c>
      <c r="I914" s="251">
        <v>359.46</v>
      </c>
      <c r="J914" s="9" t="s">
        <v>1387</v>
      </c>
      <c r="K914" s="9" t="s">
        <v>1388</v>
      </c>
      <c r="L914" s="83">
        <v>45200</v>
      </c>
      <c r="M914" s="83">
        <v>45230</v>
      </c>
    </row>
    <row r="915" spans="1:13" ht="14.25" customHeight="1" x14ac:dyDescent="0.25">
      <c r="A915" s="9" t="s">
        <v>1578</v>
      </c>
      <c r="B915" s="81">
        <v>112837</v>
      </c>
      <c r="C915" s="81">
        <v>10745</v>
      </c>
      <c r="D915" s="9" t="s">
        <v>445</v>
      </c>
      <c r="E915" s="81">
        <v>14563091</v>
      </c>
      <c r="F915" s="81">
        <v>30108</v>
      </c>
      <c r="G915" s="81">
        <v>1</v>
      </c>
      <c r="H915" s="82">
        <v>359.46</v>
      </c>
      <c r="I915" s="251">
        <v>359.46</v>
      </c>
      <c r="J915" s="9" t="s">
        <v>1387</v>
      </c>
      <c r="K915" s="9" t="s">
        <v>1388</v>
      </c>
      <c r="L915" s="83">
        <v>45200</v>
      </c>
      <c r="M915" s="83">
        <v>45230</v>
      </c>
    </row>
    <row r="916" spans="1:13" ht="14.25" customHeight="1" x14ac:dyDescent="0.25">
      <c r="A916" s="9" t="s">
        <v>10</v>
      </c>
      <c r="B916" s="81">
        <v>121687</v>
      </c>
      <c r="C916" s="81">
        <v>10758</v>
      </c>
      <c r="D916" s="9" t="s">
        <v>1589</v>
      </c>
      <c r="E916" s="81">
        <v>14563091</v>
      </c>
      <c r="F916" s="81">
        <v>54337</v>
      </c>
      <c r="G916" s="81">
        <v>1</v>
      </c>
      <c r="H916" s="82">
        <v>359.46</v>
      </c>
      <c r="I916" s="251">
        <v>359.46</v>
      </c>
      <c r="J916" s="9" t="s">
        <v>1387</v>
      </c>
      <c r="K916" s="9" t="s">
        <v>1388</v>
      </c>
      <c r="L916" s="83">
        <v>45200</v>
      </c>
      <c r="M916" s="83">
        <v>45230</v>
      </c>
    </row>
    <row r="917" spans="1:13" ht="14.25" customHeight="1" x14ac:dyDescent="0.25">
      <c r="A917" s="9" t="s">
        <v>1578</v>
      </c>
      <c r="B917" s="81">
        <v>112892</v>
      </c>
      <c r="C917" s="81">
        <v>10771</v>
      </c>
      <c r="D917" s="9" t="s">
        <v>479</v>
      </c>
      <c r="E917" s="81">
        <v>14563091</v>
      </c>
      <c r="F917" s="81">
        <v>30218</v>
      </c>
      <c r="G917" s="81">
        <v>1</v>
      </c>
      <c r="H917" s="82">
        <v>359.46</v>
      </c>
      <c r="I917" s="251">
        <v>359.46</v>
      </c>
      <c r="J917" s="9" t="s">
        <v>1387</v>
      </c>
      <c r="K917" s="9" t="s">
        <v>1388</v>
      </c>
      <c r="L917" s="83">
        <v>45200</v>
      </c>
      <c r="M917" s="83">
        <v>45230</v>
      </c>
    </row>
    <row r="918" spans="1:13" ht="14.25" customHeight="1" x14ac:dyDescent="0.25">
      <c r="A918" s="9" t="s">
        <v>8</v>
      </c>
      <c r="B918" s="81">
        <v>112897</v>
      </c>
      <c r="C918" s="81">
        <v>10750</v>
      </c>
      <c r="D918" s="9" t="s">
        <v>484</v>
      </c>
      <c r="E918" s="81">
        <v>14563091</v>
      </c>
      <c r="F918" s="81">
        <v>30228</v>
      </c>
      <c r="G918" s="81">
        <v>1</v>
      </c>
      <c r="H918" s="82">
        <v>359.46</v>
      </c>
      <c r="I918" s="251">
        <v>359.46</v>
      </c>
      <c r="J918" s="9" t="s">
        <v>1387</v>
      </c>
      <c r="K918" s="9" t="s">
        <v>1388</v>
      </c>
      <c r="L918" s="83">
        <v>45200</v>
      </c>
      <c r="M918" s="83">
        <v>45230</v>
      </c>
    </row>
    <row r="919" spans="1:13" ht="14.25" customHeight="1" x14ac:dyDescent="0.25">
      <c r="A919" s="9" t="s">
        <v>8</v>
      </c>
      <c r="B919" s="81">
        <v>112902</v>
      </c>
      <c r="C919" s="81">
        <v>10757</v>
      </c>
      <c r="D919" s="9" t="s">
        <v>487</v>
      </c>
      <c r="E919" s="81">
        <v>14563091</v>
      </c>
      <c r="F919" s="81">
        <v>30238</v>
      </c>
      <c r="G919" s="81">
        <v>1</v>
      </c>
      <c r="H919" s="82">
        <v>359.46</v>
      </c>
      <c r="I919" s="251">
        <v>359.46</v>
      </c>
      <c r="J919" s="9" t="s">
        <v>1387</v>
      </c>
      <c r="K919" s="9" t="s">
        <v>1388</v>
      </c>
      <c r="L919" s="83">
        <v>45200</v>
      </c>
      <c r="M919" s="83">
        <v>45230</v>
      </c>
    </row>
    <row r="920" spans="1:13" ht="14.25" customHeight="1" x14ac:dyDescent="0.25">
      <c r="A920" s="9" t="s">
        <v>8</v>
      </c>
      <c r="B920" s="81">
        <v>121955</v>
      </c>
      <c r="C920" s="81">
        <v>10758</v>
      </c>
      <c r="D920" s="9" t="s">
        <v>1613</v>
      </c>
      <c r="E920" s="81">
        <v>14563091</v>
      </c>
      <c r="F920" s="81">
        <v>54965</v>
      </c>
      <c r="G920" s="81">
        <v>1</v>
      </c>
      <c r="H920" s="82">
        <v>359.46</v>
      </c>
      <c r="I920" s="251">
        <v>359.46</v>
      </c>
      <c r="J920" s="9" t="s">
        <v>1387</v>
      </c>
      <c r="K920" s="9" t="s">
        <v>1388</v>
      </c>
      <c r="L920" s="83">
        <v>45200</v>
      </c>
      <c r="M920" s="83">
        <v>45230</v>
      </c>
    </row>
    <row r="921" spans="1:13" ht="14.25" customHeight="1" x14ac:dyDescent="0.25">
      <c r="A921" s="9" t="s">
        <v>0</v>
      </c>
      <c r="B921" s="81">
        <v>112906</v>
      </c>
      <c r="C921" s="81">
        <v>10750</v>
      </c>
      <c r="D921" s="9" t="s">
        <v>1564</v>
      </c>
      <c r="E921" s="81">
        <v>14563091</v>
      </c>
      <c r="F921" s="81">
        <v>30246</v>
      </c>
      <c r="G921" s="81">
        <v>1</v>
      </c>
      <c r="H921" s="82">
        <v>359.46</v>
      </c>
      <c r="I921" s="251">
        <v>359.46</v>
      </c>
      <c r="J921" s="9" t="s">
        <v>1387</v>
      </c>
      <c r="K921" s="9" t="s">
        <v>1388</v>
      </c>
      <c r="L921" s="83">
        <v>45200</v>
      </c>
      <c r="M921" s="83">
        <v>45230</v>
      </c>
    </row>
    <row r="922" spans="1:13" ht="14.25" customHeight="1" x14ac:dyDescent="0.25">
      <c r="A922" s="9" t="s">
        <v>1578</v>
      </c>
      <c r="B922" s="81">
        <v>112920</v>
      </c>
      <c r="C922" s="81">
        <v>10761</v>
      </c>
      <c r="D922" s="9" t="s">
        <v>497</v>
      </c>
      <c r="E922" s="81">
        <v>14563091</v>
      </c>
      <c r="F922" s="81">
        <v>30274</v>
      </c>
      <c r="G922" s="81">
        <v>1</v>
      </c>
      <c r="H922" s="82">
        <v>359.46</v>
      </c>
      <c r="I922" s="251">
        <v>359.46</v>
      </c>
      <c r="J922" s="9" t="s">
        <v>1387</v>
      </c>
      <c r="K922" s="9" t="s">
        <v>1388</v>
      </c>
      <c r="L922" s="83">
        <v>45200</v>
      </c>
      <c r="M922" s="83">
        <v>45230</v>
      </c>
    </row>
    <row r="923" spans="1:13" ht="14.25" customHeight="1" x14ac:dyDescent="0.25">
      <c r="A923" s="9" t="s">
        <v>1578</v>
      </c>
      <c r="B923" s="81">
        <v>112975</v>
      </c>
      <c r="C923" s="81">
        <v>10771</v>
      </c>
      <c r="D923" s="9" t="s">
        <v>527</v>
      </c>
      <c r="E923" s="81">
        <v>14563091</v>
      </c>
      <c r="F923" s="81">
        <v>30384</v>
      </c>
      <c r="G923" s="81">
        <v>1</v>
      </c>
      <c r="H923" s="82">
        <v>359.46</v>
      </c>
      <c r="I923" s="251">
        <v>359.46</v>
      </c>
      <c r="J923" s="9" t="s">
        <v>1387</v>
      </c>
      <c r="K923" s="9" t="s">
        <v>1388</v>
      </c>
      <c r="L923" s="83">
        <v>45200</v>
      </c>
      <c r="M923" s="83">
        <v>45230</v>
      </c>
    </row>
    <row r="924" spans="1:13" ht="14.25" customHeight="1" x14ac:dyDescent="0.25">
      <c r="A924" s="9" t="s">
        <v>1578</v>
      </c>
      <c r="B924" s="81">
        <v>122235</v>
      </c>
      <c r="C924" s="81">
        <v>10767</v>
      </c>
      <c r="D924" s="9" t="s">
        <v>1656</v>
      </c>
      <c r="E924" s="81">
        <v>14563091</v>
      </c>
      <c r="F924" s="81">
        <v>55712</v>
      </c>
      <c r="G924" s="81">
        <v>1</v>
      </c>
      <c r="H924" s="82">
        <v>359.46</v>
      </c>
      <c r="I924" s="251">
        <v>359.46</v>
      </c>
      <c r="J924" s="9" t="s">
        <v>1387</v>
      </c>
      <c r="K924" s="9" t="s">
        <v>1388</v>
      </c>
      <c r="L924" s="83">
        <v>45200</v>
      </c>
      <c r="M924" s="83">
        <v>45230</v>
      </c>
    </row>
    <row r="925" spans="1:13" ht="14.25" customHeight="1" x14ac:dyDescent="0.25">
      <c r="A925" s="9" t="s">
        <v>8</v>
      </c>
      <c r="B925" s="81">
        <v>112996</v>
      </c>
      <c r="C925" s="81">
        <v>10750</v>
      </c>
      <c r="D925" s="9" t="s">
        <v>537</v>
      </c>
      <c r="E925" s="81">
        <v>14563091</v>
      </c>
      <c r="F925" s="81">
        <v>30426</v>
      </c>
      <c r="G925" s="81">
        <v>1</v>
      </c>
      <c r="H925" s="82">
        <v>359.46</v>
      </c>
      <c r="I925" s="251">
        <v>359.46</v>
      </c>
      <c r="J925" s="9" t="s">
        <v>1387</v>
      </c>
      <c r="K925" s="9" t="s">
        <v>1388</v>
      </c>
      <c r="L925" s="83">
        <v>45200</v>
      </c>
      <c r="M925" s="83">
        <v>45230</v>
      </c>
    </row>
    <row r="926" spans="1:13" ht="14.25" customHeight="1" x14ac:dyDescent="0.25">
      <c r="A926" s="9" t="s">
        <v>0</v>
      </c>
      <c r="B926" s="81">
        <v>113002</v>
      </c>
      <c r="C926" s="81">
        <v>10750</v>
      </c>
      <c r="D926" s="9" t="s">
        <v>539</v>
      </c>
      <c r="E926" s="81">
        <v>14563091</v>
      </c>
      <c r="F926" s="81">
        <v>30438</v>
      </c>
      <c r="G926" s="81">
        <v>1</v>
      </c>
      <c r="H926" s="82">
        <v>359.46</v>
      </c>
      <c r="I926" s="251">
        <v>359.46</v>
      </c>
      <c r="J926" s="9" t="s">
        <v>1387</v>
      </c>
      <c r="K926" s="9" t="s">
        <v>1388</v>
      </c>
      <c r="L926" s="83">
        <v>45200</v>
      </c>
      <c r="M926" s="83">
        <v>45230</v>
      </c>
    </row>
    <row r="927" spans="1:13" ht="14.25" customHeight="1" x14ac:dyDescent="0.25">
      <c r="A927" s="9" t="s">
        <v>1578</v>
      </c>
      <c r="B927" s="81">
        <v>119924</v>
      </c>
      <c r="C927" s="81">
        <v>10766</v>
      </c>
      <c r="D927" s="9" t="s">
        <v>1480</v>
      </c>
      <c r="E927" s="81">
        <v>14563091</v>
      </c>
      <c r="F927" s="81">
        <v>50252</v>
      </c>
      <c r="G927" s="81">
        <v>1</v>
      </c>
      <c r="H927" s="82">
        <v>359.46</v>
      </c>
      <c r="I927" s="251">
        <v>359.46</v>
      </c>
      <c r="J927" s="9" t="s">
        <v>1387</v>
      </c>
      <c r="K927" s="9" t="s">
        <v>1388</v>
      </c>
      <c r="L927" s="83">
        <v>45200</v>
      </c>
      <c r="M927" s="83">
        <v>45230</v>
      </c>
    </row>
    <row r="928" spans="1:13" ht="14.25" customHeight="1" x14ac:dyDescent="0.25">
      <c r="A928" s="9" t="s">
        <v>0</v>
      </c>
      <c r="B928" s="81">
        <v>113024</v>
      </c>
      <c r="C928" s="81">
        <v>10756</v>
      </c>
      <c r="D928" s="9" t="s">
        <v>546</v>
      </c>
      <c r="E928" s="81">
        <v>14563091</v>
      </c>
      <c r="F928" s="81">
        <v>30482</v>
      </c>
      <c r="G928" s="81">
        <v>1</v>
      </c>
      <c r="H928" s="82">
        <v>359.46</v>
      </c>
      <c r="I928" s="251">
        <v>359.46</v>
      </c>
      <c r="J928" s="9" t="s">
        <v>1387</v>
      </c>
      <c r="K928" s="9" t="s">
        <v>1388</v>
      </c>
      <c r="L928" s="83">
        <v>45200</v>
      </c>
      <c r="M928" s="83">
        <v>45230</v>
      </c>
    </row>
    <row r="929" spans="1:13" ht="14.25" customHeight="1" x14ac:dyDescent="0.25">
      <c r="A929" s="9" t="s">
        <v>1578</v>
      </c>
      <c r="B929" s="81">
        <v>113033</v>
      </c>
      <c r="C929" s="81">
        <v>10757</v>
      </c>
      <c r="D929" s="9" t="s">
        <v>551</v>
      </c>
      <c r="E929" s="81">
        <v>14563091</v>
      </c>
      <c r="F929" s="81">
        <v>30500</v>
      </c>
      <c r="G929" s="81">
        <v>1</v>
      </c>
      <c r="H929" s="82">
        <v>359.46</v>
      </c>
      <c r="I929" s="251">
        <v>359.46</v>
      </c>
      <c r="J929" s="9" t="s">
        <v>1387</v>
      </c>
      <c r="K929" s="9" t="s">
        <v>1388</v>
      </c>
      <c r="L929" s="83">
        <v>45200</v>
      </c>
      <c r="M929" s="83">
        <v>45230</v>
      </c>
    </row>
    <row r="930" spans="1:13" ht="14.25" customHeight="1" x14ac:dyDescent="0.25">
      <c r="A930" s="9" t="s">
        <v>0</v>
      </c>
      <c r="B930" s="81">
        <v>116006</v>
      </c>
      <c r="C930" s="81">
        <v>10758</v>
      </c>
      <c r="D930" s="9" t="s">
        <v>1358</v>
      </c>
      <c r="E930" s="81">
        <v>14563091</v>
      </c>
      <c r="F930" s="81">
        <v>40867</v>
      </c>
      <c r="G930" s="81">
        <v>1</v>
      </c>
      <c r="H930" s="82">
        <v>359.46</v>
      </c>
      <c r="I930" s="251">
        <v>359.46</v>
      </c>
      <c r="J930" s="9" t="s">
        <v>1387</v>
      </c>
      <c r="K930" s="9" t="s">
        <v>1388</v>
      </c>
      <c r="L930" s="83">
        <v>45200</v>
      </c>
      <c r="M930" s="83">
        <v>45230</v>
      </c>
    </row>
    <row r="931" spans="1:13" ht="14.25" customHeight="1" x14ac:dyDescent="0.25">
      <c r="A931" s="9" t="s">
        <v>0</v>
      </c>
      <c r="B931" s="81">
        <v>113042</v>
      </c>
      <c r="C931" s="81">
        <v>10757</v>
      </c>
      <c r="D931" s="9" t="s">
        <v>556</v>
      </c>
      <c r="E931" s="81">
        <v>14563091</v>
      </c>
      <c r="F931" s="81">
        <v>30518</v>
      </c>
      <c r="G931" s="81">
        <v>1</v>
      </c>
      <c r="H931" s="82">
        <v>359.46</v>
      </c>
      <c r="I931" s="251">
        <v>359.46</v>
      </c>
      <c r="J931" s="9" t="s">
        <v>1387</v>
      </c>
      <c r="K931" s="9" t="s">
        <v>1388</v>
      </c>
      <c r="L931" s="83">
        <v>45200</v>
      </c>
      <c r="M931" s="83">
        <v>45230</v>
      </c>
    </row>
    <row r="932" spans="1:13" ht="14.25" customHeight="1" x14ac:dyDescent="0.25">
      <c r="A932" s="9" t="s">
        <v>10</v>
      </c>
      <c r="B932" s="81">
        <v>117247</v>
      </c>
      <c r="C932" s="81">
        <v>10771</v>
      </c>
      <c r="D932" s="9" t="s">
        <v>1259</v>
      </c>
      <c r="E932" s="81">
        <v>14563091</v>
      </c>
      <c r="F932" s="81">
        <v>44110</v>
      </c>
      <c r="G932" s="81">
        <v>1</v>
      </c>
      <c r="H932" s="82">
        <v>359.46</v>
      </c>
      <c r="I932" s="251">
        <v>359.46</v>
      </c>
      <c r="J932" s="9" t="s">
        <v>1387</v>
      </c>
      <c r="K932" s="9" t="s">
        <v>1388</v>
      </c>
      <c r="L932" s="83">
        <v>45200</v>
      </c>
      <c r="M932" s="83">
        <v>45230</v>
      </c>
    </row>
    <row r="933" spans="1:13" ht="14.25" customHeight="1" x14ac:dyDescent="0.25">
      <c r="A933" s="9" t="s">
        <v>0</v>
      </c>
      <c r="B933" s="81">
        <v>116321</v>
      </c>
      <c r="C933" s="81">
        <v>10755</v>
      </c>
      <c r="D933" s="9" t="s">
        <v>1304</v>
      </c>
      <c r="E933" s="81">
        <v>14563091</v>
      </c>
      <c r="F933" s="81">
        <v>41854</v>
      </c>
      <c r="G933" s="81">
        <v>1</v>
      </c>
      <c r="H933" s="82">
        <v>359.46</v>
      </c>
      <c r="I933" s="251">
        <v>359.46</v>
      </c>
      <c r="J933" s="9" t="s">
        <v>1387</v>
      </c>
      <c r="K933" s="9" t="s">
        <v>1388</v>
      </c>
      <c r="L933" s="83">
        <v>45200</v>
      </c>
      <c r="M933" s="83">
        <v>45230</v>
      </c>
    </row>
    <row r="934" spans="1:13" ht="14.25" customHeight="1" x14ac:dyDescent="0.25">
      <c r="A934" s="9" t="s">
        <v>19</v>
      </c>
      <c r="B934" s="81">
        <v>113055</v>
      </c>
      <c r="C934" s="81">
        <v>10750</v>
      </c>
      <c r="D934" s="9" t="s">
        <v>561</v>
      </c>
      <c r="E934" s="81">
        <v>14563091</v>
      </c>
      <c r="F934" s="81">
        <v>30544</v>
      </c>
      <c r="G934" s="81">
        <v>1</v>
      </c>
      <c r="H934" s="82">
        <v>359.46</v>
      </c>
      <c r="I934" s="251">
        <v>359.46</v>
      </c>
      <c r="J934" s="9" t="s">
        <v>1387</v>
      </c>
      <c r="K934" s="9" t="s">
        <v>1388</v>
      </c>
      <c r="L934" s="83">
        <v>45200</v>
      </c>
      <c r="M934" s="83">
        <v>45230</v>
      </c>
    </row>
    <row r="935" spans="1:13" ht="14.25" customHeight="1" x14ac:dyDescent="0.25">
      <c r="A935" s="9" t="s">
        <v>0</v>
      </c>
      <c r="B935" s="81">
        <v>113073</v>
      </c>
      <c r="C935" s="81">
        <v>10750</v>
      </c>
      <c r="D935" s="9" t="s">
        <v>570</v>
      </c>
      <c r="E935" s="81">
        <v>14563091</v>
      </c>
      <c r="F935" s="81">
        <v>30580</v>
      </c>
      <c r="G935" s="81">
        <v>1</v>
      </c>
      <c r="H935" s="82">
        <v>359.46</v>
      </c>
      <c r="I935" s="251">
        <v>359.46</v>
      </c>
      <c r="J935" s="9" t="s">
        <v>1387</v>
      </c>
      <c r="K935" s="9" t="s">
        <v>1388</v>
      </c>
      <c r="L935" s="83">
        <v>45200</v>
      </c>
      <c r="M935" s="83">
        <v>45230</v>
      </c>
    </row>
    <row r="936" spans="1:13" ht="14.25" customHeight="1" x14ac:dyDescent="0.25">
      <c r="A936" s="9" t="s">
        <v>10</v>
      </c>
      <c r="B936" s="81">
        <v>121855</v>
      </c>
      <c r="C936" s="81">
        <v>10766</v>
      </c>
      <c r="D936" s="9" t="s">
        <v>1614</v>
      </c>
      <c r="E936" s="81">
        <v>14563091</v>
      </c>
      <c r="F936" s="81">
        <v>54727</v>
      </c>
      <c r="G936" s="81">
        <v>1</v>
      </c>
      <c r="H936" s="82">
        <v>359.46</v>
      </c>
      <c r="I936" s="251">
        <v>359.46</v>
      </c>
      <c r="J936" s="9" t="s">
        <v>1387</v>
      </c>
      <c r="K936" s="9" t="s">
        <v>1388</v>
      </c>
      <c r="L936" s="83">
        <v>45200</v>
      </c>
      <c r="M936" s="83">
        <v>45230</v>
      </c>
    </row>
    <row r="937" spans="1:13" ht="14.25" customHeight="1" x14ac:dyDescent="0.25">
      <c r="A937" s="9" t="s">
        <v>10</v>
      </c>
      <c r="B937" s="81">
        <v>113095</v>
      </c>
      <c r="C937" s="81">
        <v>10771</v>
      </c>
      <c r="D937" s="9" t="s">
        <v>583</v>
      </c>
      <c r="E937" s="81">
        <v>14563091</v>
      </c>
      <c r="F937" s="81">
        <v>30624</v>
      </c>
      <c r="G937" s="81">
        <v>1</v>
      </c>
      <c r="H937" s="82">
        <v>359.46</v>
      </c>
      <c r="I937" s="251">
        <v>359.46</v>
      </c>
      <c r="J937" s="9" t="s">
        <v>1387</v>
      </c>
      <c r="K937" s="9" t="s">
        <v>1388</v>
      </c>
      <c r="L937" s="83">
        <v>45200</v>
      </c>
      <c r="M937" s="83">
        <v>45230</v>
      </c>
    </row>
    <row r="938" spans="1:13" ht="14.25" customHeight="1" x14ac:dyDescent="0.25">
      <c r="A938" s="9" t="s">
        <v>8</v>
      </c>
      <c r="B938" s="81">
        <v>113101</v>
      </c>
      <c r="C938" s="81">
        <v>10757</v>
      </c>
      <c r="D938" s="9" t="s">
        <v>585</v>
      </c>
      <c r="E938" s="81">
        <v>14563091</v>
      </c>
      <c r="F938" s="81">
        <v>30636</v>
      </c>
      <c r="G938" s="81">
        <v>1</v>
      </c>
      <c r="H938" s="82">
        <v>359.46</v>
      </c>
      <c r="I938" s="251">
        <v>359.46</v>
      </c>
      <c r="J938" s="9" t="s">
        <v>1387</v>
      </c>
      <c r="K938" s="9" t="s">
        <v>1388</v>
      </c>
      <c r="L938" s="83">
        <v>45200</v>
      </c>
      <c r="M938" s="83">
        <v>45230</v>
      </c>
    </row>
    <row r="939" spans="1:13" ht="14.25" customHeight="1" x14ac:dyDescent="0.25">
      <c r="A939" s="9" t="s">
        <v>0</v>
      </c>
      <c r="B939" s="81">
        <v>113106</v>
      </c>
      <c r="C939" s="81">
        <v>10750</v>
      </c>
      <c r="D939" s="9" t="s">
        <v>85</v>
      </c>
      <c r="E939" s="81">
        <v>14563091</v>
      </c>
      <c r="F939" s="81">
        <v>30646</v>
      </c>
      <c r="G939" s="81">
        <v>1</v>
      </c>
      <c r="H939" s="82">
        <v>359.46</v>
      </c>
      <c r="I939" s="251">
        <v>359.46</v>
      </c>
      <c r="J939" s="9" t="s">
        <v>1387</v>
      </c>
      <c r="K939" s="9" t="s">
        <v>1388</v>
      </c>
      <c r="L939" s="83">
        <v>45200</v>
      </c>
      <c r="M939" s="83">
        <v>45230</v>
      </c>
    </row>
    <row r="940" spans="1:13" ht="14.25" customHeight="1" x14ac:dyDescent="0.25">
      <c r="A940" s="9" t="s">
        <v>8</v>
      </c>
      <c r="B940" s="81">
        <v>113110</v>
      </c>
      <c r="C940" s="81">
        <v>10751</v>
      </c>
      <c r="D940" s="9" t="s">
        <v>1359</v>
      </c>
      <c r="E940" s="81">
        <v>14563091</v>
      </c>
      <c r="F940" s="81">
        <v>30654</v>
      </c>
      <c r="G940" s="81">
        <v>1</v>
      </c>
      <c r="H940" s="82">
        <v>359.46</v>
      </c>
      <c r="I940" s="251">
        <v>359.46</v>
      </c>
      <c r="J940" s="9" t="s">
        <v>1387</v>
      </c>
      <c r="K940" s="9" t="s">
        <v>1388</v>
      </c>
      <c r="L940" s="83">
        <v>45200</v>
      </c>
      <c r="M940" s="83">
        <v>45230</v>
      </c>
    </row>
    <row r="941" spans="1:13" ht="14.25" customHeight="1" x14ac:dyDescent="0.25">
      <c r="A941" s="9" t="s">
        <v>10</v>
      </c>
      <c r="B941" s="81">
        <v>113116</v>
      </c>
      <c r="C941" s="81">
        <v>10750</v>
      </c>
      <c r="D941" s="9" t="s">
        <v>592</v>
      </c>
      <c r="E941" s="81">
        <v>14563091</v>
      </c>
      <c r="F941" s="81">
        <v>30666</v>
      </c>
      <c r="G941" s="81">
        <v>1</v>
      </c>
      <c r="H941" s="82">
        <v>359.46</v>
      </c>
      <c r="I941" s="251">
        <v>359.46</v>
      </c>
      <c r="J941" s="9" t="s">
        <v>1387</v>
      </c>
      <c r="K941" s="9" t="s">
        <v>1388</v>
      </c>
      <c r="L941" s="83">
        <v>45200</v>
      </c>
      <c r="M941" s="83">
        <v>45230</v>
      </c>
    </row>
    <row r="942" spans="1:13" ht="14.25" customHeight="1" x14ac:dyDescent="0.25">
      <c r="A942" s="9" t="s">
        <v>0</v>
      </c>
      <c r="B942" s="81">
        <v>113122</v>
      </c>
      <c r="C942" s="81">
        <v>10750</v>
      </c>
      <c r="D942" s="9" t="s">
        <v>1515</v>
      </c>
      <c r="E942" s="81">
        <v>14563091</v>
      </c>
      <c r="F942" s="81">
        <v>30678</v>
      </c>
      <c r="G942" s="81">
        <v>1</v>
      </c>
      <c r="H942" s="82">
        <v>359.46</v>
      </c>
      <c r="I942" s="251">
        <v>359.46</v>
      </c>
      <c r="J942" s="9" t="s">
        <v>1387</v>
      </c>
      <c r="K942" s="9" t="s">
        <v>1388</v>
      </c>
      <c r="L942" s="83">
        <v>45200</v>
      </c>
      <c r="M942" s="83">
        <v>45230</v>
      </c>
    </row>
    <row r="943" spans="1:13" ht="14.25" customHeight="1" x14ac:dyDescent="0.25">
      <c r="A943" s="9" t="s">
        <v>10</v>
      </c>
      <c r="B943" s="81">
        <v>113127</v>
      </c>
      <c r="C943" s="81">
        <v>10750</v>
      </c>
      <c r="D943" s="9" t="s">
        <v>1360</v>
      </c>
      <c r="E943" s="81">
        <v>14563091</v>
      </c>
      <c r="F943" s="81">
        <v>30688</v>
      </c>
      <c r="G943" s="81">
        <v>1</v>
      </c>
      <c r="H943" s="82">
        <v>359.46</v>
      </c>
      <c r="I943" s="251">
        <v>359.46</v>
      </c>
      <c r="J943" s="9" t="s">
        <v>1387</v>
      </c>
      <c r="K943" s="9" t="s">
        <v>1388</v>
      </c>
      <c r="L943" s="83">
        <v>45200</v>
      </c>
      <c r="M943" s="83">
        <v>45230</v>
      </c>
    </row>
    <row r="944" spans="1:13" ht="14.25" customHeight="1" x14ac:dyDescent="0.25">
      <c r="A944" s="9" t="s">
        <v>1578</v>
      </c>
      <c r="B944" s="81">
        <v>113137</v>
      </c>
      <c r="C944" s="81">
        <v>10761</v>
      </c>
      <c r="D944" s="9" t="s">
        <v>1361</v>
      </c>
      <c r="E944" s="81">
        <v>14563091</v>
      </c>
      <c r="F944" s="81">
        <v>30708</v>
      </c>
      <c r="G944" s="81">
        <v>1</v>
      </c>
      <c r="H944" s="82">
        <v>359.46</v>
      </c>
      <c r="I944" s="251">
        <v>359.46</v>
      </c>
      <c r="J944" s="9" t="s">
        <v>1387</v>
      </c>
      <c r="K944" s="9" t="s">
        <v>1388</v>
      </c>
      <c r="L944" s="83">
        <v>45200</v>
      </c>
      <c r="M944" s="83">
        <v>45230</v>
      </c>
    </row>
    <row r="945" spans="1:13" ht="14.25" customHeight="1" x14ac:dyDescent="0.25">
      <c r="A945" s="9" t="s">
        <v>0</v>
      </c>
      <c r="B945" s="81">
        <v>113140</v>
      </c>
      <c r="C945" s="81">
        <v>10750</v>
      </c>
      <c r="D945" s="9" t="s">
        <v>607</v>
      </c>
      <c r="E945" s="81">
        <v>14563091</v>
      </c>
      <c r="F945" s="81">
        <v>30714</v>
      </c>
      <c r="G945" s="81">
        <v>1</v>
      </c>
      <c r="H945" s="82">
        <v>359.46</v>
      </c>
      <c r="I945" s="251">
        <v>359.46</v>
      </c>
      <c r="J945" s="9" t="s">
        <v>1387</v>
      </c>
      <c r="K945" s="9" t="s">
        <v>1388</v>
      </c>
      <c r="L945" s="83">
        <v>45200</v>
      </c>
      <c r="M945" s="83">
        <v>45230</v>
      </c>
    </row>
    <row r="946" spans="1:13" ht="14.25" customHeight="1" x14ac:dyDescent="0.25">
      <c r="A946" s="9" t="s">
        <v>1578</v>
      </c>
      <c r="B946" s="81">
        <v>113142</v>
      </c>
      <c r="C946" s="81">
        <v>10761</v>
      </c>
      <c r="D946" s="9" t="s">
        <v>1362</v>
      </c>
      <c r="E946" s="81">
        <v>14563091</v>
      </c>
      <c r="F946" s="81">
        <v>30718</v>
      </c>
      <c r="G946" s="81">
        <v>1</v>
      </c>
      <c r="H946" s="82">
        <v>359.46</v>
      </c>
      <c r="I946" s="251">
        <v>359.46</v>
      </c>
      <c r="J946" s="9" t="s">
        <v>1387</v>
      </c>
      <c r="K946" s="9" t="s">
        <v>1388</v>
      </c>
      <c r="L946" s="83">
        <v>45200</v>
      </c>
      <c r="M946" s="83">
        <v>45230</v>
      </c>
    </row>
    <row r="947" spans="1:13" ht="14.25" customHeight="1" x14ac:dyDescent="0.25">
      <c r="A947" s="9" t="s">
        <v>10</v>
      </c>
      <c r="B947" s="81">
        <v>113146</v>
      </c>
      <c r="C947" s="81">
        <v>10750</v>
      </c>
      <c r="D947" s="9" t="s">
        <v>610</v>
      </c>
      <c r="E947" s="81">
        <v>14563091</v>
      </c>
      <c r="F947" s="81">
        <v>30726</v>
      </c>
      <c r="G947" s="81">
        <v>1</v>
      </c>
      <c r="H947" s="82">
        <v>359.46</v>
      </c>
      <c r="I947" s="251">
        <v>359.46</v>
      </c>
      <c r="J947" s="9" t="s">
        <v>1387</v>
      </c>
      <c r="K947" s="9" t="s">
        <v>1388</v>
      </c>
      <c r="L947" s="83">
        <v>45200</v>
      </c>
      <c r="M947" s="83">
        <v>45230</v>
      </c>
    </row>
    <row r="948" spans="1:13" ht="14.25" customHeight="1" x14ac:dyDescent="0.25">
      <c r="A948" s="9" t="s">
        <v>19</v>
      </c>
      <c r="B948" s="81">
        <v>113149</v>
      </c>
      <c r="C948" s="81">
        <v>10754</v>
      </c>
      <c r="D948" s="9" t="s">
        <v>611</v>
      </c>
      <c r="E948" s="81">
        <v>14563091</v>
      </c>
      <c r="F948" s="81">
        <v>30732</v>
      </c>
      <c r="G948" s="81">
        <v>1</v>
      </c>
      <c r="H948" s="82">
        <v>359.46</v>
      </c>
      <c r="I948" s="251">
        <v>359.46</v>
      </c>
      <c r="J948" s="9" t="s">
        <v>1387</v>
      </c>
      <c r="K948" s="9" t="s">
        <v>1388</v>
      </c>
      <c r="L948" s="83">
        <v>45200</v>
      </c>
      <c r="M948" s="83">
        <v>45230</v>
      </c>
    </row>
    <row r="949" spans="1:13" ht="14.25" customHeight="1" x14ac:dyDescent="0.25">
      <c r="A949" s="9" t="s">
        <v>1578</v>
      </c>
      <c r="B949" s="81">
        <v>113155</v>
      </c>
      <c r="C949" s="81">
        <v>10767</v>
      </c>
      <c r="D949" s="9" t="s">
        <v>615</v>
      </c>
      <c r="E949" s="81">
        <v>14563091</v>
      </c>
      <c r="F949" s="81">
        <v>30744</v>
      </c>
      <c r="G949" s="81">
        <v>1</v>
      </c>
      <c r="H949" s="82">
        <v>359.46</v>
      </c>
      <c r="I949" s="251">
        <v>359.46</v>
      </c>
      <c r="J949" s="9" t="s">
        <v>1387</v>
      </c>
      <c r="K949" s="9" t="s">
        <v>1388</v>
      </c>
      <c r="L949" s="83">
        <v>45200</v>
      </c>
      <c r="M949" s="83">
        <v>45230</v>
      </c>
    </row>
    <row r="950" spans="1:13" ht="14.25" customHeight="1" x14ac:dyDescent="0.25">
      <c r="A950" s="9" t="s">
        <v>0</v>
      </c>
      <c r="B950" s="81">
        <v>113167</v>
      </c>
      <c r="C950" s="81">
        <v>10750</v>
      </c>
      <c r="D950" s="9" t="s">
        <v>624</v>
      </c>
      <c r="E950" s="81">
        <v>14563091</v>
      </c>
      <c r="F950" s="81">
        <v>30768</v>
      </c>
      <c r="G950" s="81">
        <v>1</v>
      </c>
      <c r="H950" s="82">
        <v>359.46</v>
      </c>
      <c r="I950" s="251">
        <v>359.46</v>
      </c>
      <c r="J950" s="9" t="s">
        <v>1387</v>
      </c>
      <c r="K950" s="9" t="s">
        <v>1388</v>
      </c>
      <c r="L950" s="83">
        <v>45200</v>
      </c>
      <c r="M950" s="83">
        <v>45230</v>
      </c>
    </row>
    <row r="951" spans="1:13" ht="14.25" customHeight="1" x14ac:dyDescent="0.25">
      <c r="A951" s="9" t="s">
        <v>19</v>
      </c>
      <c r="B951" s="81">
        <v>113169</v>
      </c>
      <c r="C951" s="81">
        <v>10751</v>
      </c>
      <c r="D951" s="9" t="s">
        <v>625</v>
      </c>
      <c r="E951" s="81">
        <v>14563091</v>
      </c>
      <c r="F951" s="81">
        <v>30772</v>
      </c>
      <c r="G951" s="81">
        <v>1</v>
      </c>
      <c r="H951" s="82">
        <v>359.46</v>
      </c>
      <c r="I951" s="251">
        <v>359.46</v>
      </c>
      <c r="J951" s="9" t="s">
        <v>1387</v>
      </c>
      <c r="K951" s="9" t="s">
        <v>1388</v>
      </c>
      <c r="L951" s="83">
        <v>45200</v>
      </c>
      <c r="M951" s="83">
        <v>45230</v>
      </c>
    </row>
    <row r="952" spans="1:13" ht="14.25" customHeight="1" x14ac:dyDescent="0.25">
      <c r="A952" s="9" t="s">
        <v>0</v>
      </c>
      <c r="B952" s="81">
        <v>113172</v>
      </c>
      <c r="C952" s="81">
        <v>10750</v>
      </c>
      <c r="D952" s="9" t="s">
        <v>627</v>
      </c>
      <c r="E952" s="81">
        <v>14563091</v>
      </c>
      <c r="F952" s="81">
        <v>30778</v>
      </c>
      <c r="G952" s="81">
        <v>1</v>
      </c>
      <c r="H952" s="82">
        <v>359.46</v>
      </c>
      <c r="I952" s="251">
        <v>359.46</v>
      </c>
      <c r="J952" s="9" t="s">
        <v>1387</v>
      </c>
      <c r="K952" s="9" t="s">
        <v>1388</v>
      </c>
      <c r="L952" s="83">
        <v>45200</v>
      </c>
      <c r="M952" s="83">
        <v>45230</v>
      </c>
    </row>
    <row r="953" spans="1:13" ht="14.25" customHeight="1" x14ac:dyDescent="0.25">
      <c r="A953" s="9" t="s">
        <v>10</v>
      </c>
      <c r="B953" s="81">
        <v>113177</v>
      </c>
      <c r="C953" s="81">
        <v>10750</v>
      </c>
      <c r="D953" s="9" t="s">
        <v>629</v>
      </c>
      <c r="E953" s="81">
        <v>14563091</v>
      </c>
      <c r="F953" s="81">
        <v>30788</v>
      </c>
      <c r="G953" s="81">
        <v>1</v>
      </c>
      <c r="H953" s="82">
        <v>359.46</v>
      </c>
      <c r="I953" s="251">
        <v>359.46</v>
      </c>
      <c r="J953" s="9" t="s">
        <v>1387</v>
      </c>
      <c r="K953" s="9" t="s">
        <v>1388</v>
      </c>
      <c r="L953" s="83">
        <v>45200</v>
      </c>
      <c r="M953" s="83">
        <v>45230</v>
      </c>
    </row>
    <row r="954" spans="1:13" ht="14.25" customHeight="1" x14ac:dyDescent="0.25">
      <c r="A954" s="9" t="s">
        <v>1578</v>
      </c>
      <c r="B954" s="81">
        <v>113185</v>
      </c>
      <c r="C954" s="81">
        <v>10757</v>
      </c>
      <c r="D954" s="9" t="s">
        <v>633</v>
      </c>
      <c r="E954" s="81">
        <v>14563091</v>
      </c>
      <c r="F954" s="81">
        <v>30804</v>
      </c>
      <c r="G954" s="81">
        <v>1</v>
      </c>
      <c r="H954" s="82">
        <v>359.46</v>
      </c>
      <c r="I954" s="251">
        <v>359.46</v>
      </c>
      <c r="J954" s="9" t="s">
        <v>1387</v>
      </c>
      <c r="K954" s="9" t="s">
        <v>1388</v>
      </c>
      <c r="L954" s="83">
        <v>45200</v>
      </c>
      <c r="M954" s="83">
        <v>45230</v>
      </c>
    </row>
    <row r="955" spans="1:13" ht="14.25" customHeight="1" x14ac:dyDescent="0.25">
      <c r="A955" s="9" t="s">
        <v>1578</v>
      </c>
      <c r="B955" s="81">
        <v>113189</v>
      </c>
      <c r="C955" s="81">
        <v>10761</v>
      </c>
      <c r="D955" s="9" t="s">
        <v>636</v>
      </c>
      <c r="E955" s="81">
        <v>14563091</v>
      </c>
      <c r="F955" s="81">
        <v>30812</v>
      </c>
      <c r="G955" s="81">
        <v>1</v>
      </c>
      <c r="H955" s="82">
        <v>359.46</v>
      </c>
      <c r="I955" s="251">
        <v>359.46</v>
      </c>
      <c r="J955" s="9" t="s">
        <v>1387</v>
      </c>
      <c r="K955" s="9" t="s">
        <v>1388</v>
      </c>
      <c r="L955" s="83">
        <v>45200</v>
      </c>
      <c r="M955" s="83">
        <v>45230</v>
      </c>
    </row>
    <row r="956" spans="1:13" ht="14.25" customHeight="1" x14ac:dyDescent="0.25">
      <c r="A956" s="9" t="s">
        <v>1580</v>
      </c>
      <c r="B956" s="81">
        <v>113720</v>
      </c>
      <c r="C956" s="81">
        <v>10775</v>
      </c>
      <c r="D956" s="9" t="s">
        <v>934</v>
      </c>
      <c r="E956" s="81">
        <v>14563091</v>
      </c>
      <c r="F956" s="81">
        <v>31874</v>
      </c>
      <c r="G956" s="81">
        <v>1</v>
      </c>
      <c r="H956" s="82">
        <v>359.46</v>
      </c>
      <c r="I956" s="251">
        <v>359.46</v>
      </c>
      <c r="J956" s="9" t="s">
        <v>1387</v>
      </c>
      <c r="K956" s="9" t="s">
        <v>1388</v>
      </c>
      <c r="L956" s="83">
        <v>45200</v>
      </c>
      <c r="M956" s="83">
        <v>45230</v>
      </c>
    </row>
    <row r="957" spans="1:13" ht="14.25" customHeight="1" x14ac:dyDescent="0.25">
      <c r="A957" s="9" t="s">
        <v>19</v>
      </c>
      <c r="B957" s="81">
        <v>113198</v>
      </c>
      <c r="C957" s="81">
        <v>10771</v>
      </c>
      <c r="D957" s="9" t="s">
        <v>639</v>
      </c>
      <c r="E957" s="81">
        <v>14563091</v>
      </c>
      <c r="F957" s="81">
        <v>30830</v>
      </c>
      <c r="G957" s="81">
        <v>1</v>
      </c>
      <c r="H957" s="82">
        <v>359.46</v>
      </c>
      <c r="I957" s="251">
        <v>359.46</v>
      </c>
      <c r="J957" s="9" t="s">
        <v>1387</v>
      </c>
      <c r="K957" s="9" t="s">
        <v>1388</v>
      </c>
      <c r="L957" s="83">
        <v>45200</v>
      </c>
      <c r="M957" s="83">
        <v>45230</v>
      </c>
    </row>
    <row r="958" spans="1:13" ht="14.25" customHeight="1" x14ac:dyDescent="0.25">
      <c r="A958" s="9" t="s">
        <v>0</v>
      </c>
      <c r="B958" s="81">
        <v>113203</v>
      </c>
      <c r="C958" s="81">
        <v>10745</v>
      </c>
      <c r="D958" s="9" t="s">
        <v>643</v>
      </c>
      <c r="E958" s="81">
        <v>14563091</v>
      </c>
      <c r="F958" s="81">
        <v>30840</v>
      </c>
      <c r="G958" s="81">
        <v>1</v>
      </c>
      <c r="H958" s="82">
        <v>359.46</v>
      </c>
      <c r="I958" s="251">
        <v>359.46</v>
      </c>
      <c r="J958" s="9" t="s">
        <v>1387</v>
      </c>
      <c r="K958" s="9" t="s">
        <v>1388</v>
      </c>
      <c r="L958" s="83">
        <v>45200</v>
      </c>
      <c r="M958" s="83">
        <v>45230</v>
      </c>
    </row>
    <row r="959" spans="1:13" ht="14.25" customHeight="1" x14ac:dyDescent="0.25">
      <c r="A959" s="9" t="s">
        <v>0</v>
      </c>
      <c r="B959" s="81">
        <v>114726</v>
      </c>
      <c r="C959" s="81">
        <v>10758</v>
      </c>
      <c r="D959" s="9" t="s">
        <v>1079</v>
      </c>
      <c r="E959" s="81">
        <v>14563091</v>
      </c>
      <c r="F959" s="81">
        <v>36900</v>
      </c>
      <c r="G959" s="81">
        <v>1</v>
      </c>
      <c r="H959" s="82">
        <v>359.46</v>
      </c>
      <c r="I959" s="251">
        <v>359.46</v>
      </c>
      <c r="J959" s="9" t="s">
        <v>1387</v>
      </c>
      <c r="K959" s="9" t="s">
        <v>1388</v>
      </c>
      <c r="L959" s="83">
        <v>45200</v>
      </c>
      <c r="M959" s="83">
        <v>45230</v>
      </c>
    </row>
    <row r="960" spans="1:13" ht="14.25" customHeight="1" x14ac:dyDescent="0.25">
      <c r="A960" s="9" t="s">
        <v>0</v>
      </c>
      <c r="B960" s="81">
        <v>113205</v>
      </c>
      <c r="C960" s="81">
        <v>10750</v>
      </c>
      <c r="D960" s="9" t="s">
        <v>1363</v>
      </c>
      <c r="E960" s="81">
        <v>14563091</v>
      </c>
      <c r="F960" s="81">
        <v>30844</v>
      </c>
      <c r="G960" s="81">
        <v>1</v>
      </c>
      <c r="H960" s="82">
        <v>359.46</v>
      </c>
      <c r="I960" s="251">
        <v>359.46</v>
      </c>
      <c r="J960" s="9" t="s">
        <v>1387</v>
      </c>
      <c r="K960" s="9" t="s">
        <v>1388</v>
      </c>
      <c r="L960" s="83">
        <v>45200</v>
      </c>
      <c r="M960" s="83">
        <v>45230</v>
      </c>
    </row>
    <row r="961" spans="1:13" ht="14.25" customHeight="1" x14ac:dyDescent="0.25">
      <c r="A961" s="9" t="s">
        <v>0</v>
      </c>
      <c r="B961" s="81">
        <v>115399</v>
      </c>
      <c r="C961" s="81">
        <v>10757</v>
      </c>
      <c r="D961" s="9" t="s">
        <v>1364</v>
      </c>
      <c r="E961" s="81">
        <v>14563091</v>
      </c>
      <c r="F961" s="81">
        <v>39004</v>
      </c>
      <c r="G961" s="81">
        <v>1</v>
      </c>
      <c r="H961" s="82">
        <v>359.46</v>
      </c>
      <c r="I961" s="251">
        <v>359.46</v>
      </c>
      <c r="J961" s="9" t="s">
        <v>1387</v>
      </c>
      <c r="K961" s="9" t="s">
        <v>1388</v>
      </c>
      <c r="L961" s="83">
        <v>45200</v>
      </c>
      <c r="M961" s="83">
        <v>45230</v>
      </c>
    </row>
    <row r="962" spans="1:13" ht="14.25" customHeight="1" x14ac:dyDescent="0.25">
      <c r="A962" s="9" t="s">
        <v>19</v>
      </c>
      <c r="B962" s="81">
        <v>113208</v>
      </c>
      <c r="C962" s="81">
        <v>10750</v>
      </c>
      <c r="D962" s="9" t="s">
        <v>648</v>
      </c>
      <c r="E962" s="81">
        <v>14563091</v>
      </c>
      <c r="F962" s="81">
        <v>30850</v>
      </c>
      <c r="G962" s="81">
        <v>1</v>
      </c>
      <c r="H962" s="82">
        <v>359.46</v>
      </c>
      <c r="I962" s="251">
        <v>359.46</v>
      </c>
      <c r="J962" s="9" t="s">
        <v>1387</v>
      </c>
      <c r="K962" s="9" t="s">
        <v>1388</v>
      </c>
      <c r="L962" s="83">
        <v>45200</v>
      </c>
      <c r="M962" s="83">
        <v>45230</v>
      </c>
    </row>
    <row r="963" spans="1:13" ht="14.25" customHeight="1" x14ac:dyDescent="0.25">
      <c r="A963" s="9" t="s">
        <v>1578</v>
      </c>
      <c r="B963" s="81">
        <v>117362</v>
      </c>
      <c r="C963" s="81">
        <v>10745</v>
      </c>
      <c r="D963" s="9" t="s">
        <v>1264</v>
      </c>
      <c r="E963" s="81">
        <v>14563091</v>
      </c>
      <c r="F963" s="81">
        <v>44397</v>
      </c>
      <c r="G963" s="81">
        <v>1</v>
      </c>
      <c r="H963" s="82">
        <v>359.46</v>
      </c>
      <c r="I963" s="251">
        <v>359.46</v>
      </c>
      <c r="J963" s="9" t="s">
        <v>1387</v>
      </c>
      <c r="K963" s="9" t="s">
        <v>1388</v>
      </c>
      <c r="L963" s="83">
        <v>45200</v>
      </c>
      <c r="M963" s="83">
        <v>45230</v>
      </c>
    </row>
    <row r="964" spans="1:13" ht="14.25" customHeight="1" x14ac:dyDescent="0.25">
      <c r="A964" s="9" t="s">
        <v>10</v>
      </c>
      <c r="B964" s="81">
        <v>113217</v>
      </c>
      <c r="C964" s="81">
        <v>10745</v>
      </c>
      <c r="D964" s="9" t="s">
        <v>651</v>
      </c>
      <c r="E964" s="81">
        <v>14563091</v>
      </c>
      <c r="F964" s="81">
        <v>30868</v>
      </c>
      <c r="G964" s="81">
        <v>1</v>
      </c>
      <c r="H964" s="82">
        <v>359.46</v>
      </c>
      <c r="I964" s="251">
        <v>359.46</v>
      </c>
      <c r="J964" s="9" t="s">
        <v>1387</v>
      </c>
      <c r="K964" s="9" t="s">
        <v>1388</v>
      </c>
      <c r="L964" s="83">
        <v>45200</v>
      </c>
      <c r="M964" s="83">
        <v>45230</v>
      </c>
    </row>
    <row r="965" spans="1:13" ht="14.25" customHeight="1" x14ac:dyDescent="0.25">
      <c r="A965" s="9" t="s">
        <v>1578</v>
      </c>
      <c r="B965" s="81">
        <v>113227</v>
      </c>
      <c r="C965" s="81">
        <v>10745</v>
      </c>
      <c r="D965" s="9" t="s">
        <v>658</v>
      </c>
      <c r="E965" s="81">
        <v>14563091</v>
      </c>
      <c r="F965" s="81">
        <v>30888</v>
      </c>
      <c r="G965" s="81">
        <v>1</v>
      </c>
      <c r="H965" s="82">
        <v>359.46</v>
      </c>
      <c r="I965" s="251">
        <v>359.46</v>
      </c>
      <c r="J965" s="9" t="s">
        <v>1387</v>
      </c>
      <c r="K965" s="9" t="s">
        <v>1388</v>
      </c>
      <c r="L965" s="83">
        <v>45200</v>
      </c>
      <c r="M965" s="83">
        <v>45230</v>
      </c>
    </row>
    <row r="966" spans="1:13" ht="14.25" customHeight="1" x14ac:dyDescent="0.25">
      <c r="A966" s="9" t="s">
        <v>0</v>
      </c>
      <c r="B966" s="81">
        <v>122831</v>
      </c>
      <c r="C966" s="81">
        <v>10757</v>
      </c>
      <c r="D966" s="9" t="s">
        <v>1725</v>
      </c>
      <c r="E966" s="81">
        <v>14563091</v>
      </c>
      <c r="F966" s="81">
        <v>57229</v>
      </c>
      <c r="G966" s="81">
        <v>1</v>
      </c>
      <c r="H966" s="82">
        <v>359.46</v>
      </c>
      <c r="I966" s="251">
        <v>359.46</v>
      </c>
      <c r="J966" s="9" t="s">
        <v>1387</v>
      </c>
      <c r="K966" s="9" t="s">
        <v>1388</v>
      </c>
      <c r="L966" s="83">
        <v>45200</v>
      </c>
      <c r="M966" s="83">
        <v>45230</v>
      </c>
    </row>
    <row r="967" spans="1:13" ht="14.25" customHeight="1" x14ac:dyDescent="0.25">
      <c r="A967" s="9" t="s">
        <v>8</v>
      </c>
      <c r="B967" s="81">
        <v>115220</v>
      </c>
      <c r="C967" s="81">
        <v>10758</v>
      </c>
      <c r="D967" s="9" t="s">
        <v>1143</v>
      </c>
      <c r="E967" s="81">
        <v>14563091</v>
      </c>
      <c r="F967" s="81">
        <v>38488</v>
      </c>
      <c r="G967" s="81">
        <v>1</v>
      </c>
      <c r="H967" s="82">
        <v>359.46</v>
      </c>
      <c r="I967" s="251">
        <v>359.46</v>
      </c>
      <c r="J967" s="9" t="s">
        <v>1387</v>
      </c>
      <c r="K967" s="9" t="s">
        <v>1388</v>
      </c>
      <c r="L967" s="83">
        <v>45200</v>
      </c>
      <c r="M967" s="83">
        <v>45230</v>
      </c>
    </row>
    <row r="968" spans="1:13" ht="14.25" customHeight="1" x14ac:dyDescent="0.25">
      <c r="A968" s="9" t="s">
        <v>0</v>
      </c>
      <c r="B968" s="81">
        <v>118641</v>
      </c>
      <c r="C968" s="81">
        <v>10758</v>
      </c>
      <c r="D968" s="9" t="s">
        <v>1404</v>
      </c>
      <c r="E968" s="81">
        <v>14563091</v>
      </c>
      <c r="F968" s="81">
        <v>47177</v>
      </c>
      <c r="G968" s="81">
        <v>1</v>
      </c>
      <c r="H968" s="82">
        <v>359.46</v>
      </c>
      <c r="I968" s="251">
        <v>359.46</v>
      </c>
      <c r="J968" s="9" t="s">
        <v>1387</v>
      </c>
      <c r="K968" s="9" t="s">
        <v>1388</v>
      </c>
      <c r="L968" s="83">
        <v>45200</v>
      </c>
      <c r="M968" s="83">
        <v>45230</v>
      </c>
    </row>
    <row r="969" spans="1:13" ht="14.25" customHeight="1" x14ac:dyDescent="0.25">
      <c r="A969" s="9" t="s">
        <v>10</v>
      </c>
      <c r="B969" s="81">
        <v>114034</v>
      </c>
      <c r="C969" s="81">
        <v>10771</v>
      </c>
      <c r="D969" s="9" t="s">
        <v>997</v>
      </c>
      <c r="E969" s="81">
        <v>14563091</v>
      </c>
      <c r="F969" s="81">
        <v>34132</v>
      </c>
      <c r="G969" s="81">
        <v>1</v>
      </c>
      <c r="H969" s="82">
        <v>359.46</v>
      </c>
      <c r="I969" s="251">
        <v>359.46</v>
      </c>
      <c r="J969" s="9" t="s">
        <v>1387</v>
      </c>
      <c r="K969" s="9" t="s">
        <v>1388</v>
      </c>
      <c r="L969" s="83">
        <v>45200</v>
      </c>
      <c r="M969" s="83">
        <v>45230</v>
      </c>
    </row>
    <row r="970" spans="1:13" ht="14.25" customHeight="1" x14ac:dyDescent="0.25">
      <c r="A970" s="9" t="s">
        <v>0</v>
      </c>
      <c r="B970" s="81">
        <v>118050</v>
      </c>
      <c r="C970" s="81">
        <v>10758</v>
      </c>
      <c r="D970" s="9" t="s">
        <v>1405</v>
      </c>
      <c r="E970" s="81">
        <v>14563091</v>
      </c>
      <c r="F970" s="81">
        <v>45888</v>
      </c>
      <c r="G970" s="81">
        <v>1</v>
      </c>
      <c r="H970" s="82">
        <v>359.46</v>
      </c>
      <c r="I970" s="251">
        <v>359.46</v>
      </c>
      <c r="J970" s="9" t="s">
        <v>1387</v>
      </c>
      <c r="K970" s="9" t="s">
        <v>1388</v>
      </c>
      <c r="L970" s="83">
        <v>45200</v>
      </c>
      <c r="M970" s="83">
        <v>45230</v>
      </c>
    </row>
    <row r="971" spans="1:13" ht="14.25" customHeight="1" x14ac:dyDescent="0.25">
      <c r="A971" s="9" t="s">
        <v>19</v>
      </c>
      <c r="B971" s="81">
        <v>122082</v>
      </c>
      <c r="C971" s="81">
        <v>10757</v>
      </c>
      <c r="D971" s="9" t="s">
        <v>1632</v>
      </c>
      <c r="E971" s="81">
        <v>14563091</v>
      </c>
      <c r="F971" s="81">
        <v>55280</v>
      </c>
      <c r="G971" s="81">
        <v>1</v>
      </c>
      <c r="H971" s="82">
        <v>359.46</v>
      </c>
      <c r="I971" s="251">
        <v>359.46</v>
      </c>
      <c r="J971" s="9" t="s">
        <v>1387</v>
      </c>
      <c r="K971" s="9" t="s">
        <v>1388</v>
      </c>
      <c r="L971" s="83">
        <v>45200</v>
      </c>
      <c r="M971" s="83">
        <v>45230</v>
      </c>
    </row>
    <row r="972" spans="1:13" ht="14.25" customHeight="1" x14ac:dyDescent="0.25">
      <c r="A972" s="9" t="s">
        <v>10</v>
      </c>
      <c r="B972" s="81">
        <v>113237</v>
      </c>
      <c r="C972" s="81">
        <v>10750</v>
      </c>
      <c r="D972" s="9" t="s">
        <v>663</v>
      </c>
      <c r="E972" s="81">
        <v>14563091</v>
      </c>
      <c r="F972" s="81">
        <v>30908</v>
      </c>
      <c r="G972" s="81">
        <v>1</v>
      </c>
      <c r="H972" s="82">
        <v>359.46</v>
      </c>
      <c r="I972" s="251">
        <v>359.46</v>
      </c>
      <c r="J972" s="9" t="s">
        <v>1387</v>
      </c>
      <c r="K972" s="9" t="s">
        <v>1388</v>
      </c>
      <c r="L972" s="83">
        <v>45200</v>
      </c>
      <c r="M972" s="83">
        <v>45230</v>
      </c>
    </row>
    <row r="973" spans="1:13" ht="14.25" customHeight="1" x14ac:dyDescent="0.25">
      <c r="A973" s="9" t="s">
        <v>19</v>
      </c>
      <c r="B973" s="81">
        <v>113242</v>
      </c>
      <c r="C973" s="81">
        <v>10766</v>
      </c>
      <c r="D973" s="9" t="s">
        <v>664</v>
      </c>
      <c r="E973" s="81">
        <v>14563091</v>
      </c>
      <c r="F973" s="81">
        <v>30918</v>
      </c>
      <c r="G973" s="81">
        <v>1</v>
      </c>
      <c r="H973" s="82">
        <v>359.46</v>
      </c>
      <c r="I973" s="251">
        <v>359.46</v>
      </c>
      <c r="J973" s="9" t="s">
        <v>1387</v>
      </c>
      <c r="K973" s="9" t="s">
        <v>1388</v>
      </c>
      <c r="L973" s="83">
        <v>45200</v>
      </c>
      <c r="M973" s="83">
        <v>45230</v>
      </c>
    </row>
    <row r="974" spans="1:13" ht="14.25" customHeight="1" x14ac:dyDescent="0.25">
      <c r="A974" s="9" t="s">
        <v>0</v>
      </c>
      <c r="B974" s="81">
        <v>113244</v>
      </c>
      <c r="C974" s="81">
        <v>10750</v>
      </c>
      <c r="D974" s="9" t="s">
        <v>665</v>
      </c>
      <c r="E974" s="81">
        <v>14563091</v>
      </c>
      <c r="F974" s="81">
        <v>30922</v>
      </c>
      <c r="G974" s="81">
        <v>1</v>
      </c>
      <c r="H974" s="82">
        <v>359.46</v>
      </c>
      <c r="I974" s="251">
        <v>359.46</v>
      </c>
      <c r="J974" s="9" t="s">
        <v>1387</v>
      </c>
      <c r="K974" s="9" t="s">
        <v>1388</v>
      </c>
      <c r="L974" s="83">
        <v>45200</v>
      </c>
      <c r="M974" s="83">
        <v>45230</v>
      </c>
    </row>
    <row r="975" spans="1:13" ht="14.25" customHeight="1" x14ac:dyDescent="0.25">
      <c r="A975" s="9" t="s">
        <v>19</v>
      </c>
      <c r="B975" s="81">
        <v>116228</v>
      </c>
      <c r="C975" s="81">
        <v>10766</v>
      </c>
      <c r="D975" s="9" t="s">
        <v>1191</v>
      </c>
      <c r="E975" s="81">
        <v>14563091</v>
      </c>
      <c r="F975" s="81">
        <v>41662</v>
      </c>
      <c r="G975" s="81">
        <v>1</v>
      </c>
      <c r="H975" s="82">
        <v>359.46</v>
      </c>
      <c r="I975" s="251">
        <v>359.46</v>
      </c>
      <c r="J975" s="9" t="s">
        <v>1387</v>
      </c>
      <c r="K975" s="9" t="s">
        <v>1388</v>
      </c>
      <c r="L975" s="83">
        <v>45200</v>
      </c>
      <c r="M975" s="83">
        <v>45230</v>
      </c>
    </row>
    <row r="976" spans="1:13" ht="14.25" customHeight="1" x14ac:dyDescent="0.25">
      <c r="A976" s="9" t="s">
        <v>10</v>
      </c>
      <c r="B976" s="81">
        <v>113250</v>
      </c>
      <c r="C976" s="81">
        <v>10760</v>
      </c>
      <c r="D976" s="9" t="s">
        <v>668</v>
      </c>
      <c r="E976" s="81">
        <v>14563091</v>
      </c>
      <c r="F976" s="81">
        <v>30934</v>
      </c>
      <c r="G976" s="81">
        <v>1</v>
      </c>
      <c r="H976" s="82">
        <v>359.46</v>
      </c>
      <c r="I976" s="251">
        <v>359.46</v>
      </c>
      <c r="J976" s="9" t="s">
        <v>1387</v>
      </c>
      <c r="K976" s="9" t="s">
        <v>1388</v>
      </c>
      <c r="L976" s="83">
        <v>45200</v>
      </c>
      <c r="M976" s="83">
        <v>45230</v>
      </c>
    </row>
    <row r="977" spans="1:13" ht="14.25" customHeight="1" x14ac:dyDescent="0.25">
      <c r="A977" s="9" t="s">
        <v>0</v>
      </c>
      <c r="B977" s="81">
        <v>119930</v>
      </c>
      <c r="C977" s="81">
        <v>10763</v>
      </c>
      <c r="D977" s="9" t="s">
        <v>1481</v>
      </c>
      <c r="E977" s="81">
        <v>14563091</v>
      </c>
      <c r="F977" s="81">
        <v>50262</v>
      </c>
      <c r="G977" s="81">
        <v>1</v>
      </c>
      <c r="H977" s="82">
        <v>359.46</v>
      </c>
      <c r="I977" s="251">
        <v>359.46</v>
      </c>
      <c r="J977" s="9" t="s">
        <v>1387</v>
      </c>
      <c r="K977" s="9" t="s">
        <v>1388</v>
      </c>
      <c r="L977" s="83">
        <v>45200</v>
      </c>
      <c r="M977" s="83">
        <v>45230</v>
      </c>
    </row>
    <row r="978" spans="1:13" ht="14.25" customHeight="1" x14ac:dyDescent="0.25">
      <c r="A978" s="9" t="s">
        <v>10</v>
      </c>
      <c r="B978" s="81">
        <v>113263</v>
      </c>
      <c r="C978" s="81">
        <v>10754</v>
      </c>
      <c r="D978" s="9" t="s">
        <v>1365</v>
      </c>
      <c r="E978" s="81">
        <v>14563091</v>
      </c>
      <c r="F978" s="81">
        <v>30960</v>
      </c>
      <c r="G978" s="81">
        <v>1</v>
      </c>
      <c r="H978" s="82">
        <v>359.46</v>
      </c>
      <c r="I978" s="251">
        <v>359.46</v>
      </c>
      <c r="J978" s="9" t="s">
        <v>1387</v>
      </c>
      <c r="K978" s="9" t="s">
        <v>1388</v>
      </c>
      <c r="L978" s="83">
        <v>45200</v>
      </c>
      <c r="M978" s="83">
        <v>45230</v>
      </c>
    </row>
    <row r="979" spans="1:13" ht="14.25" customHeight="1" x14ac:dyDescent="0.25">
      <c r="A979" s="9" t="s">
        <v>1578</v>
      </c>
      <c r="B979" s="81">
        <v>113650</v>
      </c>
      <c r="C979" s="81">
        <v>10761</v>
      </c>
      <c r="D979" s="9" t="s">
        <v>895</v>
      </c>
      <c r="E979" s="81">
        <v>14563091</v>
      </c>
      <c r="F979" s="81">
        <v>31734</v>
      </c>
      <c r="G979" s="81">
        <v>1</v>
      </c>
      <c r="H979" s="82">
        <v>359.46</v>
      </c>
      <c r="I979" s="251">
        <v>359.46</v>
      </c>
      <c r="J979" s="9" t="s">
        <v>1387</v>
      </c>
      <c r="K979" s="9" t="s">
        <v>1388</v>
      </c>
      <c r="L979" s="83">
        <v>45200</v>
      </c>
      <c r="M979" s="83">
        <v>45230</v>
      </c>
    </row>
    <row r="980" spans="1:13" ht="14.25" customHeight="1" x14ac:dyDescent="0.25">
      <c r="A980" s="9" t="s">
        <v>1578</v>
      </c>
      <c r="B980" s="81">
        <v>113273</v>
      </c>
      <c r="C980" s="81">
        <v>10761</v>
      </c>
      <c r="D980" s="9" t="s">
        <v>680</v>
      </c>
      <c r="E980" s="81">
        <v>14563091</v>
      </c>
      <c r="F980" s="81">
        <v>30980</v>
      </c>
      <c r="G980" s="81">
        <v>1</v>
      </c>
      <c r="H980" s="82">
        <v>359.46</v>
      </c>
      <c r="I980" s="251">
        <v>359.46</v>
      </c>
      <c r="J980" s="9" t="s">
        <v>1387</v>
      </c>
      <c r="K980" s="9" t="s">
        <v>1388</v>
      </c>
      <c r="L980" s="83">
        <v>45200</v>
      </c>
      <c r="M980" s="83">
        <v>45230</v>
      </c>
    </row>
    <row r="981" spans="1:13" ht="14.25" customHeight="1" x14ac:dyDescent="0.25">
      <c r="A981" s="9" t="s">
        <v>10</v>
      </c>
      <c r="B981" s="81">
        <v>113276</v>
      </c>
      <c r="C981" s="81">
        <v>10745</v>
      </c>
      <c r="D981" s="9" t="s">
        <v>682</v>
      </c>
      <c r="E981" s="81">
        <v>14563091</v>
      </c>
      <c r="F981" s="81">
        <v>30986</v>
      </c>
      <c r="G981" s="81">
        <v>1</v>
      </c>
      <c r="H981" s="82">
        <v>359.46</v>
      </c>
      <c r="I981" s="251">
        <v>359.46</v>
      </c>
      <c r="J981" s="9" t="s">
        <v>1387</v>
      </c>
      <c r="K981" s="9" t="s">
        <v>1388</v>
      </c>
      <c r="L981" s="83">
        <v>45200</v>
      </c>
      <c r="M981" s="83">
        <v>45230</v>
      </c>
    </row>
    <row r="982" spans="1:13" ht="14.25" customHeight="1" x14ac:dyDescent="0.25">
      <c r="A982" s="9" t="s">
        <v>1578</v>
      </c>
      <c r="B982" s="81">
        <v>113279</v>
      </c>
      <c r="C982" s="81">
        <v>10771</v>
      </c>
      <c r="D982" s="9" t="s">
        <v>1366</v>
      </c>
      <c r="E982" s="81">
        <v>14563091</v>
      </c>
      <c r="F982" s="81">
        <v>30992</v>
      </c>
      <c r="G982" s="81">
        <v>1</v>
      </c>
      <c r="H982" s="82">
        <v>359.46</v>
      </c>
      <c r="I982" s="251">
        <v>359.46</v>
      </c>
      <c r="J982" s="9" t="s">
        <v>1387</v>
      </c>
      <c r="K982" s="9" t="s">
        <v>1388</v>
      </c>
      <c r="L982" s="83">
        <v>45200</v>
      </c>
      <c r="M982" s="83">
        <v>45230</v>
      </c>
    </row>
    <row r="983" spans="1:13" ht="14.25" customHeight="1" x14ac:dyDescent="0.25">
      <c r="A983" s="9" t="s">
        <v>1578</v>
      </c>
      <c r="B983" s="81">
        <v>113282</v>
      </c>
      <c r="C983" s="81">
        <v>10761</v>
      </c>
      <c r="D983" s="9" t="s">
        <v>686</v>
      </c>
      <c r="E983" s="81">
        <v>14563091</v>
      </c>
      <c r="F983" s="81">
        <v>30998</v>
      </c>
      <c r="G983" s="81">
        <v>1</v>
      </c>
      <c r="H983" s="82">
        <v>359.46</v>
      </c>
      <c r="I983" s="251">
        <v>359.46</v>
      </c>
      <c r="J983" s="9" t="s">
        <v>1387</v>
      </c>
      <c r="K983" s="9" t="s">
        <v>1388</v>
      </c>
      <c r="L983" s="83">
        <v>45200</v>
      </c>
      <c r="M983" s="83">
        <v>45230</v>
      </c>
    </row>
    <row r="984" spans="1:13" ht="14.25" customHeight="1" x14ac:dyDescent="0.25">
      <c r="A984" s="9" t="s">
        <v>1578</v>
      </c>
      <c r="B984" s="81">
        <v>114641</v>
      </c>
      <c r="C984" s="81">
        <v>10757</v>
      </c>
      <c r="D984" s="9" t="s">
        <v>1499</v>
      </c>
      <c r="E984" s="81">
        <v>14563091</v>
      </c>
      <c r="F984" s="81">
        <v>36691</v>
      </c>
      <c r="G984" s="81">
        <v>1</v>
      </c>
      <c r="H984" s="82">
        <v>359.46</v>
      </c>
      <c r="I984" s="251">
        <v>359.46</v>
      </c>
      <c r="J984" s="9" t="s">
        <v>1387</v>
      </c>
      <c r="K984" s="9" t="s">
        <v>1388</v>
      </c>
      <c r="L984" s="83">
        <v>45200</v>
      </c>
      <c r="M984" s="83">
        <v>45230</v>
      </c>
    </row>
    <row r="985" spans="1:13" ht="14.25" customHeight="1" x14ac:dyDescent="0.25">
      <c r="A985" s="9" t="s">
        <v>1578</v>
      </c>
      <c r="B985" s="81">
        <v>113286</v>
      </c>
      <c r="C985" s="81">
        <v>10768</v>
      </c>
      <c r="D985" s="9" t="s">
        <v>1367</v>
      </c>
      <c r="E985" s="81">
        <v>14563091</v>
      </c>
      <c r="F985" s="81">
        <v>31006</v>
      </c>
      <c r="G985" s="81">
        <v>1</v>
      </c>
      <c r="H985" s="82">
        <v>359.46</v>
      </c>
      <c r="I985" s="251">
        <v>359.46</v>
      </c>
      <c r="J985" s="9" t="s">
        <v>1387</v>
      </c>
      <c r="K985" s="9" t="s">
        <v>1388</v>
      </c>
      <c r="L985" s="83">
        <v>45200</v>
      </c>
      <c r="M985" s="83">
        <v>45230</v>
      </c>
    </row>
    <row r="986" spans="1:13" ht="14.25" customHeight="1" x14ac:dyDescent="0.25">
      <c r="A986" s="9" t="s">
        <v>32</v>
      </c>
      <c r="B986" s="81">
        <v>121315</v>
      </c>
      <c r="C986" s="81">
        <v>10750</v>
      </c>
      <c r="D986" s="9" t="s">
        <v>1534</v>
      </c>
      <c r="E986" s="81">
        <v>14563091</v>
      </c>
      <c r="F986" s="81">
        <v>53484</v>
      </c>
      <c r="G986" s="81">
        <v>1</v>
      </c>
      <c r="H986" s="82">
        <v>359.46</v>
      </c>
      <c r="I986" s="251">
        <v>359.46</v>
      </c>
      <c r="J986" s="9" t="s">
        <v>1387</v>
      </c>
      <c r="K986" s="9" t="s">
        <v>1388</v>
      </c>
      <c r="L986" s="83">
        <v>45200</v>
      </c>
      <c r="M986" s="83">
        <v>45230</v>
      </c>
    </row>
    <row r="987" spans="1:13" ht="14.25" customHeight="1" x14ac:dyDescent="0.25">
      <c r="A987" s="9" t="s">
        <v>1578</v>
      </c>
      <c r="B987" s="81">
        <v>114757</v>
      </c>
      <c r="C987" s="81">
        <v>10763</v>
      </c>
      <c r="D987" s="9" t="s">
        <v>1092</v>
      </c>
      <c r="E987" s="81">
        <v>14563091</v>
      </c>
      <c r="F987" s="81">
        <v>36962</v>
      </c>
      <c r="G987" s="81">
        <v>1</v>
      </c>
      <c r="H987" s="82">
        <v>359.46</v>
      </c>
      <c r="I987" s="251">
        <v>359.46</v>
      </c>
      <c r="J987" s="9" t="s">
        <v>1387</v>
      </c>
      <c r="K987" s="9" t="s">
        <v>1388</v>
      </c>
      <c r="L987" s="83">
        <v>45200</v>
      </c>
      <c r="M987" s="83">
        <v>45230</v>
      </c>
    </row>
    <row r="988" spans="1:13" ht="14.25" customHeight="1" x14ac:dyDescent="0.25">
      <c r="A988" s="9" t="s">
        <v>0</v>
      </c>
      <c r="B988" s="81">
        <v>114267</v>
      </c>
      <c r="C988" s="81">
        <v>10760</v>
      </c>
      <c r="D988" s="9" t="s">
        <v>1028</v>
      </c>
      <c r="E988" s="81">
        <v>14563091</v>
      </c>
      <c r="F988" s="81">
        <v>35813</v>
      </c>
      <c r="G988" s="81">
        <v>1</v>
      </c>
      <c r="H988" s="82">
        <v>359.46</v>
      </c>
      <c r="I988" s="251">
        <v>359.46</v>
      </c>
      <c r="J988" s="9" t="s">
        <v>1387</v>
      </c>
      <c r="K988" s="9" t="s">
        <v>1388</v>
      </c>
      <c r="L988" s="83">
        <v>45200</v>
      </c>
      <c r="M988" s="83">
        <v>45230</v>
      </c>
    </row>
    <row r="989" spans="1:13" ht="14.25" customHeight="1" x14ac:dyDescent="0.25">
      <c r="A989" s="9" t="s">
        <v>8</v>
      </c>
      <c r="B989" s="81">
        <v>113292</v>
      </c>
      <c r="C989" s="81">
        <v>10750</v>
      </c>
      <c r="D989" s="9" t="s">
        <v>691</v>
      </c>
      <c r="E989" s="81">
        <v>14563091</v>
      </c>
      <c r="F989" s="81">
        <v>31018</v>
      </c>
      <c r="G989" s="81">
        <v>1</v>
      </c>
      <c r="H989" s="82">
        <v>359.46</v>
      </c>
      <c r="I989" s="251">
        <v>359.46</v>
      </c>
      <c r="J989" s="9" t="s">
        <v>1387</v>
      </c>
      <c r="K989" s="9" t="s">
        <v>1388</v>
      </c>
      <c r="L989" s="83">
        <v>45200</v>
      </c>
      <c r="M989" s="83">
        <v>45230</v>
      </c>
    </row>
    <row r="990" spans="1:13" ht="14.25" customHeight="1" x14ac:dyDescent="0.25">
      <c r="A990" s="9" t="s">
        <v>19</v>
      </c>
      <c r="B990" s="81">
        <v>113294</v>
      </c>
      <c r="C990" s="81">
        <v>10754</v>
      </c>
      <c r="D990" s="9" t="s">
        <v>692</v>
      </c>
      <c r="E990" s="81">
        <v>14563091</v>
      </c>
      <c r="F990" s="81">
        <v>31022</v>
      </c>
      <c r="G990" s="81">
        <v>1</v>
      </c>
      <c r="H990" s="82">
        <v>359.46</v>
      </c>
      <c r="I990" s="251">
        <v>359.46</v>
      </c>
      <c r="J990" s="9" t="s">
        <v>1387</v>
      </c>
      <c r="K990" s="9" t="s">
        <v>1388</v>
      </c>
      <c r="L990" s="83">
        <v>45200</v>
      </c>
      <c r="M990" s="83">
        <v>45230</v>
      </c>
    </row>
    <row r="991" spans="1:13" ht="14.25" customHeight="1" x14ac:dyDescent="0.25">
      <c r="A991" s="9" t="s">
        <v>0</v>
      </c>
      <c r="B991" s="81">
        <v>113313</v>
      </c>
      <c r="C991" s="81">
        <v>10761</v>
      </c>
      <c r="D991" s="9" t="s">
        <v>701</v>
      </c>
      <c r="E991" s="81">
        <v>14563091</v>
      </c>
      <c r="F991" s="81">
        <v>31060</v>
      </c>
      <c r="G991" s="81">
        <v>1</v>
      </c>
      <c r="H991" s="82">
        <v>359.46</v>
      </c>
      <c r="I991" s="251">
        <v>359.46</v>
      </c>
      <c r="J991" s="9" t="s">
        <v>1387</v>
      </c>
      <c r="K991" s="9" t="s">
        <v>1388</v>
      </c>
      <c r="L991" s="83">
        <v>45200</v>
      </c>
      <c r="M991" s="83">
        <v>45230</v>
      </c>
    </row>
    <row r="992" spans="1:13" ht="14.25" customHeight="1" x14ac:dyDescent="0.25">
      <c r="A992" s="9" t="s">
        <v>8</v>
      </c>
      <c r="B992" s="81">
        <v>122827</v>
      </c>
      <c r="C992" s="81">
        <v>10757</v>
      </c>
      <c r="D992" s="9" t="s">
        <v>1738</v>
      </c>
      <c r="E992" s="81">
        <v>14563091</v>
      </c>
      <c r="F992" s="81">
        <v>57223</v>
      </c>
      <c r="G992" s="81">
        <v>1</v>
      </c>
      <c r="H992" s="82">
        <v>359.46</v>
      </c>
      <c r="I992" s="251">
        <v>359.46</v>
      </c>
      <c r="J992" s="9" t="s">
        <v>1387</v>
      </c>
      <c r="K992" s="9" t="s">
        <v>1389</v>
      </c>
      <c r="L992" s="83">
        <v>45200</v>
      </c>
      <c r="M992" s="83">
        <v>45230</v>
      </c>
    </row>
    <row r="993" spans="1:13" ht="14.25" customHeight="1" x14ac:dyDescent="0.25">
      <c r="A993" s="9" t="s">
        <v>1578</v>
      </c>
      <c r="B993" s="81">
        <v>119126</v>
      </c>
      <c r="C993" s="81">
        <v>10757</v>
      </c>
      <c r="D993" s="9" t="s">
        <v>1438</v>
      </c>
      <c r="E993" s="81">
        <v>14563091</v>
      </c>
      <c r="F993" s="81">
        <v>48278</v>
      </c>
      <c r="G993" s="81">
        <v>1</v>
      </c>
      <c r="H993" s="82">
        <v>359.46</v>
      </c>
      <c r="I993" s="251">
        <v>359.46</v>
      </c>
      <c r="J993" s="9" t="s">
        <v>1387</v>
      </c>
      <c r="K993" s="9" t="s">
        <v>1388</v>
      </c>
      <c r="L993" s="83">
        <v>45200</v>
      </c>
      <c r="M993" s="83">
        <v>45230</v>
      </c>
    </row>
    <row r="994" spans="1:13" ht="14.25" customHeight="1" x14ac:dyDescent="0.25">
      <c r="A994" s="9" t="s">
        <v>1578</v>
      </c>
      <c r="B994" s="81">
        <v>118993</v>
      </c>
      <c r="C994" s="81">
        <v>10771</v>
      </c>
      <c r="D994" s="9" t="s">
        <v>1426</v>
      </c>
      <c r="E994" s="81">
        <v>14563091</v>
      </c>
      <c r="F994" s="81">
        <v>47939</v>
      </c>
      <c r="G994" s="81">
        <v>1</v>
      </c>
      <c r="H994" s="82">
        <v>359.46</v>
      </c>
      <c r="I994" s="251">
        <v>359.46</v>
      </c>
      <c r="J994" s="9" t="s">
        <v>1387</v>
      </c>
      <c r="K994" s="9" t="s">
        <v>1388</v>
      </c>
      <c r="L994" s="83">
        <v>45200</v>
      </c>
      <c r="M994" s="83">
        <v>45230</v>
      </c>
    </row>
    <row r="995" spans="1:13" ht="14.25" customHeight="1" x14ac:dyDescent="0.25">
      <c r="A995" s="9" t="s">
        <v>0</v>
      </c>
      <c r="B995" s="81">
        <v>114254</v>
      </c>
      <c r="C995" s="81">
        <v>10750</v>
      </c>
      <c r="D995" s="9" t="s">
        <v>1018</v>
      </c>
      <c r="E995" s="81">
        <v>14563091</v>
      </c>
      <c r="F995" s="81">
        <v>35787</v>
      </c>
      <c r="G995" s="81">
        <v>1</v>
      </c>
      <c r="H995" s="82">
        <v>359.46</v>
      </c>
      <c r="I995" s="251">
        <v>359.46</v>
      </c>
      <c r="J995" s="9" t="s">
        <v>1387</v>
      </c>
      <c r="K995" s="9" t="s">
        <v>1388</v>
      </c>
      <c r="L995" s="83">
        <v>45200</v>
      </c>
      <c r="M995" s="83">
        <v>45230</v>
      </c>
    </row>
    <row r="996" spans="1:13" ht="14.25" customHeight="1" x14ac:dyDescent="0.25">
      <c r="A996" s="9" t="s">
        <v>0</v>
      </c>
      <c r="B996" s="81">
        <v>113324</v>
      </c>
      <c r="C996" s="81">
        <v>10750</v>
      </c>
      <c r="D996" s="9" t="s">
        <v>706</v>
      </c>
      <c r="E996" s="81">
        <v>14563091</v>
      </c>
      <c r="F996" s="81">
        <v>31082</v>
      </c>
      <c r="G996" s="81">
        <v>1</v>
      </c>
      <c r="H996" s="82">
        <v>359.46</v>
      </c>
      <c r="I996" s="251">
        <v>359.46</v>
      </c>
      <c r="J996" s="9" t="s">
        <v>1387</v>
      </c>
      <c r="K996" s="9" t="s">
        <v>1388</v>
      </c>
      <c r="L996" s="83">
        <v>45200</v>
      </c>
      <c r="M996" s="83">
        <v>45230</v>
      </c>
    </row>
    <row r="997" spans="1:13" ht="14.25" customHeight="1" x14ac:dyDescent="0.25">
      <c r="A997" s="9" t="s">
        <v>1578</v>
      </c>
      <c r="B997" s="81">
        <v>122418</v>
      </c>
      <c r="C997" s="81">
        <v>10755</v>
      </c>
      <c r="D997" s="9" t="s">
        <v>1693</v>
      </c>
      <c r="E997" s="81">
        <v>14563091</v>
      </c>
      <c r="F997" s="81">
        <v>56156</v>
      </c>
      <c r="G997" s="81">
        <v>1</v>
      </c>
      <c r="H997" s="82">
        <v>359.46</v>
      </c>
      <c r="I997" s="251">
        <v>359.46</v>
      </c>
      <c r="J997" s="9" t="s">
        <v>1387</v>
      </c>
      <c r="K997" s="9" t="s">
        <v>1388</v>
      </c>
      <c r="L997" s="83">
        <v>45200</v>
      </c>
      <c r="M997" s="83">
        <v>45230</v>
      </c>
    </row>
    <row r="998" spans="1:13" ht="14.25" customHeight="1" x14ac:dyDescent="0.25">
      <c r="A998" s="9" t="s">
        <v>32</v>
      </c>
      <c r="B998" s="81">
        <v>113329</v>
      </c>
      <c r="C998" s="81">
        <v>10750</v>
      </c>
      <c r="D998" s="9" t="s">
        <v>710</v>
      </c>
      <c r="E998" s="81">
        <v>14563091</v>
      </c>
      <c r="F998" s="81">
        <v>31092</v>
      </c>
      <c r="G998" s="81">
        <v>1</v>
      </c>
      <c r="H998" s="82">
        <v>359.46</v>
      </c>
      <c r="I998" s="251">
        <v>359.46</v>
      </c>
      <c r="J998" s="9" t="s">
        <v>1387</v>
      </c>
      <c r="K998" s="9" t="s">
        <v>1388</v>
      </c>
      <c r="L998" s="83">
        <v>45200</v>
      </c>
      <c r="M998" s="83">
        <v>45230</v>
      </c>
    </row>
    <row r="999" spans="1:13" ht="14.25" customHeight="1" x14ac:dyDescent="0.25">
      <c r="A999" s="9" t="s">
        <v>1578</v>
      </c>
      <c r="B999" s="81">
        <v>114934</v>
      </c>
      <c r="C999" s="81">
        <v>10771</v>
      </c>
      <c r="D999" s="9" t="s">
        <v>1116</v>
      </c>
      <c r="E999" s="81">
        <v>14563091</v>
      </c>
      <c r="F999" s="81">
        <v>37646</v>
      </c>
      <c r="G999" s="81">
        <v>1</v>
      </c>
      <c r="H999" s="82">
        <v>359.46</v>
      </c>
      <c r="I999" s="251">
        <v>359.46</v>
      </c>
      <c r="J999" s="9" t="s">
        <v>1387</v>
      </c>
      <c r="K999" s="9" t="s">
        <v>1388</v>
      </c>
      <c r="L999" s="83">
        <v>45200</v>
      </c>
      <c r="M999" s="83">
        <v>45230</v>
      </c>
    </row>
    <row r="1000" spans="1:13" ht="14.25" customHeight="1" x14ac:dyDescent="0.25">
      <c r="A1000" s="9" t="s">
        <v>10</v>
      </c>
      <c r="B1000" s="81">
        <v>113337</v>
      </c>
      <c r="C1000" s="81">
        <v>10760</v>
      </c>
      <c r="D1000" s="9" t="s">
        <v>714</v>
      </c>
      <c r="E1000" s="81">
        <v>14563091</v>
      </c>
      <c r="F1000" s="81">
        <v>31108</v>
      </c>
      <c r="G1000" s="81">
        <v>1</v>
      </c>
      <c r="H1000" s="82">
        <v>359.46</v>
      </c>
      <c r="I1000" s="251">
        <v>359.46</v>
      </c>
      <c r="J1000" s="9" t="s">
        <v>1387</v>
      </c>
      <c r="K1000" s="9" t="s">
        <v>1388</v>
      </c>
      <c r="L1000" s="83">
        <v>45200</v>
      </c>
      <c r="M1000" s="83">
        <v>45230</v>
      </c>
    </row>
    <row r="1001" spans="1:13" ht="14.25" customHeight="1" x14ac:dyDescent="0.25">
      <c r="A1001" s="9" t="s">
        <v>10</v>
      </c>
      <c r="B1001" s="81">
        <v>113342</v>
      </c>
      <c r="C1001" s="81">
        <v>10755</v>
      </c>
      <c r="D1001" s="9" t="s">
        <v>717</v>
      </c>
      <c r="E1001" s="81">
        <v>14563091</v>
      </c>
      <c r="F1001" s="81">
        <v>31118</v>
      </c>
      <c r="G1001" s="81">
        <v>1</v>
      </c>
      <c r="H1001" s="82">
        <v>359.46</v>
      </c>
      <c r="I1001" s="251">
        <v>359.46</v>
      </c>
      <c r="J1001" s="9" t="s">
        <v>1387</v>
      </c>
      <c r="K1001" s="9" t="s">
        <v>1388</v>
      </c>
      <c r="L1001" s="83">
        <v>45200</v>
      </c>
      <c r="M1001" s="83">
        <v>45230</v>
      </c>
    </row>
    <row r="1002" spans="1:13" ht="14.25" customHeight="1" x14ac:dyDescent="0.25">
      <c r="A1002" s="9" t="s">
        <v>1578</v>
      </c>
      <c r="B1002" s="81">
        <v>118995</v>
      </c>
      <c r="C1002" s="81">
        <v>10761</v>
      </c>
      <c r="D1002" s="9" t="s">
        <v>1427</v>
      </c>
      <c r="E1002" s="81">
        <v>14563091</v>
      </c>
      <c r="F1002" s="81">
        <v>47943</v>
      </c>
      <c r="G1002" s="81">
        <v>1</v>
      </c>
      <c r="H1002" s="82">
        <v>359.46</v>
      </c>
      <c r="I1002" s="251">
        <v>359.46</v>
      </c>
      <c r="J1002" s="9" t="s">
        <v>1387</v>
      </c>
      <c r="K1002" s="9" t="s">
        <v>1388</v>
      </c>
      <c r="L1002" s="83">
        <v>45200</v>
      </c>
      <c r="M1002" s="83">
        <v>45230</v>
      </c>
    </row>
    <row r="1003" spans="1:13" ht="14.25" customHeight="1" x14ac:dyDescent="0.25">
      <c r="A1003" s="9" t="s">
        <v>8</v>
      </c>
      <c r="B1003" s="81">
        <v>113721</v>
      </c>
      <c r="C1003" s="81">
        <v>10773</v>
      </c>
      <c r="D1003" s="9" t="s">
        <v>935</v>
      </c>
      <c r="E1003" s="81">
        <v>14563091</v>
      </c>
      <c r="F1003" s="81">
        <v>31876</v>
      </c>
      <c r="G1003" s="81">
        <v>1</v>
      </c>
      <c r="H1003" s="82">
        <v>359.46</v>
      </c>
      <c r="I1003" s="251">
        <v>359.46</v>
      </c>
      <c r="J1003" s="9" t="s">
        <v>1387</v>
      </c>
      <c r="K1003" s="9" t="s">
        <v>1388</v>
      </c>
      <c r="L1003" s="83">
        <v>45200</v>
      </c>
      <c r="M1003" s="83">
        <v>45230</v>
      </c>
    </row>
    <row r="1004" spans="1:13" ht="14.25" customHeight="1" x14ac:dyDescent="0.25">
      <c r="A1004" s="9" t="s">
        <v>1578</v>
      </c>
      <c r="B1004" s="81">
        <v>113783</v>
      </c>
      <c r="C1004" s="81">
        <v>10743</v>
      </c>
      <c r="D1004" s="9" t="s">
        <v>1368</v>
      </c>
      <c r="E1004" s="81">
        <v>14563091</v>
      </c>
      <c r="F1004" s="81">
        <v>32017</v>
      </c>
      <c r="G1004" s="81">
        <v>1</v>
      </c>
      <c r="H1004" s="82">
        <v>359.46</v>
      </c>
      <c r="I1004" s="251">
        <v>359.46</v>
      </c>
      <c r="J1004" s="9" t="s">
        <v>1387</v>
      </c>
      <c r="K1004" s="9" t="s">
        <v>1388</v>
      </c>
      <c r="L1004" s="83">
        <v>45200</v>
      </c>
      <c r="M1004" s="83">
        <v>45230</v>
      </c>
    </row>
    <row r="1005" spans="1:13" ht="14.25" customHeight="1" x14ac:dyDescent="0.25">
      <c r="A1005" s="9" t="s">
        <v>10</v>
      </c>
      <c r="B1005" s="81">
        <v>112193</v>
      </c>
      <c r="C1005" s="81">
        <v>10763</v>
      </c>
      <c r="D1005" s="9" t="s">
        <v>25</v>
      </c>
      <c r="E1005" s="81">
        <v>14563091</v>
      </c>
      <c r="F1005" s="81">
        <v>28820</v>
      </c>
      <c r="G1005" s="81">
        <v>1</v>
      </c>
      <c r="H1005" s="82">
        <v>359.46</v>
      </c>
      <c r="I1005" s="251">
        <v>359.46</v>
      </c>
      <c r="J1005" s="9" t="s">
        <v>1387</v>
      </c>
      <c r="K1005" s="9" t="s">
        <v>1388</v>
      </c>
      <c r="L1005" s="83">
        <v>45200</v>
      </c>
      <c r="M1005" s="83">
        <v>45230</v>
      </c>
    </row>
    <row r="1006" spans="1:13" ht="14.25" customHeight="1" x14ac:dyDescent="0.25">
      <c r="A1006" s="9" t="s">
        <v>1578</v>
      </c>
      <c r="B1006" s="81">
        <v>122254</v>
      </c>
      <c r="C1006" s="81">
        <v>10743</v>
      </c>
      <c r="D1006" s="9" t="s">
        <v>1666</v>
      </c>
      <c r="E1006" s="81">
        <v>14563091</v>
      </c>
      <c r="F1006" s="81">
        <v>55751</v>
      </c>
      <c r="G1006" s="81">
        <v>1</v>
      </c>
      <c r="H1006" s="82">
        <v>359.46</v>
      </c>
      <c r="I1006" s="251">
        <v>359.46</v>
      </c>
      <c r="J1006" s="9" t="s">
        <v>1387</v>
      </c>
      <c r="K1006" s="9" t="s">
        <v>1388</v>
      </c>
      <c r="L1006" s="83">
        <v>45200</v>
      </c>
      <c r="M1006" s="83">
        <v>45230</v>
      </c>
    </row>
    <row r="1007" spans="1:13" ht="14.25" customHeight="1" x14ac:dyDescent="0.25">
      <c r="A1007" s="9" t="s">
        <v>10</v>
      </c>
      <c r="B1007" s="81">
        <v>117414</v>
      </c>
      <c r="C1007" s="81">
        <v>10750</v>
      </c>
      <c r="D1007" s="9" t="s">
        <v>1274</v>
      </c>
      <c r="E1007" s="81">
        <v>14563091</v>
      </c>
      <c r="F1007" s="81">
        <v>44528</v>
      </c>
      <c r="G1007" s="81">
        <v>1</v>
      </c>
      <c r="H1007" s="82">
        <v>359.46</v>
      </c>
      <c r="I1007" s="251">
        <v>359.46</v>
      </c>
      <c r="J1007" s="9" t="s">
        <v>1387</v>
      </c>
      <c r="K1007" s="9" t="s">
        <v>1388</v>
      </c>
      <c r="L1007" s="83">
        <v>45200</v>
      </c>
      <c r="M1007" s="83">
        <v>45230</v>
      </c>
    </row>
    <row r="1008" spans="1:13" ht="14.25" customHeight="1" x14ac:dyDescent="0.25">
      <c r="A1008" s="9" t="s">
        <v>10</v>
      </c>
      <c r="B1008" s="81">
        <v>112201</v>
      </c>
      <c r="C1008" s="81">
        <v>10745</v>
      </c>
      <c r="D1008" s="9" t="s">
        <v>1369</v>
      </c>
      <c r="E1008" s="81">
        <v>14563091</v>
      </c>
      <c r="F1008" s="81">
        <v>28836</v>
      </c>
      <c r="G1008" s="81">
        <v>1</v>
      </c>
      <c r="H1008" s="82">
        <v>359.46</v>
      </c>
      <c r="I1008" s="251">
        <v>359.46</v>
      </c>
      <c r="J1008" s="9" t="s">
        <v>1387</v>
      </c>
      <c r="K1008" s="9" t="s">
        <v>1388</v>
      </c>
      <c r="L1008" s="83">
        <v>45200</v>
      </c>
      <c r="M1008" s="83">
        <v>45230</v>
      </c>
    </row>
    <row r="1009" spans="1:13" ht="14.25" customHeight="1" x14ac:dyDescent="0.25">
      <c r="A1009" s="9" t="s">
        <v>0</v>
      </c>
      <c r="B1009" s="81">
        <v>113778</v>
      </c>
      <c r="C1009" s="81">
        <v>10771</v>
      </c>
      <c r="D1009" s="9" t="s">
        <v>1370</v>
      </c>
      <c r="E1009" s="81">
        <v>14563091</v>
      </c>
      <c r="F1009" s="81">
        <v>32003</v>
      </c>
      <c r="G1009" s="81">
        <v>1</v>
      </c>
      <c r="H1009" s="82">
        <v>359.46</v>
      </c>
      <c r="I1009" s="251">
        <v>359.46</v>
      </c>
      <c r="J1009" s="9" t="s">
        <v>1387</v>
      </c>
      <c r="K1009" s="9" t="s">
        <v>1388</v>
      </c>
      <c r="L1009" s="83">
        <v>45200</v>
      </c>
      <c r="M1009" s="83">
        <v>45230</v>
      </c>
    </row>
    <row r="1010" spans="1:13" ht="14.25" customHeight="1" x14ac:dyDescent="0.25">
      <c r="A1010" s="9" t="s">
        <v>0</v>
      </c>
      <c r="B1010" s="81">
        <v>112230</v>
      </c>
      <c r="C1010" s="81">
        <v>10750</v>
      </c>
      <c r="D1010" s="9" t="s">
        <v>1371</v>
      </c>
      <c r="E1010" s="81">
        <v>14563091</v>
      </c>
      <c r="F1010" s="81">
        <v>28894</v>
      </c>
      <c r="G1010" s="81">
        <v>1</v>
      </c>
      <c r="H1010" s="82">
        <v>359.46</v>
      </c>
      <c r="I1010" s="251">
        <v>359.46</v>
      </c>
      <c r="J1010" s="9" t="s">
        <v>1387</v>
      </c>
      <c r="K1010" s="9" t="s">
        <v>1388</v>
      </c>
      <c r="L1010" s="83">
        <v>45200</v>
      </c>
      <c r="M1010" s="83">
        <v>45230</v>
      </c>
    </row>
    <row r="1011" spans="1:13" ht="14.25" customHeight="1" x14ac:dyDescent="0.25">
      <c r="A1011" s="9" t="s">
        <v>10</v>
      </c>
      <c r="B1011" s="81">
        <v>114106</v>
      </c>
      <c r="C1011" s="81">
        <v>10757</v>
      </c>
      <c r="D1011" s="9" t="s">
        <v>1006</v>
      </c>
      <c r="E1011" s="81">
        <v>14563091</v>
      </c>
      <c r="F1011" s="81">
        <v>34361</v>
      </c>
      <c r="G1011" s="81">
        <v>1</v>
      </c>
      <c r="H1011" s="82">
        <v>359.46</v>
      </c>
      <c r="I1011" s="251">
        <v>359.46</v>
      </c>
      <c r="J1011" s="9" t="s">
        <v>1387</v>
      </c>
      <c r="K1011" s="9" t="s">
        <v>1388</v>
      </c>
      <c r="L1011" s="83">
        <v>45200</v>
      </c>
      <c r="M1011" s="83">
        <v>45230</v>
      </c>
    </row>
    <row r="1012" spans="1:13" ht="14.25" customHeight="1" x14ac:dyDescent="0.25">
      <c r="A1012" s="9" t="s">
        <v>0</v>
      </c>
      <c r="B1012" s="81">
        <v>119672</v>
      </c>
      <c r="C1012" s="81">
        <v>10754</v>
      </c>
      <c r="D1012" s="9" t="s">
        <v>1469</v>
      </c>
      <c r="E1012" s="81">
        <v>14563091</v>
      </c>
      <c r="F1012" s="81">
        <v>49672</v>
      </c>
      <c r="G1012" s="81">
        <v>1</v>
      </c>
      <c r="H1012" s="82">
        <v>359.46</v>
      </c>
      <c r="I1012" s="251">
        <v>359.46</v>
      </c>
      <c r="J1012" s="9" t="s">
        <v>1387</v>
      </c>
      <c r="K1012" s="9" t="s">
        <v>1388</v>
      </c>
      <c r="L1012" s="83">
        <v>45200</v>
      </c>
      <c r="M1012" s="83">
        <v>45230</v>
      </c>
    </row>
    <row r="1013" spans="1:13" ht="14.25" customHeight="1" x14ac:dyDescent="0.25">
      <c r="A1013" s="9" t="s">
        <v>0</v>
      </c>
      <c r="B1013" s="81">
        <v>112240</v>
      </c>
      <c r="C1013" s="81">
        <v>10750</v>
      </c>
      <c r="D1013" s="9" t="s">
        <v>58</v>
      </c>
      <c r="E1013" s="81">
        <v>14563091</v>
      </c>
      <c r="F1013" s="81">
        <v>28914</v>
      </c>
      <c r="G1013" s="81">
        <v>1</v>
      </c>
      <c r="H1013" s="82">
        <v>359.46</v>
      </c>
      <c r="I1013" s="251">
        <v>359.46</v>
      </c>
      <c r="J1013" s="9" t="s">
        <v>1387</v>
      </c>
      <c r="K1013" s="9" t="s">
        <v>1388</v>
      </c>
      <c r="L1013" s="83">
        <v>45200</v>
      </c>
      <c r="M1013" s="83">
        <v>45230</v>
      </c>
    </row>
    <row r="1014" spans="1:13" ht="14.25" customHeight="1" x14ac:dyDescent="0.25">
      <c r="A1014" s="9" t="s">
        <v>0</v>
      </c>
      <c r="B1014" s="81">
        <v>112262</v>
      </c>
      <c r="C1014" s="81">
        <v>10745</v>
      </c>
      <c r="D1014" s="9" t="s">
        <v>72</v>
      </c>
      <c r="E1014" s="81">
        <v>14563091</v>
      </c>
      <c r="F1014" s="81">
        <v>28958</v>
      </c>
      <c r="G1014" s="81">
        <v>1</v>
      </c>
      <c r="H1014" s="82">
        <v>359.46</v>
      </c>
      <c r="I1014" s="251">
        <v>359.46</v>
      </c>
      <c r="J1014" s="9" t="s">
        <v>1387</v>
      </c>
      <c r="K1014" s="9" t="s">
        <v>1388</v>
      </c>
      <c r="L1014" s="83">
        <v>45200</v>
      </c>
      <c r="M1014" s="83">
        <v>45230</v>
      </c>
    </row>
    <row r="1015" spans="1:13" ht="14.25" customHeight="1" x14ac:dyDescent="0.25">
      <c r="A1015" s="9" t="s">
        <v>1578</v>
      </c>
      <c r="B1015" s="81">
        <v>119742</v>
      </c>
      <c r="C1015" s="81">
        <v>10771</v>
      </c>
      <c r="D1015" s="9" t="s">
        <v>1161</v>
      </c>
      <c r="E1015" s="81">
        <v>14563091</v>
      </c>
      <c r="F1015" s="81">
        <v>49827</v>
      </c>
      <c r="G1015" s="81">
        <v>1</v>
      </c>
      <c r="H1015" s="82">
        <v>359.46</v>
      </c>
      <c r="I1015" s="251">
        <v>359.46</v>
      </c>
      <c r="J1015" s="9" t="s">
        <v>1387</v>
      </c>
      <c r="K1015" s="9" t="s">
        <v>1388</v>
      </c>
      <c r="L1015" s="83">
        <v>45200</v>
      </c>
      <c r="M1015" s="83">
        <v>45230</v>
      </c>
    </row>
    <row r="1016" spans="1:13" ht="14.25" customHeight="1" x14ac:dyDescent="0.25">
      <c r="A1016" s="9" t="s">
        <v>8</v>
      </c>
      <c r="B1016" s="81">
        <v>112277</v>
      </c>
      <c r="C1016" s="81">
        <v>10757</v>
      </c>
      <c r="D1016" s="9" t="s">
        <v>82</v>
      </c>
      <c r="E1016" s="81">
        <v>14563091</v>
      </c>
      <c r="F1016" s="81">
        <v>28988</v>
      </c>
      <c r="G1016" s="81">
        <v>1</v>
      </c>
      <c r="H1016" s="82">
        <v>359.46</v>
      </c>
      <c r="I1016" s="251">
        <v>359.46</v>
      </c>
      <c r="J1016" s="9" t="s">
        <v>1387</v>
      </c>
      <c r="K1016" s="9" t="s">
        <v>1388</v>
      </c>
      <c r="L1016" s="83">
        <v>45200</v>
      </c>
      <c r="M1016" s="83">
        <v>45230</v>
      </c>
    </row>
    <row r="1017" spans="1:13" ht="14.25" customHeight="1" x14ac:dyDescent="0.25">
      <c r="A1017" s="9" t="s">
        <v>10</v>
      </c>
      <c r="B1017" s="81">
        <v>112306</v>
      </c>
      <c r="C1017" s="81">
        <v>10750</v>
      </c>
      <c r="D1017" s="9" t="s">
        <v>100</v>
      </c>
      <c r="E1017" s="81">
        <v>14563091</v>
      </c>
      <c r="F1017" s="81">
        <v>29046</v>
      </c>
      <c r="G1017" s="81">
        <v>1</v>
      </c>
      <c r="H1017" s="82">
        <v>359.46</v>
      </c>
      <c r="I1017" s="251">
        <v>359.46</v>
      </c>
      <c r="J1017" s="9" t="s">
        <v>1387</v>
      </c>
      <c r="K1017" s="9" t="s">
        <v>1388</v>
      </c>
      <c r="L1017" s="83">
        <v>45200</v>
      </c>
      <c r="M1017" s="83">
        <v>45230</v>
      </c>
    </row>
    <row r="1018" spans="1:13" ht="14.25" customHeight="1" x14ac:dyDescent="0.25">
      <c r="A1018" s="9" t="s">
        <v>19</v>
      </c>
      <c r="B1018" s="81">
        <v>113675</v>
      </c>
      <c r="C1018" s="81">
        <v>10755</v>
      </c>
      <c r="D1018" s="9" t="s">
        <v>909</v>
      </c>
      <c r="E1018" s="81">
        <v>14563091</v>
      </c>
      <c r="F1018" s="81">
        <v>31784</v>
      </c>
      <c r="G1018" s="81">
        <v>1</v>
      </c>
      <c r="H1018" s="82">
        <v>359.46</v>
      </c>
      <c r="I1018" s="251">
        <v>359.46</v>
      </c>
      <c r="J1018" s="9" t="s">
        <v>1387</v>
      </c>
      <c r="K1018" s="9" t="s">
        <v>1388</v>
      </c>
      <c r="L1018" s="83">
        <v>45200</v>
      </c>
      <c r="M1018" s="83">
        <v>45230</v>
      </c>
    </row>
    <row r="1019" spans="1:13" ht="14.25" customHeight="1" x14ac:dyDescent="0.25">
      <c r="A1019" s="9" t="s">
        <v>0</v>
      </c>
      <c r="B1019" s="81">
        <v>112373</v>
      </c>
      <c r="C1019" s="81">
        <v>10757</v>
      </c>
      <c r="D1019" s="9" t="s">
        <v>137</v>
      </c>
      <c r="E1019" s="81">
        <v>14563091</v>
      </c>
      <c r="F1019" s="81">
        <v>29180</v>
      </c>
      <c r="G1019" s="81">
        <v>1</v>
      </c>
      <c r="H1019" s="82">
        <v>359.46</v>
      </c>
      <c r="I1019" s="251">
        <v>359.46</v>
      </c>
      <c r="J1019" s="9" t="s">
        <v>1387</v>
      </c>
      <c r="K1019" s="9" t="s">
        <v>1388</v>
      </c>
      <c r="L1019" s="83">
        <v>45200</v>
      </c>
      <c r="M1019" s="83">
        <v>45230</v>
      </c>
    </row>
    <row r="1020" spans="1:13" ht="14.25" customHeight="1" x14ac:dyDescent="0.25">
      <c r="A1020" s="9" t="s">
        <v>0</v>
      </c>
      <c r="B1020" s="81">
        <v>112380</v>
      </c>
      <c r="C1020" s="81">
        <v>10750</v>
      </c>
      <c r="D1020" s="9" t="s">
        <v>143</v>
      </c>
      <c r="E1020" s="81">
        <v>14563091</v>
      </c>
      <c r="F1020" s="81">
        <v>29194</v>
      </c>
      <c r="G1020" s="81">
        <v>1</v>
      </c>
      <c r="H1020" s="82">
        <v>359.46</v>
      </c>
      <c r="I1020" s="251">
        <v>359.46</v>
      </c>
      <c r="J1020" s="9" t="s">
        <v>1387</v>
      </c>
      <c r="K1020" s="9" t="s">
        <v>1388</v>
      </c>
      <c r="L1020" s="83">
        <v>45200</v>
      </c>
      <c r="M1020" s="83">
        <v>45230</v>
      </c>
    </row>
    <row r="1021" spans="1:13" ht="14.25" customHeight="1" x14ac:dyDescent="0.25">
      <c r="A1021" s="9" t="s">
        <v>0</v>
      </c>
      <c r="B1021" s="81">
        <v>112392</v>
      </c>
      <c r="C1021" s="81">
        <v>10750</v>
      </c>
      <c r="D1021" s="9" t="s">
        <v>150</v>
      </c>
      <c r="E1021" s="81">
        <v>14563091</v>
      </c>
      <c r="F1021" s="81">
        <v>29218</v>
      </c>
      <c r="G1021" s="81">
        <v>1</v>
      </c>
      <c r="H1021" s="82">
        <v>359.46</v>
      </c>
      <c r="I1021" s="251">
        <v>359.46</v>
      </c>
      <c r="J1021" s="9" t="s">
        <v>1387</v>
      </c>
      <c r="K1021" s="9" t="s">
        <v>1388</v>
      </c>
      <c r="L1021" s="83">
        <v>45200</v>
      </c>
      <c r="M1021" s="83">
        <v>45230</v>
      </c>
    </row>
    <row r="1022" spans="1:13" ht="14.25" customHeight="1" x14ac:dyDescent="0.25">
      <c r="A1022" s="9" t="s">
        <v>8</v>
      </c>
      <c r="B1022" s="81">
        <v>116719</v>
      </c>
      <c r="C1022" s="81">
        <v>10750</v>
      </c>
      <c r="D1022" s="9" t="s">
        <v>1217</v>
      </c>
      <c r="E1022" s="81">
        <v>14563091</v>
      </c>
      <c r="F1022" s="81">
        <v>42823</v>
      </c>
      <c r="G1022" s="81">
        <v>1</v>
      </c>
      <c r="H1022" s="82">
        <v>359.46</v>
      </c>
      <c r="I1022" s="251">
        <v>359.46</v>
      </c>
      <c r="J1022" s="9" t="s">
        <v>1387</v>
      </c>
      <c r="K1022" s="9" t="s">
        <v>1388</v>
      </c>
      <c r="L1022" s="83">
        <v>45200</v>
      </c>
      <c r="M1022" s="83">
        <v>45230</v>
      </c>
    </row>
    <row r="1023" spans="1:13" ht="14.25" customHeight="1" x14ac:dyDescent="0.25">
      <c r="A1023" s="9" t="s">
        <v>10</v>
      </c>
      <c r="B1023" s="81">
        <v>112397</v>
      </c>
      <c r="C1023" s="81">
        <v>10750</v>
      </c>
      <c r="D1023" s="9" t="s">
        <v>153</v>
      </c>
      <c r="E1023" s="81">
        <v>14563091</v>
      </c>
      <c r="F1023" s="81">
        <v>29228</v>
      </c>
      <c r="G1023" s="81">
        <v>1</v>
      </c>
      <c r="H1023" s="82">
        <v>359.46</v>
      </c>
      <c r="I1023" s="251">
        <v>359.46</v>
      </c>
      <c r="J1023" s="9" t="s">
        <v>1387</v>
      </c>
      <c r="K1023" s="9" t="s">
        <v>1388</v>
      </c>
      <c r="L1023" s="83">
        <v>45200</v>
      </c>
      <c r="M1023" s="83">
        <v>45230</v>
      </c>
    </row>
    <row r="1024" spans="1:13" ht="14.25" customHeight="1" x14ac:dyDescent="0.25">
      <c r="A1024" s="9" t="s">
        <v>0</v>
      </c>
      <c r="B1024" s="81">
        <v>112402</v>
      </c>
      <c r="C1024" s="81">
        <v>10757</v>
      </c>
      <c r="D1024" s="9" t="s">
        <v>158</v>
      </c>
      <c r="E1024" s="81">
        <v>14563091</v>
      </c>
      <c r="F1024" s="81">
        <v>29238</v>
      </c>
      <c r="G1024" s="81">
        <v>1</v>
      </c>
      <c r="H1024" s="82">
        <v>359.46</v>
      </c>
      <c r="I1024" s="251">
        <v>359.46</v>
      </c>
      <c r="J1024" s="9" t="s">
        <v>1387</v>
      </c>
      <c r="K1024" s="9" t="s">
        <v>1388</v>
      </c>
      <c r="L1024" s="83">
        <v>45200</v>
      </c>
      <c r="M1024" s="83">
        <v>45230</v>
      </c>
    </row>
    <row r="1025" spans="1:13" ht="14.25" customHeight="1" x14ac:dyDescent="0.25">
      <c r="A1025" s="9" t="s">
        <v>8</v>
      </c>
      <c r="B1025" s="81">
        <v>112405</v>
      </c>
      <c r="C1025" s="81">
        <v>10750</v>
      </c>
      <c r="D1025" s="9" t="s">
        <v>160</v>
      </c>
      <c r="E1025" s="81">
        <v>14563091</v>
      </c>
      <c r="F1025" s="81">
        <v>29244</v>
      </c>
      <c r="G1025" s="81">
        <v>1</v>
      </c>
      <c r="H1025" s="82">
        <v>359.46</v>
      </c>
      <c r="I1025" s="251">
        <v>359.46</v>
      </c>
      <c r="J1025" s="9" t="s">
        <v>1387</v>
      </c>
      <c r="K1025" s="9" t="s">
        <v>1388</v>
      </c>
      <c r="L1025" s="83">
        <v>45200</v>
      </c>
      <c r="M1025" s="83">
        <v>45230</v>
      </c>
    </row>
    <row r="1026" spans="1:13" ht="14.25" customHeight="1" x14ac:dyDescent="0.25">
      <c r="A1026" s="9" t="s">
        <v>1578</v>
      </c>
      <c r="B1026" s="81">
        <v>114928</v>
      </c>
      <c r="C1026" s="81">
        <v>10757</v>
      </c>
      <c r="D1026" s="9" t="s">
        <v>1113</v>
      </c>
      <c r="E1026" s="81">
        <v>14563091</v>
      </c>
      <c r="F1026" s="81">
        <v>37634</v>
      </c>
      <c r="G1026" s="81">
        <v>1</v>
      </c>
      <c r="H1026" s="82">
        <v>359.46</v>
      </c>
      <c r="I1026" s="251">
        <v>359.46</v>
      </c>
      <c r="J1026" s="9" t="s">
        <v>1387</v>
      </c>
      <c r="K1026" s="9" t="s">
        <v>1388</v>
      </c>
      <c r="L1026" s="83">
        <v>45200</v>
      </c>
      <c r="M1026" s="83">
        <v>45230</v>
      </c>
    </row>
    <row r="1027" spans="1:13" ht="14.25" customHeight="1" x14ac:dyDescent="0.25">
      <c r="A1027" s="9" t="s">
        <v>10</v>
      </c>
      <c r="B1027" s="81">
        <v>112445</v>
      </c>
      <c r="C1027" s="81">
        <v>10754</v>
      </c>
      <c r="D1027" s="9" t="s">
        <v>186</v>
      </c>
      <c r="E1027" s="81">
        <v>14563091</v>
      </c>
      <c r="F1027" s="81">
        <v>29324</v>
      </c>
      <c r="G1027" s="81">
        <v>1</v>
      </c>
      <c r="H1027" s="82">
        <v>359.46</v>
      </c>
      <c r="I1027" s="251">
        <v>359.46</v>
      </c>
      <c r="J1027" s="9" t="s">
        <v>1387</v>
      </c>
      <c r="K1027" s="9" t="s">
        <v>1388</v>
      </c>
      <c r="L1027" s="83">
        <v>45200</v>
      </c>
      <c r="M1027" s="83">
        <v>45230</v>
      </c>
    </row>
    <row r="1028" spans="1:13" ht="14.25" customHeight="1" x14ac:dyDescent="0.25">
      <c r="A1028" s="9" t="s">
        <v>1580</v>
      </c>
      <c r="B1028" s="81">
        <v>121690</v>
      </c>
      <c r="C1028" s="81">
        <v>10773</v>
      </c>
      <c r="D1028" s="9" t="s">
        <v>1590</v>
      </c>
      <c r="E1028" s="81">
        <v>14563091</v>
      </c>
      <c r="F1028" s="81">
        <v>54341</v>
      </c>
      <c r="G1028" s="81">
        <v>1</v>
      </c>
      <c r="H1028" s="82">
        <v>359.46</v>
      </c>
      <c r="I1028" s="251">
        <v>359.46</v>
      </c>
      <c r="J1028" s="9" t="s">
        <v>1387</v>
      </c>
      <c r="K1028" s="9" t="s">
        <v>1389</v>
      </c>
      <c r="L1028" s="83">
        <v>45200</v>
      </c>
      <c r="M1028" s="83">
        <v>45230</v>
      </c>
    </row>
    <row r="1029" spans="1:13" ht="14.25" customHeight="1" x14ac:dyDescent="0.25">
      <c r="A1029" s="9" t="s">
        <v>10</v>
      </c>
      <c r="B1029" s="81">
        <v>114272</v>
      </c>
      <c r="C1029" s="81">
        <v>10750</v>
      </c>
      <c r="D1029" s="9" t="s">
        <v>1029</v>
      </c>
      <c r="E1029" s="81">
        <v>14563091</v>
      </c>
      <c r="F1029" s="81">
        <v>35823</v>
      </c>
      <c r="G1029" s="81">
        <v>1</v>
      </c>
      <c r="H1029" s="82">
        <v>359.46</v>
      </c>
      <c r="I1029" s="251">
        <v>359.46</v>
      </c>
      <c r="J1029" s="9" t="s">
        <v>1387</v>
      </c>
      <c r="K1029" s="9" t="s">
        <v>1388</v>
      </c>
      <c r="L1029" s="83">
        <v>45200</v>
      </c>
      <c r="M1029" s="83">
        <v>45230</v>
      </c>
    </row>
    <row r="1030" spans="1:13" ht="14.25" customHeight="1" x14ac:dyDescent="0.25">
      <c r="A1030" s="9" t="s">
        <v>19</v>
      </c>
      <c r="B1030" s="81">
        <v>116713</v>
      </c>
      <c r="C1030" s="81">
        <v>10750</v>
      </c>
      <c r="D1030" s="9" t="s">
        <v>1214</v>
      </c>
      <c r="E1030" s="81">
        <v>14563091</v>
      </c>
      <c r="F1030" s="81">
        <v>42811</v>
      </c>
      <c r="G1030" s="81">
        <v>1</v>
      </c>
      <c r="H1030" s="82">
        <v>359.46</v>
      </c>
      <c r="I1030" s="251">
        <v>359.46</v>
      </c>
      <c r="J1030" s="9" t="s">
        <v>1387</v>
      </c>
      <c r="K1030" s="9" t="s">
        <v>1388</v>
      </c>
      <c r="L1030" s="83">
        <v>45200</v>
      </c>
      <c r="M1030" s="83">
        <v>45230</v>
      </c>
    </row>
    <row r="1031" spans="1:13" ht="14.25" customHeight="1" x14ac:dyDescent="0.25">
      <c r="A1031" s="9" t="s">
        <v>19</v>
      </c>
      <c r="B1031" s="81">
        <v>112453</v>
      </c>
      <c r="C1031" s="81">
        <v>10750</v>
      </c>
      <c r="D1031" s="9" t="s">
        <v>191</v>
      </c>
      <c r="E1031" s="81">
        <v>14563091</v>
      </c>
      <c r="F1031" s="81">
        <v>29340</v>
      </c>
      <c r="G1031" s="81">
        <v>1</v>
      </c>
      <c r="H1031" s="82">
        <v>359.46</v>
      </c>
      <c r="I1031" s="251">
        <v>359.46</v>
      </c>
      <c r="J1031" s="9" t="s">
        <v>1387</v>
      </c>
      <c r="K1031" s="9" t="s">
        <v>1388</v>
      </c>
      <c r="L1031" s="83">
        <v>45200</v>
      </c>
      <c r="M1031" s="83">
        <v>45230</v>
      </c>
    </row>
    <row r="1032" spans="1:13" ht="14.25" customHeight="1" x14ac:dyDescent="0.25">
      <c r="A1032" s="9" t="s">
        <v>10</v>
      </c>
      <c r="B1032" s="81">
        <v>112469</v>
      </c>
      <c r="C1032" s="81">
        <v>10750</v>
      </c>
      <c r="D1032" s="9" t="s">
        <v>198</v>
      </c>
      <c r="E1032" s="81">
        <v>14563091</v>
      </c>
      <c r="F1032" s="81">
        <v>29372</v>
      </c>
      <c r="G1032" s="81">
        <v>1</v>
      </c>
      <c r="H1032" s="82">
        <v>359.46</v>
      </c>
      <c r="I1032" s="251">
        <v>359.46</v>
      </c>
      <c r="J1032" s="9" t="s">
        <v>1387</v>
      </c>
      <c r="K1032" s="9" t="s">
        <v>1388</v>
      </c>
      <c r="L1032" s="83">
        <v>45200</v>
      </c>
      <c r="M1032" s="83">
        <v>45230</v>
      </c>
    </row>
    <row r="1033" spans="1:13" ht="14.25" customHeight="1" x14ac:dyDescent="0.25">
      <c r="A1033" s="9" t="s">
        <v>1580</v>
      </c>
      <c r="B1033" s="81">
        <v>112476</v>
      </c>
      <c r="C1033" s="81">
        <v>10773</v>
      </c>
      <c r="D1033" s="9" t="s">
        <v>204</v>
      </c>
      <c r="E1033" s="81">
        <v>14563091</v>
      </c>
      <c r="F1033" s="81">
        <v>29386</v>
      </c>
      <c r="G1033" s="81">
        <v>1</v>
      </c>
      <c r="H1033" s="82">
        <v>359.46</v>
      </c>
      <c r="I1033" s="251">
        <v>359.46</v>
      </c>
      <c r="J1033" s="9" t="s">
        <v>1387</v>
      </c>
      <c r="K1033" s="9" t="s">
        <v>1388</v>
      </c>
      <c r="L1033" s="83">
        <v>45200</v>
      </c>
      <c r="M1033" s="83">
        <v>45230</v>
      </c>
    </row>
    <row r="1034" spans="1:13" ht="14.25" customHeight="1" x14ac:dyDescent="0.25">
      <c r="A1034" s="9" t="s">
        <v>1578</v>
      </c>
      <c r="B1034" s="81">
        <v>115012</v>
      </c>
      <c r="C1034" s="81">
        <v>10758</v>
      </c>
      <c r="D1034" s="9" t="s">
        <v>1139</v>
      </c>
      <c r="E1034" s="81">
        <v>14563091</v>
      </c>
      <c r="F1034" s="81">
        <v>37808</v>
      </c>
      <c r="G1034" s="81">
        <v>1</v>
      </c>
      <c r="H1034" s="82">
        <v>323.51</v>
      </c>
      <c r="I1034" s="251">
        <v>323.51</v>
      </c>
      <c r="J1034" s="9" t="s">
        <v>1387</v>
      </c>
      <c r="K1034" s="9" t="s">
        <v>1388</v>
      </c>
      <c r="L1034" s="83">
        <v>45200</v>
      </c>
      <c r="M1034" s="83">
        <v>45230</v>
      </c>
    </row>
    <row r="1035" spans="1:13" ht="14.25" customHeight="1" x14ac:dyDescent="0.25">
      <c r="A1035" s="9" t="s">
        <v>32</v>
      </c>
      <c r="B1035" s="81">
        <v>114733</v>
      </c>
      <c r="C1035" s="81">
        <v>10758</v>
      </c>
      <c r="D1035" s="9" t="s">
        <v>1082</v>
      </c>
      <c r="E1035" s="81">
        <v>14563091</v>
      </c>
      <c r="F1035" s="81">
        <v>36914</v>
      </c>
      <c r="G1035" s="81">
        <v>1</v>
      </c>
      <c r="H1035" s="82">
        <v>347.47</v>
      </c>
      <c r="I1035" s="251">
        <v>347.47</v>
      </c>
      <c r="J1035" s="9" t="s">
        <v>1387</v>
      </c>
      <c r="K1035" s="9" t="s">
        <v>1388</v>
      </c>
      <c r="L1035" s="83">
        <v>45200</v>
      </c>
      <c r="M1035" s="83">
        <v>45230</v>
      </c>
    </row>
    <row r="1036" spans="1:13" ht="14.25" customHeight="1" x14ac:dyDescent="0.25">
      <c r="A1036" s="9" t="s">
        <v>0</v>
      </c>
      <c r="B1036" s="81">
        <v>116031</v>
      </c>
      <c r="C1036" s="81">
        <v>10763</v>
      </c>
      <c r="D1036" s="9" t="s">
        <v>1177</v>
      </c>
      <c r="E1036" s="81">
        <v>14563091</v>
      </c>
      <c r="F1036" s="81">
        <v>40924</v>
      </c>
      <c r="G1036" s="81">
        <v>1</v>
      </c>
      <c r="H1036" s="82">
        <v>359.46</v>
      </c>
      <c r="I1036" s="251">
        <v>359.46</v>
      </c>
      <c r="J1036" s="9" t="s">
        <v>1387</v>
      </c>
      <c r="K1036" s="9" t="s">
        <v>1388</v>
      </c>
      <c r="L1036" s="83">
        <v>45200</v>
      </c>
      <c r="M1036" s="83">
        <v>45230</v>
      </c>
    </row>
    <row r="1037" spans="1:13" ht="14.25" customHeight="1" x14ac:dyDescent="0.25">
      <c r="A1037" s="9" t="s">
        <v>1578</v>
      </c>
      <c r="B1037" s="81">
        <v>116977</v>
      </c>
      <c r="C1037" s="81">
        <v>10757</v>
      </c>
      <c r="D1037" s="9" t="s">
        <v>1239</v>
      </c>
      <c r="E1037" s="81">
        <v>14563091</v>
      </c>
      <c r="F1037" s="81">
        <v>43464</v>
      </c>
      <c r="G1037" s="81">
        <v>1</v>
      </c>
      <c r="H1037" s="82">
        <v>359.46</v>
      </c>
      <c r="I1037" s="251">
        <v>359.46</v>
      </c>
      <c r="J1037" s="9" t="s">
        <v>1387</v>
      </c>
      <c r="K1037" s="9" t="s">
        <v>1388</v>
      </c>
      <c r="L1037" s="83">
        <v>45200</v>
      </c>
      <c r="M1037" s="83">
        <v>45230</v>
      </c>
    </row>
    <row r="1038" spans="1:13" ht="14.25" customHeight="1" x14ac:dyDescent="0.25">
      <c r="A1038" s="9" t="s">
        <v>8</v>
      </c>
      <c r="B1038" s="81">
        <v>112492</v>
      </c>
      <c r="C1038" s="81">
        <v>10750</v>
      </c>
      <c r="D1038" s="9" t="s">
        <v>213</v>
      </c>
      <c r="E1038" s="81">
        <v>14563091</v>
      </c>
      <c r="F1038" s="81">
        <v>29418</v>
      </c>
      <c r="G1038" s="81">
        <v>1</v>
      </c>
      <c r="H1038" s="82">
        <v>359.46</v>
      </c>
      <c r="I1038" s="251">
        <v>359.46</v>
      </c>
      <c r="J1038" s="9" t="s">
        <v>1387</v>
      </c>
      <c r="K1038" s="9" t="s">
        <v>1388</v>
      </c>
      <c r="L1038" s="83">
        <v>45200</v>
      </c>
      <c r="M1038" s="83">
        <v>45230</v>
      </c>
    </row>
    <row r="1039" spans="1:13" ht="14.25" customHeight="1" x14ac:dyDescent="0.25">
      <c r="A1039" s="9" t="s">
        <v>10</v>
      </c>
      <c r="B1039" s="81">
        <v>112497</v>
      </c>
      <c r="C1039" s="81">
        <v>10763</v>
      </c>
      <c r="D1039" s="9" t="s">
        <v>1372</v>
      </c>
      <c r="E1039" s="81">
        <v>14563091</v>
      </c>
      <c r="F1039" s="81">
        <v>29428</v>
      </c>
      <c r="G1039" s="81">
        <v>1</v>
      </c>
      <c r="H1039" s="82">
        <v>359.46</v>
      </c>
      <c r="I1039" s="251">
        <v>359.46</v>
      </c>
      <c r="J1039" s="9" t="s">
        <v>1387</v>
      </c>
      <c r="K1039" s="9" t="s">
        <v>1388</v>
      </c>
      <c r="L1039" s="83">
        <v>45200</v>
      </c>
      <c r="M1039" s="83">
        <v>45230</v>
      </c>
    </row>
    <row r="1040" spans="1:13" ht="14.25" customHeight="1" x14ac:dyDescent="0.25">
      <c r="A1040" s="9" t="s">
        <v>19</v>
      </c>
      <c r="B1040" s="81">
        <v>112578</v>
      </c>
      <c r="C1040" s="81">
        <v>10758</v>
      </c>
      <c r="D1040" s="9" t="s">
        <v>1373</v>
      </c>
      <c r="E1040" s="81">
        <v>14563091</v>
      </c>
      <c r="F1040" s="81">
        <v>29590</v>
      </c>
      <c r="G1040" s="81">
        <v>1</v>
      </c>
      <c r="H1040" s="82">
        <v>359.46</v>
      </c>
      <c r="I1040" s="251">
        <v>359.46</v>
      </c>
      <c r="J1040" s="9" t="s">
        <v>1387</v>
      </c>
      <c r="K1040" s="9" t="s">
        <v>1388</v>
      </c>
      <c r="L1040" s="83">
        <v>45200</v>
      </c>
      <c r="M1040" s="83">
        <v>45230</v>
      </c>
    </row>
    <row r="1041" spans="1:13" ht="14.25" customHeight="1" x14ac:dyDescent="0.25">
      <c r="A1041" s="9" t="s">
        <v>1578</v>
      </c>
      <c r="B1041" s="81">
        <v>119925</v>
      </c>
      <c r="C1041" s="81">
        <v>10766</v>
      </c>
      <c r="D1041" s="9" t="s">
        <v>1488</v>
      </c>
      <c r="E1041" s="81">
        <v>14563091</v>
      </c>
      <c r="F1041" s="81">
        <v>50254</v>
      </c>
      <c r="G1041" s="81">
        <v>1</v>
      </c>
      <c r="H1041" s="82">
        <v>359.46</v>
      </c>
      <c r="I1041" s="251">
        <v>359.46</v>
      </c>
      <c r="J1041" s="9" t="s">
        <v>1387</v>
      </c>
      <c r="K1041" s="9" t="s">
        <v>1388</v>
      </c>
      <c r="L1041" s="83">
        <v>45200</v>
      </c>
      <c r="M1041" s="83">
        <v>45230</v>
      </c>
    </row>
    <row r="1042" spans="1:13" ht="14.25" customHeight="1" x14ac:dyDescent="0.25">
      <c r="A1042" s="9" t="s">
        <v>1578</v>
      </c>
      <c r="B1042" s="81">
        <v>112608</v>
      </c>
      <c r="C1042" s="81">
        <v>10761</v>
      </c>
      <c r="D1042" s="9" t="s">
        <v>292</v>
      </c>
      <c r="E1042" s="81">
        <v>14563091</v>
      </c>
      <c r="F1042" s="81">
        <v>29650</v>
      </c>
      <c r="G1042" s="81">
        <v>1</v>
      </c>
      <c r="H1042" s="82">
        <v>359.46</v>
      </c>
      <c r="I1042" s="251">
        <v>359.46</v>
      </c>
      <c r="J1042" s="9" t="s">
        <v>1387</v>
      </c>
      <c r="K1042" s="9" t="s">
        <v>1388</v>
      </c>
      <c r="L1042" s="83">
        <v>45200</v>
      </c>
      <c r="M1042" s="83">
        <v>45230</v>
      </c>
    </row>
    <row r="1043" spans="1:13" ht="14.25" customHeight="1" x14ac:dyDescent="0.25">
      <c r="A1043" s="9" t="s">
        <v>0</v>
      </c>
      <c r="B1043" s="81">
        <v>116981</v>
      </c>
      <c r="C1043" s="81">
        <v>10758</v>
      </c>
      <c r="D1043" s="9" t="s">
        <v>1242</v>
      </c>
      <c r="E1043" s="81">
        <v>14563091</v>
      </c>
      <c r="F1043" s="81">
        <v>43472</v>
      </c>
      <c r="G1043" s="81">
        <v>1</v>
      </c>
      <c r="H1043" s="82">
        <v>359.46</v>
      </c>
      <c r="I1043" s="251">
        <v>359.46</v>
      </c>
      <c r="J1043" s="9" t="s">
        <v>1387</v>
      </c>
      <c r="K1043" s="9" t="s">
        <v>1388</v>
      </c>
      <c r="L1043" s="83">
        <v>45200</v>
      </c>
      <c r="M1043" s="83">
        <v>45230</v>
      </c>
    </row>
    <row r="1044" spans="1:13" ht="14.25" customHeight="1" x14ac:dyDescent="0.25">
      <c r="A1044" s="9" t="s">
        <v>8</v>
      </c>
      <c r="B1044" s="81">
        <v>112615</v>
      </c>
      <c r="C1044" s="81">
        <v>10754</v>
      </c>
      <c r="D1044" s="9" t="s">
        <v>299</v>
      </c>
      <c r="E1044" s="81">
        <v>14563091</v>
      </c>
      <c r="F1044" s="81">
        <v>29664</v>
      </c>
      <c r="G1044" s="81">
        <v>1</v>
      </c>
      <c r="H1044" s="82">
        <v>359.46</v>
      </c>
      <c r="I1044" s="251">
        <v>359.46</v>
      </c>
      <c r="J1044" s="9" t="s">
        <v>1387</v>
      </c>
      <c r="K1044" s="9" t="s">
        <v>1388</v>
      </c>
      <c r="L1044" s="83">
        <v>45200</v>
      </c>
      <c r="M1044" s="83">
        <v>45230</v>
      </c>
    </row>
    <row r="1045" spans="1:13" ht="14.25" customHeight="1" x14ac:dyDescent="0.25">
      <c r="A1045" s="9" t="s">
        <v>1578</v>
      </c>
      <c r="B1045" s="81">
        <v>112621</v>
      </c>
      <c r="C1045" s="81">
        <v>10755</v>
      </c>
      <c r="D1045" s="9" t="s">
        <v>304</v>
      </c>
      <c r="E1045" s="81">
        <v>14563091</v>
      </c>
      <c r="F1045" s="81">
        <v>29676</v>
      </c>
      <c r="G1045" s="81">
        <v>1</v>
      </c>
      <c r="H1045" s="82">
        <v>359.46</v>
      </c>
      <c r="I1045" s="251">
        <v>359.46</v>
      </c>
      <c r="J1045" s="9" t="s">
        <v>1387</v>
      </c>
      <c r="K1045" s="9" t="s">
        <v>1388</v>
      </c>
      <c r="L1045" s="83">
        <v>45200</v>
      </c>
      <c r="M1045" s="83">
        <v>45230</v>
      </c>
    </row>
    <row r="1046" spans="1:13" ht="14.25" customHeight="1" x14ac:dyDescent="0.25">
      <c r="A1046" s="9" t="s">
        <v>8</v>
      </c>
      <c r="B1046" s="81">
        <v>112635</v>
      </c>
      <c r="C1046" s="81">
        <v>10750</v>
      </c>
      <c r="D1046" s="9" t="s">
        <v>312</v>
      </c>
      <c r="E1046" s="81">
        <v>14563091</v>
      </c>
      <c r="F1046" s="81">
        <v>29704</v>
      </c>
      <c r="G1046" s="81">
        <v>1</v>
      </c>
      <c r="H1046" s="82">
        <v>359.46</v>
      </c>
      <c r="I1046" s="251">
        <v>359.46</v>
      </c>
      <c r="J1046" s="9" t="s">
        <v>1387</v>
      </c>
      <c r="K1046" s="9" t="s">
        <v>1388</v>
      </c>
      <c r="L1046" s="83">
        <v>45200</v>
      </c>
      <c r="M1046" s="83">
        <v>45230</v>
      </c>
    </row>
    <row r="1047" spans="1:13" ht="14.25" customHeight="1" x14ac:dyDescent="0.25">
      <c r="A1047" s="9" t="s">
        <v>10</v>
      </c>
      <c r="B1047" s="81">
        <v>112659</v>
      </c>
      <c r="C1047" s="81">
        <v>10750</v>
      </c>
      <c r="D1047" s="9" t="s">
        <v>324</v>
      </c>
      <c r="E1047" s="81">
        <v>14563091</v>
      </c>
      <c r="F1047" s="81">
        <v>29752</v>
      </c>
      <c r="G1047" s="81">
        <v>1</v>
      </c>
      <c r="H1047" s="82">
        <v>359.46</v>
      </c>
      <c r="I1047" s="251">
        <v>359.46</v>
      </c>
      <c r="J1047" s="9" t="s">
        <v>1387</v>
      </c>
      <c r="K1047" s="9" t="s">
        <v>1388</v>
      </c>
      <c r="L1047" s="83">
        <v>45200</v>
      </c>
      <c r="M1047" s="83">
        <v>45230</v>
      </c>
    </row>
    <row r="1048" spans="1:13" ht="14.25" customHeight="1" x14ac:dyDescent="0.25">
      <c r="A1048" s="9" t="s">
        <v>0</v>
      </c>
      <c r="B1048" s="81">
        <v>114750</v>
      </c>
      <c r="C1048" s="81">
        <v>10758</v>
      </c>
      <c r="D1048" s="9" t="s">
        <v>1640</v>
      </c>
      <c r="E1048" s="81">
        <v>14563091</v>
      </c>
      <c r="F1048" s="81">
        <v>36948</v>
      </c>
      <c r="G1048" s="81">
        <v>1</v>
      </c>
      <c r="H1048" s="82">
        <v>359.46</v>
      </c>
      <c r="I1048" s="251">
        <v>359.46</v>
      </c>
      <c r="J1048" s="9" t="s">
        <v>1387</v>
      </c>
      <c r="K1048" s="9" t="s">
        <v>1388</v>
      </c>
      <c r="L1048" s="83">
        <v>45200</v>
      </c>
      <c r="M1048" s="83">
        <v>45230</v>
      </c>
    </row>
    <row r="1049" spans="1:13" ht="14.25" customHeight="1" x14ac:dyDescent="0.25">
      <c r="A1049" s="9" t="s">
        <v>0</v>
      </c>
      <c r="B1049" s="81">
        <v>112669</v>
      </c>
      <c r="C1049" s="81">
        <v>10750</v>
      </c>
      <c r="D1049" s="9" t="s">
        <v>1374</v>
      </c>
      <c r="E1049" s="81">
        <v>14563091</v>
      </c>
      <c r="F1049" s="81">
        <v>29772</v>
      </c>
      <c r="G1049" s="81">
        <v>1</v>
      </c>
      <c r="H1049" s="82">
        <v>359.46</v>
      </c>
      <c r="I1049" s="251">
        <v>359.46</v>
      </c>
      <c r="J1049" s="9" t="s">
        <v>1387</v>
      </c>
      <c r="K1049" s="9" t="s">
        <v>1388</v>
      </c>
      <c r="L1049" s="83">
        <v>45200</v>
      </c>
      <c r="M1049" s="83">
        <v>45230</v>
      </c>
    </row>
    <row r="1050" spans="1:13" ht="14.25" customHeight="1" x14ac:dyDescent="0.25">
      <c r="A1050" s="9" t="s">
        <v>10</v>
      </c>
      <c r="B1050" s="81">
        <v>112675</v>
      </c>
      <c r="C1050" s="81">
        <v>10750</v>
      </c>
      <c r="D1050" s="9" t="s">
        <v>332</v>
      </c>
      <c r="E1050" s="81">
        <v>14563091</v>
      </c>
      <c r="F1050" s="81">
        <v>29784</v>
      </c>
      <c r="G1050" s="81">
        <v>1</v>
      </c>
      <c r="H1050" s="82">
        <v>359.46</v>
      </c>
      <c r="I1050" s="251">
        <v>359.46</v>
      </c>
      <c r="J1050" s="9" t="s">
        <v>1387</v>
      </c>
      <c r="K1050" s="9" t="s">
        <v>1388</v>
      </c>
      <c r="L1050" s="83">
        <v>45200</v>
      </c>
      <c r="M1050" s="83">
        <v>45230</v>
      </c>
    </row>
    <row r="1051" spans="1:13" ht="14.25" customHeight="1" x14ac:dyDescent="0.25">
      <c r="A1051" s="9" t="s">
        <v>10</v>
      </c>
      <c r="B1051" s="81">
        <v>112681</v>
      </c>
      <c r="C1051" s="81">
        <v>10750</v>
      </c>
      <c r="D1051" s="9" t="s">
        <v>336</v>
      </c>
      <c r="E1051" s="81">
        <v>14563091</v>
      </c>
      <c r="F1051" s="81">
        <v>29796</v>
      </c>
      <c r="G1051" s="81">
        <v>1</v>
      </c>
      <c r="H1051" s="82">
        <v>359.46</v>
      </c>
      <c r="I1051" s="251">
        <v>359.46</v>
      </c>
      <c r="J1051" s="9" t="s">
        <v>1387</v>
      </c>
      <c r="K1051" s="9" t="s">
        <v>1388</v>
      </c>
      <c r="L1051" s="83">
        <v>45200</v>
      </c>
      <c r="M1051" s="83">
        <v>45230</v>
      </c>
    </row>
    <row r="1052" spans="1:13" ht="14.25" customHeight="1" x14ac:dyDescent="0.25">
      <c r="A1052" s="9" t="s">
        <v>19</v>
      </c>
      <c r="B1052" s="81">
        <v>114231</v>
      </c>
      <c r="C1052" s="81">
        <v>10771</v>
      </c>
      <c r="D1052" s="9" t="s">
        <v>1015</v>
      </c>
      <c r="E1052" s="81">
        <v>14563091</v>
      </c>
      <c r="F1052" s="81">
        <v>35715</v>
      </c>
      <c r="G1052" s="81">
        <v>1</v>
      </c>
      <c r="H1052" s="82">
        <v>359.46</v>
      </c>
      <c r="I1052" s="251">
        <v>359.46</v>
      </c>
      <c r="J1052" s="9" t="s">
        <v>1387</v>
      </c>
      <c r="K1052" s="9" t="s">
        <v>1388</v>
      </c>
      <c r="L1052" s="83">
        <v>45200</v>
      </c>
      <c r="M1052" s="83">
        <v>45230</v>
      </c>
    </row>
    <row r="1053" spans="1:13" ht="14.25" customHeight="1" x14ac:dyDescent="0.25">
      <c r="A1053" s="9" t="s">
        <v>32</v>
      </c>
      <c r="B1053" s="81">
        <v>112692</v>
      </c>
      <c r="C1053" s="81">
        <v>10750</v>
      </c>
      <c r="D1053" s="9" t="s">
        <v>344</v>
      </c>
      <c r="E1053" s="81">
        <v>14563091</v>
      </c>
      <c r="F1053" s="81">
        <v>29818</v>
      </c>
      <c r="G1053" s="81">
        <v>1</v>
      </c>
      <c r="H1053" s="82">
        <v>359.46</v>
      </c>
      <c r="I1053" s="251">
        <v>359.46</v>
      </c>
      <c r="J1053" s="9" t="s">
        <v>1387</v>
      </c>
      <c r="K1053" s="9" t="s">
        <v>1388</v>
      </c>
      <c r="L1053" s="83">
        <v>45200</v>
      </c>
      <c r="M1053" s="83">
        <v>45230</v>
      </c>
    </row>
    <row r="1054" spans="1:13" ht="14.25" customHeight="1" x14ac:dyDescent="0.25">
      <c r="A1054" s="9" t="s">
        <v>1580</v>
      </c>
      <c r="B1054" s="81">
        <v>113741</v>
      </c>
      <c r="C1054" s="81">
        <v>10773</v>
      </c>
      <c r="D1054" s="9" t="s">
        <v>959</v>
      </c>
      <c r="E1054" s="81">
        <v>14563091</v>
      </c>
      <c r="F1054" s="81">
        <v>31916</v>
      </c>
      <c r="G1054" s="81">
        <v>1</v>
      </c>
      <c r="H1054" s="82">
        <v>359.46</v>
      </c>
      <c r="I1054" s="251">
        <v>359.46</v>
      </c>
      <c r="J1054" s="9" t="s">
        <v>1387</v>
      </c>
      <c r="K1054" s="9" t="s">
        <v>1388</v>
      </c>
      <c r="L1054" s="83">
        <v>45200</v>
      </c>
      <c r="M1054" s="83">
        <v>45230</v>
      </c>
    </row>
    <row r="1055" spans="1:13" ht="14.25" customHeight="1" x14ac:dyDescent="0.25">
      <c r="A1055" s="9" t="s">
        <v>0</v>
      </c>
      <c r="B1055" s="81">
        <v>113582</v>
      </c>
      <c r="C1055" s="81">
        <v>10750</v>
      </c>
      <c r="D1055" s="9" t="s">
        <v>856</v>
      </c>
      <c r="E1055" s="81">
        <v>14563091</v>
      </c>
      <c r="F1055" s="81">
        <v>31598</v>
      </c>
      <c r="G1055" s="81">
        <v>1</v>
      </c>
      <c r="H1055" s="82">
        <v>359.46</v>
      </c>
      <c r="I1055" s="251">
        <v>359.46</v>
      </c>
      <c r="J1055" s="9" t="s">
        <v>1387</v>
      </c>
      <c r="K1055" s="9" t="s">
        <v>1388</v>
      </c>
      <c r="L1055" s="83">
        <v>45200</v>
      </c>
      <c r="M1055" s="83">
        <v>45230</v>
      </c>
    </row>
    <row r="1056" spans="1:13" ht="14.25" customHeight="1" x14ac:dyDescent="0.25">
      <c r="A1056" s="9" t="s">
        <v>19</v>
      </c>
      <c r="B1056" s="81">
        <v>116718</v>
      </c>
      <c r="C1056" s="81">
        <v>10750</v>
      </c>
      <c r="D1056" s="9" t="s">
        <v>1216</v>
      </c>
      <c r="E1056" s="81">
        <v>14563091</v>
      </c>
      <c r="F1056" s="81">
        <v>42821</v>
      </c>
      <c r="G1056" s="81">
        <v>1</v>
      </c>
      <c r="H1056" s="82">
        <v>359.46</v>
      </c>
      <c r="I1056" s="251">
        <v>359.46</v>
      </c>
      <c r="J1056" s="9" t="s">
        <v>1387</v>
      </c>
      <c r="K1056" s="9" t="s">
        <v>1388</v>
      </c>
      <c r="L1056" s="83">
        <v>45200</v>
      </c>
      <c r="M1056" s="83">
        <v>45230</v>
      </c>
    </row>
    <row r="1057" spans="1:13" ht="14.25" customHeight="1" x14ac:dyDescent="0.25">
      <c r="A1057" s="9" t="s">
        <v>10</v>
      </c>
      <c r="B1057" s="81">
        <v>112703</v>
      </c>
      <c r="C1057" s="81">
        <v>10750</v>
      </c>
      <c r="D1057" s="9" t="s">
        <v>352</v>
      </c>
      <c r="E1057" s="81">
        <v>14563091</v>
      </c>
      <c r="F1057" s="81">
        <v>29840</v>
      </c>
      <c r="G1057" s="81">
        <v>1</v>
      </c>
      <c r="H1057" s="82">
        <v>359.46</v>
      </c>
      <c r="I1057" s="251">
        <v>359.46</v>
      </c>
      <c r="J1057" s="9" t="s">
        <v>1387</v>
      </c>
      <c r="K1057" s="9" t="s">
        <v>1388</v>
      </c>
      <c r="L1057" s="83">
        <v>45200</v>
      </c>
      <c r="M1057" s="83">
        <v>45230</v>
      </c>
    </row>
    <row r="1058" spans="1:13" ht="14.25" customHeight="1" x14ac:dyDescent="0.25">
      <c r="A1058" s="9" t="s">
        <v>1578</v>
      </c>
      <c r="B1058" s="81">
        <v>114105</v>
      </c>
      <c r="C1058" s="81">
        <v>10757</v>
      </c>
      <c r="D1058" s="9" t="s">
        <v>1005</v>
      </c>
      <c r="E1058" s="81">
        <v>14563091</v>
      </c>
      <c r="F1058" s="81">
        <v>34359</v>
      </c>
      <c r="G1058" s="81">
        <v>1</v>
      </c>
      <c r="H1058" s="82">
        <v>359.46</v>
      </c>
      <c r="I1058" s="251">
        <v>359.46</v>
      </c>
      <c r="J1058" s="9" t="s">
        <v>1387</v>
      </c>
      <c r="K1058" s="9" t="s">
        <v>1388</v>
      </c>
      <c r="L1058" s="83">
        <v>45200</v>
      </c>
      <c r="M1058" s="83">
        <v>45230</v>
      </c>
    </row>
    <row r="1059" spans="1:13" ht="14.25" customHeight="1" x14ac:dyDescent="0.25">
      <c r="A1059" s="9" t="s">
        <v>10</v>
      </c>
      <c r="B1059" s="81">
        <v>114930</v>
      </c>
      <c r="C1059" s="81">
        <v>10757</v>
      </c>
      <c r="D1059" s="9" t="s">
        <v>1375</v>
      </c>
      <c r="E1059" s="81">
        <v>14563091</v>
      </c>
      <c r="F1059" s="81">
        <v>37638</v>
      </c>
      <c r="G1059" s="81">
        <v>1</v>
      </c>
      <c r="H1059" s="82">
        <v>359.46</v>
      </c>
      <c r="I1059" s="251">
        <v>359.46</v>
      </c>
      <c r="J1059" s="9" t="s">
        <v>1387</v>
      </c>
      <c r="K1059" s="9" t="s">
        <v>1388</v>
      </c>
      <c r="L1059" s="83">
        <v>45200</v>
      </c>
      <c r="M1059" s="83">
        <v>45230</v>
      </c>
    </row>
    <row r="1060" spans="1:13" ht="14.25" customHeight="1" x14ac:dyDescent="0.25">
      <c r="A1060" s="9" t="s">
        <v>8</v>
      </c>
      <c r="B1060" s="81">
        <v>112718</v>
      </c>
      <c r="C1060" s="81">
        <v>10750</v>
      </c>
      <c r="D1060" s="9" t="s">
        <v>361</v>
      </c>
      <c r="E1060" s="81">
        <v>14563091</v>
      </c>
      <c r="F1060" s="81">
        <v>29870</v>
      </c>
      <c r="G1060" s="81">
        <v>1</v>
      </c>
      <c r="H1060" s="82">
        <v>359.46</v>
      </c>
      <c r="I1060" s="251">
        <v>359.46</v>
      </c>
      <c r="J1060" s="9" t="s">
        <v>1387</v>
      </c>
      <c r="K1060" s="9" t="s">
        <v>1388</v>
      </c>
      <c r="L1060" s="83">
        <v>45200</v>
      </c>
      <c r="M1060" s="83">
        <v>45230</v>
      </c>
    </row>
    <row r="1061" spans="1:13" ht="14.25" customHeight="1" x14ac:dyDescent="0.25">
      <c r="A1061" s="9" t="s">
        <v>8</v>
      </c>
      <c r="B1061" s="81">
        <v>112731</v>
      </c>
      <c r="C1061" s="81">
        <v>10750</v>
      </c>
      <c r="D1061" s="9" t="s">
        <v>370</v>
      </c>
      <c r="E1061" s="81">
        <v>14563091</v>
      </c>
      <c r="F1061" s="81">
        <v>29896</v>
      </c>
      <c r="G1061" s="81">
        <v>1</v>
      </c>
      <c r="H1061" s="82">
        <v>359.46</v>
      </c>
      <c r="I1061" s="251">
        <v>359.46</v>
      </c>
      <c r="J1061" s="9" t="s">
        <v>1387</v>
      </c>
      <c r="K1061" s="9" t="s">
        <v>1388</v>
      </c>
      <c r="L1061" s="83">
        <v>45200</v>
      </c>
      <c r="M1061" s="83">
        <v>45230</v>
      </c>
    </row>
    <row r="1062" spans="1:13" ht="14.25" customHeight="1" x14ac:dyDescent="0.25">
      <c r="A1062" s="9" t="s">
        <v>19</v>
      </c>
      <c r="B1062" s="81">
        <v>115447</v>
      </c>
      <c r="C1062" s="81">
        <v>10771</v>
      </c>
      <c r="D1062" s="9" t="s">
        <v>1541</v>
      </c>
      <c r="E1062" s="81">
        <v>14563091</v>
      </c>
      <c r="F1062" s="81">
        <v>39174</v>
      </c>
      <c r="G1062" s="81">
        <v>1</v>
      </c>
      <c r="H1062" s="82">
        <v>359.46</v>
      </c>
      <c r="I1062" s="251">
        <v>359.46</v>
      </c>
      <c r="J1062" s="9" t="s">
        <v>1387</v>
      </c>
      <c r="K1062" s="9" t="s">
        <v>1388</v>
      </c>
      <c r="L1062" s="83">
        <v>45200</v>
      </c>
      <c r="M1062" s="83">
        <v>45230</v>
      </c>
    </row>
    <row r="1063" spans="1:13" ht="14.25" customHeight="1" x14ac:dyDescent="0.25">
      <c r="A1063" s="9" t="s">
        <v>10</v>
      </c>
      <c r="B1063" s="81">
        <v>112744</v>
      </c>
      <c r="C1063" s="81">
        <v>10756</v>
      </c>
      <c r="D1063" s="9" t="s">
        <v>1376</v>
      </c>
      <c r="E1063" s="81">
        <v>14563091</v>
      </c>
      <c r="F1063" s="81">
        <v>29922</v>
      </c>
      <c r="G1063" s="81">
        <v>1</v>
      </c>
      <c r="H1063" s="82">
        <v>359.46</v>
      </c>
      <c r="I1063" s="251">
        <v>359.46</v>
      </c>
      <c r="J1063" s="9" t="s">
        <v>1387</v>
      </c>
      <c r="K1063" s="9" t="s">
        <v>1388</v>
      </c>
      <c r="L1063" s="83">
        <v>45200</v>
      </c>
      <c r="M1063" s="83">
        <v>45230</v>
      </c>
    </row>
    <row r="1064" spans="1:13" ht="14.25" customHeight="1" x14ac:dyDescent="0.25">
      <c r="A1064" s="9" t="s">
        <v>1578</v>
      </c>
      <c r="B1064" s="81">
        <v>119928</v>
      </c>
      <c r="C1064" s="81">
        <v>10766</v>
      </c>
      <c r="D1064" s="9" t="s">
        <v>1483</v>
      </c>
      <c r="E1064" s="81">
        <v>14563091</v>
      </c>
      <c r="F1064" s="81">
        <v>50258</v>
      </c>
      <c r="G1064" s="81">
        <v>1</v>
      </c>
      <c r="H1064" s="82">
        <v>359.46</v>
      </c>
      <c r="I1064" s="251">
        <v>359.46</v>
      </c>
      <c r="J1064" s="9" t="s">
        <v>1387</v>
      </c>
      <c r="K1064" s="9" t="s">
        <v>1388</v>
      </c>
      <c r="L1064" s="83">
        <v>45200</v>
      </c>
      <c r="M1064" s="83">
        <v>45230</v>
      </c>
    </row>
    <row r="1065" spans="1:13" ht="14.25" customHeight="1" x14ac:dyDescent="0.25">
      <c r="A1065" s="9" t="s">
        <v>0</v>
      </c>
      <c r="B1065" s="81">
        <v>121319</v>
      </c>
      <c r="C1065" s="81">
        <v>10757</v>
      </c>
      <c r="D1065" s="9" t="s">
        <v>1535</v>
      </c>
      <c r="E1065" s="81">
        <v>14563091</v>
      </c>
      <c r="F1065" s="81">
        <v>53492</v>
      </c>
      <c r="G1065" s="81">
        <v>1</v>
      </c>
      <c r="H1065" s="82">
        <v>359.46</v>
      </c>
      <c r="I1065" s="251">
        <v>359.46</v>
      </c>
      <c r="J1065" s="9" t="s">
        <v>1387</v>
      </c>
      <c r="K1065" s="9" t="s">
        <v>1388</v>
      </c>
      <c r="L1065" s="83">
        <v>45200</v>
      </c>
      <c r="M1065" s="83">
        <v>45230</v>
      </c>
    </row>
    <row r="1066" spans="1:13" ht="14.25" customHeight="1" x14ac:dyDescent="0.25">
      <c r="A1066" s="9" t="s">
        <v>8</v>
      </c>
      <c r="B1066" s="81">
        <v>121025</v>
      </c>
      <c r="C1066" s="81">
        <v>10750</v>
      </c>
      <c r="D1066" s="9" t="s">
        <v>1516</v>
      </c>
      <c r="E1066" s="81">
        <v>14563091</v>
      </c>
      <c r="F1066" s="81">
        <v>52799</v>
      </c>
      <c r="G1066" s="81">
        <v>1</v>
      </c>
      <c r="H1066" s="82">
        <v>359.46</v>
      </c>
      <c r="I1066" s="251">
        <v>359.46</v>
      </c>
      <c r="J1066" s="9" t="s">
        <v>1387</v>
      </c>
      <c r="K1066" s="9" t="s">
        <v>1388</v>
      </c>
      <c r="L1066" s="83">
        <v>45200</v>
      </c>
      <c r="M1066" s="83">
        <v>45230</v>
      </c>
    </row>
    <row r="1067" spans="1:13" ht="14.25" customHeight="1" x14ac:dyDescent="0.25">
      <c r="A1067" s="9" t="s">
        <v>10</v>
      </c>
      <c r="B1067" s="81">
        <v>112761</v>
      </c>
      <c r="C1067" s="81">
        <v>10750</v>
      </c>
      <c r="D1067" s="9" t="s">
        <v>388</v>
      </c>
      <c r="E1067" s="81">
        <v>14563091</v>
      </c>
      <c r="F1067" s="81">
        <v>29956</v>
      </c>
      <c r="G1067" s="81">
        <v>1</v>
      </c>
      <c r="H1067" s="82">
        <v>359.46</v>
      </c>
      <c r="I1067" s="251">
        <v>359.46</v>
      </c>
      <c r="J1067" s="9" t="s">
        <v>1387</v>
      </c>
      <c r="K1067" s="9" t="s">
        <v>1388</v>
      </c>
      <c r="L1067" s="83">
        <v>45200</v>
      </c>
      <c r="M1067" s="83">
        <v>45230</v>
      </c>
    </row>
    <row r="1068" spans="1:13" ht="14.25" customHeight="1" x14ac:dyDescent="0.25">
      <c r="A1068" s="9" t="s">
        <v>0</v>
      </c>
      <c r="B1068" s="81">
        <v>112765</v>
      </c>
      <c r="C1068" s="81">
        <v>10750</v>
      </c>
      <c r="D1068" s="9" t="s">
        <v>391</v>
      </c>
      <c r="E1068" s="81">
        <v>14563091</v>
      </c>
      <c r="F1068" s="81">
        <v>29964</v>
      </c>
      <c r="G1068" s="81">
        <v>1</v>
      </c>
      <c r="H1068" s="82">
        <v>359.46</v>
      </c>
      <c r="I1068" s="251">
        <v>359.46</v>
      </c>
      <c r="J1068" s="9" t="s">
        <v>1387</v>
      </c>
      <c r="K1068" s="9" t="s">
        <v>1388</v>
      </c>
      <c r="L1068" s="83">
        <v>45200</v>
      </c>
      <c r="M1068" s="83">
        <v>45230</v>
      </c>
    </row>
    <row r="1069" spans="1:13" ht="14.25" customHeight="1" x14ac:dyDescent="0.25">
      <c r="A1069" s="9" t="s">
        <v>0</v>
      </c>
      <c r="B1069" s="81">
        <v>112772</v>
      </c>
      <c r="C1069" s="81">
        <v>10750</v>
      </c>
      <c r="D1069" s="9" t="s">
        <v>397</v>
      </c>
      <c r="E1069" s="81">
        <v>14563091</v>
      </c>
      <c r="F1069" s="81">
        <v>29978</v>
      </c>
      <c r="G1069" s="81">
        <v>1</v>
      </c>
      <c r="H1069" s="82">
        <v>359.46</v>
      </c>
      <c r="I1069" s="251">
        <v>359.46</v>
      </c>
      <c r="J1069" s="9" t="s">
        <v>1387</v>
      </c>
      <c r="K1069" s="9" t="s">
        <v>1388</v>
      </c>
      <c r="L1069" s="83">
        <v>45200</v>
      </c>
      <c r="M1069" s="83">
        <v>45230</v>
      </c>
    </row>
    <row r="1070" spans="1:13" ht="14.25" customHeight="1" x14ac:dyDescent="0.25">
      <c r="A1070" s="9" t="s">
        <v>8</v>
      </c>
      <c r="B1070" s="81">
        <v>112780</v>
      </c>
      <c r="C1070" s="81">
        <v>10750</v>
      </c>
      <c r="D1070" s="9" t="s">
        <v>403</v>
      </c>
      <c r="E1070" s="81">
        <v>14563091</v>
      </c>
      <c r="F1070" s="81">
        <v>29994</v>
      </c>
      <c r="G1070" s="81">
        <v>1</v>
      </c>
      <c r="H1070" s="82">
        <v>359.46</v>
      </c>
      <c r="I1070" s="251">
        <v>359.46</v>
      </c>
      <c r="J1070" s="9" t="s">
        <v>1387</v>
      </c>
      <c r="K1070" s="9" t="s">
        <v>1388</v>
      </c>
      <c r="L1070" s="83">
        <v>45200</v>
      </c>
      <c r="M1070" s="83">
        <v>45230</v>
      </c>
    </row>
    <row r="1071" spans="1:13" ht="14.25" customHeight="1" x14ac:dyDescent="0.25">
      <c r="A1071" s="9" t="s">
        <v>10</v>
      </c>
      <c r="B1071" s="81">
        <v>112785</v>
      </c>
      <c r="C1071" s="81">
        <v>10750</v>
      </c>
      <c r="D1071" s="9" t="s">
        <v>407</v>
      </c>
      <c r="E1071" s="81">
        <v>14563091</v>
      </c>
      <c r="F1071" s="81">
        <v>30004</v>
      </c>
      <c r="G1071" s="81">
        <v>1</v>
      </c>
      <c r="H1071" s="82">
        <v>359.46</v>
      </c>
      <c r="I1071" s="251">
        <v>359.46</v>
      </c>
      <c r="J1071" s="9" t="s">
        <v>1387</v>
      </c>
      <c r="K1071" s="9" t="s">
        <v>1388</v>
      </c>
      <c r="L1071" s="83">
        <v>45200</v>
      </c>
      <c r="M1071" s="83">
        <v>45230</v>
      </c>
    </row>
    <row r="1072" spans="1:13" ht="14.25" customHeight="1" x14ac:dyDescent="0.25">
      <c r="A1072" s="9" t="s">
        <v>1578</v>
      </c>
      <c r="B1072" s="81">
        <v>112802</v>
      </c>
      <c r="C1072" s="81">
        <v>10761</v>
      </c>
      <c r="D1072" s="9" t="s">
        <v>420</v>
      </c>
      <c r="E1072" s="81">
        <v>14563091</v>
      </c>
      <c r="F1072" s="81">
        <v>30038</v>
      </c>
      <c r="G1072" s="81">
        <v>1</v>
      </c>
      <c r="H1072" s="82">
        <v>359.46</v>
      </c>
      <c r="I1072" s="251">
        <v>359.46</v>
      </c>
      <c r="J1072" s="9" t="s">
        <v>1387</v>
      </c>
      <c r="K1072" s="9" t="s">
        <v>1388</v>
      </c>
      <c r="L1072" s="83">
        <v>45200</v>
      </c>
      <c r="M1072" s="83">
        <v>45230</v>
      </c>
    </row>
    <row r="1073" spans="1:13" ht="14.25" customHeight="1" x14ac:dyDescent="0.25">
      <c r="A1073" s="9" t="s">
        <v>0</v>
      </c>
      <c r="B1073" s="81">
        <v>112810</v>
      </c>
      <c r="C1073" s="81">
        <v>10750</v>
      </c>
      <c r="D1073" s="9" t="s">
        <v>426</v>
      </c>
      <c r="E1073" s="81">
        <v>14563091</v>
      </c>
      <c r="F1073" s="81">
        <v>30054</v>
      </c>
      <c r="G1073" s="81">
        <v>1</v>
      </c>
      <c r="H1073" s="82">
        <v>359.46</v>
      </c>
      <c r="I1073" s="251">
        <v>359.46</v>
      </c>
      <c r="J1073" s="9" t="s">
        <v>1387</v>
      </c>
      <c r="K1073" s="9" t="s">
        <v>1388</v>
      </c>
      <c r="L1073" s="83">
        <v>45200</v>
      </c>
      <c r="M1073" s="83">
        <v>45230</v>
      </c>
    </row>
    <row r="1074" spans="1:13" ht="14.25" customHeight="1" x14ac:dyDescent="0.25">
      <c r="A1074" s="9" t="s">
        <v>1578</v>
      </c>
      <c r="B1074" s="81">
        <v>112816</v>
      </c>
      <c r="C1074" s="81">
        <v>10767</v>
      </c>
      <c r="D1074" s="9" t="s">
        <v>431</v>
      </c>
      <c r="E1074" s="81">
        <v>14563091</v>
      </c>
      <c r="F1074" s="81">
        <v>30066</v>
      </c>
      <c r="G1074" s="81">
        <v>1</v>
      </c>
      <c r="H1074" s="82">
        <v>359.46</v>
      </c>
      <c r="I1074" s="251">
        <v>359.46</v>
      </c>
      <c r="J1074" s="9" t="s">
        <v>1387</v>
      </c>
      <c r="K1074" s="9" t="s">
        <v>1388</v>
      </c>
      <c r="L1074" s="83">
        <v>45200</v>
      </c>
      <c r="M1074" s="83">
        <v>45230</v>
      </c>
    </row>
    <row r="1075" spans="1:13" ht="14.25" customHeight="1" x14ac:dyDescent="0.25">
      <c r="A1075" s="9" t="s">
        <v>10</v>
      </c>
      <c r="B1075" s="81">
        <v>114711</v>
      </c>
      <c r="C1075" s="81">
        <v>10758</v>
      </c>
      <c r="D1075" s="9" t="s">
        <v>1077</v>
      </c>
      <c r="E1075" s="81">
        <v>14563091</v>
      </c>
      <c r="F1075" s="81">
        <v>36870</v>
      </c>
      <c r="G1075" s="81">
        <v>1</v>
      </c>
      <c r="H1075" s="82">
        <v>359.46</v>
      </c>
      <c r="I1075" s="251">
        <v>359.46</v>
      </c>
      <c r="J1075" s="9" t="s">
        <v>1387</v>
      </c>
      <c r="K1075" s="9" t="s">
        <v>1388</v>
      </c>
      <c r="L1075" s="83">
        <v>45200</v>
      </c>
      <c r="M1075" s="83">
        <v>45230</v>
      </c>
    </row>
    <row r="1076" spans="1:13" ht="14.25" customHeight="1" x14ac:dyDescent="0.25">
      <c r="A1076" s="9" t="s">
        <v>1578</v>
      </c>
      <c r="B1076" s="81">
        <v>114761</v>
      </c>
      <c r="C1076" s="81">
        <v>10763</v>
      </c>
      <c r="D1076" s="9" t="s">
        <v>1094</v>
      </c>
      <c r="E1076" s="81">
        <v>14563091</v>
      </c>
      <c r="F1076" s="81">
        <v>36970</v>
      </c>
      <c r="G1076" s="81">
        <v>1</v>
      </c>
      <c r="H1076" s="82">
        <v>359.46</v>
      </c>
      <c r="I1076" s="251">
        <v>359.46</v>
      </c>
      <c r="J1076" s="9" t="s">
        <v>1387</v>
      </c>
      <c r="K1076" s="9" t="s">
        <v>1388</v>
      </c>
      <c r="L1076" s="83">
        <v>45200</v>
      </c>
      <c r="M1076" s="83">
        <v>45230</v>
      </c>
    </row>
    <row r="1077" spans="1:13" ht="14.25" customHeight="1" x14ac:dyDescent="0.25">
      <c r="A1077" s="9" t="s">
        <v>8</v>
      </c>
      <c r="B1077" s="81">
        <v>112833</v>
      </c>
      <c r="C1077" s="81">
        <v>10750</v>
      </c>
      <c r="D1077" s="9" t="s">
        <v>443</v>
      </c>
      <c r="E1077" s="81">
        <v>14563091</v>
      </c>
      <c r="F1077" s="81">
        <v>30100</v>
      </c>
      <c r="G1077" s="81">
        <v>1</v>
      </c>
      <c r="H1077" s="82">
        <v>359.46</v>
      </c>
      <c r="I1077" s="251">
        <v>359.46</v>
      </c>
      <c r="J1077" s="9" t="s">
        <v>1387</v>
      </c>
      <c r="K1077" s="9" t="s">
        <v>1388</v>
      </c>
      <c r="L1077" s="83">
        <v>45200</v>
      </c>
      <c r="M1077" s="83">
        <v>45230</v>
      </c>
    </row>
    <row r="1078" spans="1:13" ht="14.25" customHeight="1" x14ac:dyDescent="0.25">
      <c r="A1078" s="9" t="s">
        <v>1578</v>
      </c>
      <c r="B1078" s="81">
        <v>112845</v>
      </c>
      <c r="C1078" s="81">
        <v>10761</v>
      </c>
      <c r="D1078" s="9" t="s">
        <v>449</v>
      </c>
      <c r="E1078" s="81">
        <v>14563091</v>
      </c>
      <c r="F1078" s="81">
        <v>30124</v>
      </c>
      <c r="G1078" s="81">
        <v>1</v>
      </c>
      <c r="H1078" s="82">
        <v>359.46</v>
      </c>
      <c r="I1078" s="251">
        <v>359.46</v>
      </c>
      <c r="J1078" s="9" t="s">
        <v>1387</v>
      </c>
      <c r="K1078" s="9" t="s">
        <v>1388</v>
      </c>
      <c r="L1078" s="83">
        <v>45200</v>
      </c>
      <c r="M1078" s="83">
        <v>45230</v>
      </c>
    </row>
    <row r="1079" spans="1:13" ht="14.25" customHeight="1" x14ac:dyDescent="0.25">
      <c r="A1079" s="9" t="s">
        <v>19</v>
      </c>
      <c r="B1079" s="81">
        <v>119107</v>
      </c>
      <c r="C1079" s="81">
        <v>10760</v>
      </c>
      <c r="D1079" s="9" t="s">
        <v>1439</v>
      </c>
      <c r="E1079" s="81">
        <v>14563091</v>
      </c>
      <c r="F1079" s="81">
        <v>48236</v>
      </c>
      <c r="G1079" s="81">
        <v>1</v>
      </c>
      <c r="H1079" s="82">
        <v>359.46</v>
      </c>
      <c r="I1079" s="251">
        <v>359.46</v>
      </c>
      <c r="J1079" s="9" t="s">
        <v>1387</v>
      </c>
      <c r="K1079" s="9" t="s">
        <v>1388</v>
      </c>
      <c r="L1079" s="83">
        <v>45200</v>
      </c>
      <c r="M1079" s="83">
        <v>45230</v>
      </c>
    </row>
    <row r="1080" spans="1:13" ht="14.25" customHeight="1" x14ac:dyDescent="0.25">
      <c r="A1080" s="9" t="s">
        <v>8</v>
      </c>
      <c r="B1080" s="81">
        <v>112871</v>
      </c>
      <c r="C1080" s="81">
        <v>10750</v>
      </c>
      <c r="D1080" s="9" t="s">
        <v>464</v>
      </c>
      <c r="E1080" s="81">
        <v>14563091</v>
      </c>
      <c r="F1080" s="81">
        <v>30176</v>
      </c>
      <c r="G1080" s="81">
        <v>1</v>
      </c>
      <c r="H1080" s="82">
        <v>359.46</v>
      </c>
      <c r="I1080" s="251">
        <v>359.46</v>
      </c>
      <c r="J1080" s="9" t="s">
        <v>1387</v>
      </c>
      <c r="K1080" s="9" t="s">
        <v>1388</v>
      </c>
      <c r="L1080" s="83">
        <v>45200</v>
      </c>
      <c r="M1080" s="83">
        <v>45230</v>
      </c>
    </row>
    <row r="1081" spans="1:13" ht="14.25" customHeight="1" x14ac:dyDescent="0.25">
      <c r="A1081" s="9" t="s">
        <v>32</v>
      </c>
      <c r="B1081" s="81">
        <v>114774</v>
      </c>
      <c r="C1081" s="81">
        <v>10758</v>
      </c>
      <c r="D1081" s="9" t="s">
        <v>1100</v>
      </c>
      <c r="E1081" s="81">
        <v>14563091</v>
      </c>
      <c r="F1081" s="81">
        <v>36996</v>
      </c>
      <c r="G1081" s="81">
        <v>1</v>
      </c>
      <c r="H1081" s="82">
        <v>359.46</v>
      </c>
      <c r="I1081" s="251">
        <v>359.46</v>
      </c>
      <c r="J1081" s="9" t="s">
        <v>1387</v>
      </c>
      <c r="K1081" s="9" t="s">
        <v>1388</v>
      </c>
      <c r="L1081" s="83">
        <v>45200</v>
      </c>
      <c r="M1081" s="83">
        <v>45230</v>
      </c>
    </row>
    <row r="1082" spans="1:13" ht="14.25" customHeight="1" x14ac:dyDescent="0.25">
      <c r="A1082" s="9" t="s">
        <v>19</v>
      </c>
      <c r="B1082" s="81">
        <v>112877</v>
      </c>
      <c r="C1082" s="81">
        <v>10758</v>
      </c>
      <c r="D1082" s="9" t="s">
        <v>470</v>
      </c>
      <c r="E1082" s="81">
        <v>14563091</v>
      </c>
      <c r="F1082" s="81">
        <v>30188</v>
      </c>
      <c r="G1082" s="81">
        <v>1</v>
      </c>
      <c r="H1082" s="82">
        <v>359.46</v>
      </c>
      <c r="I1082" s="251">
        <v>359.46</v>
      </c>
      <c r="J1082" s="9" t="s">
        <v>1387</v>
      </c>
      <c r="K1082" s="9" t="s">
        <v>1388</v>
      </c>
      <c r="L1082" s="83">
        <v>45200</v>
      </c>
      <c r="M1082" s="83">
        <v>45230</v>
      </c>
    </row>
    <row r="1083" spans="1:13" ht="14.25" customHeight="1" x14ac:dyDescent="0.25">
      <c r="A1083" s="9" t="s">
        <v>8</v>
      </c>
      <c r="B1083" s="81">
        <v>112887</v>
      </c>
      <c r="C1083" s="81">
        <v>10750</v>
      </c>
      <c r="D1083" s="9" t="s">
        <v>476</v>
      </c>
      <c r="E1083" s="81">
        <v>14563091</v>
      </c>
      <c r="F1083" s="81">
        <v>30208</v>
      </c>
      <c r="G1083" s="81">
        <v>1</v>
      </c>
      <c r="H1083" s="82">
        <v>359.46</v>
      </c>
      <c r="I1083" s="251">
        <v>359.46</v>
      </c>
      <c r="J1083" s="9" t="s">
        <v>1387</v>
      </c>
      <c r="K1083" s="9" t="s">
        <v>1388</v>
      </c>
      <c r="L1083" s="83">
        <v>45200</v>
      </c>
      <c r="M1083" s="83">
        <v>45230</v>
      </c>
    </row>
    <row r="1084" spans="1:13" ht="14.25" customHeight="1" x14ac:dyDescent="0.25">
      <c r="A1084" s="9" t="s">
        <v>19</v>
      </c>
      <c r="B1084" s="81">
        <v>112894</v>
      </c>
      <c r="C1084" s="81">
        <v>10750</v>
      </c>
      <c r="D1084" s="9" t="s">
        <v>482</v>
      </c>
      <c r="E1084" s="81">
        <v>14563091</v>
      </c>
      <c r="F1084" s="81">
        <v>30222</v>
      </c>
      <c r="G1084" s="81">
        <v>1</v>
      </c>
      <c r="H1084" s="82">
        <v>359.46</v>
      </c>
      <c r="I1084" s="251">
        <v>359.46</v>
      </c>
      <c r="J1084" s="9" t="s">
        <v>1387</v>
      </c>
      <c r="K1084" s="9" t="s">
        <v>1388</v>
      </c>
      <c r="L1084" s="83">
        <v>45200</v>
      </c>
      <c r="M1084" s="83">
        <v>45230</v>
      </c>
    </row>
    <row r="1085" spans="1:13" ht="14.25" customHeight="1" x14ac:dyDescent="0.25">
      <c r="A1085" s="9" t="s">
        <v>10</v>
      </c>
      <c r="B1085" s="81">
        <v>112908</v>
      </c>
      <c r="C1085" s="81">
        <v>10763</v>
      </c>
      <c r="D1085" s="9" t="s">
        <v>491</v>
      </c>
      <c r="E1085" s="81">
        <v>14563091</v>
      </c>
      <c r="F1085" s="81">
        <v>30250</v>
      </c>
      <c r="G1085" s="81">
        <v>1</v>
      </c>
      <c r="H1085" s="82">
        <v>359.46</v>
      </c>
      <c r="I1085" s="251">
        <v>359.46</v>
      </c>
      <c r="J1085" s="9" t="s">
        <v>1387</v>
      </c>
      <c r="K1085" s="9" t="s">
        <v>1388</v>
      </c>
      <c r="L1085" s="83">
        <v>45200</v>
      </c>
      <c r="M1085" s="83">
        <v>45230</v>
      </c>
    </row>
    <row r="1086" spans="1:13" ht="14.25" customHeight="1" x14ac:dyDescent="0.25">
      <c r="A1086" s="9" t="s">
        <v>0</v>
      </c>
      <c r="B1086" s="81">
        <v>113004</v>
      </c>
      <c r="C1086" s="81">
        <v>10758</v>
      </c>
      <c r="D1086" s="9" t="s">
        <v>541</v>
      </c>
      <c r="E1086" s="81">
        <v>14563091</v>
      </c>
      <c r="F1086" s="81">
        <v>30442</v>
      </c>
      <c r="G1086" s="81">
        <v>1</v>
      </c>
      <c r="H1086" s="82">
        <v>359.46</v>
      </c>
      <c r="I1086" s="251">
        <v>359.46</v>
      </c>
      <c r="J1086" s="9" t="s">
        <v>1387</v>
      </c>
      <c r="K1086" s="9" t="s">
        <v>1388</v>
      </c>
      <c r="L1086" s="83">
        <v>45200</v>
      </c>
      <c r="M1086" s="83">
        <v>45230</v>
      </c>
    </row>
    <row r="1087" spans="1:13" ht="14.25" customHeight="1" x14ac:dyDescent="0.25">
      <c r="A1087" s="9" t="s">
        <v>1578</v>
      </c>
      <c r="B1087" s="81">
        <v>115229</v>
      </c>
      <c r="C1087" s="81">
        <v>10743</v>
      </c>
      <c r="D1087" s="9" t="s">
        <v>1146</v>
      </c>
      <c r="E1087" s="81">
        <v>14563091</v>
      </c>
      <c r="F1087" s="81">
        <v>38512</v>
      </c>
      <c r="G1087" s="81">
        <v>1</v>
      </c>
      <c r="H1087" s="82">
        <v>359.46</v>
      </c>
      <c r="I1087" s="251">
        <v>359.46</v>
      </c>
      <c r="J1087" s="9" t="s">
        <v>1387</v>
      </c>
      <c r="K1087" s="9" t="s">
        <v>1388</v>
      </c>
      <c r="L1087" s="83">
        <v>45200</v>
      </c>
      <c r="M1087" s="83">
        <v>45230</v>
      </c>
    </row>
    <row r="1088" spans="1:13" ht="14.25" customHeight="1" x14ac:dyDescent="0.25">
      <c r="A1088" s="9" t="s">
        <v>19</v>
      </c>
      <c r="B1088" s="81">
        <v>113025</v>
      </c>
      <c r="C1088" s="81">
        <v>10750</v>
      </c>
      <c r="D1088" s="9" t="s">
        <v>547</v>
      </c>
      <c r="E1088" s="81">
        <v>14563091</v>
      </c>
      <c r="F1088" s="81">
        <v>30484</v>
      </c>
      <c r="G1088" s="81">
        <v>1</v>
      </c>
      <c r="H1088" s="82">
        <v>359.46</v>
      </c>
      <c r="I1088" s="251">
        <v>359.46</v>
      </c>
      <c r="J1088" s="9" t="s">
        <v>1387</v>
      </c>
      <c r="K1088" s="9" t="s">
        <v>1388</v>
      </c>
      <c r="L1088" s="83">
        <v>45200</v>
      </c>
      <c r="M1088" s="83">
        <v>45230</v>
      </c>
    </row>
    <row r="1089" spans="1:13" ht="14.25" customHeight="1" x14ac:dyDescent="0.25">
      <c r="A1089" s="9" t="s">
        <v>0</v>
      </c>
      <c r="B1089" s="81">
        <v>113032</v>
      </c>
      <c r="C1089" s="81">
        <v>10750</v>
      </c>
      <c r="D1089" s="9" t="s">
        <v>1282</v>
      </c>
      <c r="E1089" s="81">
        <v>14563091</v>
      </c>
      <c r="F1089" s="81">
        <v>30498</v>
      </c>
      <c r="G1089" s="81">
        <v>1</v>
      </c>
      <c r="H1089" s="82">
        <v>359.46</v>
      </c>
      <c r="I1089" s="251">
        <v>359.46</v>
      </c>
      <c r="J1089" s="9" t="s">
        <v>1387</v>
      </c>
      <c r="K1089" s="9" t="s">
        <v>1388</v>
      </c>
      <c r="L1089" s="83">
        <v>45200</v>
      </c>
      <c r="M1089" s="83">
        <v>45230</v>
      </c>
    </row>
    <row r="1090" spans="1:13" ht="14.25" customHeight="1" x14ac:dyDescent="0.25">
      <c r="A1090" s="9" t="s">
        <v>1578</v>
      </c>
      <c r="B1090" s="81">
        <v>113044</v>
      </c>
      <c r="C1090" s="81">
        <v>10768</v>
      </c>
      <c r="D1090" s="9" t="s">
        <v>558</v>
      </c>
      <c r="E1090" s="81">
        <v>14563091</v>
      </c>
      <c r="F1090" s="81">
        <v>30522</v>
      </c>
      <c r="G1090" s="81">
        <v>1</v>
      </c>
      <c r="H1090" s="82">
        <v>359.46</v>
      </c>
      <c r="I1090" s="251">
        <v>359.46</v>
      </c>
      <c r="J1090" s="9" t="s">
        <v>1387</v>
      </c>
      <c r="K1090" s="9" t="s">
        <v>1388</v>
      </c>
      <c r="L1090" s="83">
        <v>45200</v>
      </c>
      <c r="M1090" s="83">
        <v>45230</v>
      </c>
    </row>
    <row r="1091" spans="1:13" ht="14.25" customHeight="1" x14ac:dyDescent="0.25">
      <c r="A1091" s="9" t="s">
        <v>0</v>
      </c>
      <c r="B1091" s="81">
        <v>113083</v>
      </c>
      <c r="C1091" s="81">
        <v>10771</v>
      </c>
      <c r="D1091" s="9" t="s">
        <v>578</v>
      </c>
      <c r="E1091" s="81">
        <v>14563091</v>
      </c>
      <c r="F1091" s="81">
        <v>30600</v>
      </c>
      <c r="G1091" s="81">
        <v>1</v>
      </c>
      <c r="H1091" s="82">
        <v>359.46</v>
      </c>
      <c r="I1091" s="251">
        <v>359.46</v>
      </c>
      <c r="J1091" s="9" t="s">
        <v>1387</v>
      </c>
      <c r="K1091" s="9" t="s">
        <v>1388</v>
      </c>
      <c r="L1091" s="83">
        <v>45200</v>
      </c>
      <c r="M1091" s="83">
        <v>45230</v>
      </c>
    </row>
    <row r="1092" spans="1:13" ht="14.25" customHeight="1" x14ac:dyDescent="0.25">
      <c r="A1092" s="9" t="s">
        <v>10</v>
      </c>
      <c r="B1092" s="81">
        <v>113141</v>
      </c>
      <c r="C1092" s="81">
        <v>10754</v>
      </c>
      <c r="D1092" s="9" t="s">
        <v>608</v>
      </c>
      <c r="E1092" s="81">
        <v>14563091</v>
      </c>
      <c r="F1092" s="81">
        <v>30716</v>
      </c>
      <c r="G1092" s="81">
        <v>1</v>
      </c>
      <c r="H1092" s="82">
        <v>359.46</v>
      </c>
      <c r="I1092" s="251">
        <v>359.46</v>
      </c>
      <c r="J1092" s="9" t="s">
        <v>1387</v>
      </c>
      <c r="K1092" s="9" t="s">
        <v>1388</v>
      </c>
      <c r="L1092" s="83">
        <v>45200</v>
      </c>
      <c r="M1092" s="83">
        <v>45230</v>
      </c>
    </row>
    <row r="1093" spans="1:13" ht="14.25" customHeight="1" x14ac:dyDescent="0.25">
      <c r="A1093" s="9" t="s">
        <v>0</v>
      </c>
      <c r="B1093" s="81">
        <v>113669</v>
      </c>
      <c r="C1093" s="81">
        <v>10750</v>
      </c>
      <c r="D1093" s="9" t="s">
        <v>906</v>
      </c>
      <c r="E1093" s="81">
        <v>14563091</v>
      </c>
      <c r="F1093" s="81">
        <v>31772</v>
      </c>
      <c r="G1093" s="81">
        <v>1</v>
      </c>
      <c r="H1093" s="82">
        <v>347.47</v>
      </c>
      <c r="I1093" s="251">
        <v>347.47</v>
      </c>
      <c r="J1093" s="9" t="s">
        <v>1387</v>
      </c>
      <c r="K1093" s="9" t="s">
        <v>1388</v>
      </c>
      <c r="L1093" s="83">
        <v>45200</v>
      </c>
      <c r="M1093" s="83">
        <v>45230</v>
      </c>
    </row>
    <row r="1094" spans="1:13" ht="14.25" customHeight="1" x14ac:dyDescent="0.25">
      <c r="A1094" s="9" t="s">
        <v>8</v>
      </c>
      <c r="B1094" s="81">
        <v>113671</v>
      </c>
      <c r="C1094" s="81">
        <v>10766</v>
      </c>
      <c r="D1094" s="9" t="s">
        <v>907</v>
      </c>
      <c r="E1094" s="81">
        <v>14563091</v>
      </c>
      <c r="F1094" s="81">
        <v>31776</v>
      </c>
      <c r="G1094" s="81">
        <v>1</v>
      </c>
      <c r="H1094" s="82">
        <v>359.46</v>
      </c>
      <c r="I1094" s="251">
        <v>359.46</v>
      </c>
      <c r="J1094" s="9" t="s">
        <v>1387</v>
      </c>
      <c r="K1094" s="9" t="s">
        <v>1388</v>
      </c>
      <c r="L1094" s="83">
        <v>45200</v>
      </c>
      <c r="M1094" s="83">
        <v>45230</v>
      </c>
    </row>
    <row r="1095" spans="1:13" ht="14.25" customHeight="1" x14ac:dyDescent="0.25">
      <c r="A1095" s="9" t="s">
        <v>1578</v>
      </c>
      <c r="B1095" s="81">
        <v>113183</v>
      </c>
      <c r="C1095" s="81">
        <v>10768</v>
      </c>
      <c r="D1095" s="9" t="s">
        <v>632</v>
      </c>
      <c r="E1095" s="81">
        <v>14563091</v>
      </c>
      <c r="F1095" s="81">
        <v>30800</v>
      </c>
      <c r="G1095" s="81">
        <v>1</v>
      </c>
      <c r="H1095" s="82">
        <v>359.46</v>
      </c>
      <c r="I1095" s="251">
        <v>359.46</v>
      </c>
      <c r="J1095" s="9" t="s">
        <v>1387</v>
      </c>
      <c r="K1095" s="9" t="s">
        <v>1388</v>
      </c>
      <c r="L1095" s="83">
        <v>45200</v>
      </c>
      <c r="M1095" s="83">
        <v>45230</v>
      </c>
    </row>
    <row r="1096" spans="1:13" ht="14.25" customHeight="1" x14ac:dyDescent="0.25">
      <c r="A1096" s="9" t="s">
        <v>8</v>
      </c>
      <c r="B1096" s="81">
        <v>113188</v>
      </c>
      <c r="C1096" s="81">
        <v>10757</v>
      </c>
      <c r="D1096" s="9" t="s">
        <v>635</v>
      </c>
      <c r="E1096" s="81">
        <v>14563091</v>
      </c>
      <c r="F1096" s="81">
        <v>30810</v>
      </c>
      <c r="G1096" s="81">
        <v>1</v>
      </c>
      <c r="H1096" s="82">
        <v>359.46</v>
      </c>
      <c r="I1096" s="251">
        <v>359.46</v>
      </c>
      <c r="J1096" s="9" t="s">
        <v>1387</v>
      </c>
      <c r="K1096" s="9" t="s">
        <v>1388</v>
      </c>
      <c r="L1096" s="83">
        <v>45200</v>
      </c>
      <c r="M1096" s="83">
        <v>45230</v>
      </c>
    </row>
    <row r="1097" spans="1:13" ht="14.25" customHeight="1" x14ac:dyDescent="0.25">
      <c r="A1097" s="9" t="s">
        <v>1580</v>
      </c>
      <c r="B1097" s="81">
        <v>113743</v>
      </c>
      <c r="C1097" s="81">
        <v>10776</v>
      </c>
      <c r="D1097" s="9" t="s">
        <v>962</v>
      </c>
      <c r="E1097" s="81">
        <v>14563091</v>
      </c>
      <c r="F1097" s="81">
        <v>31920</v>
      </c>
      <c r="G1097" s="81">
        <v>1</v>
      </c>
      <c r="H1097" s="82">
        <v>359.46</v>
      </c>
      <c r="I1097" s="251">
        <v>359.46</v>
      </c>
      <c r="J1097" s="9" t="s">
        <v>1387</v>
      </c>
      <c r="K1097" s="9" t="s">
        <v>1388</v>
      </c>
      <c r="L1097" s="83">
        <v>45200</v>
      </c>
      <c r="M1097" s="83">
        <v>45230</v>
      </c>
    </row>
    <row r="1098" spans="1:13" ht="14.25" customHeight="1" x14ac:dyDescent="0.25">
      <c r="A1098" s="9" t="s">
        <v>19</v>
      </c>
      <c r="B1098" s="81">
        <v>113192</v>
      </c>
      <c r="C1098" s="81">
        <v>10754</v>
      </c>
      <c r="D1098" s="9" t="s">
        <v>637</v>
      </c>
      <c r="E1098" s="81">
        <v>14563091</v>
      </c>
      <c r="F1098" s="81">
        <v>30818</v>
      </c>
      <c r="G1098" s="81">
        <v>1</v>
      </c>
      <c r="H1098" s="82">
        <v>359.46</v>
      </c>
      <c r="I1098" s="251">
        <v>359.46</v>
      </c>
      <c r="J1098" s="9" t="s">
        <v>1387</v>
      </c>
      <c r="K1098" s="9" t="s">
        <v>1388</v>
      </c>
      <c r="L1098" s="83">
        <v>45200</v>
      </c>
      <c r="M1098" s="83">
        <v>45230</v>
      </c>
    </row>
    <row r="1099" spans="1:13" ht="14.25" customHeight="1" x14ac:dyDescent="0.25">
      <c r="A1099" s="9" t="s">
        <v>8</v>
      </c>
      <c r="B1099" s="81">
        <v>122555</v>
      </c>
      <c r="C1099" s="81">
        <v>10758</v>
      </c>
      <c r="D1099" s="9" t="s">
        <v>1694</v>
      </c>
      <c r="E1099" s="81">
        <v>14563091</v>
      </c>
      <c r="F1099" s="81">
        <v>56502</v>
      </c>
      <c r="G1099" s="81">
        <v>1</v>
      </c>
      <c r="H1099" s="82">
        <v>359.46</v>
      </c>
      <c r="I1099" s="251">
        <v>359.46</v>
      </c>
      <c r="J1099" s="9" t="s">
        <v>1387</v>
      </c>
      <c r="K1099" s="9" t="s">
        <v>1388</v>
      </c>
      <c r="L1099" s="83">
        <v>45200</v>
      </c>
      <c r="M1099" s="83">
        <v>45230</v>
      </c>
    </row>
    <row r="1100" spans="1:13" ht="14.25" customHeight="1" x14ac:dyDescent="0.25">
      <c r="A1100" s="9" t="s">
        <v>10</v>
      </c>
      <c r="B1100" s="81">
        <v>118054</v>
      </c>
      <c r="C1100" s="81">
        <v>10758</v>
      </c>
      <c r="D1100" s="9" t="s">
        <v>1423</v>
      </c>
      <c r="E1100" s="81">
        <v>14563091</v>
      </c>
      <c r="F1100" s="81">
        <v>45896</v>
      </c>
      <c r="G1100" s="81">
        <v>1</v>
      </c>
      <c r="H1100" s="82">
        <v>359.46</v>
      </c>
      <c r="I1100" s="251">
        <v>359.46</v>
      </c>
      <c r="J1100" s="9" t="s">
        <v>1387</v>
      </c>
      <c r="K1100" s="9" t="s">
        <v>1388</v>
      </c>
      <c r="L1100" s="83">
        <v>45200</v>
      </c>
      <c r="M1100" s="83">
        <v>45230</v>
      </c>
    </row>
    <row r="1101" spans="1:13" ht="14.25" customHeight="1" x14ac:dyDescent="0.25">
      <c r="A1101" s="9" t="s">
        <v>10</v>
      </c>
      <c r="B1101" s="81">
        <v>113722</v>
      </c>
      <c r="C1101" s="81">
        <v>10763</v>
      </c>
      <c r="D1101" s="9" t="s">
        <v>936</v>
      </c>
      <c r="E1101" s="81">
        <v>14563091</v>
      </c>
      <c r="F1101" s="81">
        <v>31878</v>
      </c>
      <c r="G1101" s="81">
        <v>1</v>
      </c>
      <c r="H1101" s="82">
        <v>359.46</v>
      </c>
      <c r="I1101" s="251">
        <v>359.46</v>
      </c>
      <c r="J1101" s="9" t="s">
        <v>1387</v>
      </c>
      <c r="K1101" s="9" t="s">
        <v>1388</v>
      </c>
      <c r="L1101" s="83">
        <v>45200</v>
      </c>
      <c r="M1101" s="83">
        <v>45230</v>
      </c>
    </row>
    <row r="1102" spans="1:13" ht="14.25" customHeight="1" x14ac:dyDescent="0.25">
      <c r="A1102" s="9" t="s">
        <v>8</v>
      </c>
      <c r="B1102" s="81">
        <v>113201</v>
      </c>
      <c r="C1102" s="81">
        <v>10754</v>
      </c>
      <c r="D1102" s="9" t="s">
        <v>641</v>
      </c>
      <c r="E1102" s="81">
        <v>14563091</v>
      </c>
      <c r="F1102" s="81">
        <v>30836</v>
      </c>
      <c r="G1102" s="81">
        <v>1</v>
      </c>
      <c r="H1102" s="82">
        <v>359.46</v>
      </c>
      <c r="I1102" s="251">
        <v>359.46</v>
      </c>
      <c r="J1102" s="9" t="s">
        <v>1387</v>
      </c>
      <c r="K1102" s="9" t="s">
        <v>1388</v>
      </c>
      <c r="L1102" s="83">
        <v>45200</v>
      </c>
      <c r="M1102" s="83">
        <v>45230</v>
      </c>
    </row>
    <row r="1103" spans="1:13" ht="14.25" customHeight="1" x14ac:dyDescent="0.25">
      <c r="A1103" s="9" t="s">
        <v>1578</v>
      </c>
      <c r="B1103" s="81">
        <v>113803</v>
      </c>
      <c r="C1103" s="81">
        <v>10761</v>
      </c>
      <c r="D1103" s="9" t="s">
        <v>983</v>
      </c>
      <c r="E1103" s="81">
        <v>14563091</v>
      </c>
      <c r="F1103" s="81">
        <v>32065</v>
      </c>
      <c r="G1103" s="81">
        <v>1</v>
      </c>
      <c r="H1103" s="82">
        <v>359.46</v>
      </c>
      <c r="I1103" s="251">
        <v>359.46</v>
      </c>
      <c r="J1103" s="9" t="s">
        <v>1387</v>
      </c>
      <c r="K1103" s="9" t="s">
        <v>1388</v>
      </c>
      <c r="L1103" s="83">
        <v>45200</v>
      </c>
      <c r="M1103" s="83">
        <v>45230</v>
      </c>
    </row>
    <row r="1104" spans="1:13" ht="14.25" customHeight="1" x14ac:dyDescent="0.25">
      <c r="A1104" s="9" t="s">
        <v>1578</v>
      </c>
      <c r="B1104" s="81">
        <v>113218</v>
      </c>
      <c r="C1104" s="81">
        <v>10768</v>
      </c>
      <c r="D1104" s="9" t="s">
        <v>652</v>
      </c>
      <c r="E1104" s="81">
        <v>14563091</v>
      </c>
      <c r="F1104" s="81">
        <v>30870</v>
      </c>
      <c r="G1104" s="81">
        <v>1</v>
      </c>
      <c r="H1104" s="82">
        <v>359.46</v>
      </c>
      <c r="I1104" s="251">
        <v>359.46</v>
      </c>
      <c r="J1104" s="9" t="s">
        <v>1387</v>
      </c>
      <c r="K1104" s="9" t="s">
        <v>1388</v>
      </c>
      <c r="L1104" s="83">
        <v>45200</v>
      </c>
      <c r="M1104" s="83">
        <v>45230</v>
      </c>
    </row>
    <row r="1105" spans="1:13" ht="14.25" customHeight="1" x14ac:dyDescent="0.25">
      <c r="A1105" s="9" t="s">
        <v>0</v>
      </c>
      <c r="B1105" s="81">
        <v>113224</v>
      </c>
      <c r="C1105" s="81">
        <v>10757</v>
      </c>
      <c r="D1105" s="9" t="s">
        <v>655</v>
      </c>
      <c r="E1105" s="81">
        <v>14563091</v>
      </c>
      <c r="F1105" s="81">
        <v>30882</v>
      </c>
      <c r="G1105" s="81">
        <v>1</v>
      </c>
      <c r="H1105" s="82">
        <v>359.46</v>
      </c>
      <c r="I1105" s="251">
        <v>359.46</v>
      </c>
      <c r="J1105" s="9" t="s">
        <v>1387</v>
      </c>
      <c r="K1105" s="9" t="s">
        <v>1388</v>
      </c>
      <c r="L1105" s="83">
        <v>45200</v>
      </c>
      <c r="M1105" s="83">
        <v>45230</v>
      </c>
    </row>
    <row r="1106" spans="1:13" ht="14.25" customHeight="1" x14ac:dyDescent="0.25">
      <c r="A1106" s="9" t="s">
        <v>8</v>
      </c>
      <c r="B1106" s="81">
        <v>114094</v>
      </c>
      <c r="C1106" s="81">
        <v>10757</v>
      </c>
      <c r="D1106" s="9" t="s">
        <v>1002</v>
      </c>
      <c r="E1106" s="81">
        <v>14563091</v>
      </c>
      <c r="F1106" s="81">
        <v>34340</v>
      </c>
      <c r="G1106" s="81">
        <v>1</v>
      </c>
      <c r="H1106" s="82">
        <v>359.46</v>
      </c>
      <c r="I1106" s="251">
        <v>359.46</v>
      </c>
      <c r="J1106" s="9" t="s">
        <v>1387</v>
      </c>
      <c r="K1106" s="9" t="s">
        <v>1388</v>
      </c>
      <c r="L1106" s="83">
        <v>45200</v>
      </c>
      <c r="M1106" s="83">
        <v>45230</v>
      </c>
    </row>
    <row r="1107" spans="1:13" ht="14.25" customHeight="1" x14ac:dyDescent="0.25">
      <c r="A1107" s="9" t="s">
        <v>0</v>
      </c>
      <c r="B1107" s="81">
        <v>113235</v>
      </c>
      <c r="C1107" s="81">
        <v>10757</v>
      </c>
      <c r="D1107" s="9" t="s">
        <v>662</v>
      </c>
      <c r="E1107" s="81">
        <v>14563091</v>
      </c>
      <c r="F1107" s="81">
        <v>30904</v>
      </c>
      <c r="G1107" s="81">
        <v>1</v>
      </c>
      <c r="H1107" s="82">
        <v>359.46</v>
      </c>
      <c r="I1107" s="251">
        <v>359.46</v>
      </c>
      <c r="J1107" s="9" t="s">
        <v>1387</v>
      </c>
      <c r="K1107" s="9" t="s">
        <v>1388</v>
      </c>
      <c r="L1107" s="83">
        <v>45200</v>
      </c>
      <c r="M1107" s="83">
        <v>45230</v>
      </c>
    </row>
    <row r="1108" spans="1:13" ht="14.25" customHeight="1" x14ac:dyDescent="0.25">
      <c r="A1108" s="9" t="s">
        <v>1578</v>
      </c>
      <c r="B1108" s="81">
        <v>119125</v>
      </c>
      <c r="C1108" s="81">
        <v>10761</v>
      </c>
      <c r="D1108" s="9" t="s">
        <v>1440</v>
      </c>
      <c r="E1108" s="81">
        <v>14563091</v>
      </c>
      <c r="F1108" s="81">
        <v>48276</v>
      </c>
      <c r="G1108" s="81">
        <v>1</v>
      </c>
      <c r="H1108" s="82">
        <v>359.46</v>
      </c>
      <c r="I1108" s="251">
        <v>359.46</v>
      </c>
      <c r="J1108" s="9" t="s">
        <v>1387</v>
      </c>
      <c r="K1108" s="9" t="s">
        <v>1388</v>
      </c>
      <c r="L1108" s="83">
        <v>45200</v>
      </c>
      <c r="M1108" s="83">
        <v>45230</v>
      </c>
    </row>
    <row r="1109" spans="1:13" ht="14.25" customHeight="1" x14ac:dyDescent="0.25">
      <c r="A1109" s="9" t="s">
        <v>1578</v>
      </c>
      <c r="B1109" s="81">
        <v>116730</v>
      </c>
      <c r="C1109" s="81">
        <v>10768</v>
      </c>
      <c r="D1109" s="9" t="s">
        <v>1221</v>
      </c>
      <c r="E1109" s="81">
        <v>14563091</v>
      </c>
      <c r="F1109" s="81">
        <v>42847</v>
      </c>
      <c r="G1109" s="81">
        <v>1</v>
      </c>
      <c r="H1109" s="82">
        <v>359.46</v>
      </c>
      <c r="I1109" s="251">
        <v>359.46</v>
      </c>
      <c r="J1109" s="9" t="s">
        <v>1387</v>
      </c>
      <c r="K1109" s="9" t="s">
        <v>1388</v>
      </c>
      <c r="L1109" s="83">
        <v>45200</v>
      </c>
      <c r="M1109" s="83">
        <v>45230</v>
      </c>
    </row>
    <row r="1110" spans="1:13" ht="14.25" customHeight="1" x14ac:dyDescent="0.25">
      <c r="A1110" s="9" t="s">
        <v>0</v>
      </c>
      <c r="B1110" s="81">
        <v>114088</v>
      </c>
      <c r="C1110" s="81">
        <v>10745</v>
      </c>
      <c r="D1110" s="9" t="s">
        <v>999</v>
      </c>
      <c r="E1110" s="81">
        <v>14563091</v>
      </c>
      <c r="F1110" s="81">
        <v>34328</v>
      </c>
      <c r="G1110" s="81">
        <v>1</v>
      </c>
      <c r="H1110" s="82">
        <v>359.46</v>
      </c>
      <c r="I1110" s="251">
        <v>359.46</v>
      </c>
      <c r="J1110" s="9" t="s">
        <v>1387</v>
      </c>
      <c r="K1110" s="9" t="s">
        <v>1388</v>
      </c>
      <c r="L1110" s="83">
        <v>45200</v>
      </c>
      <c r="M1110" s="83">
        <v>45230</v>
      </c>
    </row>
    <row r="1111" spans="1:13" ht="14.25" customHeight="1" x14ac:dyDescent="0.25">
      <c r="A1111" s="9" t="s">
        <v>0</v>
      </c>
      <c r="B1111" s="81">
        <v>122247</v>
      </c>
      <c r="C1111" s="81">
        <v>10757</v>
      </c>
      <c r="D1111" s="9" t="s">
        <v>1659</v>
      </c>
      <c r="E1111" s="81">
        <v>14563091</v>
      </c>
      <c r="F1111" s="81">
        <v>55736</v>
      </c>
      <c r="G1111" s="81">
        <v>1</v>
      </c>
      <c r="H1111" s="82">
        <v>359.46</v>
      </c>
      <c r="I1111" s="251">
        <v>359.46</v>
      </c>
      <c r="J1111" s="9" t="s">
        <v>1387</v>
      </c>
      <c r="K1111" s="9" t="s">
        <v>1388</v>
      </c>
      <c r="L1111" s="83">
        <v>45200</v>
      </c>
      <c r="M1111" s="83">
        <v>45230</v>
      </c>
    </row>
    <row r="1112" spans="1:13" ht="14.25" customHeight="1" x14ac:dyDescent="0.25">
      <c r="A1112" s="9" t="s">
        <v>0</v>
      </c>
      <c r="B1112" s="81">
        <v>114980</v>
      </c>
      <c r="C1112" s="81">
        <v>10757</v>
      </c>
      <c r="D1112" s="9" t="s">
        <v>1134</v>
      </c>
      <c r="E1112" s="81">
        <v>14563091</v>
      </c>
      <c r="F1112" s="81">
        <v>37737</v>
      </c>
      <c r="G1112" s="81">
        <v>1</v>
      </c>
      <c r="H1112" s="82">
        <v>335.49</v>
      </c>
      <c r="I1112" s="251">
        <v>335.49</v>
      </c>
      <c r="J1112" s="9" t="s">
        <v>1387</v>
      </c>
      <c r="K1112" s="9" t="s">
        <v>1388</v>
      </c>
      <c r="L1112" s="83">
        <v>45200</v>
      </c>
      <c r="M1112" s="83">
        <v>45230</v>
      </c>
    </row>
    <row r="1113" spans="1:13" ht="14.25" customHeight="1" x14ac:dyDescent="0.25">
      <c r="A1113" s="9" t="s">
        <v>1578</v>
      </c>
      <c r="B1113" s="81">
        <v>113255</v>
      </c>
      <c r="C1113" s="81">
        <v>10759</v>
      </c>
      <c r="D1113" s="9" t="s">
        <v>671</v>
      </c>
      <c r="E1113" s="81">
        <v>14563091</v>
      </c>
      <c r="F1113" s="81">
        <v>30944</v>
      </c>
      <c r="G1113" s="81">
        <v>1</v>
      </c>
      <c r="H1113" s="82">
        <v>359.46</v>
      </c>
      <c r="I1113" s="251">
        <v>359.46</v>
      </c>
      <c r="J1113" s="9" t="s">
        <v>1387</v>
      </c>
      <c r="K1113" s="9" t="s">
        <v>1388</v>
      </c>
      <c r="L1113" s="83">
        <v>45200</v>
      </c>
      <c r="M1113" s="83">
        <v>45230</v>
      </c>
    </row>
    <row r="1114" spans="1:13" ht="14.25" customHeight="1" x14ac:dyDescent="0.25">
      <c r="A1114" s="9" t="s">
        <v>0</v>
      </c>
      <c r="B1114" s="81">
        <v>116983</v>
      </c>
      <c r="C1114" s="81">
        <v>10757</v>
      </c>
      <c r="D1114" s="9" t="s">
        <v>1243</v>
      </c>
      <c r="E1114" s="81">
        <v>14563091</v>
      </c>
      <c r="F1114" s="81">
        <v>43477</v>
      </c>
      <c r="G1114" s="81">
        <v>1</v>
      </c>
      <c r="H1114" s="82">
        <v>359.46</v>
      </c>
      <c r="I1114" s="251">
        <v>359.46</v>
      </c>
      <c r="J1114" s="9" t="s">
        <v>1387</v>
      </c>
      <c r="K1114" s="9" t="s">
        <v>1388</v>
      </c>
      <c r="L1114" s="83">
        <v>45200</v>
      </c>
      <c r="M1114" s="83">
        <v>45230</v>
      </c>
    </row>
    <row r="1115" spans="1:13" ht="14.25" customHeight="1" x14ac:dyDescent="0.25">
      <c r="A1115" s="9" t="s">
        <v>10</v>
      </c>
      <c r="B1115" s="81">
        <v>113262</v>
      </c>
      <c r="C1115" s="81">
        <v>10750</v>
      </c>
      <c r="D1115" s="9" t="s">
        <v>674</v>
      </c>
      <c r="E1115" s="81">
        <v>14563091</v>
      </c>
      <c r="F1115" s="81">
        <v>30958</v>
      </c>
      <c r="G1115" s="81">
        <v>1</v>
      </c>
      <c r="H1115" s="82">
        <v>359.46</v>
      </c>
      <c r="I1115" s="251">
        <v>359.46</v>
      </c>
      <c r="J1115" s="9" t="s">
        <v>1387</v>
      </c>
      <c r="K1115" s="9" t="s">
        <v>1388</v>
      </c>
      <c r="L1115" s="83">
        <v>45200</v>
      </c>
      <c r="M1115" s="83">
        <v>45230</v>
      </c>
    </row>
    <row r="1116" spans="1:13" ht="14.25" customHeight="1" x14ac:dyDescent="0.25">
      <c r="A1116" s="9" t="s">
        <v>10</v>
      </c>
      <c r="B1116" s="81">
        <v>116720</v>
      </c>
      <c r="C1116" s="81">
        <v>10754</v>
      </c>
      <c r="D1116" s="9" t="s">
        <v>678</v>
      </c>
      <c r="E1116" s="81">
        <v>14563091</v>
      </c>
      <c r="F1116" s="81">
        <v>42825</v>
      </c>
      <c r="G1116" s="81">
        <v>1</v>
      </c>
      <c r="H1116" s="82">
        <v>359.46</v>
      </c>
      <c r="I1116" s="251">
        <v>359.46</v>
      </c>
      <c r="J1116" s="9" t="s">
        <v>1387</v>
      </c>
      <c r="K1116" s="9" t="s">
        <v>1388</v>
      </c>
      <c r="L1116" s="83">
        <v>45200</v>
      </c>
      <c r="M1116" s="83">
        <v>45230</v>
      </c>
    </row>
    <row r="1117" spans="1:13" ht="14.25" customHeight="1" x14ac:dyDescent="0.25">
      <c r="A1117" s="9" t="s">
        <v>0</v>
      </c>
      <c r="B1117" s="81">
        <v>113288</v>
      </c>
      <c r="C1117" s="81">
        <v>10750</v>
      </c>
      <c r="D1117" s="9" t="s">
        <v>689</v>
      </c>
      <c r="E1117" s="81">
        <v>14563091</v>
      </c>
      <c r="F1117" s="81">
        <v>31010</v>
      </c>
      <c r="G1117" s="81">
        <v>1</v>
      </c>
      <c r="H1117" s="82">
        <v>359.46</v>
      </c>
      <c r="I1117" s="251">
        <v>359.46</v>
      </c>
      <c r="J1117" s="9" t="s">
        <v>1387</v>
      </c>
      <c r="K1117" s="9" t="s">
        <v>1388</v>
      </c>
      <c r="L1117" s="83">
        <v>45200</v>
      </c>
      <c r="M1117" s="83">
        <v>45230</v>
      </c>
    </row>
    <row r="1118" spans="1:13" ht="14.25" customHeight="1" x14ac:dyDescent="0.25">
      <c r="A1118" s="9" t="s">
        <v>1578</v>
      </c>
      <c r="B1118" s="81">
        <v>120623</v>
      </c>
      <c r="C1118" s="81">
        <v>10743</v>
      </c>
      <c r="D1118" s="9" t="s">
        <v>1508</v>
      </c>
      <c r="E1118" s="81">
        <v>14563091</v>
      </c>
      <c r="F1118" s="81">
        <v>51612</v>
      </c>
      <c r="G1118" s="81">
        <v>1</v>
      </c>
      <c r="H1118" s="82">
        <v>359.46</v>
      </c>
      <c r="I1118" s="251">
        <v>359.46</v>
      </c>
      <c r="J1118" s="9" t="s">
        <v>1387</v>
      </c>
      <c r="K1118" s="9" t="s">
        <v>1388</v>
      </c>
      <c r="L1118" s="83">
        <v>45200</v>
      </c>
      <c r="M1118" s="83">
        <v>45230</v>
      </c>
    </row>
    <row r="1119" spans="1:13" ht="14.25" customHeight="1" x14ac:dyDescent="0.25">
      <c r="A1119" s="9" t="s">
        <v>0</v>
      </c>
      <c r="B1119" s="81">
        <v>114742</v>
      </c>
      <c r="C1119" s="81">
        <v>10758</v>
      </c>
      <c r="D1119" s="9" t="s">
        <v>1707</v>
      </c>
      <c r="E1119" s="81">
        <v>14563091</v>
      </c>
      <c r="F1119" s="81">
        <v>36932</v>
      </c>
      <c r="G1119" s="81">
        <v>1</v>
      </c>
      <c r="H1119" s="82">
        <v>347.47</v>
      </c>
      <c r="I1119" s="251">
        <v>347.47</v>
      </c>
      <c r="J1119" s="9" t="s">
        <v>1387</v>
      </c>
      <c r="K1119" s="9" t="s">
        <v>1388</v>
      </c>
      <c r="L1119" s="83">
        <v>45200</v>
      </c>
      <c r="M1119" s="83">
        <v>45230</v>
      </c>
    </row>
    <row r="1120" spans="1:13" ht="14.25" customHeight="1" x14ac:dyDescent="0.25">
      <c r="A1120" s="9" t="s">
        <v>0</v>
      </c>
      <c r="B1120" s="81">
        <v>113350</v>
      </c>
      <c r="C1120" s="81">
        <v>10757</v>
      </c>
      <c r="D1120" s="9" t="s">
        <v>719</v>
      </c>
      <c r="E1120" s="81">
        <v>14563091</v>
      </c>
      <c r="F1120" s="81">
        <v>31134</v>
      </c>
      <c r="G1120" s="81">
        <v>1</v>
      </c>
      <c r="H1120" s="82">
        <v>359.46</v>
      </c>
      <c r="I1120" s="251">
        <v>359.46</v>
      </c>
      <c r="J1120" s="9" t="s">
        <v>1387</v>
      </c>
      <c r="K1120" s="9" t="s">
        <v>1388</v>
      </c>
      <c r="L1120" s="83">
        <v>45200</v>
      </c>
      <c r="M1120" s="83">
        <v>45230</v>
      </c>
    </row>
    <row r="1121" spans="1:13" ht="14.25" customHeight="1" x14ac:dyDescent="0.25">
      <c r="A1121" s="9" t="s">
        <v>8</v>
      </c>
      <c r="B1121" s="81">
        <v>113356</v>
      </c>
      <c r="C1121" s="81">
        <v>10757</v>
      </c>
      <c r="D1121" s="9" t="s">
        <v>646</v>
      </c>
      <c r="E1121" s="81">
        <v>14563091</v>
      </c>
      <c r="F1121" s="81">
        <v>31146</v>
      </c>
      <c r="G1121" s="81">
        <v>1</v>
      </c>
      <c r="H1121" s="82">
        <v>359.46</v>
      </c>
      <c r="I1121" s="251">
        <v>359.46</v>
      </c>
      <c r="J1121" s="9" t="s">
        <v>1387</v>
      </c>
      <c r="K1121" s="9" t="s">
        <v>1388</v>
      </c>
      <c r="L1121" s="83">
        <v>45200</v>
      </c>
      <c r="M1121" s="83">
        <v>45230</v>
      </c>
    </row>
    <row r="1122" spans="1:13" ht="14.25" customHeight="1" x14ac:dyDescent="0.25">
      <c r="A1122" s="9" t="s">
        <v>1578</v>
      </c>
      <c r="B1122" s="81">
        <v>113365</v>
      </c>
      <c r="C1122" s="81">
        <v>10761</v>
      </c>
      <c r="D1122" s="9" t="s">
        <v>646</v>
      </c>
      <c r="E1122" s="81">
        <v>14563091</v>
      </c>
      <c r="F1122" s="81">
        <v>31164</v>
      </c>
      <c r="G1122" s="81">
        <v>1</v>
      </c>
      <c r="H1122" s="82">
        <v>359.46</v>
      </c>
      <c r="I1122" s="251">
        <v>359.46</v>
      </c>
      <c r="J1122" s="9" t="s">
        <v>1387</v>
      </c>
      <c r="K1122" s="9" t="s">
        <v>1388</v>
      </c>
      <c r="L1122" s="83">
        <v>45200</v>
      </c>
      <c r="M1122" s="83">
        <v>45230</v>
      </c>
    </row>
    <row r="1123" spans="1:13" ht="14.25" customHeight="1" x14ac:dyDescent="0.25">
      <c r="A1123" s="9" t="s">
        <v>1578</v>
      </c>
      <c r="B1123" s="81">
        <v>122424</v>
      </c>
      <c r="C1123" s="81">
        <v>10755</v>
      </c>
      <c r="D1123" s="9" t="s">
        <v>1695</v>
      </c>
      <c r="E1123" s="81">
        <v>14563091</v>
      </c>
      <c r="F1123" s="81">
        <v>56168</v>
      </c>
      <c r="G1123" s="81">
        <v>1</v>
      </c>
      <c r="H1123" s="82">
        <v>311.52999999999997</v>
      </c>
      <c r="I1123" s="251">
        <v>311.52999999999997</v>
      </c>
      <c r="J1123" s="9" t="s">
        <v>1387</v>
      </c>
      <c r="K1123" s="9" t="s">
        <v>1388</v>
      </c>
      <c r="L1123" s="83">
        <v>45200</v>
      </c>
      <c r="M1123" s="83">
        <v>45230</v>
      </c>
    </row>
    <row r="1124" spans="1:13" ht="14.25" customHeight="1" x14ac:dyDescent="0.25">
      <c r="A1124" s="9" t="s">
        <v>1578</v>
      </c>
      <c r="B1124" s="81">
        <v>113389</v>
      </c>
      <c r="C1124" s="81">
        <v>10768</v>
      </c>
      <c r="D1124" s="9" t="s">
        <v>746</v>
      </c>
      <c r="E1124" s="81">
        <v>14563091</v>
      </c>
      <c r="F1124" s="81">
        <v>31212</v>
      </c>
      <c r="G1124" s="81">
        <v>1</v>
      </c>
      <c r="H1124" s="82">
        <v>359.46</v>
      </c>
      <c r="I1124" s="251">
        <v>359.46</v>
      </c>
      <c r="J1124" s="9" t="s">
        <v>1387</v>
      </c>
      <c r="K1124" s="9" t="s">
        <v>1388</v>
      </c>
      <c r="L1124" s="83">
        <v>45200</v>
      </c>
      <c r="M1124" s="83">
        <v>45230</v>
      </c>
    </row>
    <row r="1125" spans="1:13" ht="14.25" customHeight="1" x14ac:dyDescent="0.25">
      <c r="A1125" s="9" t="s">
        <v>8</v>
      </c>
      <c r="B1125" s="81">
        <v>119646</v>
      </c>
      <c r="C1125" s="81">
        <v>10760</v>
      </c>
      <c r="D1125" s="9" t="s">
        <v>1470</v>
      </c>
      <c r="E1125" s="81">
        <v>14563091</v>
      </c>
      <c r="F1125" s="81">
        <v>49607</v>
      </c>
      <c r="G1125" s="81">
        <v>1</v>
      </c>
      <c r="H1125" s="82">
        <v>359.46</v>
      </c>
      <c r="I1125" s="251">
        <v>359.46</v>
      </c>
      <c r="J1125" s="9" t="s">
        <v>1387</v>
      </c>
      <c r="K1125" s="9" t="s">
        <v>1388</v>
      </c>
      <c r="L1125" s="83">
        <v>45200</v>
      </c>
      <c r="M1125" s="83">
        <v>45230</v>
      </c>
    </row>
    <row r="1126" spans="1:13" ht="14.25" customHeight="1" x14ac:dyDescent="0.25">
      <c r="A1126" s="9" t="s">
        <v>32</v>
      </c>
      <c r="B1126" s="81">
        <v>121028</v>
      </c>
      <c r="C1126" s="81">
        <v>10750</v>
      </c>
      <c r="D1126" s="9" t="s">
        <v>1521</v>
      </c>
      <c r="E1126" s="81">
        <v>14563091</v>
      </c>
      <c r="F1126" s="81">
        <v>53102</v>
      </c>
      <c r="G1126" s="81">
        <v>1</v>
      </c>
      <c r="H1126" s="82">
        <v>359.46</v>
      </c>
      <c r="I1126" s="251">
        <v>359.46</v>
      </c>
      <c r="J1126" s="9" t="s">
        <v>1387</v>
      </c>
      <c r="K1126" s="9" t="s">
        <v>1388</v>
      </c>
      <c r="L1126" s="83">
        <v>45200</v>
      </c>
      <c r="M1126" s="83">
        <v>45230</v>
      </c>
    </row>
    <row r="1127" spans="1:13" ht="14.25" customHeight="1" x14ac:dyDescent="0.25">
      <c r="A1127" s="9" t="s">
        <v>8</v>
      </c>
      <c r="B1127" s="81">
        <v>113399</v>
      </c>
      <c r="C1127" s="81">
        <v>10757</v>
      </c>
      <c r="D1127" s="9" t="s">
        <v>754</v>
      </c>
      <c r="E1127" s="81">
        <v>14563091</v>
      </c>
      <c r="F1127" s="81">
        <v>31232</v>
      </c>
      <c r="G1127" s="81">
        <v>1</v>
      </c>
      <c r="H1127" s="82">
        <v>359.46</v>
      </c>
      <c r="I1127" s="251">
        <v>359.46</v>
      </c>
      <c r="J1127" s="9" t="s">
        <v>1387</v>
      </c>
      <c r="K1127" s="9" t="s">
        <v>1388</v>
      </c>
      <c r="L1127" s="83">
        <v>45200</v>
      </c>
      <c r="M1127" s="83">
        <v>45230</v>
      </c>
    </row>
    <row r="1128" spans="1:13" ht="14.25" customHeight="1" x14ac:dyDescent="0.25">
      <c r="A1128" s="9" t="s">
        <v>1578</v>
      </c>
      <c r="B1128" s="81">
        <v>113407</v>
      </c>
      <c r="C1128" s="81">
        <v>10745</v>
      </c>
      <c r="D1128" s="9" t="s">
        <v>759</v>
      </c>
      <c r="E1128" s="81">
        <v>14563091</v>
      </c>
      <c r="F1128" s="81">
        <v>31248</v>
      </c>
      <c r="G1128" s="81">
        <v>1</v>
      </c>
      <c r="H1128" s="82">
        <v>359.46</v>
      </c>
      <c r="I1128" s="251">
        <v>359.46</v>
      </c>
      <c r="J1128" s="9" t="s">
        <v>1387</v>
      </c>
      <c r="K1128" s="9" t="s">
        <v>1388</v>
      </c>
      <c r="L1128" s="83">
        <v>45200</v>
      </c>
      <c r="M1128" s="83">
        <v>45230</v>
      </c>
    </row>
    <row r="1129" spans="1:13" ht="14.25" customHeight="1" x14ac:dyDescent="0.25">
      <c r="A1129" s="9" t="s">
        <v>0</v>
      </c>
      <c r="B1129" s="81">
        <v>113429</v>
      </c>
      <c r="C1129" s="81">
        <v>10750</v>
      </c>
      <c r="D1129" s="9" t="s">
        <v>773</v>
      </c>
      <c r="E1129" s="81">
        <v>14563091</v>
      </c>
      <c r="F1129" s="81">
        <v>31292</v>
      </c>
      <c r="G1129" s="81">
        <v>1</v>
      </c>
      <c r="H1129" s="82">
        <v>359.46</v>
      </c>
      <c r="I1129" s="251">
        <v>359.46</v>
      </c>
      <c r="J1129" s="9" t="s">
        <v>1387</v>
      </c>
      <c r="K1129" s="9" t="s">
        <v>1388</v>
      </c>
      <c r="L1129" s="83">
        <v>45200</v>
      </c>
      <c r="M1129" s="83">
        <v>45230</v>
      </c>
    </row>
    <row r="1130" spans="1:13" ht="14.25" customHeight="1" x14ac:dyDescent="0.25">
      <c r="A1130" s="9" t="s">
        <v>10</v>
      </c>
      <c r="B1130" s="81">
        <v>113436</v>
      </c>
      <c r="C1130" s="81">
        <v>10750</v>
      </c>
      <c r="D1130" s="9" t="s">
        <v>778</v>
      </c>
      <c r="E1130" s="81">
        <v>14563091</v>
      </c>
      <c r="F1130" s="81">
        <v>31306</v>
      </c>
      <c r="G1130" s="81">
        <v>1</v>
      </c>
      <c r="H1130" s="82">
        <v>359.46</v>
      </c>
      <c r="I1130" s="251">
        <v>359.46</v>
      </c>
      <c r="J1130" s="9" t="s">
        <v>1387</v>
      </c>
      <c r="K1130" s="9" t="s">
        <v>1388</v>
      </c>
      <c r="L1130" s="83">
        <v>45200</v>
      </c>
      <c r="M1130" s="83">
        <v>45230</v>
      </c>
    </row>
    <row r="1131" spans="1:13" ht="14.25" customHeight="1" x14ac:dyDescent="0.25">
      <c r="A1131" s="9" t="s">
        <v>1578</v>
      </c>
      <c r="B1131" s="81">
        <v>122086</v>
      </c>
      <c r="C1131" s="81">
        <v>10755</v>
      </c>
      <c r="D1131" s="9" t="s">
        <v>1633</v>
      </c>
      <c r="E1131" s="81">
        <v>14563091</v>
      </c>
      <c r="F1131" s="81">
        <v>55288</v>
      </c>
      <c r="G1131" s="81">
        <v>1</v>
      </c>
      <c r="H1131" s="82">
        <v>359.46</v>
      </c>
      <c r="I1131" s="251">
        <v>359.46</v>
      </c>
      <c r="J1131" s="9" t="s">
        <v>1387</v>
      </c>
      <c r="K1131" s="9" t="s">
        <v>1388</v>
      </c>
      <c r="L1131" s="83">
        <v>45200</v>
      </c>
      <c r="M1131" s="83">
        <v>45230</v>
      </c>
    </row>
    <row r="1132" spans="1:13" ht="14.25" customHeight="1" x14ac:dyDescent="0.25">
      <c r="A1132" s="9" t="s">
        <v>19</v>
      </c>
      <c r="B1132" s="81">
        <v>113443</v>
      </c>
      <c r="C1132" s="81">
        <v>10754</v>
      </c>
      <c r="D1132" s="9" t="s">
        <v>373</v>
      </c>
      <c r="E1132" s="81">
        <v>14563091</v>
      </c>
      <c r="F1132" s="81">
        <v>31320</v>
      </c>
      <c r="G1132" s="81">
        <v>1</v>
      </c>
      <c r="H1132" s="82">
        <v>359.46</v>
      </c>
      <c r="I1132" s="251">
        <v>359.46</v>
      </c>
      <c r="J1132" s="9" t="s">
        <v>1387</v>
      </c>
      <c r="K1132" s="9" t="s">
        <v>1388</v>
      </c>
      <c r="L1132" s="83">
        <v>45200</v>
      </c>
      <c r="M1132" s="83">
        <v>45230</v>
      </c>
    </row>
    <row r="1133" spans="1:13" ht="14.25" customHeight="1" x14ac:dyDescent="0.25">
      <c r="A1133" s="9" t="s">
        <v>0</v>
      </c>
      <c r="B1133" s="81">
        <v>113449</v>
      </c>
      <c r="C1133" s="81">
        <v>10757</v>
      </c>
      <c r="D1133" s="9" t="s">
        <v>786</v>
      </c>
      <c r="E1133" s="81">
        <v>14563091</v>
      </c>
      <c r="F1133" s="81">
        <v>31332</v>
      </c>
      <c r="G1133" s="81">
        <v>1</v>
      </c>
      <c r="H1133" s="82">
        <v>335.49</v>
      </c>
      <c r="I1133" s="251">
        <v>335.49</v>
      </c>
      <c r="J1133" s="9" t="s">
        <v>1387</v>
      </c>
      <c r="K1133" s="9" t="s">
        <v>1388</v>
      </c>
      <c r="L1133" s="83">
        <v>45200</v>
      </c>
      <c r="M1133" s="83">
        <v>45230</v>
      </c>
    </row>
    <row r="1134" spans="1:13" ht="14.25" customHeight="1" x14ac:dyDescent="0.25">
      <c r="A1134" s="9" t="s">
        <v>0</v>
      </c>
      <c r="B1134" s="81">
        <v>113470</v>
      </c>
      <c r="C1134" s="81">
        <v>10750</v>
      </c>
      <c r="D1134" s="9" t="s">
        <v>797</v>
      </c>
      <c r="E1134" s="81">
        <v>14563091</v>
      </c>
      <c r="F1134" s="81">
        <v>31374</v>
      </c>
      <c r="G1134" s="81">
        <v>1</v>
      </c>
      <c r="H1134" s="82">
        <v>359.46</v>
      </c>
      <c r="I1134" s="251">
        <v>359.46</v>
      </c>
      <c r="J1134" s="9" t="s">
        <v>1387</v>
      </c>
      <c r="K1134" s="9" t="s">
        <v>1388</v>
      </c>
      <c r="L1134" s="83">
        <v>45200</v>
      </c>
      <c r="M1134" s="83">
        <v>45230</v>
      </c>
    </row>
    <row r="1135" spans="1:13" ht="14.25" customHeight="1" x14ac:dyDescent="0.25">
      <c r="A1135" s="9" t="s">
        <v>32</v>
      </c>
      <c r="B1135" s="81">
        <v>113708</v>
      </c>
      <c r="C1135" s="81">
        <v>10757</v>
      </c>
      <c r="D1135" s="9" t="s">
        <v>925</v>
      </c>
      <c r="E1135" s="81">
        <v>14563091</v>
      </c>
      <c r="F1135" s="81">
        <v>31850</v>
      </c>
      <c r="G1135" s="81">
        <v>1</v>
      </c>
      <c r="H1135" s="82">
        <v>359.46</v>
      </c>
      <c r="I1135" s="251">
        <v>359.46</v>
      </c>
      <c r="J1135" s="9" t="s">
        <v>1387</v>
      </c>
      <c r="K1135" s="9" t="s">
        <v>1388</v>
      </c>
      <c r="L1135" s="83">
        <v>45200</v>
      </c>
      <c r="M1135" s="83">
        <v>45230</v>
      </c>
    </row>
    <row r="1136" spans="1:13" ht="14.25" customHeight="1" x14ac:dyDescent="0.25">
      <c r="A1136" s="9" t="s">
        <v>1580</v>
      </c>
      <c r="B1136" s="81">
        <v>113742</v>
      </c>
      <c r="C1136" s="81">
        <v>10776</v>
      </c>
      <c r="D1136" s="9" t="s">
        <v>961</v>
      </c>
      <c r="E1136" s="81">
        <v>14563091</v>
      </c>
      <c r="F1136" s="81">
        <v>31918</v>
      </c>
      <c r="G1136" s="81">
        <v>1</v>
      </c>
      <c r="H1136" s="82">
        <v>359.46</v>
      </c>
      <c r="I1136" s="251">
        <v>359.46</v>
      </c>
      <c r="J1136" s="9" t="s">
        <v>1387</v>
      </c>
      <c r="K1136" s="9" t="s">
        <v>1388</v>
      </c>
      <c r="L1136" s="83">
        <v>45200</v>
      </c>
      <c r="M1136" s="83">
        <v>45230</v>
      </c>
    </row>
    <row r="1137" spans="1:13" ht="14.25" customHeight="1" x14ac:dyDescent="0.25">
      <c r="A1137" s="9" t="s">
        <v>8</v>
      </c>
      <c r="B1137" s="81">
        <v>122348</v>
      </c>
      <c r="C1137" s="81">
        <v>10750</v>
      </c>
      <c r="D1137" s="9" t="s">
        <v>1660</v>
      </c>
      <c r="E1137" s="81">
        <v>14563091</v>
      </c>
      <c r="F1137" s="81">
        <v>56029</v>
      </c>
      <c r="G1137" s="81">
        <v>1</v>
      </c>
      <c r="H1137" s="82">
        <v>359.46</v>
      </c>
      <c r="I1137" s="251">
        <v>359.46</v>
      </c>
      <c r="J1137" s="9" t="s">
        <v>1387</v>
      </c>
      <c r="K1137" s="9" t="s">
        <v>1388</v>
      </c>
      <c r="L1137" s="83">
        <v>45200</v>
      </c>
      <c r="M1137" s="83">
        <v>45230</v>
      </c>
    </row>
    <row r="1138" spans="1:13" ht="14.25" customHeight="1" x14ac:dyDescent="0.25">
      <c r="A1138" s="9" t="s">
        <v>1578</v>
      </c>
      <c r="B1138" s="81">
        <v>113764</v>
      </c>
      <c r="C1138" s="81">
        <v>10743</v>
      </c>
      <c r="D1138" s="9" t="s">
        <v>966</v>
      </c>
      <c r="E1138" s="81">
        <v>14563091</v>
      </c>
      <c r="F1138" s="81">
        <v>31969</v>
      </c>
      <c r="G1138" s="81">
        <v>1</v>
      </c>
      <c r="H1138" s="82">
        <v>359.46</v>
      </c>
      <c r="I1138" s="251">
        <v>359.46</v>
      </c>
      <c r="J1138" s="9" t="s">
        <v>1387</v>
      </c>
      <c r="K1138" s="9" t="s">
        <v>1389</v>
      </c>
      <c r="L1138" s="83">
        <v>45200</v>
      </c>
      <c r="M1138" s="83">
        <v>45230</v>
      </c>
    </row>
    <row r="1139" spans="1:13" ht="14.25" customHeight="1" x14ac:dyDescent="0.25">
      <c r="A1139" s="9" t="s">
        <v>10</v>
      </c>
      <c r="B1139" s="81">
        <v>113477</v>
      </c>
      <c r="C1139" s="81">
        <v>10766</v>
      </c>
      <c r="D1139" s="9" t="s">
        <v>800</v>
      </c>
      <c r="E1139" s="81">
        <v>14563091</v>
      </c>
      <c r="F1139" s="81">
        <v>31388</v>
      </c>
      <c r="G1139" s="81">
        <v>1</v>
      </c>
      <c r="H1139" s="82">
        <v>359.46</v>
      </c>
      <c r="I1139" s="251">
        <v>359.46</v>
      </c>
      <c r="J1139" s="9" t="s">
        <v>1387</v>
      </c>
      <c r="K1139" s="9" t="s">
        <v>1388</v>
      </c>
      <c r="L1139" s="83">
        <v>45200</v>
      </c>
      <c r="M1139" s="83">
        <v>45230</v>
      </c>
    </row>
    <row r="1140" spans="1:13" ht="14.25" customHeight="1" x14ac:dyDescent="0.25">
      <c r="A1140" s="9" t="s">
        <v>10</v>
      </c>
      <c r="B1140" s="81">
        <v>113496</v>
      </c>
      <c r="C1140" s="81">
        <v>10750</v>
      </c>
      <c r="D1140" s="9" t="s">
        <v>809</v>
      </c>
      <c r="E1140" s="81">
        <v>14563091</v>
      </c>
      <c r="F1140" s="81">
        <v>31426</v>
      </c>
      <c r="G1140" s="81">
        <v>1</v>
      </c>
      <c r="H1140" s="82">
        <v>359.46</v>
      </c>
      <c r="I1140" s="251">
        <v>359.46</v>
      </c>
      <c r="J1140" s="9" t="s">
        <v>1387</v>
      </c>
      <c r="K1140" s="9" t="s">
        <v>1388</v>
      </c>
      <c r="L1140" s="83">
        <v>45200</v>
      </c>
      <c r="M1140" s="83">
        <v>45230</v>
      </c>
    </row>
    <row r="1141" spans="1:13" ht="14.25" customHeight="1" x14ac:dyDescent="0.25">
      <c r="A1141" s="9" t="s">
        <v>8</v>
      </c>
      <c r="B1141" s="81">
        <v>114554</v>
      </c>
      <c r="C1141" s="81">
        <v>10757</v>
      </c>
      <c r="D1141" s="9" t="s">
        <v>1057</v>
      </c>
      <c r="E1141" s="81">
        <v>14563091</v>
      </c>
      <c r="F1141" s="81">
        <v>36385</v>
      </c>
      <c r="G1141" s="81">
        <v>1</v>
      </c>
      <c r="H1141" s="82">
        <v>359.46</v>
      </c>
      <c r="I1141" s="251">
        <v>359.46</v>
      </c>
      <c r="J1141" s="9" t="s">
        <v>1387</v>
      </c>
      <c r="K1141" s="9" t="s">
        <v>1388</v>
      </c>
      <c r="L1141" s="83">
        <v>45200</v>
      </c>
      <c r="M1141" s="83">
        <v>45230</v>
      </c>
    </row>
    <row r="1142" spans="1:13" ht="14.25" customHeight="1" x14ac:dyDescent="0.25">
      <c r="A1142" s="9" t="s">
        <v>19</v>
      </c>
      <c r="B1142" s="81">
        <v>113500</v>
      </c>
      <c r="C1142" s="81">
        <v>10755</v>
      </c>
      <c r="D1142" s="9" t="s">
        <v>812</v>
      </c>
      <c r="E1142" s="81">
        <v>14563091</v>
      </c>
      <c r="F1142" s="81">
        <v>31434</v>
      </c>
      <c r="G1142" s="81">
        <v>1</v>
      </c>
      <c r="H1142" s="82">
        <v>359.46</v>
      </c>
      <c r="I1142" s="251">
        <v>359.46</v>
      </c>
      <c r="J1142" s="9" t="s">
        <v>1387</v>
      </c>
      <c r="K1142" s="9" t="s">
        <v>1388</v>
      </c>
      <c r="L1142" s="83">
        <v>45200</v>
      </c>
      <c r="M1142" s="83">
        <v>45230</v>
      </c>
    </row>
    <row r="1143" spans="1:13" ht="14.25" customHeight="1" x14ac:dyDescent="0.25">
      <c r="A1143" s="9" t="s">
        <v>19</v>
      </c>
      <c r="B1143" s="81">
        <v>113504</v>
      </c>
      <c r="C1143" s="81">
        <v>10750</v>
      </c>
      <c r="D1143" s="9" t="s">
        <v>813</v>
      </c>
      <c r="E1143" s="81">
        <v>14563091</v>
      </c>
      <c r="F1143" s="81">
        <v>31442</v>
      </c>
      <c r="G1143" s="81">
        <v>1</v>
      </c>
      <c r="H1143" s="82">
        <v>359.46</v>
      </c>
      <c r="I1143" s="251">
        <v>359.46</v>
      </c>
      <c r="J1143" s="9" t="s">
        <v>1387</v>
      </c>
      <c r="K1143" s="9" t="s">
        <v>1388</v>
      </c>
      <c r="L1143" s="83">
        <v>45200</v>
      </c>
      <c r="M1143" s="83">
        <v>45230</v>
      </c>
    </row>
    <row r="1144" spans="1:13" ht="14.25" customHeight="1" x14ac:dyDescent="0.25">
      <c r="A1144" s="9" t="s">
        <v>0</v>
      </c>
      <c r="B1144" s="81">
        <v>116985</v>
      </c>
      <c r="C1144" s="81">
        <v>10763</v>
      </c>
      <c r="D1144" s="9" t="s">
        <v>1244</v>
      </c>
      <c r="E1144" s="81">
        <v>14563091</v>
      </c>
      <c r="F1144" s="81">
        <v>43481</v>
      </c>
      <c r="G1144" s="81">
        <v>1</v>
      </c>
      <c r="H1144" s="82">
        <v>359.46</v>
      </c>
      <c r="I1144" s="251">
        <v>359.46</v>
      </c>
      <c r="J1144" s="9" t="s">
        <v>1387</v>
      </c>
      <c r="K1144" s="9" t="s">
        <v>1389</v>
      </c>
      <c r="L1144" s="83">
        <v>45200</v>
      </c>
      <c r="M1144" s="83">
        <v>45230</v>
      </c>
    </row>
    <row r="1145" spans="1:13" ht="14.25" customHeight="1" x14ac:dyDescent="0.25">
      <c r="A1145" s="9" t="s">
        <v>32</v>
      </c>
      <c r="B1145" s="81">
        <v>113520</v>
      </c>
      <c r="C1145" s="81">
        <v>10771</v>
      </c>
      <c r="D1145" s="9" t="s">
        <v>821</v>
      </c>
      <c r="E1145" s="81">
        <v>14563091</v>
      </c>
      <c r="F1145" s="81">
        <v>31474</v>
      </c>
      <c r="G1145" s="81">
        <v>1</v>
      </c>
      <c r="H1145" s="82">
        <v>359.46</v>
      </c>
      <c r="I1145" s="251">
        <v>359.46</v>
      </c>
      <c r="J1145" s="9" t="s">
        <v>1387</v>
      </c>
      <c r="K1145" s="9" t="s">
        <v>1388</v>
      </c>
      <c r="L1145" s="83">
        <v>45200</v>
      </c>
      <c r="M1145" s="83">
        <v>45230</v>
      </c>
    </row>
    <row r="1146" spans="1:13" ht="14.25" customHeight="1" x14ac:dyDescent="0.25">
      <c r="A1146" s="9" t="s">
        <v>19</v>
      </c>
      <c r="B1146" s="81">
        <v>113526</v>
      </c>
      <c r="C1146" s="81">
        <v>10766</v>
      </c>
      <c r="D1146" s="9" t="s">
        <v>824</v>
      </c>
      <c r="E1146" s="81">
        <v>14563091</v>
      </c>
      <c r="F1146" s="81">
        <v>31486</v>
      </c>
      <c r="G1146" s="81">
        <v>1</v>
      </c>
      <c r="H1146" s="82">
        <v>359.46</v>
      </c>
      <c r="I1146" s="251">
        <v>359.46</v>
      </c>
      <c r="J1146" s="9" t="s">
        <v>1387</v>
      </c>
      <c r="K1146" s="9" t="s">
        <v>1388</v>
      </c>
      <c r="L1146" s="83">
        <v>45200</v>
      </c>
      <c r="M1146" s="83">
        <v>45230</v>
      </c>
    </row>
    <row r="1147" spans="1:13" ht="14.25" customHeight="1" x14ac:dyDescent="0.25">
      <c r="A1147" s="9" t="s">
        <v>19</v>
      </c>
      <c r="B1147" s="81">
        <v>121325</v>
      </c>
      <c r="C1147" s="81">
        <v>10750</v>
      </c>
      <c r="D1147" s="9" t="s">
        <v>1536</v>
      </c>
      <c r="E1147" s="81">
        <v>14563091</v>
      </c>
      <c r="F1147" s="81">
        <v>53536</v>
      </c>
      <c r="G1147" s="81">
        <v>1</v>
      </c>
      <c r="H1147" s="82">
        <v>359.46</v>
      </c>
      <c r="I1147" s="251">
        <v>359.46</v>
      </c>
      <c r="J1147" s="9" t="s">
        <v>1387</v>
      </c>
      <c r="K1147" s="9" t="s">
        <v>1389</v>
      </c>
      <c r="L1147" s="83">
        <v>45200</v>
      </c>
      <c r="M1147" s="83">
        <v>45230</v>
      </c>
    </row>
    <row r="1148" spans="1:13" ht="14.25" customHeight="1" x14ac:dyDescent="0.25">
      <c r="A1148" s="9" t="s">
        <v>10</v>
      </c>
      <c r="B1148" s="81">
        <v>113531</v>
      </c>
      <c r="C1148" s="81">
        <v>10750</v>
      </c>
      <c r="D1148" s="9" t="s">
        <v>1377</v>
      </c>
      <c r="E1148" s="81">
        <v>14563091</v>
      </c>
      <c r="F1148" s="81">
        <v>31496</v>
      </c>
      <c r="G1148" s="81">
        <v>1</v>
      </c>
      <c r="H1148" s="82">
        <v>359.46</v>
      </c>
      <c r="I1148" s="251">
        <v>359.46</v>
      </c>
      <c r="J1148" s="9" t="s">
        <v>1387</v>
      </c>
      <c r="K1148" s="9" t="s">
        <v>1388</v>
      </c>
      <c r="L1148" s="83">
        <v>45200</v>
      </c>
      <c r="M1148" s="83">
        <v>45230</v>
      </c>
    </row>
    <row r="1149" spans="1:13" ht="14.25" customHeight="1" x14ac:dyDescent="0.25">
      <c r="A1149" s="9" t="s">
        <v>10</v>
      </c>
      <c r="B1149" s="81">
        <v>113536</v>
      </c>
      <c r="C1149" s="81">
        <v>10754</v>
      </c>
      <c r="D1149" s="9" t="s">
        <v>831</v>
      </c>
      <c r="E1149" s="81">
        <v>14563091</v>
      </c>
      <c r="F1149" s="81">
        <v>31506</v>
      </c>
      <c r="G1149" s="81">
        <v>1</v>
      </c>
      <c r="H1149" s="82">
        <v>359.46</v>
      </c>
      <c r="I1149" s="251">
        <v>359.46</v>
      </c>
      <c r="J1149" s="9" t="s">
        <v>1387</v>
      </c>
      <c r="K1149" s="9" t="s">
        <v>1388</v>
      </c>
      <c r="L1149" s="83">
        <v>45200</v>
      </c>
      <c r="M1149" s="83">
        <v>45230</v>
      </c>
    </row>
    <row r="1150" spans="1:13" ht="14.25" customHeight="1" x14ac:dyDescent="0.25">
      <c r="A1150" s="9" t="s">
        <v>8</v>
      </c>
      <c r="B1150" s="81">
        <v>113547</v>
      </c>
      <c r="C1150" s="81">
        <v>10771</v>
      </c>
      <c r="D1150" s="9" t="s">
        <v>838</v>
      </c>
      <c r="E1150" s="81">
        <v>14563091</v>
      </c>
      <c r="F1150" s="81">
        <v>31528</v>
      </c>
      <c r="G1150" s="81">
        <v>1</v>
      </c>
      <c r="H1150" s="82">
        <v>359.46</v>
      </c>
      <c r="I1150" s="251">
        <v>359.46</v>
      </c>
      <c r="J1150" s="9" t="s">
        <v>1387</v>
      </c>
      <c r="K1150" s="9" t="s">
        <v>1388</v>
      </c>
      <c r="L1150" s="83">
        <v>45200</v>
      </c>
      <c r="M1150" s="83">
        <v>45230</v>
      </c>
    </row>
    <row r="1151" spans="1:13" ht="14.25" customHeight="1" x14ac:dyDescent="0.25">
      <c r="A1151" s="9" t="s">
        <v>1578</v>
      </c>
      <c r="B1151" s="81">
        <v>113552</v>
      </c>
      <c r="C1151" s="81">
        <v>10768</v>
      </c>
      <c r="D1151" s="9" t="s">
        <v>843</v>
      </c>
      <c r="E1151" s="81">
        <v>14563091</v>
      </c>
      <c r="F1151" s="81">
        <v>31538</v>
      </c>
      <c r="G1151" s="81">
        <v>1</v>
      </c>
      <c r="H1151" s="82">
        <v>359.46</v>
      </c>
      <c r="I1151" s="251">
        <v>359.46</v>
      </c>
      <c r="J1151" s="9" t="s">
        <v>1387</v>
      </c>
      <c r="K1151" s="9" t="s">
        <v>1388</v>
      </c>
      <c r="L1151" s="83">
        <v>45200</v>
      </c>
      <c r="M1151" s="83">
        <v>45230</v>
      </c>
    </row>
    <row r="1152" spans="1:13" ht="14.25" customHeight="1" x14ac:dyDescent="0.25">
      <c r="A1152" s="9" t="s">
        <v>19</v>
      </c>
      <c r="B1152" s="81">
        <v>113555</v>
      </c>
      <c r="C1152" s="81">
        <v>10750</v>
      </c>
      <c r="D1152" s="9" t="s">
        <v>726</v>
      </c>
      <c r="E1152" s="81">
        <v>14563091</v>
      </c>
      <c r="F1152" s="81">
        <v>31544</v>
      </c>
      <c r="G1152" s="81">
        <v>1</v>
      </c>
      <c r="H1152" s="82">
        <v>359.46</v>
      </c>
      <c r="I1152" s="251">
        <v>359.46</v>
      </c>
      <c r="J1152" s="9" t="s">
        <v>1387</v>
      </c>
      <c r="K1152" s="9" t="s">
        <v>1388</v>
      </c>
      <c r="L1152" s="83">
        <v>45200</v>
      </c>
      <c r="M1152" s="83">
        <v>45230</v>
      </c>
    </row>
    <row r="1153" spans="1:13" ht="14.25" customHeight="1" x14ac:dyDescent="0.25">
      <c r="A1153" s="9" t="s">
        <v>32</v>
      </c>
      <c r="B1153" s="81">
        <v>113557</v>
      </c>
      <c r="C1153" s="81">
        <v>10750</v>
      </c>
      <c r="D1153" s="9" t="s">
        <v>845</v>
      </c>
      <c r="E1153" s="81">
        <v>14563091</v>
      </c>
      <c r="F1153" s="81">
        <v>31548</v>
      </c>
      <c r="G1153" s="81">
        <v>1</v>
      </c>
      <c r="H1153" s="82">
        <v>359.46</v>
      </c>
      <c r="I1153" s="251">
        <v>359.46</v>
      </c>
      <c r="J1153" s="9" t="s">
        <v>1387</v>
      </c>
      <c r="K1153" s="9" t="s">
        <v>1388</v>
      </c>
      <c r="L1153" s="83">
        <v>45200</v>
      </c>
      <c r="M1153" s="83">
        <v>45230</v>
      </c>
    </row>
    <row r="1154" spans="1:13" ht="14.25" customHeight="1" x14ac:dyDescent="0.25">
      <c r="A1154" s="9" t="s">
        <v>0</v>
      </c>
      <c r="B1154" s="81">
        <v>113559</v>
      </c>
      <c r="C1154" s="81">
        <v>10751</v>
      </c>
      <c r="D1154" s="9" t="s">
        <v>847</v>
      </c>
      <c r="E1154" s="81">
        <v>14563091</v>
      </c>
      <c r="F1154" s="81">
        <v>31552</v>
      </c>
      <c r="G1154" s="81">
        <v>1</v>
      </c>
      <c r="H1154" s="82">
        <v>359.46</v>
      </c>
      <c r="I1154" s="251">
        <v>359.46</v>
      </c>
      <c r="J1154" s="9" t="s">
        <v>1387</v>
      </c>
      <c r="K1154" s="9" t="s">
        <v>1388</v>
      </c>
      <c r="L1154" s="83">
        <v>45200</v>
      </c>
      <c r="M1154" s="83">
        <v>45230</v>
      </c>
    </row>
    <row r="1155" spans="1:13" ht="14.25" customHeight="1" x14ac:dyDescent="0.25">
      <c r="A1155" s="9" t="s">
        <v>1578</v>
      </c>
      <c r="B1155" s="81">
        <v>113565</v>
      </c>
      <c r="C1155" s="81">
        <v>10766</v>
      </c>
      <c r="D1155" s="9" t="s">
        <v>850</v>
      </c>
      <c r="E1155" s="81">
        <v>14563091</v>
      </c>
      <c r="F1155" s="81">
        <v>31564</v>
      </c>
      <c r="G1155" s="81">
        <v>1</v>
      </c>
      <c r="H1155" s="82">
        <v>359.46</v>
      </c>
      <c r="I1155" s="251">
        <v>359.46</v>
      </c>
      <c r="J1155" s="9" t="s">
        <v>1387</v>
      </c>
      <c r="K1155" s="9" t="s">
        <v>1388</v>
      </c>
      <c r="L1155" s="83">
        <v>45200</v>
      </c>
      <c r="M1155" s="83">
        <v>45230</v>
      </c>
    </row>
    <row r="1156" spans="1:13" ht="14.25" customHeight="1" x14ac:dyDescent="0.25">
      <c r="A1156" s="9" t="s">
        <v>8</v>
      </c>
      <c r="B1156" s="81">
        <v>113573</v>
      </c>
      <c r="C1156" s="81">
        <v>10750</v>
      </c>
      <c r="D1156" s="9" t="s">
        <v>853</v>
      </c>
      <c r="E1156" s="81">
        <v>14563091</v>
      </c>
      <c r="F1156" s="81">
        <v>31580</v>
      </c>
      <c r="G1156" s="81">
        <v>1</v>
      </c>
      <c r="H1156" s="82">
        <v>359.46</v>
      </c>
      <c r="I1156" s="251">
        <v>359.46</v>
      </c>
      <c r="J1156" s="9" t="s">
        <v>1387</v>
      </c>
      <c r="K1156" s="9" t="s">
        <v>1388</v>
      </c>
      <c r="L1156" s="83">
        <v>45200</v>
      </c>
      <c r="M1156" s="83">
        <v>45230</v>
      </c>
    </row>
    <row r="1157" spans="1:13" ht="14.25" customHeight="1" x14ac:dyDescent="0.25">
      <c r="A1157" s="9" t="s">
        <v>1578</v>
      </c>
      <c r="B1157" s="81">
        <v>113577</v>
      </c>
      <c r="C1157" s="81">
        <v>10767</v>
      </c>
      <c r="D1157" s="9" t="s">
        <v>854</v>
      </c>
      <c r="E1157" s="81">
        <v>14563091</v>
      </c>
      <c r="F1157" s="81">
        <v>31588</v>
      </c>
      <c r="G1157" s="81">
        <v>1</v>
      </c>
      <c r="H1157" s="82">
        <v>359.46</v>
      </c>
      <c r="I1157" s="251">
        <v>359.46</v>
      </c>
      <c r="J1157" s="9" t="s">
        <v>1387</v>
      </c>
      <c r="K1157" s="9" t="s">
        <v>1388</v>
      </c>
      <c r="L1157" s="83">
        <v>45200</v>
      </c>
      <c r="M1157" s="83">
        <v>45230</v>
      </c>
    </row>
    <row r="1158" spans="1:13" ht="14.25" customHeight="1" x14ac:dyDescent="0.25">
      <c r="A1158" s="9" t="s">
        <v>0</v>
      </c>
      <c r="B1158" s="81">
        <v>113687</v>
      </c>
      <c r="C1158" s="81">
        <v>10751</v>
      </c>
      <c r="D1158" s="9" t="s">
        <v>915</v>
      </c>
      <c r="E1158" s="81">
        <v>14563091</v>
      </c>
      <c r="F1158" s="81">
        <v>31808</v>
      </c>
      <c r="G1158" s="81">
        <v>1</v>
      </c>
      <c r="H1158" s="82">
        <v>359.46</v>
      </c>
      <c r="I1158" s="251">
        <v>359.46</v>
      </c>
      <c r="J1158" s="9" t="s">
        <v>1387</v>
      </c>
      <c r="K1158" s="9" t="s">
        <v>1388</v>
      </c>
      <c r="L1158" s="83">
        <v>45200</v>
      </c>
      <c r="M1158" s="83">
        <v>45230</v>
      </c>
    </row>
    <row r="1159" spans="1:13" ht="14.25" customHeight="1" x14ac:dyDescent="0.25">
      <c r="A1159" s="9" t="s">
        <v>32</v>
      </c>
      <c r="B1159" s="81">
        <v>113587</v>
      </c>
      <c r="C1159" s="81">
        <v>10750</v>
      </c>
      <c r="D1159" s="9" t="s">
        <v>860</v>
      </c>
      <c r="E1159" s="81">
        <v>14563091</v>
      </c>
      <c r="F1159" s="81">
        <v>31608</v>
      </c>
      <c r="G1159" s="81">
        <v>1</v>
      </c>
      <c r="H1159" s="82">
        <v>359.46</v>
      </c>
      <c r="I1159" s="251">
        <v>359.46</v>
      </c>
      <c r="J1159" s="9" t="s">
        <v>1387</v>
      </c>
      <c r="K1159" s="9" t="s">
        <v>1388</v>
      </c>
      <c r="L1159" s="83">
        <v>45200</v>
      </c>
      <c r="M1159" s="83">
        <v>45230</v>
      </c>
    </row>
    <row r="1160" spans="1:13" ht="14.25" customHeight="1" x14ac:dyDescent="0.25">
      <c r="A1160" s="9" t="s">
        <v>32</v>
      </c>
      <c r="B1160" s="81">
        <v>114259</v>
      </c>
      <c r="C1160" s="81">
        <v>10757</v>
      </c>
      <c r="D1160" s="9" t="s">
        <v>1022</v>
      </c>
      <c r="E1160" s="81">
        <v>14563091</v>
      </c>
      <c r="F1160" s="81">
        <v>35797</v>
      </c>
      <c r="G1160" s="81">
        <v>1</v>
      </c>
      <c r="H1160" s="82">
        <v>359.46</v>
      </c>
      <c r="I1160" s="251">
        <v>359.46</v>
      </c>
      <c r="J1160" s="9" t="s">
        <v>1387</v>
      </c>
      <c r="K1160" s="9" t="s">
        <v>1388</v>
      </c>
      <c r="L1160" s="83">
        <v>45200</v>
      </c>
      <c r="M1160" s="83">
        <v>45230</v>
      </c>
    </row>
    <row r="1161" spans="1:13" ht="14.25" customHeight="1" x14ac:dyDescent="0.25">
      <c r="A1161" s="9" t="s">
        <v>19</v>
      </c>
      <c r="B1161" s="81">
        <v>113608</v>
      </c>
      <c r="C1161" s="81">
        <v>10750</v>
      </c>
      <c r="D1161" s="9" t="s">
        <v>870</v>
      </c>
      <c r="E1161" s="81">
        <v>14563091</v>
      </c>
      <c r="F1161" s="81">
        <v>31650</v>
      </c>
      <c r="G1161" s="81">
        <v>1</v>
      </c>
      <c r="H1161" s="82">
        <v>359.46</v>
      </c>
      <c r="I1161" s="251">
        <v>359.46</v>
      </c>
      <c r="J1161" s="9" t="s">
        <v>1387</v>
      </c>
      <c r="K1161" s="9" t="s">
        <v>1388</v>
      </c>
      <c r="L1161" s="83">
        <v>45200</v>
      </c>
      <c r="M1161" s="83">
        <v>45230</v>
      </c>
    </row>
    <row r="1162" spans="1:13" ht="14.25" customHeight="1" x14ac:dyDescent="0.25">
      <c r="A1162" s="9" t="s">
        <v>19</v>
      </c>
      <c r="B1162" s="81">
        <v>113667</v>
      </c>
      <c r="C1162" s="81">
        <v>10750</v>
      </c>
      <c r="D1162" s="9" t="s">
        <v>904</v>
      </c>
      <c r="E1162" s="81">
        <v>14563091</v>
      </c>
      <c r="F1162" s="81">
        <v>31768</v>
      </c>
      <c r="G1162" s="81">
        <v>1</v>
      </c>
      <c r="H1162" s="82">
        <v>359.46</v>
      </c>
      <c r="I1162" s="251">
        <v>359.46</v>
      </c>
      <c r="J1162" s="9" t="s">
        <v>1387</v>
      </c>
      <c r="K1162" s="9" t="s">
        <v>1388</v>
      </c>
      <c r="L1162" s="83">
        <v>45200</v>
      </c>
      <c r="M1162" s="83">
        <v>45230</v>
      </c>
    </row>
    <row r="1163" spans="1:13" ht="14.25" customHeight="1" x14ac:dyDescent="0.25">
      <c r="A1163" s="9" t="s">
        <v>1578</v>
      </c>
      <c r="B1163" s="81">
        <v>113668</v>
      </c>
      <c r="C1163" s="81">
        <v>10756</v>
      </c>
      <c r="D1163" s="9" t="s">
        <v>905</v>
      </c>
      <c r="E1163" s="81">
        <v>14563091</v>
      </c>
      <c r="F1163" s="81">
        <v>31770</v>
      </c>
      <c r="G1163" s="81">
        <v>1</v>
      </c>
      <c r="H1163" s="82">
        <v>359.46</v>
      </c>
      <c r="I1163" s="251">
        <v>359.46</v>
      </c>
      <c r="J1163" s="9" t="s">
        <v>1387</v>
      </c>
      <c r="K1163" s="9" t="s">
        <v>1388</v>
      </c>
      <c r="L1163" s="83">
        <v>45200</v>
      </c>
      <c r="M1163" s="83">
        <v>45230</v>
      </c>
    </row>
    <row r="1164" spans="1:13" ht="14.25" customHeight="1" x14ac:dyDescent="0.25">
      <c r="A1164" s="9" t="s">
        <v>1578</v>
      </c>
      <c r="B1164" s="81">
        <v>114099</v>
      </c>
      <c r="C1164" s="81">
        <v>10748</v>
      </c>
      <c r="D1164" s="9" t="s">
        <v>1003</v>
      </c>
      <c r="E1164" s="81">
        <v>14563091</v>
      </c>
      <c r="F1164" s="81">
        <v>34348</v>
      </c>
      <c r="G1164" s="81">
        <v>1</v>
      </c>
      <c r="H1164" s="82">
        <v>359.46</v>
      </c>
      <c r="I1164" s="251">
        <v>359.46</v>
      </c>
      <c r="J1164" s="9" t="s">
        <v>1387</v>
      </c>
      <c r="K1164" s="9" t="s">
        <v>1388</v>
      </c>
      <c r="L1164" s="83">
        <v>45200</v>
      </c>
      <c r="M1164" s="83">
        <v>45230</v>
      </c>
    </row>
    <row r="1165" spans="1:13" ht="14.25" customHeight="1" x14ac:dyDescent="0.25">
      <c r="A1165" s="9" t="s">
        <v>1578</v>
      </c>
      <c r="B1165" s="81">
        <v>113663</v>
      </c>
      <c r="C1165" s="81">
        <v>10756</v>
      </c>
      <c r="D1165" s="9" t="s">
        <v>902</v>
      </c>
      <c r="E1165" s="81">
        <v>14563091</v>
      </c>
      <c r="F1165" s="81">
        <v>31760</v>
      </c>
      <c r="G1165" s="81">
        <v>1</v>
      </c>
      <c r="H1165" s="82">
        <v>359.46</v>
      </c>
      <c r="I1165" s="251">
        <v>359.46</v>
      </c>
      <c r="J1165" s="9" t="s">
        <v>1387</v>
      </c>
      <c r="K1165" s="9" t="s">
        <v>1388</v>
      </c>
      <c r="L1165" s="83">
        <v>45200</v>
      </c>
      <c r="M1165" s="83">
        <v>45230</v>
      </c>
    </row>
    <row r="1166" spans="1:13" ht="14.25" customHeight="1" x14ac:dyDescent="0.25">
      <c r="A1166" s="9" t="s">
        <v>0</v>
      </c>
      <c r="B1166" s="81">
        <v>114539</v>
      </c>
      <c r="C1166" s="81">
        <v>10754</v>
      </c>
      <c r="D1166" s="9" t="s">
        <v>1051</v>
      </c>
      <c r="E1166" s="81">
        <v>14563091</v>
      </c>
      <c r="F1166" s="81">
        <v>36353</v>
      </c>
      <c r="G1166" s="81">
        <v>1</v>
      </c>
      <c r="H1166" s="82">
        <v>359.46</v>
      </c>
      <c r="I1166" s="251">
        <v>359.46</v>
      </c>
      <c r="J1166" s="9" t="s">
        <v>1387</v>
      </c>
      <c r="K1166" s="9" t="s">
        <v>1388</v>
      </c>
      <c r="L1166" s="83">
        <v>45200</v>
      </c>
      <c r="M1166" s="83">
        <v>45230</v>
      </c>
    </row>
    <row r="1167" spans="1:13" ht="14.25" customHeight="1" x14ac:dyDescent="0.25">
      <c r="A1167" s="9" t="s">
        <v>1578</v>
      </c>
      <c r="B1167" s="81">
        <v>119675</v>
      </c>
      <c r="C1167" s="81">
        <v>10757</v>
      </c>
      <c r="D1167" s="9" t="s">
        <v>1471</v>
      </c>
      <c r="E1167" s="81">
        <v>14563091</v>
      </c>
      <c r="F1167" s="81">
        <v>49679</v>
      </c>
      <c r="G1167" s="81">
        <v>1</v>
      </c>
      <c r="H1167" s="82">
        <v>359.46</v>
      </c>
      <c r="I1167" s="251">
        <v>359.46</v>
      </c>
      <c r="J1167" s="9" t="s">
        <v>1387</v>
      </c>
      <c r="K1167" s="9" t="s">
        <v>1388</v>
      </c>
      <c r="L1167" s="83">
        <v>45200</v>
      </c>
      <c r="M1167" s="83">
        <v>45230</v>
      </c>
    </row>
    <row r="1168" spans="1:13" ht="14.25" customHeight="1" x14ac:dyDescent="0.25">
      <c r="A1168" s="9" t="s">
        <v>10</v>
      </c>
      <c r="B1168" s="81">
        <v>113658</v>
      </c>
      <c r="C1168" s="81">
        <v>10771</v>
      </c>
      <c r="D1168" s="9" t="s">
        <v>899</v>
      </c>
      <c r="E1168" s="81">
        <v>14563091</v>
      </c>
      <c r="F1168" s="81">
        <v>31750</v>
      </c>
      <c r="G1168" s="81">
        <v>1</v>
      </c>
      <c r="H1168" s="82">
        <v>359.46</v>
      </c>
      <c r="I1168" s="251">
        <v>359.46</v>
      </c>
      <c r="J1168" s="9" t="s">
        <v>1387</v>
      </c>
      <c r="K1168" s="9" t="s">
        <v>1388</v>
      </c>
      <c r="L1168" s="83">
        <v>45200</v>
      </c>
      <c r="M1168" s="83">
        <v>45230</v>
      </c>
    </row>
    <row r="1169" spans="1:13" ht="14.25" customHeight="1" x14ac:dyDescent="0.25">
      <c r="A1169" s="9" t="s">
        <v>1578</v>
      </c>
      <c r="B1169" s="81">
        <v>113654</v>
      </c>
      <c r="C1169" s="81">
        <v>10768</v>
      </c>
      <c r="D1169" s="9" t="s">
        <v>896</v>
      </c>
      <c r="E1169" s="81">
        <v>14563091</v>
      </c>
      <c r="F1169" s="81">
        <v>31742</v>
      </c>
      <c r="G1169" s="81">
        <v>1</v>
      </c>
      <c r="H1169" s="82">
        <v>359.46</v>
      </c>
      <c r="I1169" s="251">
        <v>359.46</v>
      </c>
      <c r="J1169" s="9" t="s">
        <v>1387</v>
      </c>
      <c r="K1169" s="9" t="s">
        <v>1388</v>
      </c>
      <c r="L1169" s="83">
        <v>45200</v>
      </c>
      <c r="M1169" s="83">
        <v>45230</v>
      </c>
    </row>
    <row r="1170" spans="1:13" ht="14.25" customHeight="1" x14ac:dyDescent="0.25">
      <c r="A1170" s="9" t="s">
        <v>0</v>
      </c>
      <c r="B1170" s="81">
        <v>113929</v>
      </c>
      <c r="C1170" s="81">
        <v>10750</v>
      </c>
      <c r="D1170" s="9" t="s">
        <v>990</v>
      </c>
      <c r="E1170" s="81">
        <v>14563091</v>
      </c>
      <c r="F1170" s="81">
        <v>33832</v>
      </c>
      <c r="G1170" s="81">
        <v>1</v>
      </c>
      <c r="H1170" s="82">
        <v>359.46</v>
      </c>
      <c r="I1170" s="251">
        <v>359.46</v>
      </c>
      <c r="J1170" s="9" t="s">
        <v>1387</v>
      </c>
      <c r="K1170" s="9" t="s">
        <v>1388</v>
      </c>
      <c r="L1170" s="83">
        <v>45200</v>
      </c>
      <c r="M1170" s="83">
        <v>45230</v>
      </c>
    </row>
    <row r="1171" spans="1:13" ht="14.25" customHeight="1" x14ac:dyDescent="0.25">
      <c r="A1171" s="9" t="s">
        <v>8</v>
      </c>
      <c r="B1171" s="81">
        <v>118055</v>
      </c>
      <c r="C1171" s="81">
        <v>10757</v>
      </c>
      <c r="D1171" s="9" t="s">
        <v>1407</v>
      </c>
      <c r="E1171" s="81">
        <v>14563091</v>
      </c>
      <c r="F1171" s="81">
        <v>45898</v>
      </c>
      <c r="G1171" s="81">
        <v>1</v>
      </c>
      <c r="H1171" s="82">
        <v>359.46</v>
      </c>
      <c r="I1171" s="251">
        <v>359.46</v>
      </c>
      <c r="J1171" s="9" t="s">
        <v>1387</v>
      </c>
      <c r="K1171" s="9" t="s">
        <v>1388</v>
      </c>
      <c r="L1171" s="83">
        <v>45200</v>
      </c>
      <c r="M1171" s="83">
        <v>45230</v>
      </c>
    </row>
    <row r="1172" spans="1:13" ht="14.25" customHeight="1" x14ac:dyDescent="0.25">
      <c r="A1172" s="9" t="s">
        <v>1578</v>
      </c>
      <c r="B1172" s="81">
        <v>114933</v>
      </c>
      <c r="C1172" s="81">
        <v>10767</v>
      </c>
      <c r="D1172" s="9" t="s">
        <v>1115</v>
      </c>
      <c r="E1172" s="81">
        <v>14563091</v>
      </c>
      <c r="F1172" s="81">
        <v>37644</v>
      </c>
      <c r="G1172" s="81">
        <v>1</v>
      </c>
      <c r="H1172" s="82">
        <v>359.46</v>
      </c>
      <c r="I1172" s="251">
        <v>359.46</v>
      </c>
      <c r="J1172" s="9" t="s">
        <v>1387</v>
      </c>
      <c r="K1172" s="9" t="s">
        <v>1388</v>
      </c>
      <c r="L1172" s="83">
        <v>45200</v>
      </c>
      <c r="M1172" s="83">
        <v>45230</v>
      </c>
    </row>
    <row r="1173" spans="1:13" ht="14.25" customHeight="1" x14ac:dyDescent="0.25">
      <c r="A1173" s="9" t="s">
        <v>0</v>
      </c>
      <c r="B1173" s="81">
        <v>116232</v>
      </c>
      <c r="C1173" s="81">
        <v>10766</v>
      </c>
      <c r="D1173" s="9" t="s">
        <v>1193</v>
      </c>
      <c r="E1173" s="81">
        <v>14563091</v>
      </c>
      <c r="F1173" s="81">
        <v>41571</v>
      </c>
      <c r="G1173" s="81">
        <v>1</v>
      </c>
      <c r="H1173" s="82">
        <v>359.46</v>
      </c>
      <c r="I1173" s="251">
        <v>359.46</v>
      </c>
      <c r="J1173" s="9" t="s">
        <v>1387</v>
      </c>
      <c r="K1173" s="9" t="s">
        <v>1388</v>
      </c>
      <c r="L1173" s="83">
        <v>45200</v>
      </c>
      <c r="M1173" s="83">
        <v>45230</v>
      </c>
    </row>
    <row r="1174" spans="1:13" ht="14.25" customHeight="1" x14ac:dyDescent="0.25">
      <c r="A1174" s="9" t="s">
        <v>0</v>
      </c>
      <c r="B1174" s="81">
        <v>113648</v>
      </c>
      <c r="C1174" s="81">
        <v>10751</v>
      </c>
      <c r="D1174" s="9" t="s">
        <v>893</v>
      </c>
      <c r="E1174" s="81">
        <v>14563091</v>
      </c>
      <c r="F1174" s="81">
        <v>31730</v>
      </c>
      <c r="G1174" s="81">
        <v>1</v>
      </c>
      <c r="H1174" s="82">
        <v>359.46</v>
      </c>
      <c r="I1174" s="251">
        <v>359.46</v>
      </c>
      <c r="J1174" s="9" t="s">
        <v>1387</v>
      </c>
      <c r="K1174" s="9" t="s">
        <v>1388</v>
      </c>
      <c r="L1174" s="83">
        <v>45200</v>
      </c>
      <c r="M1174" s="83">
        <v>45230</v>
      </c>
    </row>
    <row r="1175" spans="1:13" ht="14.25" customHeight="1" x14ac:dyDescent="0.25">
      <c r="A1175" s="9" t="s">
        <v>0</v>
      </c>
      <c r="B1175" s="81">
        <v>113643</v>
      </c>
      <c r="C1175" s="81">
        <v>10763</v>
      </c>
      <c r="D1175" s="9" t="s">
        <v>890</v>
      </c>
      <c r="E1175" s="81">
        <v>14563091</v>
      </c>
      <c r="F1175" s="81">
        <v>31720</v>
      </c>
      <c r="G1175" s="81">
        <v>1</v>
      </c>
      <c r="H1175" s="82">
        <v>359.46</v>
      </c>
      <c r="I1175" s="251">
        <v>359.46</v>
      </c>
      <c r="J1175" s="9" t="s">
        <v>1387</v>
      </c>
      <c r="K1175" s="9" t="s">
        <v>1388</v>
      </c>
      <c r="L1175" s="83">
        <v>45200</v>
      </c>
      <c r="M1175" s="83">
        <v>45230</v>
      </c>
    </row>
    <row r="1176" spans="1:13" ht="14.25" customHeight="1" x14ac:dyDescent="0.25">
      <c r="A1176" s="9" t="s">
        <v>8</v>
      </c>
      <c r="B1176" s="81">
        <v>113638</v>
      </c>
      <c r="C1176" s="81">
        <v>10771</v>
      </c>
      <c r="D1176" s="9" t="s">
        <v>889</v>
      </c>
      <c r="E1176" s="81">
        <v>14563091</v>
      </c>
      <c r="F1176" s="81">
        <v>31710</v>
      </c>
      <c r="G1176" s="81">
        <v>1</v>
      </c>
      <c r="H1176" s="82">
        <v>359.46</v>
      </c>
      <c r="I1176" s="251">
        <v>359.46</v>
      </c>
      <c r="J1176" s="9" t="s">
        <v>1387</v>
      </c>
      <c r="K1176" s="9" t="s">
        <v>1388</v>
      </c>
      <c r="L1176" s="83">
        <v>45200</v>
      </c>
      <c r="M1176" s="83">
        <v>45230</v>
      </c>
    </row>
    <row r="1177" spans="1:13" ht="14.25" customHeight="1" x14ac:dyDescent="0.25">
      <c r="A1177" s="9" t="s">
        <v>1578</v>
      </c>
      <c r="B1177" s="81">
        <v>113634</v>
      </c>
      <c r="C1177" s="81">
        <v>10761</v>
      </c>
      <c r="D1177" s="9" t="s">
        <v>885</v>
      </c>
      <c r="E1177" s="81">
        <v>14563091</v>
      </c>
      <c r="F1177" s="81">
        <v>31702</v>
      </c>
      <c r="G1177" s="81">
        <v>1</v>
      </c>
      <c r="H1177" s="82">
        <v>359.46</v>
      </c>
      <c r="I1177" s="251">
        <v>359.46</v>
      </c>
      <c r="J1177" s="9" t="s">
        <v>1387</v>
      </c>
      <c r="K1177" s="9" t="s">
        <v>1388</v>
      </c>
      <c r="L1177" s="83">
        <v>45200</v>
      </c>
      <c r="M1177" s="83">
        <v>45230</v>
      </c>
    </row>
    <row r="1178" spans="1:13" ht="14.25" customHeight="1" x14ac:dyDescent="0.25">
      <c r="A1178" s="9" t="s">
        <v>32</v>
      </c>
      <c r="B1178" s="81">
        <v>113630</v>
      </c>
      <c r="C1178" s="81">
        <v>10751</v>
      </c>
      <c r="D1178" s="9" t="s">
        <v>882</v>
      </c>
      <c r="E1178" s="81">
        <v>14563091</v>
      </c>
      <c r="F1178" s="81">
        <v>31694</v>
      </c>
      <c r="G1178" s="81">
        <v>1</v>
      </c>
      <c r="H1178" s="82">
        <v>359.46</v>
      </c>
      <c r="I1178" s="251">
        <v>359.46</v>
      </c>
      <c r="J1178" s="9" t="s">
        <v>1387</v>
      </c>
      <c r="K1178" s="9" t="s">
        <v>1388</v>
      </c>
      <c r="L1178" s="83">
        <v>45200</v>
      </c>
      <c r="M1178" s="83">
        <v>45230</v>
      </c>
    </row>
    <row r="1179" spans="1:13" ht="14.25" customHeight="1" x14ac:dyDescent="0.25">
      <c r="A1179" s="9" t="s">
        <v>10</v>
      </c>
      <c r="B1179" s="81">
        <v>113627</v>
      </c>
      <c r="C1179" s="81">
        <v>10757</v>
      </c>
      <c r="D1179" s="9" t="s">
        <v>880</v>
      </c>
      <c r="E1179" s="81">
        <v>14563091</v>
      </c>
      <c r="F1179" s="81">
        <v>31688</v>
      </c>
      <c r="G1179" s="81">
        <v>1</v>
      </c>
      <c r="H1179" s="82">
        <v>359.46</v>
      </c>
      <c r="I1179" s="251">
        <v>359.46</v>
      </c>
      <c r="J1179" s="9" t="s">
        <v>1387</v>
      </c>
      <c r="K1179" s="9" t="s">
        <v>1388</v>
      </c>
      <c r="L1179" s="83">
        <v>45200</v>
      </c>
      <c r="M1179" s="83">
        <v>45230</v>
      </c>
    </row>
    <row r="1180" spans="1:13" ht="14.25" customHeight="1" x14ac:dyDescent="0.25">
      <c r="A1180" s="9" t="s">
        <v>0</v>
      </c>
      <c r="B1180" s="81">
        <v>114734</v>
      </c>
      <c r="C1180" s="81">
        <v>10758</v>
      </c>
      <c r="D1180" s="9" t="s">
        <v>1083</v>
      </c>
      <c r="E1180" s="81">
        <v>14563091</v>
      </c>
      <c r="F1180" s="81">
        <v>36916</v>
      </c>
      <c r="G1180" s="81">
        <v>1</v>
      </c>
      <c r="H1180" s="82">
        <v>359.46</v>
      </c>
      <c r="I1180" s="251">
        <v>359.46</v>
      </c>
      <c r="J1180" s="9" t="s">
        <v>1387</v>
      </c>
      <c r="K1180" s="9" t="s">
        <v>1388</v>
      </c>
      <c r="L1180" s="83">
        <v>45200</v>
      </c>
      <c r="M1180" s="83">
        <v>45230</v>
      </c>
    </row>
    <row r="1181" spans="1:13" ht="14.25" customHeight="1" x14ac:dyDescent="0.25">
      <c r="A1181" s="9" t="s">
        <v>1578</v>
      </c>
      <c r="B1181" s="81">
        <v>113734</v>
      </c>
      <c r="C1181" s="81">
        <v>10743</v>
      </c>
      <c r="D1181" s="9" t="s">
        <v>948</v>
      </c>
      <c r="E1181" s="81">
        <v>14563091</v>
      </c>
      <c r="F1181" s="81">
        <v>31902</v>
      </c>
      <c r="G1181" s="81">
        <v>1</v>
      </c>
      <c r="H1181" s="82">
        <v>359.46</v>
      </c>
      <c r="I1181" s="251">
        <v>359.46</v>
      </c>
      <c r="J1181" s="9" t="s">
        <v>1387</v>
      </c>
      <c r="K1181" s="9" t="s">
        <v>1388</v>
      </c>
      <c r="L1181" s="83">
        <v>45200</v>
      </c>
      <c r="M1181" s="83">
        <v>45230</v>
      </c>
    </row>
    <row r="1182" spans="1:13" ht="14.25" customHeight="1" x14ac:dyDescent="0.25">
      <c r="A1182" s="9" t="s">
        <v>1578</v>
      </c>
      <c r="B1182" s="81">
        <v>122403</v>
      </c>
      <c r="C1182" s="81">
        <v>10758</v>
      </c>
      <c r="D1182" s="9" t="s">
        <v>1696</v>
      </c>
      <c r="E1182" s="81">
        <v>14563091</v>
      </c>
      <c r="F1182" s="81">
        <v>56124</v>
      </c>
      <c r="G1182" s="81">
        <v>1</v>
      </c>
      <c r="H1182" s="82">
        <v>359.46</v>
      </c>
      <c r="I1182" s="251">
        <v>359.46</v>
      </c>
      <c r="J1182" s="9" t="s">
        <v>1387</v>
      </c>
      <c r="K1182" s="9" t="s">
        <v>1388</v>
      </c>
      <c r="L1182" s="83">
        <v>45200</v>
      </c>
      <c r="M1182" s="83">
        <v>45230</v>
      </c>
    </row>
    <row r="1183" spans="1:13" ht="14.25" customHeight="1" x14ac:dyDescent="0.25">
      <c r="A1183" s="9" t="s">
        <v>0</v>
      </c>
      <c r="B1183" s="81">
        <v>116329</v>
      </c>
      <c r="C1183" s="81">
        <v>10763</v>
      </c>
      <c r="D1183" s="9" t="s">
        <v>1206</v>
      </c>
      <c r="E1183" s="81">
        <v>14563091</v>
      </c>
      <c r="F1183" s="81">
        <v>41868</v>
      </c>
      <c r="G1183" s="81">
        <v>1</v>
      </c>
      <c r="H1183" s="82">
        <v>347.47</v>
      </c>
      <c r="I1183" s="251">
        <v>347.47</v>
      </c>
      <c r="J1183" s="9" t="s">
        <v>1387</v>
      </c>
      <c r="K1183" s="9" t="s">
        <v>1388</v>
      </c>
      <c r="L1183" s="83">
        <v>45200</v>
      </c>
      <c r="M1183" s="83">
        <v>45230</v>
      </c>
    </row>
    <row r="1184" spans="1:13" ht="14.25" customHeight="1" x14ac:dyDescent="0.25">
      <c r="A1184" s="9" t="s">
        <v>1578</v>
      </c>
      <c r="B1184" s="81">
        <v>118642</v>
      </c>
      <c r="C1184" s="81">
        <v>10771</v>
      </c>
      <c r="D1184" s="9" t="s">
        <v>1408</v>
      </c>
      <c r="E1184" s="81">
        <v>14563091</v>
      </c>
      <c r="F1184" s="81">
        <v>47179</v>
      </c>
      <c r="G1184" s="81">
        <v>1</v>
      </c>
      <c r="H1184" s="82">
        <v>359.46</v>
      </c>
      <c r="I1184" s="251">
        <v>359.46</v>
      </c>
      <c r="J1184" s="9" t="s">
        <v>1387</v>
      </c>
      <c r="K1184" s="9" t="s">
        <v>1388</v>
      </c>
      <c r="L1184" s="83">
        <v>45200</v>
      </c>
      <c r="M1184" s="83">
        <v>45230</v>
      </c>
    </row>
    <row r="1185" spans="1:13" ht="14.25" customHeight="1" x14ac:dyDescent="0.25">
      <c r="A1185" s="9" t="s">
        <v>0</v>
      </c>
      <c r="B1185" s="81">
        <v>114031</v>
      </c>
      <c r="C1185" s="81">
        <v>10771</v>
      </c>
      <c r="D1185" s="9" t="s">
        <v>996</v>
      </c>
      <c r="E1185" s="81">
        <v>14563091</v>
      </c>
      <c r="F1185" s="81">
        <v>34126</v>
      </c>
      <c r="G1185" s="81">
        <v>1</v>
      </c>
      <c r="H1185" s="82">
        <v>347.47</v>
      </c>
      <c r="I1185" s="251">
        <v>347.47</v>
      </c>
      <c r="J1185" s="9" t="s">
        <v>1387</v>
      </c>
      <c r="K1185" s="9" t="s">
        <v>1388</v>
      </c>
      <c r="L1185" s="83">
        <v>45200</v>
      </c>
      <c r="M1185" s="83">
        <v>45230</v>
      </c>
    </row>
    <row r="1186" spans="1:13" ht="14.25" customHeight="1" x14ac:dyDescent="0.25">
      <c r="A1186" s="9" t="s">
        <v>1578</v>
      </c>
      <c r="B1186" s="81">
        <v>113689</v>
      </c>
      <c r="C1186" s="81">
        <v>10761</v>
      </c>
      <c r="D1186" s="9" t="s">
        <v>1378</v>
      </c>
      <c r="E1186" s="81">
        <v>14563091</v>
      </c>
      <c r="F1186" s="81">
        <v>31812</v>
      </c>
      <c r="G1186" s="81">
        <v>1</v>
      </c>
      <c r="H1186" s="82">
        <v>359.46</v>
      </c>
      <c r="I1186" s="251">
        <v>359.46</v>
      </c>
      <c r="J1186" s="9" t="s">
        <v>1387</v>
      </c>
      <c r="K1186" s="9" t="s">
        <v>1388</v>
      </c>
      <c r="L1186" s="83">
        <v>45200</v>
      </c>
      <c r="M1186" s="83">
        <v>45230</v>
      </c>
    </row>
    <row r="1187" spans="1:13" ht="14.25" customHeight="1" x14ac:dyDescent="0.25">
      <c r="A1187" s="9" t="s">
        <v>0</v>
      </c>
      <c r="B1187" s="81">
        <v>117240</v>
      </c>
      <c r="C1187" s="81">
        <v>10745</v>
      </c>
      <c r="D1187" s="9" t="s">
        <v>1256</v>
      </c>
      <c r="E1187" s="81">
        <v>14563091</v>
      </c>
      <c r="F1187" s="81">
        <v>44096</v>
      </c>
      <c r="G1187" s="81">
        <v>1</v>
      </c>
      <c r="H1187" s="82">
        <v>359.46</v>
      </c>
      <c r="I1187" s="251">
        <v>359.46</v>
      </c>
      <c r="J1187" s="9" t="s">
        <v>1387</v>
      </c>
      <c r="K1187" s="9" t="s">
        <v>1388</v>
      </c>
      <c r="L1187" s="83">
        <v>45200</v>
      </c>
      <c r="M1187" s="83">
        <v>45230</v>
      </c>
    </row>
    <row r="1188" spans="1:13" ht="14.25" customHeight="1" x14ac:dyDescent="0.25">
      <c r="A1188" s="9" t="s">
        <v>8</v>
      </c>
      <c r="B1188" s="81">
        <v>120192</v>
      </c>
      <c r="C1188" s="81">
        <v>10757</v>
      </c>
      <c r="D1188" s="9" t="s">
        <v>1497</v>
      </c>
      <c r="E1188" s="81">
        <v>14563091</v>
      </c>
      <c r="F1188" s="81">
        <v>50935</v>
      </c>
      <c r="G1188" s="81">
        <v>1</v>
      </c>
      <c r="H1188" s="82">
        <v>359.46</v>
      </c>
      <c r="I1188" s="251">
        <v>359.46</v>
      </c>
      <c r="J1188" s="9" t="s">
        <v>1387</v>
      </c>
      <c r="K1188" s="9" t="s">
        <v>1388</v>
      </c>
      <c r="L1188" s="83">
        <v>45200</v>
      </c>
      <c r="M1188" s="83">
        <v>45230</v>
      </c>
    </row>
    <row r="1189" spans="1:13" ht="14.25" customHeight="1" x14ac:dyDescent="0.25">
      <c r="A1189" s="9" t="s">
        <v>10</v>
      </c>
      <c r="B1189" s="81">
        <v>116320</v>
      </c>
      <c r="C1189" s="81">
        <v>10766</v>
      </c>
      <c r="D1189" s="9" t="s">
        <v>1201</v>
      </c>
      <c r="E1189" s="81">
        <v>14563091</v>
      </c>
      <c r="F1189" s="81">
        <v>41852</v>
      </c>
      <c r="G1189" s="81">
        <v>1</v>
      </c>
      <c r="H1189" s="82">
        <v>359.46</v>
      </c>
      <c r="I1189" s="251">
        <v>359.46</v>
      </c>
      <c r="J1189" s="9" t="s">
        <v>1387</v>
      </c>
      <c r="K1189" s="9" t="s">
        <v>1388</v>
      </c>
      <c r="L1189" s="83">
        <v>45200</v>
      </c>
      <c r="M1189" s="83">
        <v>45230</v>
      </c>
    </row>
    <row r="1190" spans="1:13" ht="14.25" customHeight="1" x14ac:dyDescent="0.25">
      <c r="A1190" s="9" t="s">
        <v>10</v>
      </c>
      <c r="B1190" s="81">
        <v>119681</v>
      </c>
      <c r="C1190" s="81">
        <v>10760</v>
      </c>
      <c r="D1190" s="9" t="s">
        <v>1472</v>
      </c>
      <c r="E1190" s="81">
        <v>14563091</v>
      </c>
      <c r="F1190" s="81">
        <v>49691</v>
      </c>
      <c r="G1190" s="81">
        <v>1</v>
      </c>
      <c r="H1190" s="82">
        <v>359.46</v>
      </c>
      <c r="I1190" s="251">
        <v>359.46</v>
      </c>
      <c r="J1190" s="9" t="s">
        <v>1387</v>
      </c>
      <c r="K1190" s="9" t="s">
        <v>1388</v>
      </c>
      <c r="L1190" s="83">
        <v>45200</v>
      </c>
      <c r="M1190" s="83">
        <v>45230</v>
      </c>
    </row>
    <row r="1191" spans="1:13" ht="14.25" customHeight="1" x14ac:dyDescent="0.25">
      <c r="A1191" s="9" t="s">
        <v>0</v>
      </c>
      <c r="B1191" s="81">
        <v>114258</v>
      </c>
      <c r="C1191" s="81">
        <v>10758</v>
      </c>
      <c r="D1191" s="9" t="s">
        <v>1021</v>
      </c>
      <c r="E1191" s="81">
        <v>14563091</v>
      </c>
      <c r="F1191" s="81">
        <v>35795</v>
      </c>
      <c r="G1191" s="81">
        <v>1</v>
      </c>
      <c r="H1191" s="82">
        <v>359.46</v>
      </c>
      <c r="I1191" s="251">
        <v>359.46</v>
      </c>
      <c r="J1191" s="9" t="s">
        <v>1387</v>
      </c>
      <c r="K1191" s="9" t="s">
        <v>1388</v>
      </c>
      <c r="L1191" s="83">
        <v>45200</v>
      </c>
      <c r="M1191" s="83">
        <v>45230</v>
      </c>
    </row>
    <row r="1192" spans="1:13" ht="14.25" customHeight="1" x14ac:dyDescent="0.25">
      <c r="A1192" s="9" t="s">
        <v>0</v>
      </c>
      <c r="B1192" s="81">
        <v>113611</v>
      </c>
      <c r="C1192" s="81">
        <v>10771</v>
      </c>
      <c r="D1192" s="9" t="s">
        <v>872</v>
      </c>
      <c r="E1192" s="81">
        <v>14563091</v>
      </c>
      <c r="F1192" s="81">
        <v>31656</v>
      </c>
      <c r="G1192" s="81">
        <v>1</v>
      </c>
      <c r="H1192" s="82">
        <v>359.46</v>
      </c>
      <c r="I1192" s="251">
        <v>359.46</v>
      </c>
      <c r="J1192" s="9" t="s">
        <v>1387</v>
      </c>
      <c r="K1192" s="9" t="s">
        <v>1388</v>
      </c>
      <c r="L1192" s="83">
        <v>45200</v>
      </c>
      <c r="M1192" s="83">
        <v>45230</v>
      </c>
    </row>
    <row r="1193" spans="1:13" ht="14.25" customHeight="1" x14ac:dyDescent="0.25">
      <c r="A1193" s="9" t="s">
        <v>19</v>
      </c>
      <c r="B1193" s="81">
        <v>112862</v>
      </c>
      <c r="C1193" s="81">
        <v>10750</v>
      </c>
      <c r="D1193" s="9" t="s">
        <v>458</v>
      </c>
      <c r="E1193" s="81">
        <v>14563091</v>
      </c>
      <c r="F1193" s="81">
        <v>30158</v>
      </c>
      <c r="G1193" s="81">
        <v>1</v>
      </c>
      <c r="H1193" s="82">
        <v>359.46</v>
      </c>
      <c r="I1193" s="251">
        <v>359.46</v>
      </c>
      <c r="J1193" s="9" t="s">
        <v>1387</v>
      </c>
      <c r="K1193" s="9" t="s">
        <v>1388</v>
      </c>
      <c r="L1193" s="83">
        <v>45200</v>
      </c>
      <c r="M1193" s="83">
        <v>45230</v>
      </c>
    </row>
    <row r="1194" spans="1:13" ht="14.25" customHeight="1" x14ac:dyDescent="0.25">
      <c r="A1194" s="9" t="s">
        <v>0</v>
      </c>
      <c r="B1194" s="81">
        <v>112853</v>
      </c>
      <c r="C1194" s="81">
        <v>10750</v>
      </c>
      <c r="D1194" s="9" t="s">
        <v>454</v>
      </c>
      <c r="E1194" s="81">
        <v>14563091</v>
      </c>
      <c r="F1194" s="81">
        <v>30140</v>
      </c>
      <c r="G1194" s="81">
        <v>1</v>
      </c>
      <c r="H1194" s="82">
        <v>359.46</v>
      </c>
      <c r="I1194" s="251">
        <v>359.46</v>
      </c>
      <c r="J1194" s="9" t="s">
        <v>1387</v>
      </c>
      <c r="K1194" s="9" t="s">
        <v>1388</v>
      </c>
      <c r="L1194" s="83">
        <v>45200</v>
      </c>
      <c r="M1194" s="83">
        <v>45230</v>
      </c>
    </row>
    <row r="1195" spans="1:13" ht="14.25" customHeight="1" x14ac:dyDescent="0.25">
      <c r="A1195" s="9" t="s">
        <v>8</v>
      </c>
      <c r="B1195" s="81">
        <v>122825</v>
      </c>
      <c r="C1195" s="81">
        <v>10757</v>
      </c>
      <c r="D1195" s="9" t="s">
        <v>1727</v>
      </c>
      <c r="E1195" s="81">
        <v>14563091</v>
      </c>
      <c r="F1195" s="81">
        <v>57221</v>
      </c>
      <c r="G1195" s="81">
        <v>1</v>
      </c>
      <c r="H1195" s="82">
        <v>359.46</v>
      </c>
      <c r="I1195" s="251">
        <v>359.46</v>
      </c>
      <c r="J1195" s="9" t="s">
        <v>1387</v>
      </c>
      <c r="K1195" s="9" t="s">
        <v>1389</v>
      </c>
      <c r="L1195" s="83">
        <v>45200</v>
      </c>
      <c r="M1195" s="83">
        <v>45230</v>
      </c>
    </row>
    <row r="1196" spans="1:13" ht="14.25" customHeight="1" x14ac:dyDescent="0.25">
      <c r="A1196" s="9" t="s">
        <v>8</v>
      </c>
      <c r="B1196" s="81">
        <v>114093</v>
      </c>
      <c r="C1196" s="81">
        <v>10757</v>
      </c>
      <c r="D1196" s="9" t="s">
        <v>1001</v>
      </c>
      <c r="E1196" s="81">
        <v>14563091</v>
      </c>
      <c r="F1196" s="81">
        <v>34338</v>
      </c>
      <c r="G1196" s="81">
        <v>1</v>
      </c>
      <c r="H1196" s="82">
        <v>119.82</v>
      </c>
      <c r="I1196" s="251">
        <v>119.82</v>
      </c>
      <c r="J1196" s="9" t="s">
        <v>1387</v>
      </c>
      <c r="K1196" s="9" t="s">
        <v>1388</v>
      </c>
      <c r="L1196" s="83">
        <v>45200</v>
      </c>
      <c r="M1196" s="83">
        <v>45230</v>
      </c>
    </row>
    <row r="1197" spans="1:13" ht="14.25" customHeight="1" x14ac:dyDescent="0.25">
      <c r="A1197" s="9" t="s">
        <v>32</v>
      </c>
      <c r="B1197" s="81">
        <v>112823</v>
      </c>
      <c r="C1197" s="81">
        <v>10751</v>
      </c>
      <c r="D1197" s="9" t="s">
        <v>1501</v>
      </c>
      <c r="E1197" s="81">
        <v>14563091</v>
      </c>
      <c r="F1197" s="81">
        <v>30080</v>
      </c>
      <c r="G1197" s="81">
        <v>1</v>
      </c>
      <c r="H1197" s="82">
        <v>359.46</v>
      </c>
      <c r="I1197" s="251">
        <v>359.46</v>
      </c>
      <c r="J1197" s="9" t="s">
        <v>1387</v>
      </c>
      <c r="K1197" s="9" t="s">
        <v>1388</v>
      </c>
      <c r="L1197" s="83">
        <v>45200</v>
      </c>
      <c r="M1197" s="83">
        <v>45230</v>
      </c>
    </row>
    <row r="1198" spans="1:13" ht="14.25" customHeight="1" x14ac:dyDescent="0.25">
      <c r="A1198" s="9" t="s">
        <v>1578</v>
      </c>
      <c r="B1198" s="81">
        <v>112811</v>
      </c>
      <c r="C1198" s="81">
        <v>10756</v>
      </c>
      <c r="D1198" s="9" t="s">
        <v>427</v>
      </c>
      <c r="E1198" s="81">
        <v>14563091</v>
      </c>
      <c r="F1198" s="81">
        <v>30056</v>
      </c>
      <c r="G1198" s="81">
        <v>1</v>
      </c>
      <c r="H1198" s="82">
        <v>359.46</v>
      </c>
      <c r="I1198" s="251">
        <v>359.46</v>
      </c>
      <c r="J1198" s="9" t="s">
        <v>1387</v>
      </c>
      <c r="K1198" s="9" t="s">
        <v>1388</v>
      </c>
      <c r="L1198" s="83">
        <v>45200</v>
      </c>
      <c r="M1198" s="83">
        <v>45230</v>
      </c>
    </row>
    <row r="1199" spans="1:13" ht="14.25" customHeight="1" x14ac:dyDescent="0.25">
      <c r="A1199" s="9" t="s">
        <v>1578</v>
      </c>
      <c r="B1199" s="81">
        <v>113733</v>
      </c>
      <c r="C1199" s="81">
        <v>10771</v>
      </c>
      <c r="D1199" s="9" t="s">
        <v>946</v>
      </c>
      <c r="E1199" s="81">
        <v>14563091</v>
      </c>
      <c r="F1199" s="81">
        <v>31900</v>
      </c>
      <c r="G1199" s="81">
        <v>1</v>
      </c>
      <c r="H1199" s="82">
        <v>359.46</v>
      </c>
      <c r="I1199" s="251">
        <v>359.46</v>
      </c>
      <c r="J1199" s="9" t="s">
        <v>1387</v>
      </c>
      <c r="K1199" s="9" t="s">
        <v>1388</v>
      </c>
      <c r="L1199" s="83">
        <v>45200</v>
      </c>
      <c r="M1199" s="83">
        <v>45230</v>
      </c>
    </row>
    <row r="1200" spans="1:13" ht="14.25" customHeight="1" x14ac:dyDescent="0.25">
      <c r="A1200" s="9" t="s">
        <v>0</v>
      </c>
      <c r="B1200" s="81">
        <v>114732</v>
      </c>
      <c r="C1200" s="81">
        <v>10750</v>
      </c>
      <c r="D1200" s="9" t="s">
        <v>1379</v>
      </c>
      <c r="E1200" s="81">
        <v>14563091</v>
      </c>
      <c r="F1200" s="81">
        <v>36912</v>
      </c>
      <c r="G1200" s="81">
        <v>1</v>
      </c>
      <c r="H1200" s="82">
        <v>359.46</v>
      </c>
      <c r="I1200" s="251">
        <v>359.46</v>
      </c>
      <c r="J1200" s="9" t="s">
        <v>1387</v>
      </c>
      <c r="K1200" s="9" t="s">
        <v>1388</v>
      </c>
      <c r="L1200" s="83">
        <v>45200</v>
      </c>
      <c r="M1200" s="83">
        <v>45230</v>
      </c>
    </row>
    <row r="1201" spans="1:13" ht="14.25" customHeight="1" x14ac:dyDescent="0.25">
      <c r="A1201" s="9" t="s">
        <v>1578</v>
      </c>
      <c r="B1201" s="81">
        <v>112788</v>
      </c>
      <c r="C1201" s="81">
        <v>10771</v>
      </c>
      <c r="D1201" s="9" t="s">
        <v>409</v>
      </c>
      <c r="E1201" s="81">
        <v>14563091</v>
      </c>
      <c r="F1201" s="81">
        <v>30010</v>
      </c>
      <c r="G1201" s="81">
        <v>1</v>
      </c>
      <c r="H1201" s="82">
        <v>359.46</v>
      </c>
      <c r="I1201" s="251">
        <v>359.46</v>
      </c>
      <c r="J1201" s="9" t="s">
        <v>1387</v>
      </c>
      <c r="K1201" s="9" t="s">
        <v>1388</v>
      </c>
      <c r="L1201" s="83">
        <v>45200</v>
      </c>
      <c r="M1201" s="83">
        <v>45230</v>
      </c>
    </row>
    <row r="1202" spans="1:13" ht="14.25" customHeight="1" x14ac:dyDescent="0.25">
      <c r="A1202" s="9" t="s">
        <v>8</v>
      </c>
      <c r="B1202" s="81">
        <v>112778</v>
      </c>
      <c r="C1202" s="81">
        <v>10750</v>
      </c>
      <c r="D1202" s="9" t="s">
        <v>401</v>
      </c>
      <c r="E1202" s="81">
        <v>14563091</v>
      </c>
      <c r="F1202" s="81">
        <v>29990</v>
      </c>
      <c r="G1202" s="81">
        <v>1</v>
      </c>
      <c r="H1202" s="82">
        <v>359.46</v>
      </c>
      <c r="I1202" s="251">
        <v>359.46</v>
      </c>
      <c r="J1202" s="9" t="s">
        <v>1387</v>
      </c>
      <c r="K1202" s="9" t="s">
        <v>1388</v>
      </c>
      <c r="L1202" s="83">
        <v>45200</v>
      </c>
      <c r="M1202" s="83">
        <v>45230</v>
      </c>
    </row>
    <row r="1203" spans="1:13" ht="14.25" customHeight="1" x14ac:dyDescent="0.25">
      <c r="A1203" s="9" t="s">
        <v>1578</v>
      </c>
      <c r="B1203" s="81">
        <v>112769</v>
      </c>
      <c r="C1203" s="81">
        <v>10768</v>
      </c>
      <c r="D1203" s="9" t="s">
        <v>395</v>
      </c>
      <c r="E1203" s="81">
        <v>14563091</v>
      </c>
      <c r="F1203" s="81">
        <v>29972</v>
      </c>
      <c r="G1203" s="81">
        <v>1</v>
      </c>
      <c r="H1203" s="82">
        <v>359.46</v>
      </c>
      <c r="I1203" s="251">
        <v>359.46</v>
      </c>
      <c r="J1203" s="9" t="s">
        <v>1387</v>
      </c>
      <c r="K1203" s="9" t="s">
        <v>1388</v>
      </c>
      <c r="L1203" s="83">
        <v>45200</v>
      </c>
      <c r="M1203" s="83">
        <v>45230</v>
      </c>
    </row>
    <row r="1204" spans="1:13" ht="14.25" customHeight="1" x14ac:dyDescent="0.25">
      <c r="A1204" s="9" t="s">
        <v>1578</v>
      </c>
      <c r="B1204" s="81">
        <v>116132</v>
      </c>
      <c r="C1204" s="81">
        <v>10761</v>
      </c>
      <c r="D1204" s="9" t="s">
        <v>1186</v>
      </c>
      <c r="E1204" s="81">
        <v>14563091</v>
      </c>
      <c r="F1204" s="81">
        <v>41266</v>
      </c>
      <c r="G1204" s="81">
        <v>1</v>
      </c>
      <c r="H1204" s="82">
        <v>359.46</v>
      </c>
      <c r="I1204" s="251">
        <v>359.46</v>
      </c>
      <c r="J1204" s="9" t="s">
        <v>1387</v>
      </c>
      <c r="K1204" s="9" t="s">
        <v>1388</v>
      </c>
      <c r="L1204" s="83">
        <v>45200</v>
      </c>
      <c r="M1204" s="83">
        <v>45230</v>
      </c>
    </row>
    <row r="1205" spans="1:13" ht="14.25" customHeight="1" x14ac:dyDescent="0.25">
      <c r="A1205" s="9" t="s">
        <v>8</v>
      </c>
      <c r="B1205" s="81">
        <v>112754</v>
      </c>
      <c r="C1205" s="81">
        <v>10751</v>
      </c>
      <c r="D1205" s="9" t="s">
        <v>385</v>
      </c>
      <c r="E1205" s="81">
        <v>14563091</v>
      </c>
      <c r="F1205" s="81">
        <v>29942</v>
      </c>
      <c r="G1205" s="81">
        <v>1</v>
      </c>
      <c r="H1205" s="82">
        <v>359.46</v>
      </c>
      <c r="I1205" s="251">
        <v>359.46</v>
      </c>
      <c r="J1205" s="9" t="s">
        <v>1387</v>
      </c>
      <c r="K1205" s="9" t="s">
        <v>1388</v>
      </c>
      <c r="L1205" s="83">
        <v>45200</v>
      </c>
      <c r="M1205" s="83">
        <v>45230</v>
      </c>
    </row>
    <row r="1206" spans="1:13" ht="14.25" customHeight="1" x14ac:dyDescent="0.25">
      <c r="A1206" s="9" t="s">
        <v>1578</v>
      </c>
      <c r="B1206" s="81">
        <v>113723</v>
      </c>
      <c r="C1206" s="81">
        <v>10771</v>
      </c>
      <c r="D1206" s="9" t="s">
        <v>937</v>
      </c>
      <c r="E1206" s="81">
        <v>14563091</v>
      </c>
      <c r="F1206" s="81">
        <v>31880</v>
      </c>
      <c r="G1206" s="81">
        <v>1</v>
      </c>
      <c r="H1206" s="82">
        <v>359.46</v>
      </c>
      <c r="I1206" s="251">
        <v>359.46</v>
      </c>
      <c r="J1206" s="9" t="s">
        <v>1387</v>
      </c>
      <c r="K1206" s="9" t="s">
        <v>1388</v>
      </c>
      <c r="L1206" s="83">
        <v>45200</v>
      </c>
      <c r="M1206" s="83">
        <v>45230</v>
      </c>
    </row>
    <row r="1207" spans="1:13" ht="14.25" customHeight="1" x14ac:dyDescent="0.25">
      <c r="A1207" s="9" t="s">
        <v>19</v>
      </c>
      <c r="B1207" s="81">
        <v>117241</v>
      </c>
      <c r="C1207" s="81">
        <v>10745</v>
      </c>
      <c r="D1207" s="9" t="s">
        <v>1257</v>
      </c>
      <c r="E1207" s="81">
        <v>14563091</v>
      </c>
      <c r="F1207" s="81">
        <v>44098</v>
      </c>
      <c r="G1207" s="81">
        <v>1</v>
      </c>
      <c r="H1207" s="82">
        <v>359.46</v>
      </c>
      <c r="I1207" s="251">
        <v>359.46</v>
      </c>
      <c r="J1207" s="9" t="s">
        <v>1387</v>
      </c>
      <c r="K1207" s="9" t="s">
        <v>1388</v>
      </c>
      <c r="L1207" s="83">
        <v>45200</v>
      </c>
      <c r="M1207" s="83">
        <v>45230</v>
      </c>
    </row>
    <row r="1208" spans="1:13" ht="14.25" customHeight="1" x14ac:dyDescent="0.25">
      <c r="A1208" s="9" t="s">
        <v>1578</v>
      </c>
      <c r="B1208" s="81">
        <v>112747</v>
      </c>
      <c r="C1208" s="81">
        <v>10759</v>
      </c>
      <c r="D1208" s="9" t="s">
        <v>380</v>
      </c>
      <c r="E1208" s="81">
        <v>14563091</v>
      </c>
      <c r="F1208" s="81">
        <v>29928</v>
      </c>
      <c r="G1208" s="81">
        <v>1</v>
      </c>
      <c r="H1208" s="82">
        <v>359.46</v>
      </c>
      <c r="I1208" s="251">
        <v>359.46</v>
      </c>
      <c r="J1208" s="9" t="s">
        <v>1387</v>
      </c>
      <c r="K1208" s="9" t="s">
        <v>1388</v>
      </c>
      <c r="L1208" s="83">
        <v>45200</v>
      </c>
      <c r="M1208" s="83">
        <v>45230</v>
      </c>
    </row>
    <row r="1209" spans="1:13" ht="14.25" customHeight="1" x14ac:dyDescent="0.25">
      <c r="A1209" s="9" t="s">
        <v>8</v>
      </c>
      <c r="B1209" s="81">
        <v>112741</v>
      </c>
      <c r="C1209" s="81">
        <v>10754</v>
      </c>
      <c r="D1209" s="9" t="s">
        <v>375</v>
      </c>
      <c r="E1209" s="81">
        <v>14563091</v>
      </c>
      <c r="F1209" s="81">
        <v>29916</v>
      </c>
      <c r="G1209" s="81">
        <v>1</v>
      </c>
      <c r="H1209" s="82">
        <v>359.46</v>
      </c>
      <c r="I1209" s="251">
        <v>359.46</v>
      </c>
      <c r="J1209" s="9" t="s">
        <v>1387</v>
      </c>
      <c r="K1209" s="9" t="s">
        <v>1388</v>
      </c>
      <c r="L1209" s="83">
        <v>45200</v>
      </c>
      <c r="M1209" s="83">
        <v>45230</v>
      </c>
    </row>
    <row r="1210" spans="1:13" ht="14.25" customHeight="1" x14ac:dyDescent="0.25">
      <c r="A1210" s="9" t="s">
        <v>0</v>
      </c>
      <c r="B1210" s="81">
        <v>120355</v>
      </c>
      <c r="C1210" s="81">
        <v>10757</v>
      </c>
      <c r="D1210" s="9" t="s">
        <v>1505</v>
      </c>
      <c r="E1210" s="81">
        <v>14563091</v>
      </c>
      <c r="F1210" s="81">
        <v>51393</v>
      </c>
      <c r="G1210" s="81">
        <v>1</v>
      </c>
      <c r="H1210" s="82">
        <v>359.46</v>
      </c>
      <c r="I1210" s="251">
        <v>359.46</v>
      </c>
      <c r="J1210" s="9" t="s">
        <v>1387</v>
      </c>
      <c r="K1210" s="9" t="s">
        <v>1388</v>
      </c>
      <c r="L1210" s="83">
        <v>45200</v>
      </c>
      <c r="M1210" s="83">
        <v>45230</v>
      </c>
    </row>
    <row r="1211" spans="1:13" ht="14.25" customHeight="1" x14ac:dyDescent="0.25">
      <c r="A1211" s="9" t="s">
        <v>0</v>
      </c>
      <c r="B1211" s="81">
        <v>112458</v>
      </c>
      <c r="C1211" s="81">
        <v>10763</v>
      </c>
      <c r="D1211" s="9" t="s">
        <v>194</v>
      </c>
      <c r="E1211" s="81">
        <v>14563091</v>
      </c>
      <c r="F1211" s="81">
        <v>29350</v>
      </c>
      <c r="G1211" s="81">
        <v>1</v>
      </c>
      <c r="H1211" s="82">
        <v>359.46</v>
      </c>
      <c r="I1211" s="251">
        <v>359.46</v>
      </c>
      <c r="J1211" s="9" t="s">
        <v>1387</v>
      </c>
      <c r="K1211" s="9" t="s">
        <v>1388</v>
      </c>
      <c r="L1211" s="83">
        <v>45200</v>
      </c>
      <c r="M1211" s="83">
        <v>45230</v>
      </c>
    </row>
    <row r="1212" spans="1:13" ht="14.25" customHeight="1" x14ac:dyDescent="0.25">
      <c r="A1212" s="9" t="s">
        <v>32</v>
      </c>
      <c r="B1212" s="81">
        <v>115379</v>
      </c>
      <c r="C1212" s="81">
        <v>10758</v>
      </c>
      <c r="D1212" s="9" t="s">
        <v>1266</v>
      </c>
      <c r="E1212" s="81">
        <v>14563091</v>
      </c>
      <c r="F1212" s="81">
        <v>38950</v>
      </c>
      <c r="G1212" s="81">
        <v>1</v>
      </c>
      <c r="H1212" s="82">
        <v>359.46</v>
      </c>
      <c r="I1212" s="251">
        <v>359.46</v>
      </c>
      <c r="J1212" s="9" t="s">
        <v>1387</v>
      </c>
      <c r="K1212" s="9" t="s">
        <v>1388</v>
      </c>
      <c r="L1212" s="83">
        <v>45200</v>
      </c>
      <c r="M1212" s="83">
        <v>45230</v>
      </c>
    </row>
    <row r="1213" spans="1:13" ht="14.25" customHeight="1" x14ac:dyDescent="0.25">
      <c r="A1213" s="9" t="s">
        <v>19</v>
      </c>
      <c r="B1213" s="81">
        <v>112448</v>
      </c>
      <c r="C1213" s="81">
        <v>10750</v>
      </c>
      <c r="D1213" s="9" t="s">
        <v>187</v>
      </c>
      <c r="E1213" s="81">
        <v>14563091</v>
      </c>
      <c r="F1213" s="81">
        <v>29330</v>
      </c>
      <c r="G1213" s="81">
        <v>1</v>
      </c>
      <c r="H1213" s="82">
        <v>359.46</v>
      </c>
      <c r="I1213" s="251">
        <v>359.46</v>
      </c>
      <c r="J1213" s="9" t="s">
        <v>1387</v>
      </c>
      <c r="K1213" s="9" t="s">
        <v>1388</v>
      </c>
      <c r="L1213" s="83">
        <v>45200</v>
      </c>
      <c r="M1213" s="83">
        <v>45230</v>
      </c>
    </row>
    <row r="1214" spans="1:13" ht="14.25" customHeight="1" x14ac:dyDescent="0.25">
      <c r="A1214" s="9" t="s">
        <v>19</v>
      </c>
      <c r="B1214" s="81">
        <v>119117</v>
      </c>
      <c r="C1214" s="81">
        <v>10757</v>
      </c>
      <c r="D1214" s="9" t="s">
        <v>1442</v>
      </c>
      <c r="E1214" s="81">
        <v>14563091</v>
      </c>
      <c r="F1214" s="81">
        <v>48256</v>
      </c>
      <c r="G1214" s="81">
        <v>1</v>
      </c>
      <c r="H1214" s="82">
        <v>359.46</v>
      </c>
      <c r="I1214" s="251">
        <v>359.46</v>
      </c>
      <c r="J1214" s="9" t="s">
        <v>1387</v>
      </c>
      <c r="K1214" s="9" t="s">
        <v>1388</v>
      </c>
      <c r="L1214" s="83">
        <v>45200</v>
      </c>
      <c r="M1214" s="83">
        <v>45230</v>
      </c>
    </row>
    <row r="1215" spans="1:13" ht="14.25" customHeight="1" x14ac:dyDescent="0.25">
      <c r="A1215" s="9" t="s">
        <v>32</v>
      </c>
      <c r="B1215" s="81">
        <v>112440</v>
      </c>
      <c r="C1215" s="81">
        <v>10771</v>
      </c>
      <c r="D1215" s="9" t="s">
        <v>181</v>
      </c>
      <c r="E1215" s="81">
        <v>14563091</v>
      </c>
      <c r="F1215" s="81">
        <v>29314</v>
      </c>
      <c r="G1215" s="81">
        <v>1</v>
      </c>
      <c r="H1215" s="82">
        <v>359.46</v>
      </c>
      <c r="I1215" s="251">
        <v>359.46</v>
      </c>
      <c r="J1215" s="9" t="s">
        <v>1387</v>
      </c>
      <c r="K1215" s="9" t="s">
        <v>1388</v>
      </c>
      <c r="L1215" s="83">
        <v>45200</v>
      </c>
      <c r="M1215" s="83">
        <v>45230</v>
      </c>
    </row>
    <row r="1216" spans="1:13" ht="14.25" customHeight="1" x14ac:dyDescent="0.25">
      <c r="A1216" s="9" t="s">
        <v>1578</v>
      </c>
      <c r="B1216" s="81">
        <v>116110</v>
      </c>
      <c r="C1216" s="81">
        <v>10763</v>
      </c>
      <c r="D1216" s="9" t="s">
        <v>1183</v>
      </c>
      <c r="E1216" s="81">
        <v>14563091</v>
      </c>
      <c r="F1216" s="81">
        <v>41157</v>
      </c>
      <c r="G1216" s="81">
        <v>1</v>
      </c>
      <c r="H1216" s="82">
        <v>359.46</v>
      </c>
      <c r="I1216" s="251">
        <v>359.46</v>
      </c>
      <c r="J1216" s="9" t="s">
        <v>1387</v>
      </c>
      <c r="K1216" s="9" t="s">
        <v>1388</v>
      </c>
      <c r="L1216" s="83">
        <v>45200</v>
      </c>
      <c r="M1216" s="83">
        <v>45230</v>
      </c>
    </row>
    <row r="1217" spans="1:13" ht="14.25" customHeight="1" x14ac:dyDescent="0.25">
      <c r="A1217" s="9" t="s">
        <v>0</v>
      </c>
      <c r="B1217" s="81">
        <v>114454</v>
      </c>
      <c r="C1217" s="81">
        <v>10748</v>
      </c>
      <c r="D1217" s="9" t="s">
        <v>1037</v>
      </c>
      <c r="E1217" s="81">
        <v>14563091</v>
      </c>
      <c r="F1217" s="81">
        <v>35866</v>
      </c>
      <c r="G1217" s="81">
        <v>1</v>
      </c>
      <c r="H1217" s="82">
        <v>359.46</v>
      </c>
      <c r="I1217" s="251">
        <v>359.46</v>
      </c>
      <c r="J1217" s="9" t="s">
        <v>1387</v>
      </c>
      <c r="K1217" s="9" t="s">
        <v>1388</v>
      </c>
      <c r="L1217" s="83">
        <v>45200</v>
      </c>
      <c r="M1217" s="83">
        <v>45230</v>
      </c>
    </row>
    <row r="1218" spans="1:13" ht="14.25" customHeight="1" x14ac:dyDescent="0.25">
      <c r="A1218" s="9" t="s">
        <v>1578</v>
      </c>
      <c r="B1218" s="81">
        <v>114937</v>
      </c>
      <c r="C1218" s="81">
        <v>10758</v>
      </c>
      <c r="D1218" s="9" t="s">
        <v>1117</v>
      </c>
      <c r="E1218" s="81">
        <v>14563091</v>
      </c>
      <c r="F1218" s="81">
        <v>37652</v>
      </c>
      <c r="G1218" s="81">
        <v>1</v>
      </c>
      <c r="H1218" s="82">
        <v>299.55</v>
      </c>
      <c r="I1218" s="251">
        <v>299.55</v>
      </c>
      <c r="J1218" s="9" t="s">
        <v>1387</v>
      </c>
      <c r="K1218" s="9" t="s">
        <v>1388</v>
      </c>
      <c r="L1218" s="83">
        <v>45200</v>
      </c>
      <c r="M1218" s="83">
        <v>45230</v>
      </c>
    </row>
    <row r="1219" spans="1:13" ht="14.25" customHeight="1" x14ac:dyDescent="0.25">
      <c r="A1219" s="9" t="s">
        <v>1578</v>
      </c>
      <c r="B1219" s="81">
        <v>112414</v>
      </c>
      <c r="C1219" s="81">
        <v>10756</v>
      </c>
      <c r="D1219" s="9" t="s">
        <v>165</v>
      </c>
      <c r="E1219" s="81">
        <v>14563091</v>
      </c>
      <c r="F1219" s="81">
        <v>29262</v>
      </c>
      <c r="G1219" s="81">
        <v>1</v>
      </c>
      <c r="H1219" s="82">
        <v>359.46</v>
      </c>
      <c r="I1219" s="251">
        <v>359.46</v>
      </c>
      <c r="J1219" s="9" t="s">
        <v>1387</v>
      </c>
      <c r="K1219" s="9" t="s">
        <v>1388</v>
      </c>
      <c r="L1219" s="83">
        <v>45200</v>
      </c>
      <c r="M1219" s="83">
        <v>45230</v>
      </c>
    </row>
    <row r="1220" spans="1:13" ht="14.25" customHeight="1" x14ac:dyDescent="0.25">
      <c r="A1220" s="9" t="s">
        <v>0</v>
      </c>
      <c r="B1220" s="81">
        <v>112403</v>
      </c>
      <c r="C1220" s="81">
        <v>10750</v>
      </c>
      <c r="D1220" s="9" t="s">
        <v>159</v>
      </c>
      <c r="E1220" s="81">
        <v>14563091</v>
      </c>
      <c r="F1220" s="81">
        <v>29240</v>
      </c>
      <c r="G1220" s="81">
        <v>1</v>
      </c>
      <c r="H1220" s="82">
        <v>359.46</v>
      </c>
      <c r="I1220" s="251">
        <v>359.46</v>
      </c>
      <c r="J1220" s="9" t="s">
        <v>1387</v>
      </c>
      <c r="K1220" s="9" t="s">
        <v>1388</v>
      </c>
      <c r="L1220" s="83">
        <v>45200</v>
      </c>
      <c r="M1220" s="83">
        <v>45230</v>
      </c>
    </row>
    <row r="1221" spans="1:13" ht="14.25" customHeight="1" x14ac:dyDescent="0.25">
      <c r="A1221" s="9" t="s">
        <v>10</v>
      </c>
      <c r="B1221" s="81">
        <v>112398</v>
      </c>
      <c r="C1221" s="81">
        <v>10750</v>
      </c>
      <c r="D1221" s="9" t="s">
        <v>154</v>
      </c>
      <c r="E1221" s="81">
        <v>14563091</v>
      </c>
      <c r="F1221" s="81">
        <v>29230</v>
      </c>
      <c r="G1221" s="81">
        <v>1</v>
      </c>
      <c r="H1221" s="82">
        <v>359.46</v>
      </c>
      <c r="I1221" s="251">
        <v>359.46</v>
      </c>
      <c r="J1221" s="9" t="s">
        <v>1387</v>
      </c>
      <c r="K1221" s="9" t="s">
        <v>1388</v>
      </c>
      <c r="L1221" s="83">
        <v>45200</v>
      </c>
      <c r="M1221" s="83">
        <v>45230</v>
      </c>
    </row>
    <row r="1222" spans="1:13" ht="14.25" customHeight="1" x14ac:dyDescent="0.25">
      <c r="A1222" s="9" t="s">
        <v>19</v>
      </c>
      <c r="B1222" s="81">
        <v>120188</v>
      </c>
      <c r="C1222" s="81">
        <v>10758</v>
      </c>
      <c r="D1222" s="9" t="s">
        <v>1498</v>
      </c>
      <c r="E1222" s="81">
        <v>14563091</v>
      </c>
      <c r="F1222" s="81">
        <v>50927</v>
      </c>
      <c r="G1222" s="81">
        <v>1</v>
      </c>
      <c r="H1222" s="82">
        <v>359.46</v>
      </c>
      <c r="I1222" s="251">
        <v>359.46</v>
      </c>
      <c r="J1222" s="9" t="s">
        <v>1387</v>
      </c>
      <c r="K1222" s="9" t="s">
        <v>1388</v>
      </c>
      <c r="L1222" s="83">
        <v>45200</v>
      </c>
      <c r="M1222" s="83">
        <v>45230</v>
      </c>
    </row>
    <row r="1223" spans="1:13" ht="14.25" customHeight="1" x14ac:dyDescent="0.25">
      <c r="A1223" s="9" t="s">
        <v>19</v>
      </c>
      <c r="B1223" s="81">
        <v>112301</v>
      </c>
      <c r="C1223" s="81">
        <v>10758</v>
      </c>
      <c r="D1223" s="9" t="s">
        <v>1380</v>
      </c>
      <c r="E1223" s="81">
        <v>14563091</v>
      </c>
      <c r="F1223" s="81">
        <v>29036</v>
      </c>
      <c r="G1223" s="81">
        <v>1</v>
      </c>
      <c r="H1223" s="82">
        <v>359.46</v>
      </c>
      <c r="I1223" s="251">
        <v>359.46</v>
      </c>
      <c r="J1223" s="9" t="s">
        <v>1387</v>
      </c>
      <c r="K1223" s="9" t="s">
        <v>1388</v>
      </c>
      <c r="L1223" s="83">
        <v>45200</v>
      </c>
      <c r="M1223" s="83">
        <v>45230</v>
      </c>
    </row>
    <row r="1224" spans="1:13" ht="14.25" customHeight="1" x14ac:dyDescent="0.25">
      <c r="A1224" s="9" t="s">
        <v>10</v>
      </c>
      <c r="B1224" s="81">
        <v>112172</v>
      </c>
      <c r="C1224" s="81">
        <v>10771</v>
      </c>
      <c r="D1224" s="9" t="s">
        <v>6</v>
      </c>
      <c r="E1224" s="81">
        <v>14563091</v>
      </c>
      <c r="F1224" s="81">
        <v>28778</v>
      </c>
      <c r="G1224" s="81">
        <v>1</v>
      </c>
      <c r="H1224" s="82">
        <v>359.46</v>
      </c>
      <c r="I1224" s="251">
        <v>359.46</v>
      </c>
      <c r="J1224" s="9" t="s">
        <v>1387</v>
      </c>
      <c r="K1224" s="9" t="s">
        <v>1388</v>
      </c>
      <c r="L1224" s="83">
        <v>45200</v>
      </c>
      <c r="M1224" s="83">
        <v>45230</v>
      </c>
    </row>
    <row r="1225" spans="1:13" ht="14.25" customHeight="1" x14ac:dyDescent="0.25">
      <c r="A1225" s="9" t="s">
        <v>19</v>
      </c>
      <c r="B1225" s="81">
        <v>112196</v>
      </c>
      <c r="C1225" s="81">
        <v>10758</v>
      </c>
      <c r="D1225" s="9" t="s">
        <v>27</v>
      </c>
      <c r="E1225" s="81">
        <v>14563091</v>
      </c>
      <c r="F1225" s="81">
        <v>28826</v>
      </c>
      <c r="G1225" s="81">
        <v>1</v>
      </c>
      <c r="H1225" s="82">
        <v>359.46</v>
      </c>
      <c r="I1225" s="251">
        <v>359.46</v>
      </c>
      <c r="J1225" s="9" t="s">
        <v>1387</v>
      </c>
      <c r="K1225" s="9" t="s">
        <v>1388</v>
      </c>
      <c r="L1225" s="83">
        <v>45200</v>
      </c>
      <c r="M1225" s="83">
        <v>45230</v>
      </c>
    </row>
    <row r="1226" spans="1:13" ht="14.25" customHeight="1" x14ac:dyDescent="0.25">
      <c r="A1226" s="9" t="s">
        <v>19</v>
      </c>
      <c r="B1226" s="81">
        <v>112199</v>
      </c>
      <c r="C1226" s="81">
        <v>10760</v>
      </c>
      <c r="D1226" s="9" t="s">
        <v>29</v>
      </c>
      <c r="E1226" s="81">
        <v>14563091</v>
      </c>
      <c r="F1226" s="81">
        <v>28832</v>
      </c>
      <c r="G1226" s="81">
        <v>1</v>
      </c>
      <c r="H1226" s="82">
        <v>359.46</v>
      </c>
      <c r="I1226" s="251">
        <v>359.46</v>
      </c>
      <c r="J1226" s="9" t="s">
        <v>1387</v>
      </c>
      <c r="K1226" s="9" t="s">
        <v>1388</v>
      </c>
      <c r="L1226" s="83">
        <v>45200</v>
      </c>
      <c r="M1226" s="83">
        <v>45230</v>
      </c>
    </row>
    <row r="1227" spans="1:13" ht="14.25" customHeight="1" x14ac:dyDescent="0.25">
      <c r="A1227" s="9" t="s">
        <v>1578</v>
      </c>
      <c r="B1227" s="81">
        <v>114256</v>
      </c>
      <c r="C1227" s="81">
        <v>10771</v>
      </c>
      <c r="D1227" s="9" t="s">
        <v>1020</v>
      </c>
      <c r="E1227" s="81">
        <v>14563091</v>
      </c>
      <c r="F1227" s="81">
        <v>35791</v>
      </c>
      <c r="G1227" s="81">
        <v>1</v>
      </c>
      <c r="H1227" s="82">
        <v>359.46</v>
      </c>
      <c r="I1227" s="251">
        <v>359.46</v>
      </c>
      <c r="J1227" s="9" t="s">
        <v>1387</v>
      </c>
      <c r="K1227" s="9" t="s">
        <v>1388</v>
      </c>
      <c r="L1227" s="83">
        <v>45200</v>
      </c>
      <c r="M1227" s="83">
        <v>45230</v>
      </c>
    </row>
    <row r="1228" spans="1:13" ht="14.25" customHeight="1" x14ac:dyDescent="0.25">
      <c r="A1228" s="9" t="s">
        <v>19</v>
      </c>
      <c r="B1228" s="81">
        <v>112202</v>
      </c>
      <c r="C1228" s="81">
        <v>10758</v>
      </c>
      <c r="D1228" s="9" t="s">
        <v>31</v>
      </c>
      <c r="E1228" s="81">
        <v>14563091</v>
      </c>
      <c r="F1228" s="81">
        <v>28838</v>
      </c>
      <c r="G1228" s="81">
        <v>1</v>
      </c>
      <c r="H1228" s="82">
        <v>359.46</v>
      </c>
      <c r="I1228" s="251">
        <v>359.46</v>
      </c>
      <c r="J1228" s="9" t="s">
        <v>1387</v>
      </c>
      <c r="K1228" s="9" t="s">
        <v>1388</v>
      </c>
      <c r="L1228" s="83">
        <v>45200</v>
      </c>
      <c r="M1228" s="83">
        <v>45230</v>
      </c>
    </row>
    <row r="1229" spans="1:13" ht="14.25" customHeight="1" x14ac:dyDescent="0.25">
      <c r="A1229" s="9" t="s">
        <v>1578</v>
      </c>
      <c r="B1229" s="81">
        <v>114958</v>
      </c>
      <c r="C1229" s="81">
        <v>10768</v>
      </c>
      <c r="D1229" s="9" t="s">
        <v>1127</v>
      </c>
      <c r="E1229" s="81">
        <v>14563091</v>
      </c>
      <c r="F1229" s="81">
        <v>37692</v>
      </c>
      <c r="G1229" s="81">
        <v>1</v>
      </c>
      <c r="H1229" s="82">
        <v>359.46</v>
      </c>
      <c r="I1229" s="251">
        <v>359.46</v>
      </c>
      <c r="J1229" s="9" t="s">
        <v>1387</v>
      </c>
      <c r="K1229" s="9" t="s">
        <v>1388</v>
      </c>
      <c r="L1229" s="83">
        <v>45200</v>
      </c>
      <c r="M1229" s="83">
        <v>45230</v>
      </c>
    </row>
    <row r="1230" spans="1:13" ht="14.25" customHeight="1" x14ac:dyDescent="0.25">
      <c r="A1230" s="9" t="s">
        <v>0</v>
      </c>
      <c r="B1230" s="81">
        <v>112639</v>
      </c>
      <c r="C1230" s="81">
        <v>10750</v>
      </c>
      <c r="D1230" s="9" t="s">
        <v>210</v>
      </c>
      <c r="E1230" s="81">
        <v>14563091</v>
      </c>
      <c r="F1230" s="81">
        <v>29712</v>
      </c>
      <c r="G1230" s="81">
        <v>1</v>
      </c>
      <c r="H1230" s="82">
        <v>359.46</v>
      </c>
      <c r="I1230" s="251">
        <v>359.46</v>
      </c>
      <c r="J1230" s="9" t="s">
        <v>1387</v>
      </c>
      <c r="K1230" s="9" t="s">
        <v>1388</v>
      </c>
      <c r="L1230" s="83">
        <v>45200</v>
      </c>
      <c r="M1230" s="83">
        <v>45230</v>
      </c>
    </row>
    <row r="1231" spans="1:13" ht="14.25" customHeight="1" x14ac:dyDescent="0.25">
      <c r="A1231" s="9" t="s">
        <v>19</v>
      </c>
      <c r="B1231" s="81">
        <v>112257</v>
      </c>
      <c r="C1231" s="81">
        <v>10750</v>
      </c>
      <c r="D1231" s="9" t="s">
        <v>68</v>
      </c>
      <c r="E1231" s="81">
        <v>14563091</v>
      </c>
      <c r="F1231" s="81">
        <v>28948</v>
      </c>
      <c r="G1231" s="81">
        <v>1</v>
      </c>
      <c r="H1231" s="82">
        <v>359.46</v>
      </c>
      <c r="I1231" s="251">
        <v>359.46</v>
      </c>
      <c r="J1231" s="9" t="s">
        <v>1387</v>
      </c>
      <c r="K1231" s="9" t="s">
        <v>1388</v>
      </c>
      <c r="L1231" s="83">
        <v>45200</v>
      </c>
      <c r="M1231" s="83">
        <v>45230</v>
      </c>
    </row>
    <row r="1232" spans="1:13" ht="14.25" customHeight="1" x14ac:dyDescent="0.25">
      <c r="A1232" s="9" t="s">
        <v>10</v>
      </c>
      <c r="B1232" s="81">
        <v>112261</v>
      </c>
      <c r="C1232" s="81">
        <v>10751</v>
      </c>
      <c r="D1232" s="9" t="s">
        <v>71</v>
      </c>
      <c r="E1232" s="81">
        <v>14563091</v>
      </c>
      <c r="F1232" s="81">
        <v>28956</v>
      </c>
      <c r="G1232" s="81">
        <v>1</v>
      </c>
      <c r="H1232" s="82">
        <v>359.46</v>
      </c>
      <c r="I1232" s="251">
        <v>359.46</v>
      </c>
      <c r="J1232" s="9" t="s">
        <v>1387</v>
      </c>
      <c r="K1232" s="9" t="s">
        <v>1388</v>
      </c>
      <c r="L1232" s="83">
        <v>45200</v>
      </c>
      <c r="M1232" s="83">
        <v>45230</v>
      </c>
    </row>
    <row r="1233" spans="1:13" ht="14.25" customHeight="1" x14ac:dyDescent="0.25">
      <c r="A1233" s="9" t="s">
        <v>10</v>
      </c>
      <c r="B1233" s="81">
        <v>112263</v>
      </c>
      <c r="C1233" s="81">
        <v>10750</v>
      </c>
      <c r="D1233" s="9" t="s">
        <v>73</v>
      </c>
      <c r="E1233" s="81">
        <v>14563091</v>
      </c>
      <c r="F1233" s="81">
        <v>28960</v>
      </c>
      <c r="G1233" s="81">
        <v>1</v>
      </c>
      <c r="H1233" s="82">
        <v>359.46</v>
      </c>
      <c r="I1233" s="251">
        <v>359.46</v>
      </c>
      <c r="J1233" s="9" t="s">
        <v>1387</v>
      </c>
      <c r="K1233" s="9" t="s">
        <v>1388</v>
      </c>
      <c r="L1233" s="83">
        <v>45200</v>
      </c>
      <c r="M1233" s="83">
        <v>45230</v>
      </c>
    </row>
    <row r="1234" spans="1:13" ht="14.25" customHeight="1" x14ac:dyDescent="0.25">
      <c r="A1234" s="9" t="s">
        <v>1578</v>
      </c>
      <c r="B1234" s="81">
        <v>112381</v>
      </c>
      <c r="C1234" s="81">
        <v>10761</v>
      </c>
      <c r="D1234" s="9" t="s">
        <v>144</v>
      </c>
      <c r="E1234" s="81">
        <v>14563091</v>
      </c>
      <c r="F1234" s="81">
        <v>29196</v>
      </c>
      <c r="G1234" s="81">
        <v>1</v>
      </c>
      <c r="H1234" s="82">
        <v>359.46</v>
      </c>
      <c r="I1234" s="251">
        <v>359.46</v>
      </c>
      <c r="J1234" s="9" t="s">
        <v>1387</v>
      </c>
      <c r="K1234" s="9" t="s">
        <v>1388</v>
      </c>
      <c r="L1234" s="83">
        <v>45200</v>
      </c>
      <c r="M1234" s="83">
        <v>45230</v>
      </c>
    </row>
    <row r="1235" spans="1:13" ht="14.25" customHeight="1" x14ac:dyDescent="0.25">
      <c r="A1235" s="9" t="s">
        <v>8</v>
      </c>
      <c r="B1235" s="81">
        <v>112383</v>
      </c>
      <c r="C1235" s="81">
        <v>10750</v>
      </c>
      <c r="D1235" s="9" t="s">
        <v>147</v>
      </c>
      <c r="E1235" s="81">
        <v>14563091</v>
      </c>
      <c r="F1235" s="81">
        <v>29200</v>
      </c>
      <c r="G1235" s="81">
        <v>1</v>
      </c>
      <c r="H1235" s="82">
        <v>359.46</v>
      </c>
      <c r="I1235" s="251">
        <v>359.46</v>
      </c>
      <c r="J1235" s="9" t="s">
        <v>1387</v>
      </c>
      <c r="K1235" s="9" t="s">
        <v>1388</v>
      </c>
      <c r="L1235" s="83">
        <v>45200</v>
      </c>
      <c r="M1235" s="83">
        <v>45230</v>
      </c>
    </row>
    <row r="1236" spans="1:13" ht="14.25" customHeight="1" x14ac:dyDescent="0.25">
      <c r="A1236" s="9" t="s">
        <v>8</v>
      </c>
      <c r="B1236" s="81">
        <v>117408</v>
      </c>
      <c r="C1236" s="81">
        <v>10750</v>
      </c>
      <c r="D1236" s="9" t="s">
        <v>1270</v>
      </c>
      <c r="E1236" s="81">
        <v>14563091</v>
      </c>
      <c r="F1236" s="81">
        <v>44518</v>
      </c>
      <c r="G1236" s="81">
        <v>1</v>
      </c>
      <c r="H1236" s="82">
        <v>359.46</v>
      </c>
      <c r="I1236" s="251">
        <v>359.46</v>
      </c>
      <c r="J1236" s="9" t="s">
        <v>1387</v>
      </c>
      <c r="K1236" s="9" t="s">
        <v>1388</v>
      </c>
      <c r="L1236" s="83">
        <v>45200</v>
      </c>
      <c r="M1236" s="83">
        <v>45230</v>
      </c>
    </row>
    <row r="1237" spans="1:13" ht="14.25" customHeight="1" x14ac:dyDescent="0.25">
      <c r="A1237" s="9" t="s">
        <v>0</v>
      </c>
      <c r="B1237" s="81">
        <v>119929</v>
      </c>
      <c r="C1237" s="81">
        <v>10757</v>
      </c>
      <c r="D1237" s="9" t="s">
        <v>1485</v>
      </c>
      <c r="E1237" s="81">
        <v>14563091</v>
      </c>
      <c r="F1237" s="81">
        <v>50260</v>
      </c>
      <c r="G1237" s="81">
        <v>1</v>
      </c>
      <c r="H1237" s="82">
        <v>359.46</v>
      </c>
      <c r="I1237" s="251">
        <v>359.46</v>
      </c>
      <c r="J1237" s="9" t="s">
        <v>1387</v>
      </c>
      <c r="K1237" s="9" t="s">
        <v>1388</v>
      </c>
      <c r="L1237" s="83">
        <v>45200</v>
      </c>
      <c r="M1237" s="83">
        <v>45230</v>
      </c>
    </row>
    <row r="1238" spans="1:13" ht="14.25" customHeight="1" x14ac:dyDescent="0.25">
      <c r="A1238" s="9" t="s">
        <v>0</v>
      </c>
      <c r="B1238" s="81">
        <v>114125</v>
      </c>
      <c r="C1238" s="81">
        <v>10750</v>
      </c>
      <c r="D1238" s="9" t="s">
        <v>1012</v>
      </c>
      <c r="E1238" s="81">
        <v>14563091</v>
      </c>
      <c r="F1238" s="81">
        <v>34402</v>
      </c>
      <c r="G1238" s="81">
        <v>1</v>
      </c>
      <c r="H1238" s="82">
        <v>359.46</v>
      </c>
      <c r="I1238" s="251">
        <v>359.46</v>
      </c>
      <c r="J1238" s="9" t="s">
        <v>1387</v>
      </c>
      <c r="K1238" s="9" t="s">
        <v>1388</v>
      </c>
      <c r="L1238" s="83">
        <v>45200</v>
      </c>
      <c r="M1238" s="83">
        <v>45230</v>
      </c>
    </row>
    <row r="1239" spans="1:13" ht="14.25" customHeight="1" x14ac:dyDescent="0.25">
      <c r="A1239" s="9" t="s">
        <v>1578</v>
      </c>
      <c r="B1239" s="81">
        <v>112666</v>
      </c>
      <c r="C1239" s="81">
        <v>10757</v>
      </c>
      <c r="D1239" s="9" t="s">
        <v>327</v>
      </c>
      <c r="E1239" s="81">
        <v>14563091</v>
      </c>
      <c r="F1239" s="81">
        <v>29766</v>
      </c>
      <c r="G1239" s="81">
        <v>1</v>
      </c>
      <c r="H1239" s="82">
        <v>359.46</v>
      </c>
      <c r="I1239" s="251">
        <v>359.46</v>
      </c>
      <c r="J1239" s="9" t="s">
        <v>1387</v>
      </c>
      <c r="K1239" s="9" t="s">
        <v>1388</v>
      </c>
      <c r="L1239" s="83">
        <v>45200</v>
      </c>
      <c r="M1239" s="83">
        <v>45230</v>
      </c>
    </row>
    <row r="1240" spans="1:13" ht="14.25" customHeight="1" x14ac:dyDescent="0.25">
      <c r="A1240" s="9" t="s">
        <v>1578</v>
      </c>
      <c r="B1240" s="81">
        <v>112990</v>
      </c>
      <c r="C1240" s="81">
        <v>10745</v>
      </c>
      <c r="D1240" s="9" t="s">
        <v>533</v>
      </c>
      <c r="E1240" s="81">
        <v>14563091</v>
      </c>
      <c r="F1240" s="81">
        <v>30414</v>
      </c>
      <c r="G1240" s="81">
        <v>1</v>
      </c>
      <c r="H1240" s="82">
        <v>359.46</v>
      </c>
      <c r="I1240" s="251">
        <v>359.46</v>
      </c>
      <c r="J1240" s="9" t="s">
        <v>1387</v>
      </c>
      <c r="K1240" s="9" t="s">
        <v>1388</v>
      </c>
      <c r="L1240" s="83">
        <v>45200</v>
      </c>
      <c r="M1240" s="83">
        <v>45230</v>
      </c>
    </row>
    <row r="1241" spans="1:13" ht="14.25" customHeight="1" x14ac:dyDescent="0.25">
      <c r="A1241" s="9" t="s">
        <v>1578</v>
      </c>
      <c r="B1241" s="81">
        <v>114955</v>
      </c>
      <c r="C1241" s="81">
        <v>10768</v>
      </c>
      <c r="D1241" s="9" t="s">
        <v>1126</v>
      </c>
      <c r="E1241" s="81">
        <v>14563091</v>
      </c>
      <c r="F1241" s="81">
        <v>37686</v>
      </c>
      <c r="G1241" s="81">
        <v>1</v>
      </c>
      <c r="H1241" s="82">
        <v>359.46</v>
      </c>
      <c r="I1241" s="251">
        <v>359.46</v>
      </c>
      <c r="J1241" s="9" t="s">
        <v>1387</v>
      </c>
      <c r="K1241" s="9" t="s">
        <v>1388</v>
      </c>
      <c r="L1241" s="83">
        <v>45200</v>
      </c>
      <c r="M1241" s="83">
        <v>45230</v>
      </c>
    </row>
    <row r="1242" spans="1:13" ht="14.25" customHeight="1" x14ac:dyDescent="0.25">
      <c r="A1242" s="9" t="s">
        <v>8</v>
      </c>
      <c r="B1242" s="81">
        <v>114746</v>
      </c>
      <c r="C1242" s="81">
        <v>10750</v>
      </c>
      <c r="D1242" s="9" t="s">
        <v>1087</v>
      </c>
      <c r="E1242" s="81">
        <v>14563091</v>
      </c>
      <c r="F1242" s="81">
        <v>36940</v>
      </c>
      <c r="G1242" s="81">
        <v>1</v>
      </c>
      <c r="H1242" s="82">
        <v>359.46</v>
      </c>
      <c r="I1242" s="251">
        <v>359.46</v>
      </c>
      <c r="J1242" s="9" t="s">
        <v>1387</v>
      </c>
      <c r="K1242" s="9" t="s">
        <v>1388</v>
      </c>
      <c r="L1242" s="83">
        <v>45200</v>
      </c>
      <c r="M1242" s="83">
        <v>45230</v>
      </c>
    </row>
    <row r="1243" spans="1:13" ht="14.25" customHeight="1" x14ac:dyDescent="0.25">
      <c r="A1243" s="9" t="s">
        <v>0</v>
      </c>
      <c r="B1243" s="81">
        <v>112674</v>
      </c>
      <c r="C1243" s="81">
        <v>10750</v>
      </c>
      <c r="D1243" s="9" t="s">
        <v>331</v>
      </c>
      <c r="E1243" s="81">
        <v>14563091</v>
      </c>
      <c r="F1243" s="81">
        <v>29782</v>
      </c>
      <c r="G1243" s="81">
        <v>1</v>
      </c>
      <c r="H1243" s="82">
        <v>359.46</v>
      </c>
      <c r="I1243" s="251">
        <v>359.46</v>
      </c>
      <c r="J1243" s="9" t="s">
        <v>1387</v>
      </c>
      <c r="K1243" s="9" t="s">
        <v>1388</v>
      </c>
      <c r="L1243" s="83">
        <v>45200</v>
      </c>
      <c r="M1243" s="83">
        <v>45230</v>
      </c>
    </row>
    <row r="1244" spans="1:13" ht="14.25" customHeight="1" x14ac:dyDescent="0.25">
      <c r="A1244" s="9" t="s">
        <v>19</v>
      </c>
      <c r="B1244" s="81">
        <v>121327</v>
      </c>
      <c r="C1244" s="81">
        <v>10757</v>
      </c>
      <c r="D1244" s="9" t="s">
        <v>1537</v>
      </c>
      <c r="E1244" s="81">
        <v>14563091</v>
      </c>
      <c r="F1244" s="81">
        <v>53504</v>
      </c>
      <c r="G1244" s="81">
        <v>1</v>
      </c>
      <c r="H1244" s="82">
        <v>359.46</v>
      </c>
      <c r="I1244" s="251">
        <v>359.46</v>
      </c>
      <c r="J1244" s="9" t="s">
        <v>1387</v>
      </c>
      <c r="K1244" s="9" t="s">
        <v>1388</v>
      </c>
      <c r="L1244" s="83">
        <v>45200</v>
      </c>
      <c r="M1244" s="83">
        <v>45230</v>
      </c>
    </row>
    <row r="1245" spans="1:13" ht="14.25" customHeight="1" x14ac:dyDescent="0.25">
      <c r="A1245" s="9" t="s">
        <v>1578</v>
      </c>
      <c r="B1245" s="81">
        <v>112274</v>
      </c>
      <c r="C1245" s="81">
        <v>10761</v>
      </c>
      <c r="D1245" s="9" t="s">
        <v>80</v>
      </c>
      <c r="E1245" s="81">
        <v>14563091</v>
      </c>
      <c r="F1245" s="81">
        <v>28982</v>
      </c>
      <c r="G1245" s="81">
        <v>1</v>
      </c>
      <c r="H1245" s="82">
        <v>359.46</v>
      </c>
      <c r="I1245" s="251">
        <v>359.46</v>
      </c>
      <c r="J1245" s="9" t="s">
        <v>1387</v>
      </c>
      <c r="K1245" s="9" t="s">
        <v>1388</v>
      </c>
      <c r="L1245" s="83">
        <v>45200</v>
      </c>
      <c r="M1245" s="83">
        <v>45230</v>
      </c>
    </row>
    <row r="1246" spans="1:13" ht="14.25" customHeight="1" x14ac:dyDescent="0.25">
      <c r="A1246" s="9" t="s">
        <v>8</v>
      </c>
      <c r="B1246" s="81">
        <v>116009</v>
      </c>
      <c r="C1246" s="81">
        <v>10750</v>
      </c>
      <c r="D1246" s="9" t="s">
        <v>81</v>
      </c>
      <c r="E1246" s="81">
        <v>14563091</v>
      </c>
      <c r="F1246" s="81">
        <v>40873</v>
      </c>
      <c r="G1246" s="81">
        <v>1</v>
      </c>
      <c r="H1246" s="82">
        <v>359.46</v>
      </c>
      <c r="I1246" s="251">
        <v>359.46</v>
      </c>
      <c r="J1246" s="9" t="s">
        <v>1387</v>
      </c>
      <c r="K1246" s="9" t="s">
        <v>1388</v>
      </c>
      <c r="L1246" s="83">
        <v>45200</v>
      </c>
      <c r="M1246" s="83">
        <v>45230</v>
      </c>
    </row>
    <row r="1247" spans="1:13" ht="14.25" customHeight="1" x14ac:dyDescent="0.25">
      <c r="A1247" s="9" t="s">
        <v>10</v>
      </c>
      <c r="B1247" s="81">
        <v>112278</v>
      </c>
      <c r="C1247" s="81">
        <v>10750</v>
      </c>
      <c r="D1247" s="9" t="s">
        <v>83</v>
      </c>
      <c r="E1247" s="81">
        <v>14563091</v>
      </c>
      <c r="F1247" s="81">
        <v>28990</v>
      </c>
      <c r="G1247" s="81">
        <v>1</v>
      </c>
      <c r="H1247" s="82">
        <v>359.46</v>
      </c>
      <c r="I1247" s="251">
        <v>359.46</v>
      </c>
      <c r="J1247" s="9" t="s">
        <v>1387</v>
      </c>
      <c r="K1247" s="9" t="s">
        <v>1388</v>
      </c>
      <c r="L1247" s="83">
        <v>45200</v>
      </c>
      <c r="M1247" s="83">
        <v>45230</v>
      </c>
    </row>
    <row r="1248" spans="1:13" ht="14.25" customHeight="1" x14ac:dyDescent="0.25">
      <c r="A1248" s="9" t="s">
        <v>1578</v>
      </c>
      <c r="B1248" s="81">
        <v>112992</v>
      </c>
      <c r="C1248" s="81">
        <v>10745</v>
      </c>
      <c r="D1248" s="9" t="s">
        <v>535</v>
      </c>
      <c r="E1248" s="81">
        <v>14563091</v>
      </c>
      <c r="F1248" s="81">
        <v>30418</v>
      </c>
      <c r="G1248" s="81">
        <v>1</v>
      </c>
      <c r="H1248" s="82">
        <v>359.46</v>
      </c>
      <c r="I1248" s="251">
        <v>359.46</v>
      </c>
      <c r="J1248" s="9" t="s">
        <v>1387</v>
      </c>
      <c r="K1248" s="9" t="s">
        <v>1388</v>
      </c>
      <c r="L1248" s="83">
        <v>45200</v>
      </c>
      <c r="M1248" s="83">
        <v>45230</v>
      </c>
    </row>
    <row r="1249" spans="1:13" ht="14.25" customHeight="1" x14ac:dyDescent="0.25">
      <c r="A1249" s="9" t="s">
        <v>1578</v>
      </c>
      <c r="B1249" s="81">
        <v>112686</v>
      </c>
      <c r="C1249" s="81">
        <v>10768</v>
      </c>
      <c r="D1249" s="9" t="s">
        <v>341</v>
      </c>
      <c r="E1249" s="81">
        <v>14563091</v>
      </c>
      <c r="F1249" s="81">
        <v>29806</v>
      </c>
      <c r="G1249" s="81">
        <v>1</v>
      </c>
      <c r="H1249" s="82">
        <v>359.46</v>
      </c>
      <c r="I1249" s="251">
        <v>359.46</v>
      </c>
      <c r="J1249" s="9" t="s">
        <v>1387</v>
      </c>
      <c r="K1249" s="9" t="s">
        <v>1388</v>
      </c>
      <c r="L1249" s="83">
        <v>45200</v>
      </c>
      <c r="M1249" s="83">
        <v>45230</v>
      </c>
    </row>
    <row r="1250" spans="1:13" ht="14.25" customHeight="1" x14ac:dyDescent="0.25">
      <c r="A1250" s="9" t="s">
        <v>8</v>
      </c>
      <c r="B1250" s="81">
        <v>114938</v>
      </c>
      <c r="C1250" s="81">
        <v>10766</v>
      </c>
      <c r="D1250" s="9" t="s">
        <v>1118</v>
      </c>
      <c r="E1250" s="81">
        <v>14563091</v>
      </c>
      <c r="F1250" s="81">
        <v>37654</v>
      </c>
      <c r="G1250" s="81">
        <v>1</v>
      </c>
      <c r="H1250" s="82">
        <v>359.46</v>
      </c>
      <c r="I1250" s="251">
        <v>359.46</v>
      </c>
      <c r="J1250" s="9" t="s">
        <v>1387</v>
      </c>
      <c r="K1250" s="9" t="s">
        <v>1388</v>
      </c>
      <c r="L1250" s="83">
        <v>45200</v>
      </c>
      <c r="M1250" s="83">
        <v>45230</v>
      </c>
    </row>
    <row r="1251" spans="1:13" ht="14.25" customHeight="1" x14ac:dyDescent="0.25">
      <c r="A1251" s="9" t="s">
        <v>8</v>
      </c>
      <c r="B1251" s="81">
        <v>112428</v>
      </c>
      <c r="C1251" s="81">
        <v>10750</v>
      </c>
      <c r="D1251" s="9" t="s">
        <v>172</v>
      </c>
      <c r="E1251" s="81">
        <v>14563091</v>
      </c>
      <c r="F1251" s="81">
        <v>29290</v>
      </c>
      <c r="G1251" s="81">
        <v>1</v>
      </c>
      <c r="H1251" s="82">
        <v>359.46</v>
      </c>
      <c r="I1251" s="251">
        <v>359.46</v>
      </c>
      <c r="J1251" s="9" t="s">
        <v>1387</v>
      </c>
      <c r="K1251" s="9" t="s">
        <v>1388</v>
      </c>
      <c r="L1251" s="83">
        <v>45200</v>
      </c>
      <c r="M1251" s="83">
        <v>45230</v>
      </c>
    </row>
    <row r="1252" spans="1:13" ht="14.25" customHeight="1" x14ac:dyDescent="0.25">
      <c r="A1252" s="9" t="s">
        <v>8</v>
      </c>
      <c r="B1252" s="81">
        <v>112432</v>
      </c>
      <c r="C1252" s="81">
        <v>10757</v>
      </c>
      <c r="D1252" s="9" t="s">
        <v>1381</v>
      </c>
      <c r="E1252" s="81">
        <v>14563091</v>
      </c>
      <c r="F1252" s="81">
        <v>29298</v>
      </c>
      <c r="G1252" s="81">
        <v>1</v>
      </c>
      <c r="H1252" s="82">
        <v>347.47</v>
      </c>
      <c r="I1252" s="251">
        <v>347.47</v>
      </c>
      <c r="J1252" s="9" t="s">
        <v>1387</v>
      </c>
      <c r="K1252" s="9" t="s">
        <v>1388</v>
      </c>
      <c r="L1252" s="83">
        <v>45200</v>
      </c>
      <c r="M1252" s="83">
        <v>45230</v>
      </c>
    </row>
    <row r="1253" spans="1:13" ht="14.25" customHeight="1" x14ac:dyDescent="0.25">
      <c r="A1253" s="9" t="s">
        <v>10</v>
      </c>
      <c r="B1253" s="81">
        <v>112282</v>
      </c>
      <c r="C1253" s="81">
        <v>10750</v>
      </c>
      <c r="D1253" s="9" t="s">
        <v>88</v>
      </c>
      <c r="E1253" s="81">
        <v>14563091</v>
      </c>
      <c r="F1253" s="81">
        <v>28998</v>
      </c>
      <c r="G1253" s="81">
        <v>1</v>
      </c>
      <c r="H1253" s="82">
        <v>359.46</v>
      </c>
      <c r="I1253" s="251">
        <v>359.46</v>
      </c>
      <c r="J1253" s="9" t="s">
        <v>1387</v>
      </c>
      <c r="K1253" s="9" t="s">
        <v>1388</v>
      </c>
      <c r="L1253" s="83">
        <v>45200</v>
      </c>
      <c r="M1253" s="83">
        <v>45230</v>
      </c>
    </row>
    <row r="1254" spans="1:13" ht="14.25" customHeight="1" x14ac:dyDescent="0.25">
      <c r="A1254" s="9" t="s">
        <v>8</v>
      </c>
      <c r="B1254" s="81">
        <v>116237</v>
      </c>
      <c r="C1254" s="81">
        <v>10750</v>
      </c>
      <c r="D1254" s="9" t="s">
        <v>1197</v>
      </c>
      <c r="E1254" s="81">
        <v>14563091</v>
      </c>
      <c r="F1254" s="81">
        <v>41581</v>
      </c>
      <c r="G1254" s="81">
        <v>1</v>
      </c>
      <c r="H1254" s="82">
        <v>359.46</v>
      </c>
      <c r="I1254" s="251">
        <v>359.46</v>
      </c>
      <c r="J1254" s="9" t="s">
        <v>1387</v>
      </c>
      <c r="K1254" s="9" t="s">
        <v>1388</v>
      </c>
      <c r="L1254" s="83">
        <v>45200</v>
      </c>
      <c r="M1254" s="83">
        <v>45230</v>
      </c>
    </row>
    <row r="1255" spans="1:13" ht="14.25" customHeight="1" x14ac:dyDescent="0.25">
      <c r="A1255" s="9" t="s">
        <v>1580</v>
      </c>
      <c r="B1255" s="81">
        <v>119241</v>
      </c>
      <c r="C1255" s="81">
        <v>10775</v>
      </c>
      <c r="D1255" s="9" t="s">
        <v>1452</v>
      </c>
      <c r="E1255" s="81">
        <v>14563091</v>
      </c>
      <c r="F1255" s="81">
        <v>48552</v>
      </c>
      <c r="G1255" s="81">
        <v>1</v>
      </c>
      <c r="H1255" s="82">
        <v>359.46</v>
      </c>
      <c r="I1255" s="251">
        <v>359.46</v>
      </c>
      <c r="J1255" s="9" t="s">
        <v>1387</v>
      </c>
      <c r="K1255" s="9" t="s">
        <v>1388</v>
      </c>
      <c r="L1255" s="83">
        <v>45200</v>
      </c>
      <c r="M1255" s="83">
        <v>45230</v>
      </c>
    </row>
    <row r="1256" spans="1:13" ht="14.25" customHeight="1" x14ac:dyDescent="0.25">
      <c r="A1256" s="9" t="s">
        <v>1578</v>
      </c>
      <c r="B1256" s="81">
        <v>122030</v>
      </c>
      <c r="C1256" s="81">
        <v>10743</v>
      </c>
      <c r="D1256" s="9" t="s">
        <v>1575</v>
      </c>
      <c r="E1256" s="81">
        <v>14563091</v>
      </c>
      <c r="F1256" s="81">
        <v>55144</v>
      </c>
      <c r="G1256" s="81">
        <v>1</v>
      </c>
      <c r="H1256" s="82">
        <v>359.46</v>
      </c>
      <c r="I1256" s="251">
        <v>359.46</v>
      </c>
      <c r="J1256" s="9" t="s">
        <v>1387</v>
      </c>
      <c r="K1256" s="9" t="s">
        <v>1388</v>
      </c>
      <c r="L1256" s="83">
        <v>45200</v>
      </c>
      <c r="M1256" s="83">
        <v>45230</v>
      </c>
    </row>
    <row r="1257" spans="1:13" ht="14.25" customHeight="1" x14ac:dyDescent="0.25">
      <c r="A1257" s="9" t="s">
        <v>19</v>
      </c>
      <c r="B1257" s="81">
        <v>112217</v>
      </c>
      <c r="C1257" s="81">
        <v>10750</v>
      </c>
      <c r="D1257" s="9" t="s">
        <v>40</v>
      </c>
      <c r="E1257" s="81">
        <v>14563091</v>
      </c>
      <c r="F1257" s="81">
        <v>28868</v>
      </c>
      <c r="G1257" s="81">
        <v>1</v>
      </c>
      <c r="H1257" s="82">
        <v>359.46</v>
      </c>
      <c r="I1257" s="251">
        <v>359.46</v>
      </c>
      <c r="J1257" s="9" t="s">
        <v>1387</v>
      </c>
      <c r="K1257" s="9" t="s">
        <v>1388</v>
      </c>
      <c r="L1257" s="83">
        <v>45200</v>
      </c>
      <c r="M1257" s="83">
        <v>45230</v>
      </c>
    </row>
    <row r="1258" spans="1:13" ht="14.25" customHeight="1" x14ac:dyDescent="0.25">
      <c r="A1258" s="9" t="s">
        <v>8</v>
      </c>
      <c r="B1258" s="81">
        <v>112434</v>
      </c>
      <c r="C1258" s="81">
        <v>10751</v>
      </c>
      <c r="D1258" s="9" t="s">
        <v>177</v>
      </c>
      <c r="E1258" s="81">
        <v>14563091</v>
      </c>
      <c r="F1258" s="81">
        <v>29302</v>
      </c>
      <c r="G1258" s="81">
        <v>1</v>
      </c>
      <c r="H1258" s="82">
        <v>359.46</v>
      </c>
      <c r="I1258" s="251">
        <v>359.46</v>
      </c>
      <c r="J1258" s="9" t="s">
        <v>1387</v>
      </c>
      <c r="K1258" s="9" t="s">
        <v>1388</v>
      </c>
      <c r="L1258" s="83">
        <v>45200</v>
      </c>
      <c r="M1258" s="83">
        <v>45230</v>
      </c>
    </row>
    <row r="1259" spans="1:13" ht="14.25" customHeight="1" x14ac:dyDescent="0.25">
      <c r="A1259" s="9" t="s">
        <v>0</v>
      </c>
      <c r="B1259" s="81">
        <v>112698</v>
      </c>
      <c r="C1259" s="81">
        <v>10751</v>
      </c>
      <c r="D1259" s="9" t="s">
        <v>348</v>
      </c>
      <c r="E1259" s="81">
        <v>14563091</v>
      </c>
      <c r="F1259" s="81">
        <v>29830</v>
      </c>
      <c r="G1259" s="81">
        <v>1</v>
      </c>
      <c r="H1259" s="82">
        <v>359.46</v>
      </c>
      <c r="I1259" s="251">
        <v>359.46</v>
      </c>
      <c r="J1259" s="9" t="s">
        <v>1387</v>
      </c>
      <c r="K1259" s="9" t="s">
        <v>1388</v>
      </c>
      <c r="L1259" s="83">
        <v>45200</v>
      </c>
      <c r="M1259" s="83">
        <v>45230</v>
      </c>
    </row>
    <row r="1260" spans="1:13" ht="14.25" customHeight="1" x14ac:dyDescent="0.25">
      <c r="A1260" s="9" t="s">
        <v>8</v>
      </c>
      <c r="B1260" s="81">
        <v>112444</v>
      </c>
      <c r="C1260" s="81">
        <v>10757</v>
      </c>
      <c r="D1260" s="9" t="s">
        <v>185</v>
      </c>
      <c r="E1260" s="81">
        <v>14563091</v>
      </c>
      <c r="F1260" s="81">
        <v>29322</v>
      </c>
      <c r="G1260" s="81">
        <v>1</v>
      </c>
      <c r="H1260" s="82">
        <v>359.46</v>
      </c>
      <c r="I1260" s="251">
        <v>359.46</v>
      </c>
      <c r="J1260" s="9" t="s">
        <v>1387</v>
      </c>
      <c r="K1260" s="9" t="s">
        <v>1388</v>
      </c>
      <c r="L1260" s="83">
        <v>45200</v>
      </c>
      <c r="M1260" s="83">
        <v>45230</v>
      </c>
    </row>
    <row r="1261" spans="1:13" ht="14.25" customHeight="1" x14ac:dyDescent="0.25">
      <c r="A1261" s="9" t="s">
        <v>19</v>
      </c>
      <c r="B1261" s="81">
        <v>112220</v>
      </c>
      <c r="C1261" s="81">
        <v>10750</v>
      </c>
      <c r="D1261" s="9" t="s">
        <v>41</v>
      </c>
      <c r="E1261" s="81">
        <v>14563091</v>
      </c>
      <c r="F1261" s="81">
        <v>28874</v>
      </c>
      <c r="G1261" s="81">
        <v>1</v>
      </c>
      <c r="H1261" s="82">
        <v>359.46</v>
      </c>
      <c r="I1261" s="251">
        <v>359.46</v>
      </c>
      <c r="J1261" s="9" t="s">
        <v>1387</v>
      </c>
      <c r="K1261" s="9" t="s">
        <v>1388</v>
      </c>
      <c r="L1261" s="83">
        <v>45200</v>
      </c>
      <c r="M1261" s="83">
        <v>45230</v>
      </c>
    </row>
    <row r="1262" spans="1:13" ht="14.25" customHeight="1" x14ac:dyDescent="0.25">
      <c r="A1262" s="9" t="s">
        <v>1578</v>
      </c>
      <c r="B1262" s="81">
        <v>112704</v>
      </c>
      <c r="C1262" s="81">
        <v>10767</v>
      </c>
      <c r="D1262" s="9" t="s">
        <v>353</v>
      </c>
      <c r="E1262" s="81">
        <v>14563091</v>
      </c>
      <c r="F1262" s="81">
        <v>29842</v>
      </c>
      <c r="G1262" s="81">
        <v>1</v>
      </c>
      <c r="H1262" s="82">
        <v>359.46</v>
      </c>
      <c r="I1262" s="251">
        <v>359.46</v>
      </c>
      <c r="J1262" s="9" t="s">
        <v>1387</v>
      </c>
      <c r="K1262" s="9" t="s">
        <v>1388</v>
      </c>
      <c r="L1262" s="83">
        <v>45200</v>
      </c>
      <c r="M1262" s="83">
        <v>45230</v>
      </c>
    </row>
    <row r="1263" spans="1:13" ht="14.25" customHeight="1" x14ac:dyDescent="0.25">
      <c r="A1263" s="9" t="s">
        <v>0</v>
      </c>
      <c r="B1263" s="81">
        <v>113732</v>
      </c>
      <c r="C1263" s="81">
        <v>10771</v>
      </c>
      <c r="D1263" s="9" t="s">
        <v>945</v>
      </c>
      <c r="E1263" s="81">
        <v>14563091</v>
      </c>
      <c r="F1263" s="81">
        <v>31898</v>
      </c>
      <c r="G1263" s="81">
        <v>1</v>
      </c>
      <c r="H1263" s="82">
        <v>359.46</v>
      </c>
      <c r="I1263" s="251">
        <v>359.46</v>
      </c>
      <c r="J1263" s="9" t="s">
        <v>1387</v>
      </c>
      <c r="K1263" s="9" t="s">
        <v>1388</v>
      </c>
      <c r="L1263" s="83">
        <v>45200</v>
      </c>
      <c r="M1263" s="83">
        <v>45230</v>
      </c>
    </row>
    <row r="1264" spans="1:13" ht="14.25" customHeight="1" x14ac:dyDescent="0.25">
      <c r="A1264" s="9" t="s">
        <v>8</v>
      </c>
      <c r="B1264" s="81">
        <v>112457</v>
      </c>
      <c r="C1264" s="81">
        <v>10750</v>
      </c>
      <c r="D1264" s="9" t="s">
        <v>193</v>
      </c>
      <c r="E1264" s="81">
        <v>14563091</v>
      </c>
      <c r="F1264" s="81">
        <v>29348</v>
      </c>
      <c r="G1264" s="81">
        <v>1</v>
      </c>
      <c r="H1264" s="82">
        <v>359.46</v>
      </c>
      <c r="I1264" s="251">
        <v>359.46</v>
      </c>
      <c r="J1264" s="9" t="s">
        <v>1387</v>
      </c>
      <c r="K1264" s="9" t="s">
        <v>1388</v>
      </c>
      <c r="L1264" s="83">
        <v>45200</v>
      </c>
      <c r="M1264" s="83">
        <v>45230</v>
      </c>
    </row>
    <row r="1265" spans="1:13" ht="14.25" customHeight="1" x14ac:dyDescent="0.25">
      <c r="A1265" s="9" t="s">
        <v>0</v>
      </c>
      <c r="B1265" s="81">
        <v>112706</v>
      </c>
      <c r="C1265" s="81">
        <v>10751</v>
      </c>
      <c r="D1265" s="9" t="s">
        <v>354</v>
      </c>
      <c r="E1265" s="81">
        <v>14563091</v>
      </c>
      <c r="F1265" s="81">
        <v>29846</v>
      </c>
      <c r="G1265" s="81">
        <v>1</v>
      </c>
      <c r="H1265" s="82">
        <v>359.46</v>
      </c>
      <c r="I1265" s="251">
        <v>359.46</v>
      </c>
      <c r="J1265" s="9" t="s">
        <v>1387</v>
      </c>
      <c r="K1265" s="9" t="s">
        <v>1388</v>
      </c>
      <c r="L1265" s="83">
        <v>45200</v>
      </c>
      <c r="M1265" s="83">
        <v>45230</v>
      </c>
    </row>
    <row r="1266" spans="1:13" ht="14.25" customHeight="1" x14ac:dyDescent="0.25">
      <c r="A1266" s="9" t="s">
        <v>1578</v>
      </c>
      <c r="B1266" s="81">
        <v>113003</v>
      </c>
      <c r="C1266" s="81">
        <v>10761</v>
      </c>
      <c r="D1266" s="9" t="s">
        <v>540</v>
      </c>
      <c r="E1266" s="81">
        <v>14563091</v>
      </c>
      <c r="F1266" s="81">
        <v>30440</v>
      </c>
      <c r="G1266" s="81">
        <v>1</v>
      </c>
      <c r="H1266" s="82">
        <v>359.46</v>
      </c>
      <c r="I1266" s="251">
        <v>359.46</v>
      </c>
      <c r="J1266" s="9" t="s">
        <v>1387</v>
      </c>
      <c r="K1266" s="9" t="s">
        <v>1388</v>
      </c>
      <c r="L1266" s="83">
        <v>45200</v>
      </c>
      <c r="M1266" s="83">
        <v>45230</v>
      </c>
    </row>
    <row r="1267" spans="1:13" ht="14.25" customHeight="1" x14ac:dyDescent="0.25">
      <c r="A1267" s="9" t="s">
        <v>1578</v>
      </c>
      <c r="B1267" s="81">
        <v>112707</v>
      </c>
      <c r="C1267" s="81">
        <v>10767</v>
      </c>
      <c r="D1267" s="9" t="s">
        <v>356</v>
      </c>
      <c r="E1267" s="81">
        <v>14563091</v>
      </c>
      <c r="F1267" s="81">
        <v>29848</v>
      </c>
      <c r="G1267" s="81">
        <v>1</v>
      </c>
      <c r="H1267" s="82">
        <v>359.46</v>
      </c>
      <c r="I1267" s="251">
        <v>359.46</v>
      </c>
      <c r="J1267" s="9" t="s">
        <v>1387</v>
      </c>
      <c r="K1267" s="9" t="s">
        <v>1388</v>
      </c>
      <c r="L1267" s="83">
        <v>45200</v>
      </c>
      <c r="M1267" s="83">
        <v>45230</v>
      </c>
    </row>
    <row r="1268" spans="1:13" ht="14.25" customHeight="1" x14ac:dyDescent="0.25">
      <c r="A1268" s="9" t="s">
        <v>10</v>
      </c>
      <c r="B1268" s="81">
        <v>112290</v>
      </c>
      <c r="C1268" s="81">
        <v>10751</v>
      </c>
      <c r="D1268" s="9" t="s">
        <v>91</v>
      </c>
      <c r="E1268" s="81">
        <v>14563091</v>
      </c>
      <c r="F1268" s="81">
        <v>29014</v>
      </c>
      <c r="G1268" s="81">
        <v>1</v>
      </c>
      <c r="H1268" s="82">
        <v>359.46</v>
      </c>
      <c r="I1268" s="251">
        <v>359.46</v>
      </c>
      <c r="J1268" s="9" t="s">
        <v>1387</v>
      </c>
      <c r="K1268" s="9" t="s">
        <v>1388</v>
      </c>
      <c r="L1268" s="83">
        <v>45200</v>
      </c>
      <c r="M1268" s="83">
        <v>45230</v>
      </c>
    </row>
    <row r="1269" spans="1:13" ht="14.25" customHeight="1" x14ac:dyDescent="0.25">
      <c r="A1269" s="9" t="s">
        <v>10</v>
      </c>
      <c r="B1269" s="81">
        <v>112461</v>
      </c>
      <c r="C1269" s="81">
        <v>10756</v>
      </c>
      <c r="D1269" s="9" t="s">
        <v>196</v>
      </c>
      <c r="E1269" s="81">
        <v>14563091</v>
      </c>
      <c r="F1269" s="81">
        <v>29356</v>
      </c>
      <c r="G1269" s="81">
        <v>1</v>
      </c>
      <c r="H1269" s="82">
        <v>359.46</v>
      </c>
      <c r="I1269" s="251">
        <v>359.46</v>
      </c>
      <c r="J1269" s="9" t="s">
        <v>1387</v>
      </c>
      <c r="K1269" s="9" t="s">
        <v>1388</v>
      </c>
      <c r="L1269" s="83">
        <v>45200</v>
      </c>
      <c r="M1269" s="83">
        <v>45230</v>
      </c>
    </row>
    <row r="1270" spans="1:13" ht="14.25" customHeight="1" x14ac:dyDescent="0.25">
      <c r="A1270" s="9" t="s">
        <v>0</v>
      </c>
      <c r="B1270" s="81">
        <v>112714</v>
      </c>
      <c r="C1270" s="81">
        <v>10751</v>
      </c>
      <c r="D1270" s="9" t="s">
        <v>358</v>
      </c>
      <c r="E1270" s="81">
        <v>14563091</v>
      </c>
      <c r="F1270" s="81">
        <v>29862</v>
      </c>
      <c r="G1270" s="81">
        <v>1</v>
      </c>
      <c r="H1270" s="82">
        <v>359.46</v>
      </c>
      <c r="I1270" s="251">
        <v>359.46</v>
      </c>
      <c r="J1270" s="9" t="s">
        <v>1387</v>
      </c>
      <c r="K1270" s="9" t="s">
        <v>1388</v>
      </c>
      <c r="L1270" s="83">
        <v>45200</v>
      </c>
      <c r="M1270" s="83">
        <v>45230</v>
      </c>
    </row>
    <row r="1271" spans="1:13" ht="14.25" customHeight="1" x14ac:dyDescent="0.25">
      <c r="A1271" s="9" t="s">
        <v>19</v>
      </c>
      <c r="B1271" s="81">
        <v>112224</v>
      </c>
      <c r="C1271" s="81">
        <v>10750</v>
      </c>
      <c r="D1271" s="9" t="s">
        <v>46</v>
      </c>
      <c r="E1271" s="81">
        <v>14563091</v>
      </c>
      <c r="F1271" s="81">
        <v>28882</v>
      </c>
      <c r="G1271" s="81">
        <v>1</v>
      </c>
      <c r="H1271" s="82">
        <v>359.46</v>
      </c>
      <c r="I1271" s="251">
        <v>359.46</v>
      </c>
      <c r="J1271" s="9" t="s">
        <v>1387</v>
      </c>
      <c r="K1271" s="9" t="s">
        <v>1388</v>
      </c>
      <c r="L1271" s="83">
        <v>45200</v>
      </c>
      <c r="M1271" s="83">
        <v>45230</v>
      </c>
    </row>
    <row r="1272" spans="1:13" ht="14.25" customHeight="1" x14ac:dyDescent="0.25">
      <c r="A1272" s="9" t="s">
        <v>10</v>
      </c>
      <c r="B1272" s="81">
        <v>112294</v>
      </c>
      <c r="C1272" s="81">
        <v>10750</v>
      </c>
      <c r="D1272" s="9" t="s">
        <v>1382</v>
      </c>
      <c r="E1272" s="81">
        <v>14563091</v>
      </c>
      <c r="F1272" s="81">
        <v>29022</v>
      </c>
      <c r="G1272" s="81">
        <v>1</v>
      </c>
      <c r="H1272" s="82">
        <v>359.46</v>
      </c>
      <c r="I1272" s="251">
        <v>359.46</v>
      </c>
      <c r="J1272" s="9" t="s">
        <v>1387</v>
      </c>
      <c r="K1272" s="9" t="s">
        <v>1388</v>
      </c>
      <c r="L1272" s="83">
        <v>45200</v>
      </c>
      <c r="M1272" s="83">
        <v>45230</v>
      </c>
    </row>
    <row r="1273" spans="1:13" ht="14.25" customHeight="1" x14ac:dyDescent="0.25">
      <c r="A1273" s="9" t="s">
        <v>1578</v>
      </c>
      <c r="B1273" s="81">
        <v>112717</v>
      </c>
      <c r="C1273" s="81">
        <v>10768</v>
      </c>
      <c r="D1273" s="9" t="s">
        <v>360</v>
      </c>
      <c r="E1273" s="81">
        <v>14563091</v>
      </c>
      <c r="F1273" s="81">
        <v>29868</v>
      </c>
      <c r="G1273" s="81">
        <v>1</v>
      </c>
      <c r="H1273" s="82">
        <v>359.46</v>
      </c>
      <c r="I1273" s="251">
        <v>359.46</v>
      </c>
      <c r="J1273" s="9" t="s">
        <v>1387</v>
      </c>
      <c r="K1273" s="9" t="s">
        <v>1388</v>
      </c>
      <c r="L1273" s="83">
        <v>45200</v>
      </c>
      <c r="M1273" s="83">
        <v>45230</v>
      </c>
    </row>
    <row r="1274" spans="1:13" ht="14.25" customHeight="1" x14ac:dyDescent="0.25">
      <c r="A1274" s="9" t="s">
        <v>8</v>
      </c>
      <c r="B1274" s="81">
        <v>112472</v>
      </c>
      <c r="C1274" s="81">
        <v>10760</v>
      </c>
      <c r="D1274" s="9" t="s">
        <v>201</v>
      </c>
      <c r="E1274" s="81">
        <v>14563091</v>
      </c>
      <c r="F1274" s="81">
        <v>29378</v>
      </c>
      <c r="G1274" s="81">
        <v>1</v>
      </c>
      <c r="H1274" s="82">
        <v>359.46</v>
      </c>
      <c r="I1274" s="251">
        <v>359.46</v>
      </c>
      <c r="J1274" s="9" t="s">
        <v>1387</v>
      </c>
      <c r="K1274" s="9" t="s">
        <v>1388</v>
      </c>
      <c r="L1274" s="83">
        <v>45200</v>
      </c>
      <c r="M1274" s="83">
        <v>45230</v>
      </c>
    </row>
    <row r="1275" spans="1:13" ht="14.25" customHeight="1" x14ac:dyDescent="0.25">
      <c r="A1275" s="9" t="s">
        <v>19</v>
      </c>
      <c r="B1275" s="81">
        <v>112228</v>
      </c>
      <c r="C1275" s="81">
        <v>10750</v>
      </c>
      <c r="D1275" s="9" t="s">
        <v>50</v>
      </c>
      <c r="E1275" s="81">
        <v>14563091</v>
      </c>
      <c r="F1275" s="81">
        <v>28890</v>
      </c>
      <c r="G1275" s="81">
        <v>1</v>
      </c>
      <c r="H1275" s="82">
        <v>359.46</v>
      </c>
      <c r="I1275" s="251">
        <v>359.46</v>
      </c>
      <c r="J1275" s="9" t="s">
        <v>1387</v>
      </c>
      <c r="K1275" s="9" t="s">
        <v>1388</v>
      </c>
      <c r="L1275" s="83">
        <v>45200</v>
      </c>
      <c r="M1275" s="83">
        <v>45230</v>
      </c>
    </row>
    <row r="1276" spans="1:13" ht="14.25" customHeight="1" x14ac:dyDescent="0.25">
      <c r="A1276" s="9" t="s">
        <v>19</v>
      </c>
      <c r="B1276" s="81">
        <v>112229</v>
      </c>
      <c r="C1276" s="81">
        <v>10750</v>
      </c>
      <c r="D1276" s="9" t="s">
        <v>51</v>
      </c>
      <c r="E1276" s="81">
        <v>14563091</v>
      </c>
      <c r="F1276" s="81">
        <v>28892</v>
      </c>
      <c r="G1276" s="81">
        <v>1</v>
      </c>
      <c r="H1276" s="82">
        <v>359.46</v>
      </c>
      <c r="I1276" s="251">
        <v>359.46</v>
      </c>
      <c r="J1276" s="9" t="s">
        <v>1387</v>
      </c>
      <c r="K1276" s="9" t="s">
        <v>1388</v>
      </c>
      <c r="L1276" s="83">
        <v>45200</v>
      </c>
      <c r="M1276" s="83">
        <v>45230</v>
      </c>
    </row>
    <row r="1277" spans="1:13" ht="14.25" customHeight="1" x14ac:dyDescent="0.25">
      <c r="A1277" s="9" t="s">
        <v>8</v>
      </c>
      <c r="B1277" s="81">
        <v>112475</v>
      </c>
      <c r="C1277" s="81">
        <v>10750</v>
      </c>
      <c r="D1277" s="9" t="s">
        <v>203</v>
      </c>
      <c r="E1277" s="81">
        <v>14563091</v>
      </c>
      <c r="F1277" s="81">
        <v>29384</v>
      </c>
      <c r="G1277" s="81">
        <v>1</v>
      </c>
      <c r="H1277" s="82">
        <v>359.46</v>
      </c>
      <c r="I1277" s="251">
        <v>359.46</v>
      </c>
      <c r="J1277" s="9" t="s">
        <v>1387</v>
      </c>
      <c r="K1277" s="9" t="s">
        <v>1388</v>
      </c>
      <c r="L1277" s="83">
        <v>45200</v>
      </c>
      <c r="M1277" s="83">
        <v>45230</v>
      </c>
    </row>
    <row r="1278" spans="1:13" ht="14.25" customHeight="1" x14ac:dyDescent="0.25">
      <c r="A1278" s="9" t="s">
        <v>1578</v>
      </c>
      <c r="B1278" s="81">
        <v>118994</v>
      </c>
      <c r="C1278" s="81">
        <v>10767</v>
      </c>
      <c r="D1278" s="9" t="s">
        <v>1428</v>
      </c>
      <c r="E1278" s="81">
        <v>14563091</v>
      </c>
      <c r="F1278" s="81">
        <v>47941</v>
      </c>
      <c r="G1278" s="81">
        <v>1</v>
      </c>
      <c r="H1278" s="82">
        <v>359.46</v>
      </c>
      <c r="I1278" s="251">
        <v>359.46</v>
      </c>
      <c r="J1278" s="9" t="s">
        <v>1387</v>
      </c>
      <c r="K1278" s="9" t="s">
        <v>1388</v>
      </c>
      <c r="L1278" s="83">
        <v>45200</v>
      </c>
      <c r="M1278" s="83">
        <v>45230</v>
      </c>
    </row>
    <row r="1279" spans="1:13" ht="14.25" customHeight="1" x14ac:dyDescent="0.25">
      <c r="A1279" s="9" t="s">
        <v>1578</v>
      </c>
      <c r="B1279" s="81">
        <v>116112</v>
      </c>
      <c r="C1279" s="81">
        <v>10745</v>
      </c>
      <c r="D1279" s="9" t="s">
        <v>1185</v>
      </c>
      <c r="E1279" s="81">
        <v>14563091</v>
      </c>
      <c r="F1279" s="81">
        <v>41161</v>
      </c>
      <c r="G1279" s="81">
        <v>1</v>
      </c>
      <c r="H1279" s="82">
        <v>359.46</v>
      </c>
      <c r="I1279" s="251">
        <v>359.46</v>
      </c>
      <c r="J1279" s="9" t="s">
        <v>1387</v>
      </c>
      <c r="K1279" s="9" t="s">
        <v>1388</v>
      </c>
      <c r="L1279" s="83">
        <v>45200</v>
      </c>
      <c r="M1279" s="83">
        <v>45230</v>
      </c>
    </row>
    <row r="1280" spans="1:13" ht="14.25" customHeight="1" x14ac:dyDescent="0.25">
      <c r="A1280" s="9" t="s">
        <v>1578</v>
      </c>
      <c r="B1280" s="81">
        <v>112722</v>
      </c>
      <c r="C1280" s="81">
        <v>10749</v>
      </c>
      <c r="D1280" s="9" t="s">
        <v>364</v>
      </c>
      <c r="E1280" s="81">
        <v>14563091</v>
      </c>
      <c r="F1280" s="81">
        <v>29878</v>
      </c>
      <c r="G1280" s="81">
        <v>1</v>
      </c>
      <c r="H1280" s="82">
        <v>359.46</v>
      </c>
      <c r="I1280" s="251">
        <v>359.46</v>
      </c>
      <c r="J1280" s="9" t="s">
        <v>1387</v>
      </c>
      <c r="K1280" s="9" t="s">
        <v>1388</v>
      </c>
      <c r="L1280" s="83">
        <v>45200</v>
      </c>
      <c r="M1280" s="83">
        <v>45230</v>
      </c>
    </row>
    <row r="1281" spans="1:13" ht="14.25" customHeight="1" x14ac:dyDescent="0.25">
      <c r="A1281" s="9" t="s">
        <v>10</v>
      </c>
      <c r="B1281" s="81">
        <v>112298</v>
      </c>
      <c r="C1281" s="81">
        <v>10750</v>
      </c>
      <c r="D1281" s="9" t="s">
        <v>96</v>
      </c>
      <c r="E1281" s="81">
        <v>14563091</v>
      </c>
      <c r="F1281" s="81">
        <v>29030</v>
      </c>
      <c r="G1281" s="81">
        <v>1</v>
      </c>
      <c r="H1281" s="82">
        <v>359.46</v>
      </c>
      <c r="I1281" s="251">
        <v>359.46</v>
      </c>
      <c r="J1281" s="9" t="s">
        <v>1387</v>
      </c>
      <c r="K1281" s="9" t="s">
        <v>1388</v>
      </c>
      <c r="L1281" s="83">
        <v>45200</v>
      </c>
      <c r="M1281" s="83">
        <v>45230</v>
      </c>
    </row>
    <row r="1282" spans="1:13" ht="14.25" customHeight="1" x14ac:dyDescent="0.25">
      <c r="A1282" s="9" t="s">
        <v>1578</v>
      </c>
      <c r="B1282" s="81">
        <v>113008</v>
      </c>
      <c r="C1282" s="81">
        <v>10766</v>
      </c>
      <c r="D1282" s="9" t="s">
        <v>542</v>
      </c>
      <c r="E1282" s="81">
        <v>14563091</v>
      </c>
      <c r="F1282" s="81">
        <v>30450</v>
      </c>
      <c r="G1282" s="81">
        <v>1</v>
      </c>
      <c r="H1282" s="82">
        <v>359.46</v>
      </c>
      <c r="I1282" s="251">
        <v>359.46</v>
      </c>
      <c r="J1282" s="9" t="s">
        <v>1387</v>
      </c>
      <c r="K1282" s="9" t="s">
        <v>1388</v>
      </c>
      <c r="L1282" s="83">
        <v>45200</v>
      </c>
      <c r="M1282" s="83">
        <v>45230</v>
      </c>
    </row>
    <row r="1283" spans="1:13" ht="14.25" customHeight="1" x14ac:dyDescent="0.25">
      <c r="A1283" s="9" t="s">
        <v>0</v>
      </c>
      <c r="B1283" s="81">
        <v>112725</v>
      </c>
      <c r="C1283" s="81">
        <v>10756</v>
      </c>
      <c r="D1283" s="9" t="s">
        <v>366</v>
      </c>
      <c r="E1283" s="81">
        <v>14563091</v>
      </c>
      <c r="F1283" s="81">
        <v>29884</v>
      </c>
      <c r="G1283" s="81">
        <v>1</v>
      </c>
      <c r="H1283" s="82">
        <v>359.46</v>
      </c>
      <c r="I1283" s="251">
        <v>359.46</v>
      </c>
      <c r="J1283" s="9" t="s">
        <v>1387</v>
      </c>
      <c r="K1283" s="9" t="s">
        <v>1388</v>
      </c>
      <c r="L1283" s="83">
        <v>45200</v>
      </c>
      <c r="M1283" s="83">
        <v>45230</v>
      </c>
    </row>
    <row r="1284" spans="1:13" ht="14.25" customHeight="1" x14ac:dyDescent="0.25">
      <c r="A1284" s="9" t="s">
        <v>8</v>
      </c>
      <c r="B1284" s="81">
        <v>122823</v>
      </c>
      <c r="C1284" s="81">
        <v>10757</v>
      </c>
      <c r="D1284" s="9" t="s">
        <v>1728</v>
      </c>
      <c r="E1284" s="81">
        <v>14563091</v>
      </c>
      <c r="F1284" s="81">
        <v>57217</v>
      </c>
      <c r="G1284" s="81">
        <v>1</v>
      </c>
      <c r="H1284" s="82">
        <v>359.46</v>
      </c>
      <c r="I1284" s="251">
        <v>359.46</v>
      </c>
      <c r="J1284" s="9" t="s">
        <v>1387</v>
      </c>
      <c r="K1284" s="9" t="s">
        <v>1388</v>
      </c>
      <c r="L1284" s="83">
        <v>45200</v>
      </c>
      <c r="M1284" s="83">
        <v>45230</v>
      </c>
    </row>
    <row r="1285" spans="1:13" ht="14.25" customHeight="1" x14ac:dyDescent="0.25">
      <c r="A1285" s="9" t="s">
        <v>32</v>
      </c>
      <c r="B1285" s="81">
        <v>112481</v>
      </c>
      <c r="C1285" s="81">
        <v>10756</v>
      </c>
      <c r="D1285" s="9" t="s">
        <v>207</v>
      </c>
      <c r="E1285" s="81">
        <v>14563091</v>
      </c>
      <c r="F1285" s="81">
        <v>29396</v>
      </c>
      <c r="G1285" s="81">
        <v>1</v>
      </c>
      <c r="H1285" s="82">
        <v>359.46</v>
      </c>
      <c r="I1285" s="251">
        <v>359.46</v>
      </c>
      <c r="J1285" s="9" t="s">
        <v>1387</v>
      </c>
      <c r="K1285" s="9" t="s">
        <v>1388</v>
      </c>
      <c r="L1285" s="83">
        <v>45200</v>
      </c>
      <c r="M1285" s="83">
        <v>45230</v>
      </c>
    </row>
    <row r="1286" spans="1:13" ht="14.25" customHeight="1" x14ac:dyDescent="0.25">
      <c r="A1286" s="9" t="s">
        <v>1578</v>
      </c>
      <c r="B1286" s="81">
        <v>113013</v>
      </c>
      <c r="C1286" s="81">
        <v>10761</v>
      </c>
      <c r="D1286" s="9" t="s">
        <v>543</v>
      </c>
      <c r="E1286" s="81">
        <v>14563091</v>
      </c>
      <c r="F1286" s="81">
        <v>30460</v>
      </c>
      <c r="G1286" s="81">
        <v>1</v>
      </c>
      <c r="H1286" s="82">
        <v>359.46</v>
      </c>
      <c r="I1286" s="251">
        <v>359.46</v>
      </c>
      <c r="J1286" s="9" t="s">
        <v>1387</v>
      </c>
      <c r="K1286" s="9" t="s">
        <v>1388</v>
      </c>
      <c r="L1286" s="83">
        <v>45200</v>
      </c>
      <c r="M1286" s="83">
        <v>45230</v>
      </c>
    </row>
    <row r="1287" spans="1:13" ht="14.25" customHeight="1" x14ac:dyDescent="0.25">
      <c r="A1287" s="9" t="s">
        <v>0</v>
      </c>
      <c r="B1287" s="81">
        <v>115400</v>
      </c>
      <c r="C1287" s="81">
        <v>10757</v>
      </c>
      <c r="D1287" s="9" t="s">
        <v>1152</v>
      </c>
      <c r="E1287" s="81">
        <v>14563091</v>
      </c>
      <c r="F1287" s="81">
        <v>39006</v>
      </c>
      <c r="G1287" s="81">
        <v>1</v>
      </c>
      <c r="H1287" s="82">
        <v>359.46</v>
      </c>
      <c r="I1287" s="251">
        <v>359.46</v>
      </c>
      <c r="J1287" s="9" t="s">
        <v>1387</v>
      </c>
      <c r="K1287" s="9" t="s">
        <v>1388</v>
      </c>
      <c r="L1287" s="83">
        <v>45200</v>
      </c>
      <c r="M1287" s="83">
        <v>45230</v>
      </c>
    </row>
    <row r="1288" spans="1:13" ht="14.25" customHeight="1" x14ac:dyDescent="0.25">
      <c r="A1288" s="9" t="s">
        <v>10</v>
      </c>
      <c r="B1288" s="81">
        <v>116021</v>
      </c>
      <c r="C1288" s="81">
        <v>10766</v>
      </c>
      <c r="D1288" s="9" t="s">
        <v>1173</v>
      </c>
      <c r="E1288" s="81">
        <v>14563091</v>
      </c>
      <c r="F1288" s="81">
        <v>40901</v>
      </c>
      <c r="G1288" s="81">
        <v>1</v>
      </c>
      <c r="H1288" s="82">
        <v>359.46</v>
      </c>
      <c r="I1288" s="251">
        <v>359.46</v>
      </c>
      <c r="J1288" s="9" t="s">
        <v>1387</v>
      </c>
      <c r="K1288" s="9" t="s">
        <v>1388</v>
      </c>
      <c r="L1288" s="83">
        <v>45200</v>
      </c>
      <c r="M1288" s="83">
        <v>45230</v>
      </c>
    </row>
    <row r="1289" spans="1:13" ht="14.25" customHeight="1" x14ac:dyDescent="0.25">
      <c r="A1289" s="9" t="s">
        <v>0</v>
      </c>
      <c r="B1289" s="81">
        <v>112727</v>
      </c>
      <c r="C1289" s="81">
        <v>10750</v>
      </c>
      <c r="D1289" s="9" t="s">
        <v>368</v>
      </c>
      <c r="E1289" s="81">
        <v>14563091</v>
      </c>
      <c r="F1289" s="81">
        <v>29888</v>
      </c>
      <c r="G1289" s="81">
        <v>1</v>
      </c>
      <c r="H1289" s="82">
        <v>359.46</v>
      </c>
      <c r="I1289" s="251">
        <v>359.46</v>
      </c>
      <c r="J1289" s="9" t="s">
        <v>1387</v>
      </c>
      <c r="K1289" s="9" t="s">
        <v>1388</v>
      </c>
      <c r="L1289" s="83">
        <v>45200</v>
      </c>
      <c r="M1289" s="83">
        <v>45230</v>
      </c>
    </row>
    <row r="1290" spans="1:13" ht="14.25" customHeight="1" x14ac:dyDescent="0.25">
      <c r="A1290" s="9" t="s">
        <v>19</v>
      </c>
      <c r="B1290" s="81">
        <v>121458</v>
      </c>
      <c r="C1290" s="81">
        <v>10755</v>
      </c>
      <c r="D1290" s="9" t="s">
        <v>1569</v>
      </c>
      <c r="E1290" s="81">
        <v>14563091</v>
      </c>
      <c r="F1290" s="81">
        <v>53796</v>
      </c>
      <c r="G1290" s="81">
        <v>1</v>
      </c>
      <c r="H1290" s="82">
        <v>359.46</v>
      </c>
      <c r="I1290" s="251">
        <v>359.46</v>
      </c>
      <c r="J1290" s="9" t="s">
        <v>1387</v>
      </c>
      <c r="K1290" s="9" t="s">
        <v>1388</v>
      </c>
      <c r="L1290" s="83">
        <v>45200</v>
      </c>
      <c r="M1290" s="83">
        <v>45230</v>
      </c>
    </row>
    <row r="1291" spans="1:13" ht="14.25" customHeight="1" x14ac:dyDescent="0.25">
      <c r="A1291" s="9" t="s">
        <v>10</v>
      </c>
      <c r="B1291" s="81">
        <v>121318</v>
      </c>
      <c r="C1291" s="81">
        <v>10750</v>
      </c>
      <c r="D1291" s="9" t="s">
        <v>1538</v>
      </c>
      <c r="E1291" s="81">
        <v>14563091</v>
      </c>
      <c r="F1291" s="81">
        <v>53490</v>
      </c>
      <c r="G1291" s="81">
        <v>1</v>
      </c>
      <c r="H1291" s="82">
        <v>359.46</v>
      </c>
      <c r="I1291" s="251">
        <v>359.46</v>
      </c>
      <c r="J1291" s="9" t="s">
        <v>1387</v>
      </c>
      <c r="K1291" s="9" t="s">
        <v>1388</v>
      </c>
      <c r="L1291" s="83">
        <v>45200</v>
      </c>
      <c r="M1291" s="83">
        <v>45230</v>
      </c>
    </row>
    <row r="1292" spans="1:13" ht="14.25" customHeight="1" x14ac:dyDescent="0.25">
      <c r="A1292" s="9" t="s">
        <v>0</v>
      </c>
      <c r="B1292" s="81">
        <v>112678</v>
      </c>
      <c r="C1292" s="81">
        <v>10763</v>
      </c>
      <c r="D1292" s="9" t="s">
        <v>334</v>
      </c>
      <c r="E1292" s="81">
        <v>14563091</v>
      </c>
      <c r="F1292" s="81">
        <v>29790</v>
      </c>
      <c r="G1292" s="81">
        <v>1</v>
      </c>
      <c r="H1292" s="82">
        <v>359.46</v>
      </c>
      <c r="I1292" s="251">
        <v>359.46</v>
      </c>
      <c r="J1292" s="9" t="s">
        <v>1387</v>
      </c>
      <c r="K1292" s="9" t="s">
        <v>1388</v>
      </c>
      <c r="L1292" s="83">
        <v>45200</v>
      </c>
      <c r="M1292" s="83">
        <v>45230</v>
      </c>
    </row>
    <row r="1293" spans="1:13" ht="14.25" customHeight="1" x14ac:dyDescent="0.25">
      <c r="A1293" s="9" t="s">
        <v>19</v>
      </c>
      <c r="B1293" s="81">
        <v>122083</v>
      </c>
      <c r="C1293" s="81">
        <v>10757</v>
      </c>
      <c r="D1293" s="9" t="s">
        <v>1634</v>
      </c>
      <c r="E1293" s="81">
        <v>14563091</v>
      </c>
      <c r="F1293" s="81">
        <v>55282</v>
      </c>
      <c r="G1293" s="81">
        <v>1</v>
      </c>
      <c r="H1293" s="82">
        <v>359.46</v>
      </c>
      <c r="I1293" s="251">
        <v>359.46</v>
      </c>
      <c r="J1293" s="9" t="s">
        <v>1387</v>
      </c>
      <c r="K1293" s="9" t="s">
        <v>1388</v>
      </c>
      <c r="L1293" s="83">
        <v>45200</v>
      </c>
      <c r="M1293" s="83">
        <v>45230</v>
      </c>
    </row>
    <row r="1294" spans="1:13" ht="14.25" customHeight="1" x14ac:dyDescent="0.25">
      <c r="A1294" s="9" t="s">
        <v>8</v>
      </c>
      <c r="B1294" s="81">
        <v>121850</v>
      </c>
      <c r="C1294" s="81">
        <v>10757</v>
      </c>
      <c r="D1294" s="9" t="s">
        <v>1623</v>
      </c>
      <c r="E1294" s="81">
        <v>14563091</v>
      </c>
      <c r="F1294" s="81">
        <v>54718</v>
      </c>
      <c r="G1294" s="81">
        <v>1</v>
      </c>
      <c r="H1294" s="82">
        <v>359.46</v>
      </c>
      <c r="I1294" s="251">
        <v>359.46</v>
      </c>
      <c r="J1294" s="9" t="s">
        <v>1387</v>
      </c>
      <c r="K1294" s="9" t="s">
        <v>1388</v>
      </c>
      <c r="L1294" s="83">
        <v>45200</v>
      </c>
      <c r="M1294" s="83">
        <v>45230</v>
      </c>
    </row>
    <row r="1295" spans="1:13" ht="14.25" customHeight="1" x14ac:dyDescent="0.25">
      <c r="A1295" s="9" t="s">
        <v>10</v>
      </c>
      <c r="B1295" s="81">
        <v>117406</v>
      </c>
      <c r="C1295" s="81">
        <v>10750</v>
      </c>
      <c r="D1295" s="9" t="s">
        <v>1268</v>
      </c>
      <c r="E1295" s="81">
        <v>14563091</v>
      </c>
      <c r="F1295" s="81">
        <v>44514</v>
      </c>
      <c r="G1295" s="81">
        <v>1</v>
      </c>
      <c r="H1295" s="82">
        <v>359.46</v>
      </c>
      <c r="I1295" s="251">
        <v>359.46</v>
      </c>
      <c r="J1295" s="9" t="s">
        <v>1387</v>
      </c>
      <c r="K1295" s="9" t="s">
        <v>1388</v>
      </c>
      <c r="L1295" s="83">
        <v>45200</v>
      </c>
      <c r="M1295" s="83">
        <v>45230</v>
      </c>
    </row>
    <row r="1296" spans="1:13" ht="14.25" customHeight="1" x14ac:dyDescent="0.25">
      <c r="A1296" s="9" t="s">
        <v>1578</v>
      </c>
      <c r="B1296" s="81">
        <v>113016</v>
      </c>
      <c r="C1296" s="81">
        <v>10745</v>
      </c>
      <c r="D1296" s="9" t="s">
        <v>544</v>
      </c>
      <c r="E1296" s="81">
        <v>14563091</v>
      </c>
      <c r="F1296" s="81">
        <v>30466</v>
      </c>
      <c r="G1296" s="81">
        <v>1</v>
      </c>
      <c r="H1296" s="82">
        <v>359.46</v>
      </c>
      <c r="I1296" s="251">
        <v>359.46</v>
      </c>
      <c r="J1296" s="9" t="s">
        <v>1387</v>
      </c>
      <c r="K1296" s="9" t="s">
        <v>1388</v>
      </c>
      <c r="L1296" s="83">
        <v>45200</v>
      </c>
      <c r="M1296" s="83">
        <v>45230</v>
      </c>
    </row>
    <row r="1297" spans="1:13" ht="14.25" customHeight="1" x14ac:dyDescent="0.25">
      <c r="A1297" s="9" t="s">
        <v>1578</v>
      </c>
      <c r="B1297" s="81">
        <v>113030</v>
      </c>
      <c r="C1297" s="81">
        <v>10768</v>
      </c>
      <c r="D1297" s="9" t="s">
        <v>550</v>
      </c>
      <c r="E1297" s="81">
        <v>14563091</v>
      </c>
      <c r="F1297" s="81">
        <v>30494</v>
      </c>
      <c r="G1297" s="81">
        <v>1</v>
      </c>
      <c r="H1297" s="82">
        <v>359.46</v>
      </c>
      <c r="I1297" s="251">
        <v>359.46</v>
      </c>
      <c r="J1297" s="9" t="s">
        <v>1387</v>
      </c>
      <c r="K1297" s="9" t="s">
        <v>1388</v>
      </c>
      <c r="L1297" s="83">
        <v>45200</v>
      </c>
      <c r="M1297" s="83">
        <v>45230</v>
      </c>
    </row>
    <row r="1298" spans="1:13" ht="14.25" customHeight="1" x14ac:dyDescent="0.25">
      <c r="A1298" s="9" t="s">
        <v>8</v>
      </c>
      <c r="B1298" s="81">
        <v>116988</v>
      </c>
      <c r="C1298" s="81">
        <v>10766</v>
      </c>
      <c r="D1298" s="9" t="s">
        <v>1245</v>
      </c>
      <c r="E1298" s="81">
        <v>14563091</v>
      </c>
      <c r="F1298" s="81">
        <v>43487</v>
      </c>
      <c r="G1298" s="81">
        <v>1</v>
      </c>
      <c r="H1298" s="82">
        <v>359.46</v>
      </c>
      <c r="I1298" s="251">
        <v>359.46</v>
      </c>
      <c r="J1298" s="9" t="s">
        <v>1387</v>
      </c>
      <c r="K1298" s="9" t="s">
        <v>1388</v>
      </c>
      <c r="L1298" s="83">
        <v>45200</v>
      </c>
      <c r="M1298" s="83">
        <v>45230</v>
      </c>
    </row>
    <row r="1299" spans="1:13" ht="14.25" customHeight="1" x14ac:dyDescent="0.25">
      <c r="A1299" s="9" t="s">
        <v>1578</v>
      </c>
      <c r="B1299" s="81">
        <v>116109</v>
      </c>
      <c r="C1299" s="81">
        <v>10763</v>
      </c>
      <c r="D1299" s="9" t="s">
        <v>1182</v>
      </c>
      <c r="E1299" s="81">
        <v>14563091</v>
      </c>
      <c r="F1299" s="81">
        <v>41155</v>
      </c>
      <c r="G1299" s="81">
        <v>1</v>
      </c>
      <c r="H1299" s="82">
        <v>359.46</v>
      </c>
      <c r="I1299" s="251">
        <v>359.46</v>
      </c>
      <c r="J1299" s="9" t="s">
        <v>1387</v>
      </c>
      <c r="K1299" s="9" t="s">
        <v>1388</v>
      </c>
      <c r="L1299" s="83">
        <v>45200</v>
      </c>
      <c r="M1299" s="83">
        <v>45230</v>
      </c>
    </row>
    <row r="1300" spans="1:13" ht="14.25" customHeight="1" x14ac:dyDescent="0.25">
      <c r="A1300" s="9" t="s">
        <v>0</v>
      </c>
      <c r="B1300" s="81">
        <v>114262</v>
      </c>
      <c r="C1300" s="81">
        <v>10760</v>
      </c>
      <c r="D1300" s="9" t="s">
        <v>1024</v>
      </c>
      <c r="E1300" s="81">
        <v>14563091</v>
      </c>
      <c r="F1300" s="81">
        <v>35803</v>
      </c>
      <c r="G1300" s="81">
        <v>1</v>
      </c>
      <c r="H1300" s="82">
        <v>359.46</v>
      </c>
      <c r="I1300" s="251">
        <v>359.46</v>
      </c>
      <c r="J1300" s="9" t="s">
        <v>1387</v>
      </c>
      <c r="K1300" s="9" t="s">
        <v>1388</v>
      </c>
      <c r="L1300" s="83">
        <v>45200</v>
      </c>
      <c r="M1300" s="83">
        <v>45230</v>
      </c>
    </row>
    <row r="1301" spans="1:13" ht="14.25" customHeight="1" x14ac:dyDescent="0.25">
      <c r="A1301" s="9" t="s">
        <v>19</v>
      </c>
      <c r="B1301" s="81">
        <v>116384</v>
      </c>
      <c r="C1301" s="81">
        <v>10761</v>
      </c>
      <c r="D1301" s="9" t="s">
        <v>1208</v>
      </c>
      <c r="E1301" s="81">
        <v>14563091</v>
      </c>
      <c r="F1301" s="81">
        <v>42038</v>
      </c>
      <c r="G1301" s="81">
        <v>1</v>
      </c>
      <c r="H1301" s="82">
        <v>359.46</v>
      </c>
      <c r="I1301" s="251">
        <v>359.46</v>
      </c>
      <c r="J1301" s="9" t="s">
        <v>1387</v>
      </c>
      <c r="K1301" s="9" t="s">
        <v>1388</v>
      </c>
      <c r="L1301" s="83">
        <v>45200</v>
      </c>
      <c r="M1301" s="83">
        <v>45230</v>
      </c>
    </row>
    <row r="1302" spans="1:13" ht="14.25" customHeight="1" x14ac:dyDescent="0.25">
      <c r="A1302" s="9" t="s">
        <v>8</v>
      </c>
      <c r="B1302" s="81">
        <v>112483</v>
      </c>
      <c r="C1302" s="81">
        <v>10756</v>
      </c>
      <c r="D1302" s="9" t="s">
        <v>208</v>
      </c>
      <c r="E1302" s="81">
        <v>14563091</v>
      </c>
      <c r="F1302" s="81">
        <v>29400</v>
      </c>
      <c r="G1302" s="81">
        <v>1</v>
      </c>
      <c r="H1302" s="82">
        <v>359.46</v>
      </c>
      <c r="I1302" s="251">
        <v>359.46</v>
      </c>
      <c r="J1302" s="9" t="s">
        <v>1387</v>
      </c>
      <c r="K1302" s="9" t="s">
        <v>1388</v>
      </c>
      <c r="L1302" s="83">
        <v>45200</v>
      </c>
      <c r="M1302" s="83">
        <v>45230</v>
      </c>
    </row>
    <row r="1303" spans="1:13" ht="14.25" customHeight="1" x14ac:dyDescent="0.25">
      <c r="A1303" s="9" t="s">
        <v>8</v>
      </c>
      <c r="B1303" s="81">
        <v>112485</v>
      </c>
      <c r="C1303" s="81">
        <v>10750</v>
      </c>
      <c r="D1303" s="9" t="s">
        <v>209</v>
      </c>
      <c r="E1303" s="81">
        <v>14563091</v>
      </c>
      <c r="F1303" s="81">
        <v>29404</v>
      </c>
      <c r="G1303" s="81">
        <v>1</v>
      </c>
      <c r="H1303" s="82">
        <v>347.47</v>
      </c>
      <c r="I1303" s="251">
        <v>347.47</v>
      </c>
      <c r="J1303" s="9" t="s">
        <v>1387</v>
      </c>
      <c r="K1303" s="9" t="s">
        <v>1388</v>
      </c>
      <c r="L1303" s="83">
        <v>45200</v>
      </c>
      <c r="M1303" s="83">
        <v>45230</v>
      </c>
    </row>
    <row r="1304" spans="1:13" ht="14.25" customHeight="1" x14ac:dyDescent="0.25">
      <c r="A1304" s="9" t="s">
        <v>1578</v>
      </c>
      <c r="B1304" s="81">
        <v>112733</v>
      </c>
      <c r="C1304" s="81">
        <v>10766</v>
      </c>
      <c r="D1304" s="9" t="s">
        <v>372</v>
      </c>
      <c r="E1304" s="81">
        <v>14563091</v>
      </c>
      <c r="F1304" s="81">
        <v>29900</v>
      </c>
      <c r="G1304" s="81">
        <v>1</v>
      </c>
      <c r="H1304" s="82">
        <v>359.46</v>
      </c>
      <c r="I1304" s="251">
        <v>359.46</v>
      </c>
      <c r="J1304" s="9" t="s">
        <v>1387</v>
      </c>
      <c r="K1304" s="9" t="s">
        <v>1388</v>
      </c>
      <c r="L1304" s="83">
        <v>45200</v>
      </c>
      <c r="M1304" s="83">
        <v>45230</v>
      </c>
    </row>
    <row r="1305" spans="1:13" ht="14.25" customHeight="1" x14ac:dyDescent="0.25">
      <c r="A1305" s="9" t="s">
        <v>32</v>
      </c>
      <c r="B1305" s="81">
        <v>121847</v>
      </c>
      <c r="C1305" s="81">
        <v>10757</v>
      </c>
      <c r="D1305" s="9" t="s">
        <v>1618</v>
      </c>
      <c r="E1305" s="81">
        <v>14563091</v>
      </c>
      <c r="F1305" s="81">
        <v>55020</v>
      </c>
      <c r="G1305" s="81">
        <v>1</v>
      </c>
      <c r="H1305" s="82">
        <v>359.46</v>
      </c>
      <c r="I1305" s="251">
        <v>359.46</v>
      </c>
      <c r="J1305" s="9" t="s">
        <v>1387</v>
      </c>
      <c r="K1305" s="9" t="s">
        <v>1388</v>
      </c>
      <c r="L1305" s="83">
        <v>45200</v>
      </c>
      <c r="M1305" s="83">
        <v>45230</v>
      </c>
    </row>
    <row r="1306" spans="1:13" ht="14.25" customHeight="1" x14ac:dyDescent="0.25">
      <c r="A1306" s="9" t="s">
        <v>19</v>
      </c>
      <c r="B1306" s="81">
        <v>121460</v>
      </c>
      <c r="C1306" s="81">
        <v>10755</v>
      </c>
      <c r="D1306" s="9" t="s">
        <v>1570</v>
      </c>
      <c r="E1306" s="81">
        <v>14563091</v>
      </c>
      <c r="F1306" s="81">
        <v>53800</v>
      </c>
      <c r="G1306" s="81">
        <v>1</v>
      </c>
      <c r="H1306" s="82">
        <v>347.47</v>
      </c>
      <c r="I1306" s="251">
        <v>347.47</v>
      </c>
      <c r="J1306" s="9" t="s">
        <v>1387</v>
      </c>
      <c r="K1306" s="9" t="s">
        <v>1388</v>
      </c>
      <c r="L1306" s="83">
        <v>45200</v>
      </c>
      <c r="M1306" s="83">
        <v>45230</v>
      </c>
    </row>
    <row r="1307" spans="1:13" ht="14.25" customHeight="1" x14ac:dyDescent="0.25">
      <c r="A1307" s="9" t="s">
        <v>32</v>
      </c>
      <c r="B1307" s="81">
        <v>112489</v>
      </c>
      <c r="C1307" s="81">
        <v>10750</v>
      </c>
      <c r="D1307" s="9" t="s">
        <v>1542</v>
      </c>
      <c r="E1307" s="81">
        <v>14563091</v>
      </c>
      <c r="F1307" s="81">
        <v>29412</v>
      </c>
      <c r="G1307" s="81">
        <v>1</v>
      </c>
      <c r="H1307" s="82">
        <v>359.46</v>
      </c>
      <c r="I1307" s="251">
        <v>359.46</v>
      </c>
      <c r="J1307" s="9" t="s">
        <v>1387</v>
      </c>
      <c r="K1307" s="9" t="s">
        <v>1388</v>
      </c>
      <c r="L1307" s="83">
        <v>45200</v>
      </c>
      <c r="M1307" s="83">
        <v>45230</v>
      </c>
    </row>
    <row r="1308" spans="1:13" ht="14.25" customHeight="1" x14ac:dyDescent="0.25">
      <c r="A1308" s="9" t="s">
        <v>19</v>
      </c>
      <c r="B1308" s="81">
        <v>112235</v>
      </c>
      <c r="C1308" s="81">
        <v>10757</v>
      </c>
      <c r="D1308" s="9" t="s">
        <v>54</v>
      </c>
      <c r="E1308" s="81">
        <v>14563091</v>
      </c>
      <c r="F1308" s="81">
        <v>28904</v>
      </c>
      <c r="G1308" s="81">
        <v>1</v>
      </c>
      <c r="H1308" s="82">
        <v>359.46</v>
      </c>
      <c r="I1308" s="251">
        <v>359.46</v>
      </c>
      <c r="J1308" s="9" t="s">
        <v>1387</v>
      </c>
      <c r="K1308" s="9" t="s">
        <v>1388</v>
      </c>
      <c r="L1308" s="83">
        <v>45200</v>
      </c>
      <c r="M1308" s="83">
        <v>45230</v>
      </c>
    </row>
    <row r="1309" spans="1:13" ht="14.25" customHeight="1" x14ac:dyDescent="0.25">
      <c r="A1309" s="9" t="s">
        <v>0</v>
      </c>
      <c r="B1309" s="81">
        <v>112322</v>
      </c>
      <c r="C1309" s="81">
        <v>10756</v>
      </c>
      <c r="D1309" s="9" t="s">
        <v>106</v>
      </c>
      <c r="E1309" s="81">
        <v>14563091</v>
      </c>
      <c r="F1309" s="81">
        <v>29078</v>
      </c>
      <c r="G1309" s="81">
        <v>1</v>
      </c>
      <c r="H1309" s="82">
        <v>359.46</v>
      </c>
      <c r="I1309" s="251">
        <v>359.46</v>
      </c>
      <c r="J1309" s="9" t="s">
        <v>1387</v>
      </c>
      <c r="K1309" s="9" t="s">
        <v>1388</v>
      </c>
      <c r="L1309" s="83">
        <v>45200</v>
      </c>
      <c r="M1309" s="83">
        <v>45230</v>
      </c>
    </row>
    <row r="1310" spans="1:13" ht="14.25" customHeight="1" x14ac:dyDescent="0.25">
      <c r="A1310" s="9" t="s">
        <v>19</v>
      </c>
      <c r="B1310" s="81">
        <v>112237</v>
      </c>
      <c r="C1310" s="81">
        <v>10758</v>
      </c>
      <c r="D1310" s="9" t="s">
        <v>56</v>
      </c>
      <c r="E1310" s="81">
        <v>14563091</v>
      </c>
      <c r="F1310" s="81">
        <v>28908</v>
      </c>
      <c r="G1310" s="81">
        <v>1</v>
      </c>
      <c r="H1310" s="82">
        <v>359.46</v>
      </c>
      <c r="I1310" s="251">
        <v>359.46</v>
      </c>
      <c r="J1310" s="9" t="s">
        <v>1387</v>
      </c>
      <c r="K1310" s="9" t="s">
        <v>1388</v>
      </c>
      <c r="L1310" s="83">
        <v>45200</v>
      </c>
      <c r="M1310" s="83">
        <v>45230</v>
      </c>
    </row>
    <row r="1311" spans="1:13" ht="14.25" customHeight="1" x14ac:dyDescent="0.25">
      <c r="A1311" s="9" t="s">
        <v>1578</v>
      </c>
      <c r="B1311" s="81">
        <v>112759</v>
      </c>
      <c r="C1311" s="81">
        <v>10757</v>
      </c>
      <c r="D1311" s="9" t="s">
        <v>387</v>
      </c>
      <c r="E1311" s="81">
        <v>14563091</v>
      </c>
      <c r="F1311" s="81">
        <v>29952</v>
      </c>
      <c r="G1311" s="81">
        <v>1</v>
      </c>
      <c r="H1311" s="82">
        <v>359.46</v>
      </c>
      <c r="I1311" s="251">
        <v>359.46</v>
      </c>
      <c r="J1311" s="9" t="s">
        <v>1387</v>
      </c>
      <c r="K1311" s="9" t="s">
        <v>1388</v>
      </c>
      <c r="L1311" s="83">
        <v>45200</v>
      </c>
      <c r="M1311" s="83">
        <v>45230</v>
      </c>
    </row>
    <row r="1312" spans="1:13" ht="14.25" customHeight="1" x14ac:dyDescent="0.25">
      <c r="A1312" s="9" t="s">
        <v>10</v>
      </c>
      <c r="B1312" s="81">
        <v>112329</v>
      </c>
      <c r="C1312" s="81">
        <v>10760</v>
      </c>
      <c r="D1312" s="9" t="s">
        <v>111</v>
      </c>
      <c r="E1312" s="81">
        <v>14563091</v>
      </c>
      <c r="F1312" s="81">
        <v>29092</v>
      </c>
      <c r="G1312" s="81">
        <v>1</v>
      </c>
      <c r="H1312" s="82">
        <v>359.46</v>
      </c>
      <c r="I1312" s="251">
        <v>359.46</v>
      </c>
      <c r="J1312" s="9" t="s">
        <v>1387</v>
      </c>
      <c r="K1312" s="9" t="s">
        <v>1388</v>
      </c>
      <c r="L1312" s="83">
        <v>45200</v>
      </c>
      <c r="M1312" s="83">
        <v>45230</v>
      </c>
    </row>
    <row r="1313" spans="1:13" ht="14.25" customHeight="1" x14ac:dyDescent="0.25">
      <c r="A1313" s="9" t="s">
        <v>1578</v>
      </c>
      <c r="B1313" s="81">
        <v>114127</v>
      </c>
      <c r="C1313" s="81">
        <v>10757</v>
      </c>
      <c r="D1313" s="9" t="s">
        <v>1013</v>
      </c>
      <c r="E1313" s="81">
        <v>14563091</v>
      </c>
      <c r="F1313" s="81">
        <v>34406</v>
      </c>
      <c r="G1313" s="81">
        <v>1</v>
      </c>
      <c r="H1313" s="82">
        <v>359.46</v>
      </c>
      <c r="I1313" s="251">
        <v>359.46</v>
      </c>
      <c r="J1313" s="9" t="s">
        <v>1387</v>
      </c>
      <c r="K1313" s="9" t="s">
        <v>1388</v>
      </c>
      <c r="L1313" s="83">
        <v>45200</v>
      </c>
      <c r="M1313" s="83">
        <v>45230</v>
      </c>
    </row>
    <row r="1314" spans="1:13" ht="14.25" customHeight="1" x14ac:dyDescent="0.25">
      <c r="A1314" s="9" t="s">
        <v>0</v>
      </c>
      <c r="B1314" s="81">
        <v>122836</v>
      </c>
      <c r="C1314" s="81">
        <v>10757</v>
      </c>
      <c r="D1314" s="9" t="s">
        <v>1729</v>
      </c>
      <c r="E1314" s="81">
        <v>14563091</v>
      </c>
      <c r="F1314" s="81">
        <v>57237</v>
      </c>
      <c r="G1314" s="81">
        <v>1</v>
      </c>
      <c r="H1314" s="82">
        <v>359.46</v>
      </c>
      <c r="I1314" s="251">
        <v>359.46</v>
      </c>
      <c r="J1314" s="9" t="s">
        <v>1387</v>
      </c>
      <c r="K1314" s="9" t="s">
        <v>1388</v>
      </c>
      <c r="L1314" s="83">
        <v>45200</v>
      </c>
      <c r="M1314" s="83">
        <v>45230</v>
      </c>
    </row>
    <row r="1315" spans="1:13" ht="14.25" customHeight="1" x14ac:dyDescent="0.25">
      <c r="A1315" s="9" t="s">
        <v>1578</v>
      </c>
      <c r="B1315" s="81">
        <v>114939</v>
      </c>
      <c r="C1315" s="81">
        <v>10763</v>
      </c>
      <c r="D1315" s="9" t="s">
        <v>1119</v>
      </c>
      <c r="E1315" s="81">
        <v>14563091</v>
      </c>
      <c r="F1315" s="81">
        <v>37656</v>
      </c>
      <c r="G1315" s="81">
        <v>1</v>
      </c>
      <c r="H1315" s="82">
        <v>359.46</v>
      </c>
      <c r="I1315" s="251">
        <v>359.46</v>
      </c>
      <c r="J1315" s="9" t="s">
        <v>1387</v>
      </c>
      <c r="K1315" s="9" t="s">
        <v>1388</v>
      </c>
      <c r="L1315" s="83">
        <v>45200</v>
      </c>
      <c r="M1315" s="83">
        <v>45230</v>
      </c>
    </row>
    <row r="1316" spans="1:13" ht="14.25" customHeight="1" x14ac:dyDescent="0.25">
      <c r="A1316" s="9" t="s">
        <v>1578</v>
      </c>
      <c r="B1316" s="81">
        <v>113034</v>
      </c>
      <c r="C1316" s="81">
        <v>10745</v>
      </c>
      <c r="D1316" s="9" t="s">
        <v>1383</v>
      </c>
      <c r="E1316" s="81">
        <v>14563091</v>
      </c>
      <c r="F1316" s="81">
        <v>30502</v>
      </c>
      <c r="G1316" s="81">
        <v>1</v>
      </c>
      <c r="H1316" s="82">
        <v>359.46</v>
      </c>
      <c r="I1316" s="251">
        <v>359.46</v>
      </c>
      <c r="J1316" s="9" t="s">
        <v>1387</v>
      </c>
      <c r="K1316" s="9" t="s">
        <v>1388</v>
      </c>
      <c r="L1316" s="83">
        <v>45200</v>
      </c>
      <c r="M1316" s="83">
        <v>45230</v>
      </c>
    </row>
    <row r="1317" spans="1:13" ht="14.25" customHeight="1" x14ac:dyDescent="0.25">
      <c r="A1317" s="9" t="s">
        <v>8</v>
      </c>
      <c r="B1317" s="81">
        <v>112498</v>
      </c>
      <c r="C1317" s="81">
        <v>10754</v>
      </c>
      <c r="D1317" s="9" t="s">
        <v>217</v>
      </c>
      <c r="E1317" s="81">
        <v>14563091</v>
      </c>
      <c r="F1317" s="81">
        <v>29430</v>
      </c>
      <c r="G1317" s="81">
        <v>1</v>
      </c>
      <c r="H1317" s="82">
        <v>359.46</v>
      </c>
      <c r="I1317" s="251">
        <v>359.46</v>
      </c>
      <c r="J1317" s="9" t="s">
        <v>1387</v>
      </c>
      <c r="K1317" s="9" t="s">
        <v>1388</v>
      </c>
      <c r="L1317" s="83">
        <v>45200</v>
      </c>
      <c r="M1317" s="83">
        <v>45230</v>
      </c>
    </row>
    <row r="1318" spans="1:13" ht="14.25" customHeight="1" x14ac:dyDescent="0.25">
      <c r="A1318" s="9" t="s">
        <v>0</v>
      </c>
      <c r="B1318" s="81">
        <v>112776</v>
      </c>
      <c r="C1318" s="81">
        <v>10750</v>
      </c>
      <c r="D1318" s="9" t="s">
        <v>400</v>
      </c>
      <c r="E1318" s="81">
        <v>14563091</v>
      </c>
      <c r="F1318" s="81">
        <v>29986</v>
      </c>
      <c r="G1318" s="81">
        <v>1</v>
      </c>
      <c r="H1318" s="82">
        <v>359.46</v>
      </c>
      <c r="I1318" s="251">
        <v>359.46</v>
      </c>
      <c r="J1318" s="9" t="s">
        <v>1387</v>
      </c>
      <c r="K1318" s="9" t="s">
        <v>1388</v>
      </c>
      <c r="L1318" s="83">
        <v>45200</v>
      </c>
      <c r="M1318" s="83">
        <v>45230</v>
      </c>
    </row>
    <row r="1319" spans="1:13" ht="14.25" customHeight="1" x14ac:dyDescent="0.25">
      <c r="A1319" s="9" t="s">
        <v>8</v>
      </c>
      <c r="B1319" s="81">
        <v>112504</v>
      </c>
      <c r="C1319" s="81">
        <v>10750</v>
      </c>
      <c r="D1319" s="9" t="s">
        <v>222</v>
      </c>
      <c r="E1319" s="81">
        <v>14563091</v>
      </c>
      <c r="F1319" s="81">
        <v>29442</v>
      </c>
      <c r="G1319" s="81">
        <v>1</v>
      </c>
      <c r="H1319" s="82">
        <v>359.46</v>
      </c>
      <c r="I1319" s="251">
        <v>359.46</v>
      </c>
      <c r="J1319" s="9" t="s">
        <v>1387</v>
      </c>
      <c r="K1319" s="9" t="s">
        <v>1388</v>
      </c>
      <c r="L1319" s="83">
        <v>45200</v>
      </c>
      <c r="M1319" s="83">
        <v>45230</v>
      </c>
    </row>
    <row r="1320" spans="1:13" ht="14.25" customHeight="1" x14ac:dyDescent="0.25">
      <c r="A1320" s="9" t="s">
        <v>8</v>
      </c>
      <c r="B1320" s="81">
        <v>112507</v>
      </c>
      <c r="C1320" s="81">
        <v>10750</v>
      </c>
      <c r="D1320" s="9" t="s">
        <v>225</v>
      </c>
      <c r="E1320" s="81">
        <v>14563091</v>
      </c>
      <c r="F1320" s="81">
        <v>29448</v>
      </c>
      <c r="G1320" s="81">
        <v>1</v>
      </c>
      <c r="H1320" s="82">
        <v>359.46</v>
      </c>
      <c r="I1320" s="251">
        <v>359.46</v>
      </c>
      <c r="J1320" s="9" t="s">
        <v>1387</v>
      </c>
      <c r="K1320" s="9" t="s">
        <v>1388</v>
      </c>
      <c r="L1320" s="83">
        <v>45200</v>
      </c>
      <c r="M1320" s="83">
        <v>45230</v>
      </c>
    </row>
    <row r="1321" spans="1:13" ht="14.25" customHeight="1" x14ac:dyDescent="0.25">
      <c r="A1321" s="9" t="s">
        <v>0</v>
      </c>
      <c r="B1321" s="81">
        <v>114751</v>
      </c>
      <c r="C1321" s="81">
        <v>10751</v>
      </c>
      <c r="D1321" s="9" t="s">
        <v>1091</v>
      </c>
      <c r="E1321" s="81">
        <v>14563091</v>
      </c>
      <c r="F1321" s="81">
        <v>36950</v>
      </c>
      <c r="G1321" s="81">
        <v>1</v>
      </c>
      <c r="H1321" s="82">
        <v>359.46</v>
      </c>
      <c r="I1321" s="251">
        <v>359.46</v>
      </c>
      <c r="J1321" s="9" t="s">
        <v>1387</v>
      </c>
      <c r="K1321" s="9" t="s">
        <v>1388</v>
      </c>
      <c r="L1321" s="83">
        <v>45200</v>
      </c>
      <c r="M1321" s="83">
        <v>45230</v>
      </c>
    </row>
    <row r="1322" spans="1:13" ht="14.25" customHeight="1" x14ac:dyDescent="0.25">
      <c r="A1322" s="9" t="s">
        <v>10</v>
      </c>
      <c r="B1322" s="81">
        <v>112331</v>
      </c>
      <c r="C1322" s="81">
        <v>10750</v>
      </c>
      <c r="D1322" s="9" t="s">
        <v>113</v>
      </c>
      <c r="E1322" s="81">
        <v>14563091</v>
      </c>
      <c r="F1322" s="81">
        <v>29096</v>
      </c>
      <c r="G1322" s="81">
        <v>1</v>
      </c>
      <c r="H1322" s="82">
        <v>359.46</v>
      </c>
      <c r="I1322" s="251">
        <v>359.46</v>
      </c>
      <c r="J1322" s="9" t="s">
        <v>1387</v>
      </c>
      <c r="K1322" s="9" t="s">
        <v>1388</v>
      </c>
      <c r="L1322" s="83">
        <v>45200</v>
      </c>
      <c r="M1322" s="83">
        <v>45230</v>
      </c>
    </row>
    <row r="1323" spans="1:13" ht="14.25" customHeight="1" x14ac:dyDescent="0.25">
      <c r="A1323" s="9" t="s">
        <v>8</v>
      </c>
      <c r="B1323" s="81">
        <v>112512</v>
      </c>
      <c r="C1323" s="81">
        <v>10755</v>
      </c>
      <c r="D1323" s="9" t="s">
        <v>229</v>
      </c>
      <c r="E1323" s="81">
        <v>14563091</v>
      </c>
      <c r="F1323" s="81">
        <v>29458</v>
      </c>
      <c r="G1323" s="81">
        <v>1</v>
      </c>
      <c r="H1323" s="82">
        <v>359.46</v>
      </c>
      <c r="I1323" s="251">
        <v>359.46</v>
      </c>
      <c r="J1323" s="9" t="s">
        <v>1387</v>
      </c>
      <c r="K1323" s="9" t="s">
        <v>1388</v>
      </c>
      <c r="L1323" s="83">
        <v>45200</v>
      </c>
      <c r="M1323" s="83">
        <v>45230</v>
      </c>
    </row>
    <row r="1324" spans="1:13" ht="14.25" customHeight="1" x14ac:dyDescent="0.25">
      <c r="A1324" s="9" t="s">
        <v>1578</v>
      </c>
      <c r="B1324" s="81">
        <v>112779</v>
      </c>
      <c r="C1324" s="81">
        <v>10757</v>
      </c>
      <c r="D1324" s="9" t="s">
        <v>402</v>
      </c>
      <c r="E1324" s="81">
        <v>14563091</v>
      </c>
      <c r="F1324" s="81">
        <v>29992</v>
      </c>
      <c r="G1324" s="81">
        <v>1</v>
      </c>
      <c r="H1324" s="82">
        <v>359.46</v>
      </c>
      <c r="I1324" s="251">
        <v>359.46</v>
      </c>
      <c r="J1324" s="9" t="s">
        <v>1387</v>
      </c>
      <c r="K1324" s="9" t="s">
        <v>1388</v>
      </c>
      <c r="L1324" s="83">
        <v>45200</v>
      </c>
      <c r="M1324" s="83">
        <v>45230</v>
      </c>
    </row>
    <row r="1325" spans="1:13" ht="14.25" customHeight="1" x14ac:dyDescent="0.25">
      <c r="A1325" s="9" t="s">
        <v>0</v>
      </c>
      <c r="B1325" s="81">
        <v>112782</v>
      </c>
      <c r="C1325" s="81">
        <v>10757</v>
      </c>
      <c r="D1325" s="9" t="s">
        <v>405</v>
      </c>
      <c r="E1325" s="81">
        <v>14563091</v>
      </c>
      <c r="F1325" s="81">
        <v>29998</v>
      </c>
      <c r="G1325" s="81">
        <v>1</v>
      </c>
      <c r="H1325" s="82">
        <v>359.46</v>
      </c>
      <c r="I1325" s="251">
        <v>359.46</v>
      </c>
      <c r="J1325" s="9" t="s">
        <v>1387</v>
      </c>
      <c r="K1325" s="9" t="s">
        <v>1388</v>
      </c>
      <c r="L1325" s="83">
        <v>45200</v>
      </c>
      <c r="M1325" s="83">
        <v>45230</v>
      </c>
    </row>
    <row r="1326" spans="1:13" ht="14.25" customHeight="1" x14ac:dyDescent="0.25">
      <c r="A1326" s="9" t="s">
        <v>0</v>
      </c>
      <c r="B1326" s="81">
        <v>112786</v>
      </c>
      <c r="C1326" s="81">
        <v>10763</v>
      </c>
      <c r="D1326" s="9" t="s">
        <v>408</v>
      </c>
      <c r="E1326" s="81">
        <v>14563091</v>
      </c>
      <c r="F1326" s="81">
        <v>30006</v>
      </c>
      <c r="G1326" s="81">
        <v>1</v>
      </c>
      <c r="H1326" s="82">
        <v>359.46</v>
      </c>
      <c r="I1326" s="251">
        <v>359.46</v>
      </c>
      <c r="J1326" s="9" t="s">
        <v>1387</v>
      </c>
      <c r="K1326" s="9" t="s">
        <v>1388</v>
      </c>
      <c r="L1326" s="83">
        <v>45200</v>
      </c>
      <c r="M1326" s="83">
        <v>45230</v>
      </c>
    </row>
    <row r="1327" spans="1:13" ht="14.25" customHeight="1" x14ac:dyDescent="0.25">
      <c r="A1327" s="9" t="s">
        <v>8</v>
      </c>
      <c r="B1327" s="81">
        <v>122828</v>
      </c>
      <c r="C1327" s="81">
        <v>10757</v>
      </c>
      <c r="D1327" s="9" t="s">
        <v>1730</v>
      </c>
      <c r="E1327" s="81">
        <v>14563091</v>
      </c>
      <c r="F1327" s="81">
        <v>57225</v>
      </c>
      <c r="G1327" s="81">
        <v>1</v>
      </c>
      <c r="H1327" s="82">
        <v>359.46</v>
      </c>
      <c r="I1327" s="251">
        <v>359.46</v>
      </c>
      <c r="J1327" s="9" t="s">
        <v>1387</v>
      </c>
      <c r="K1327" s="9" t="s">
        <v>1388</v>
      </c>
      <c r="L1327" s="83">
        <v>45200</v>
      </c>
      <c r="M1327" s="83">
        <v>45230</v>
      </c>
    </row>
    <row r="1328" spans="1:13" ht="14.25" customHeight="1" x14ac:dyDescent="0.25">
      <c r="A1328" s="9" t="s">
        <v>1578</v>
      </c>
      <c r="B1328" s="81">
        <v>116133</v>
      </c>
      <c r="C1328" s="81">
        <v>10743</v>
      </c>
      <c r="D1328" s="9" t="s">
        <v>1187</v>
      </c>
      <c r="E1328" s="81">
        <v>14563091</v>
      </c>
      <c r="F1328" s="81">
        <v>41268</v>
      </c>
      <c r="G1328" s="81">
        <v>1</v>
      </c>
      <c r="H1328" s="82">
        <v>359.46</v>
      </c>
      <c r="I1328" s="251">
        <v>359.46</v>
      </c>
      <c r="J1328" s="9" t="s">
        <v>1387</v>
      </c>
      <c r="K1328" s="9" t="s">
        <v>1388</v>
      </c>
      <c r="L1328" s="83">
        <v>45200</v>
      </c>
      <c r="M1328" s="83">
        <v>45230</v>
      </c>
    </row>
    <row r="1329" spans="1:13" ht="14.25" customHeight="1" x14ac:dyDescent="0.25">
      <c r="A1329" s="9" t="s">
        <v>10</v>
      </c>
      <c r="B1329" s="81">
        <v>112332</v>
      </c>
      <c r="C1329" s="81">
        <v>10750</v>
      </c>
      <c r="D1329" s="9" t="s">
        <v>114</v>
      </c>
      <c r="E1329" s="81">
        <v>14563091</v>
      </c>
      <c r="F1329" s="81">
        <v>29098</v>
      </c>
      <c r="G1329" s="81">
        <v>1</v>
      </c>
      <c r="H1329" s="82">
        <v>359.46</v>
      </c>
      <c r="I1329" s="251">
        <v>359.46</v>
      </c>
      <c r="J1329" s="9" t="s">
        <v>1387</v>
      </c>
      <c r="K1329" s="9" t="s">
        <v>1388</v>
      </c>
      <c r="L1329" s="83">
        <v>45200</v>
      </c>
      <c r="M1329" s="83">
        <v>45230</v>
      </c>
    </row>
    <row r="1330" spans="1:13" ht="14.25" customHeight="1" x14ac:dyDescent="0.25">
      <c r="A1330" s="9" t="s">
        <v>8</v>
      </c>
      <c r="B1330" s="81">
        <v>112566</v>
      </c>
      <c r="C1330" s="81">
        <v>10750</v>
      </c>
      <c r="D1330" s="9" t="s">
        <v>268</v>
      </c>
      <c r="E1330" s="81">
        <v>14563091</v>
      </c>
      <c r="F1330" s="81">
        <v>29566</v>
      </c>
      <c r="G1330" s="81">
        <v>1</v>
      </c>
      <c r="H1330" s="82">
        <v>359.46</v>
      </c>
      <c r="I1330" s="251">
        <v>359.46</v>
      </c>
      <c r="J1330" s="9" t="s">
        <v>1387</v>
      </c>
      <c r="K1330" s="9" t="s">
        <v>1388</v>
      </c>
      <c r="L1330" s="83">
        <v>45200</v>
      </c>
      <c r="M1330" s="83">
        <v>45230</v>
      </c>
    </row>
    <row r="1331" spans="1:13" ht="14.25" customHeight="1" x14ac:dyDescent="0.25">
      <c r="A1331" s="9" t="s">
        <v>8</v>
      </c>
      <c r="B1331" s="81">
        <v>112569</v>
      </c>
      <c r="C1331" s="81">
        <v>10750</v>
      </c>
      <c r="D1331" s="9" t="s">
        <v>271</v>
      </c>
      <c r="E1331" s="81">
        <v>14563091</v>
      </c>
      <c r="F1331" s="81">
        <v>29572</v>
      </c>
      <c r="G1331" s="81">
        <v>1</v>
      </c>
      <c r="H1331" s="82">
        <v>359.46</v>
      </c>
      <c r="I1331" s="251">
        <v>359.46</v>
      </c>
      <c r="J1331" s="9" t="s">
        <v>1387</v>
      </c>
      <c r="K1331" s="9" t="s">
        <v>1388</v>
      </c>
      <c r="L1331" s="83">
        <v>45200</v>
      </c>
      <c r="M1331" s="83">
        <v>45230</v>
      </c>
    </row>
    <row r="1332" spans="1:13" ht="14.25" customHeight="1" x14ac:dyDescent="0.25">
      <c r="A1332" s="9" t="s">
        <v>1578</v>
      </c>
      <c r="B1332" s="81">
        <v>114124</v>
      </c>
      <c r="C1332" s="81">
        <v>10761</v>
      </c>
      <c r="D1332" s="9" t="s">
        <v>1011</v>
      </c>
      <c r="E1332" s="81">
        <v>14563091</v>
      </c>
      <c r="F1332" s="81">
        <v>34400</v>
      </c>
      <c r="G1332" s="81">
        <v>1</v>
      </c>
      <c r="H1332" s="82">
        <v>359.46</v>
      </c>
      <c r="I1332" s="251">
        <v>359.46</v>
      </c>
      <c r="J1332" s="9" t="s">
        <v>1387</v>
      </c>
      <c r="K1332" s="9" t="s">
        <v>1388</v>
      </c>
      <c r="L1332" s="83">
        <v>45200</v>
      </c>
      <c r="M1332" s="83">
        <v>45230</v>
      </c>
    </row>
    <row r="1333" spans="1:13" ht="14.25" customHeight="1" x14ac:dyDescent="0.25">
      <c r="A1333" s="9" t="s">
        <v>0</v>
      </c>
      <c r="B1333" s="81">
        <v>112814</v>
      </c>
      <c r="C1333" s="81">
        <v>10750</v>
      </c>
      <c r="D1333" s="9" t="s">
        <v>429</v>
      </c>
      <c r="E1333" s="81">
        <v>14563091</v>
      </c>
      <c r="F1333" s="81">
        <v>30062</v>
      </c>
      <c r="G1333" s="81">
        <v>1</v>
      </c>
      <c r="H1333" s="82">
        <v>359.46</v>
      </c>
      <c r="I1333" s="251">
        <v>359.46</v>
      </c>
      <c r="J1333" s="9" t="s">
        <v>1387</v>
      </c>
      <c r="K1333" s="9" t="s">
        <v>1388</v>
      </c>
      <c r="L1333" s="83">
        <v>45200</v>
      </c>
      <c r="M1333" s="83">
        <v>45230</v>
      </c>
    </row>
    <row r="1334" spans="1:13" ht="14.25" customHeight="1" x14ac:dyDescent="0.25">
      <c r="A1334" s="9" t="s">
        <v>32</v>
      </c>
      <c r="B1334" s="81">
        <v>112573</v>
      </c>
      <c r="C1334" s="81">
        <v>10757</v>
      </c>
      <c r="D1334" s="9" t="s">
        <v>272</v>
      </c>
      <c r="E1334" s="81">
        <v>14563091</v>
      </c>
      <c r="F1334" s="81">
        <v>29580</v>
      </c>
      <c r="G1334" s="81">
        <v>1</v>
      </c>
      <c r="H1334" s="82">
        <v>359.46</v>
      </c>
      <c r="I1334" s="251">
        <v>359.46</v>
      </c>
      <c r="J1334" s="9" t="s">
        <v>1387</v>
      </c>
      <c r="K1334" s="9" t="s">
        <v>1388</v>
      </c>
      <c r="L1334" s="83">
        <v>45200</v>
      </c>
      <c r="M1334" s="83">
        <v>45230</v>
      </c>
    </row>
    <row r="1335" spans="1:13" ht="14.25" customHeight="1" x14ac:dyDescent="0.25">
      <c r="A1335" s="9" t="s">
        <v>10</v>
      </c>
      <c r="B1335" s="81">
        <v>112242</v>
      </c>
      <c r="C1335" s="81">
        <v>10758</v>
      </c>
      <c r="D1335" s="9" t="s">
        <v>59</v>
      </c>
      <c r="E1335" s="81">
        <v>14563091</v>
      </c>
      <c r="F1335" s="81">
        <v>28918</v>
      </c>
      <c r="G1335" s="81">
        <v>1</v>
      </c>
      <c r="H1335" s="82">
        <v>359.46</v>
      </c>
      <c r="I1335" s="251">
        <v>359.46</v>
      </c>
      <c r="J1335" s="9" t="s">
        <v>1387</v>
      </c>
      <c r="K1335" s="9" t="s">
        <v>1388</v>
      </c>
      <c r="L1335" s="83">
        <v>45200</v>
      </c>
      <c r="M1335" s="83">
        <v>45230</v>
      </c>
    </row>
    <row r="1336" spans="1:13" ht="14.25" customHeight="1" x14ac:dyDescent="0.25">
      <c r="A1336" s="9" t="s">
        <v>1578</v>
      </c>
      <c r="B1336" s="81">
        <v>112795</v>
      </c>
      <c r="C1336" s="81">
        <v>10771</v>
      </c>
      <c r="D1336" s="9" t="s">
        <v>414</v>
      </c>
      <c r="E1336" s="81">
        <v>14563091</v>
      </c>
      <c r="F1336" s="81">
        <v>30024</v>
      </c>
      <c r="G1336" s="81">
        <v>1</v>
      </c>
      <c r="H1336" s="82">
        <v>359.46</v>
      </c>
      <c r="I1336" s="251">
        <v>359.46</v>
      </c>
      <c r="J1336" s="9" t="s">
        <v>1387</v>
      </c>
      <c r="K1336" s="9" t="s">
        <v>1388</v>
      </c>
      <c r="L1336" s="83">
        <v>45200</v>
      </c>
      <c r="M1336" s="83">
        <v>45230</v>
      </c>
    </row>
    <row r="1337" spans="1:13" ht="14.25" customHeight="1" x14ac:dyDescent="0.25">
      <c r="A1337" s="9" t="s">
        <v>8</v>
      </c>
      <c r="B1337" s="81">
        <v>112333</v>
      </c>
      <c r="C1337" s="81">
        <v>10750</v>
      </c>
      <c r="D1337" s="9" t="s">
        <v>115</v>
      </c>
      <c r="E1337" s="81">
        <v>14563091</v>
      </c>
      <c r="F1337" s="81">
        <v>29100</v>
      </c>
      <c r="G1337" s="81">
        <v>1</v>
      </c>
      <c r="H1337" s="82">
        <v>359.46</v>
      </c>
      <c r="I1337" s="251">
        <v>359.46</v>
      </c>
      <c r="J1337" s="9" t="s">
        <v>1387</v>
      </c>
      <c r="K1337" s="9" t="s">
        <v>1388</v>
      </c>
      <c r="L1337" s="83">
        <v>45200</v>
      </c>
      <c r="M1337" s="83">
        <v>45230</v>
      </c>
    </row>
    <row r="1338" spans="1:13" ht="14.25" customHeight="1" x14ac:dyDescent="0.25">
      <c r="A1338" s="9" t="s">
        <v>1578</v>
      </c>
      <c r="B1338" s="81">
        <v>116111</v>
      </c>
      <c r="C1338" s="81">
        <v>10768</v>
      </c>
      <c r="D1338" s="9" t="s">
        <v>1184</v>
      </c>
      <c r="E1338" s="81">
        <v>14563091</v>
      </c>
      <c r="F1338" s="81">
        <v>41159</v>
      </c>
      <c r="G1338" s="81">
        <v>1</v>
      </c>
      <c r="H1338" s="82">
        <v>359.46</v>
      </c>
      <c r="I1338" s="251">
        <v>359.46</v>
      </c>
      <c r="J1338" s="9" t="s">
        <v>1387</v>
      </c>
      <c r="K1338" s="9" t="s">
        <v>1388</v>
      </c>
      <c r="L1338" s="83">
        <v>45200</v>
      </c>
      <c r="M1338" s="83">
        <v>45230</v>
      </c>
    </row>
    <row r="1339" spans="1:13" ht="14.25" customHeight="1" x14ac:dyDescent="0.25">
      <c r="A1339" s="9" t="s">
        <v>1578</v>
      </c>
      <c r="B1339" s="81">
        <v>113725</v>
      </c>
      <c r="C1339" s="81">
        <v>10771</v>
      </c>
      <c r="D1339" s="9" t="s">
        <v>940</v>
      </c>
      <c r="E1339" s="81">
        <v>14563091</v>
      </c>
      <c r="F1339" s="81">
        <v>31884</v>
      </c>
      <c r="G1339" s="81">
        <v>1</v>
      </c>
      <c r="H1339" s="82">
        <v>359.46</v>
      </c>
      <c r="I1339" s="251">
        <v>359.46</v>
      </c>
      <c r="J1339" s="9" t="s">
        <v>1387</v>
      </c>
      <c r="K1339" s="9" t="s">
        <v>1388</v>
      </c>
      <c r="L1339" s="83">
        <v>45200</v>
      </c>
      <c r="M1339" s="83">
        <v>45230</v>
      </c>
    </row>
    <row r="1340" spans="1:13" ht="14.25" customHeight="1" x14ac:dyDescent="0.25">
      <c r="A1340" s="9" t="s">
        <v>19</v>
      </c>
      <c r="B1340" s="81">
        <v>112579</v>
      </c>
      <c r="C1340" s="81">
        <v>10750</v>
      </c>
      <c r="D1340" s="9" t="s">
        <v>276</v>
      </c>
      <c r="E1340" s="81">
        <v>14563091</v>
      </c>
      <c r="F1340" s="81">
        <v>29592</v>
      </c>
      <c r="G1340" s="81">
        <v>1</v>
      </c>
      <c r="H1340" s="82">
        <v>359.46</v>
      </c>
      <c r="I1340" s="251">
        <v>359.46</v>
      </c>
      <c r="J1340" s="9" t="s">
        <v>1387</v>
      </c>
      <c r="K1340" s="9" t="s">
        <v>1388</v>
      </c>
      <c r="L1340" s="83">
        <v>45200</v>
      </c>
      <c r="M1340" s="83">
        <v>45230</v>
      </c>
    </row>
    <row r="1341" spans="1:13" ht="14.25" customHeight="1" x14ac:dyDescent="0.25">
      <c r="A1341" s="9" t="s">
        <v>1578</v>
      </c>
      <c r="B1341" s="81">
        <v>112820</v>
      </c>
      <c r="C1341" s="81">
        <v>10768</v>
      </c>
      <c r="D1341" s="9" t="s">
        <v>433</v>
      </c>
      <c r="E1341" s="81">
        <v>14563091</v>
      </c>
      <c r="F1341" s="81">
        <v>30074</v>
      </c>
      <c r="G1341" s="81">
        <v>1</v>
      </c>
      <c r="H1341" s="82">
        <v>359.46</v>
      </c>
      <c r="I1341" s="251">
        <v>359.46</v>
      </c>
      <c r="J1341" s="9" t="s">
        <v>1387</v>
      </c>
      <c r="K1341" s="9" t="s">
        <v>1388</v>
      </c>
      <c r="L1341" s="83">
        <v>45200</v>
      </c>
      <c r="M1341" s="83">
        <v>45230</v>
      </c>
    </row>
    <row r="1342" spans="1:13" ht="14.25" customHeight="1" x14ac:dyDescent="0.25">
      <c r="A1342" s="9" t="s">
        <v>1578</v>
      </c>
      <c r="B1342" s="81">
        <v>113041</v>
      </c>
      <c r="C1342" s="81">
        <v>10757</v>
      </c>
      <c r="D1342" s="9" t="s">
        <v>555</v>
      </c>
      <c r="E1342" s="81">
        <v>14563091</v>
      </c>
      <c r="F1342" s="81">
        <v>30516</v>
      </c>
      <c r="G1342" s="81">
        <v>1</v>
      </c>
      <c r="H1342" s="82">
        <v>359.46</v>
      </c>
      <c r="I1342" s="251">
        <v>359.46</v>
      </c>
      <c r="J1342" s="9" t="s">
        <v>1387</v>
      </c>
      <c r="K1342" s="9" t="s">
        <v>1388</v>
      </c>
      <c r="L1342" s="83">
        <v>45200</v>
      </c>
      <c r="M1342" s="83">
        <v>45230</v>
      </c>
    </row>
    <row r="1343" spans="1:13" ht="14.25" customHeight="1" x14ac:dyDescent="0.25">
      <c r="A1343" s="9" t="s">
        <v>1578</v>
      </c>
      <c r="B1343" s="81">
        <v>112801</v>
      </c>
      <c r="C1343" s="81">
        <v>10762</v>
      </c>
      <c r="D1343" s="9" t="s">
        <v>1384</v>
      </c>
      <c r="E1343" s="81">
        <v>14563091</v>
      </c>
      <c r="F1343" s="81">
        <v>30036</v>
      </c>
      <c r="G1343" s="81">
        <v>1</v>
      </c>
      <c r="H1343" s="82">
        <v>359.46</v>
      </c>
      <c r="I1343" s="251">
        <v>359.46</v>
      </c>
      <c r="J1343" s="9" t="s">
        <v>1387</v>
      </c>
      <c r="K1343" s="9" t="s">
        <v>1388</v>
      </c>
      <c r="L1343" s="83">
        <v>45200</v>
      </c>
      <c r="M1343" s="83">
        <v>45230</v>
      </c>
    </row>
    <row r="1344" spans="1:13" ht="14.25" customHeight="1" x14ac:dyDescent="0.25">
      <c r="A1344" s="9" t="s">
        <v>1578</v>
      </c>
      <c r="B1344" s="81">
        <v>114941</v>
      </c>
      <c r="C1344" s="81">
        <v>10758</v>
      </c>
      <c r="D1344" s="9" t="s">
        <v>1702</v>
      </c>
      <c r="E1344" s="81">
        <v>14563091</v>
      </c>
      <c r="F1344" s="81">
        <v>37658</v>
      </c>
      <c r="G1344" s="81">
        <v>1</v>
      </c>
      <c r="H1344" s="82">
        <v>359.46</v>
      </c>
      <c r="I1344" s="251">
        <v>359.46</v>
      </c>
      <c r="J1344" s="9" t="s">
        <v>1387</v>
      </c>
      <c r="K1344" s="9" t="s">
        <v>1388</v>
      </c>
      <c r="L1344" s="83">
        <v>45200</v>
      </c>
      <c r="M1344" s="83">
        <v>45230</v>
      </c>
    </row>
    <row r="1345" spans="1:13" ht="14.25" customHeight="1" x14ac:dyDescent="0.25">
      <c r="A1345" s="9" t="s">
        <v>1578</v>
      </c>
      <c r="B1345" s="81">
        <v>119342</v>
      </c>
      <c r="C1345" s="81">
        <v>10743</v>
      </c>
      <c r="D1345" s="9" t="s">
        <v>1451</v>
      </c>
      <c r="E1345" s="81">
        <v>14563091</v>
      </c>
      <c r="F1345" s="81">
        <v>48824</v>
      </c>
      <c r="G1345" s="81">
        <v>1</v>
      </c>
      <c r="H1345" s="82">
        <v>359.46</v>
      </c>
      <c r="I1345" s="251">
        <v>359.46</v>
      </c>
      <c r="J1345" s="9" t="s">
        <v>1387</v>
      </c>
      <c r="K1345" s="9" t="s">
        <v>1389</v>
      </c>
      <c r="L1345" s="83">
        <v>45200</v>
      </c>
      <c r="M1345" s="83">
        <v>45230</v>
      </c>
    </row>
    <row r="1346" spans="1:13" ht="14.25" customHeight="1" x14ac:dyDescent="0.25">
      <c r="A1346" s="9" t="s">
        <v>1578</v>
      </c>
      <c r="B1346" s="81">
        <v>114004</v>
      </c>
      <c r="C1346" s="81">
        <v>10771</v>
      </c>
      <c r="D1346" s="9" t="s">
        <v>994</v>
      </c>
      <c r="E1346" s="81">
        <v>14563091</v>
      </c>
      <c r="F1346" s="81">
        <v>34037</v>
      </c>
      <c r="G1346" s="81">
        <v>1</v>
      </c>
      <c r="H1346" s="82">
        <v>359.46</v>
      </c>
      <c r="I1346" s="251">
        <v>359.46</v>
      </c>
      <c r="J1346" s="9" t="s">
        <v>1387</v>
      </c>
      <c r="K1346" s="9" t="s">
        <v>1388</v>
      </c>
      <c r="L1346" s="83">
        <v>45200</v>
      </c>
      <c r="M1346" s="83">
        <v>45230</v>
      </c>
    </row>
    <row r="1347" spans="1:13" ht="14.25" customHeight="1" x14ac:dyDescent="0.25">
      <c r="A1347" s="9" t="s">
        <v>0</v>
      </c>
      <c r="B1347" s="81">
        <v>112873</v>
      </c>
      <c r="C1347" s="81">
        <v>10750</v>
      </c>
      <c r="D1347" s="9" t="s">
        <v>465</v>
      </c>
      <c r="E1347" s="81">
        <v>14563091</v>
      </c>
      <c r="F1347" s="81">
        <v>30180</v>
      </c>
      <c r="G1347" s="81">
        <v>1</v>
      </c>
      <c r="H1347" s="82">
        <v>359.46</v>
      </c>
      <c r="I1347" s="251">
        <v>359.46</v>
      </c>
      <c r="J1347" s="9" t="s">
        <v>1387</v>
      </c>
      <c r="K1347" s="9" t="s">
        <v>1388</v>
      </c>
      <c r="L1347" s="83">
        <v>45200</v>
      </c>
      <c r="M1347" s="83">
        <v>45230</v>
      </c>
    </row>
    <row r="1348" spans="1:13" ht="14.25" customHeight="1" x14ac:dyDescent="0.25">
      <c r="A1348" s="9" t="s">
        <v>8</v>
      </c>
      <c r="B1348" s="81">
        <v>116322</v>
      </c>
      <c r="C1348" s="81">
        <v>10757</v>
      </c>
      <c r="D1348" s="9" t="s">
        <v>1203</v>
      </c>
      <c r="E1348" s="81">
        <v>14563091</v>
      </c>
      <c r="F1348" s="81">
        <v>41856</v>
      </c>
      <c r="G1348" s="81">
        <v>1</v>
      </c>
      <c r="H1348" s="82">
        <v>359.46</v>
      </c>
      <c r="I1348" s="251">
        <v>359.46</v>
      </c>
      <c r="J1348" s="9" t="s">
        <v>1387</v>
      </c>
      <c r="K1348" s="9" t="s">
        <v>1388</v>
      </c>
      <c r="L1348" s="83">
        <v>45200</v>
      </c>
      <c r="M1348" s="83">
        <v>45230</v>
      </c>
    </row>
    <row r="1349" spans="1:13" ht="14.25" customHeight="1" x14ac:dyDescent="0.25">
      <c r="A1349" s="9" t="s">
        <v>32</v>
      </c>
      <c r="B1349" s="81">
        <v>119118</v>
      </c>
      <c r="C1349" s="81">
        <v>10758</v>
      </c>
      <c r="D1349" s="9" t="s">
        <v>1443</v>
      </c>
      <c r="E1349" s="81">
        <v>14563091</v>
      </c>
      <c r="F1349" s="81">
        <v>48258</v>
      </c>
      <c r="G1349" s="81">
        <v>1</v>
      </c>
      <c r="H1349" s="82">
        <v>359.46</v>
      </c>
      <c r="I1349" s="251">
        <v>359.46</v>
      </c>
      <c r="J1349" s="9" t="s">
        <v>1387</v>
      </c>
      <c r="K1349" s="9" t="s">
        <v>1388</v>
      </c>
      <c r="L1349" s="83">
        <v>45200</v>
      </c>
      <c r="M1349" s="83">
        <v>45230</v>
      </c>
    </row>
    <row r="1350" spans="1:13" ht="14.25" customHeight="1" x14ac:dyDescent="0.25">
      <c r="A1350" s="9" t="s">
        <v>1246</v>
      </c>
      <c r="B1350" s="81">
        <v>116653</v>
      </c>
      <c r="C1350" s="81">
        <v>10773</v>
      </c>
      <c r="D1350" s="9" t="s">
        <v>954</v>
      </c>
      <c r="E1350" s="81">
        <v>14563091</v>
      </c>
      <c r="F1350" s="81">
        <v>42634</v>
      </c>
      <c r="G1350" s="81">
        <v>1</v>
      </c>
      <c r="H1350" s="82">
        <v>359.46</v>
      </c>
      <c r="I1350" s="251">
        <v>359.46</v>
      </c>
      <c r="J1350" s="9" t="s">
        <v>1387</v>
      </c>
      <c r="K1350" s="9" t="s">
        <v>1389</v>
      </c>
      <c r="L1350" s="83">
        <v>45200</v>
      </c>
      <c r="M1350" s="83">
        <v>45230</v>
      </c>
    </row>
    <row r="1351" spans="1:13" ht="14.25" customHeight="1" x14ac:dyDescent="0.25">
      <c r="A1351" s="9" t="s">
        <v>8</v>
      </c>
      <c r="B1351" s="81">
        <v>114039</v>
      </c>
      <c r="C1351" s="81">
        <v>10757</v>
      </c>
      <c r="D1351" s="9" t="s">
        <v>998</v>
      </c>
      <c r="E1351" s="81">
        <v>14563091</v>
      </c>
      <c r="F1351" s="81">
        <v>34220</v>
      </c>
      <c r="G1351" s="81">
        <v>1</v>
      </c>
      <c r="H1351" s="82">
        <v>347.47</v>
      </c>
      <c r="I1351" s="251">
        <v>347.47</v>
      </c>
      <c r="J1351" s="9" t="s">
        <v>1387</v>
      </c>
      <c r="K1351" s="9" t="s">
        <v>1388</v>
      </c>
      <c r="L1351" s="83">
        <v>45200</v>
      </c>
      <c r="M1351" s="83">
        <v>45230</v>
      </c>
    </row>
    <row r="1352" spans="1:13" ht="14.25" customHeight="1" x14ac:dyDescent="0.25">
      <c r="A1352" s="9" t="s">
        <v>0</v>
      </c>
      <c r="B1352" s="81">
        <v>114404</v>
      </c>
      <c r="C1352" s="81">
        <v>10758</v>
      </c>
      <c r="D1352" s="9" t="s">
        <v>1035</v>
      </c>
      <c r="E1352" s="81">
        <v>14563091</v>
      </c>
      <c r="F1352" s="81">
        <v>35860</v>
      </c>
      <c r="G1352" s="81">
        <v>1</v>
      </c>
      <c r="H1352" s="82">
        <v>359.46</v>
      </c>
      <c r="I1352" s="251">
        <v>359.46</v>
      </c>
      <c r="J1352" s="9" t="s">
        <v>1387</v>
      </c>
      <c r="K1352" s="9" t="s">
        <v>1388</v>
      </c>
      <c r="L1352" s="83">
        <v>45200</v>
      </c>
      <c r="M1352" s="83">
        <v>45230</v>
      </c>
    </row>
    <row r="1353" spans="1:13" ht="14.25" customHeight="1" x14ac:dyDescent="0.25">
      <c r="A1353" s="9" t="s">
        <v>1580</v>
      </c>
      <c r="B1353" s="81">
        <v>112876</v>
      </c>
      <c r="C1353" s="81">
        <v>10773</v>
      </c>
      <c r="D1353" s="9" t="s">
        <v>468</v>
      </c>
      <c r="E1353" s="81">
        <v>14563091</v>
      </c>
      <c r="F1353" s="81">
        <v>30186</v>
      </c>
      <c r="G1353" s="81">
        <v>1</v>
      </c>
      <c r="H1353" s="82">
        <v>359.46</v>
      </c>
      <c r="I1353" s="251">
        <v>359.46</v>
      </c>
      <c r="J1353" s="9" t="s">
        <v>1387</v>
      </c>
      <c r="K1353" s="9" t="s">
        <v>1388</v>
      </c>
      <c r="L1353" s="83">
        <v>45200</v>
      </c>
      <c r="M1353" s="83">
        <v>45230</v>
      </c>
    </row>
    <row r="1354" spans="1:13" ht="14.25" customHeight="1" x14ac:dyDescent="0.25">
      <c r="A1354" s="9" t="s">
        <v>19</v>
      </c>
      <c r="B1354" s="81">
        <v>121853</v>
      </c>
      <c r="C1354" s="81">
        <v>10755</v>
      </c>
      <c r="D1354" s="9" t="s">
        <v>1620</v>
      </c>
      <c r="E1354" s="81">
        <v>14563091</v>
      </c>
      <c r="F1354" s="81">
        <v>54723</v>
      </c>
      <c r="G1354" s="81">
        <v>1</v>
      </c>
      <c r="H1354" s="82">
        <v>227.65</v>
      </c>
      <c r="I1354" s="251">
        <v>227.65</v>
      </c>
      <c r="J1354" s="9" t="s">
        <v>1387</v>
      </c>
      <c r="K1354" s="9" t="s">
        <v>1388</v>
      </c>
      <c r="L1354" s="83">
        <v>45200</v>
      </c>
      <c r="M1354" s="83">
        <v>45230</v>
      </c>
    </row>
    <row r="1355" spans="1:13" ht="14.25" customHeight="1" x14ac:dyDescent="0.25">
      <c r="A1355" s="9" t="s">
        <v>1578</v>
      </c>
      <c r="B1355" s="81">
        <v>122240</v>
      </c>
      <c r="C1355" s="81">
        <v>10761</v>
      </c>
      <c r="D1355" s="9" t="s">
        <v>1661</v>
      </c>
      <c r="E1355" s="81">
        <v>14563091</v>
      </c>
      <c r="F1355" s="81">
        <v>55722</v>
      </c>
      <c r="G1355" s="81">
        <v>1</v>
      </c>
      <c r="H1355" s="82">
        <v>359.46</v>
      </c>
      <c r="I1355" s="251">
        <v>359.46</v>
      </c>
      <c r="J1355" s="9" t="s">
        <v>1387</v>
      </c>
      <c r="K1355" s="9" t="s">
        <v>1388</v>
      </c>
      <c r="L1355" s="83">
        <v>45200</v>
      </c>
      <c r="M1355" s="83">
        <v>45230</v>
      </c>
    </row>
    <row r="1356" spans="1:13" ht="14.25" customHeight="1" x14ac:dyDescent="0.25">
      <c r="A1356" s="9" t="s">
        <v>8</v>
      </c>
      <c r="B1356" s="81">
        <v>122346</v>
      </c>
      <c r="C1356" s="81">
        <v>10754</v>
      </c>
      <c r="D1356" s="9" t="s">
        <v>1662</v>
      </c>
      <c r="E1356" s="81">
        <v>14563091</v>
      </c>
      <c r="F1356" s="81">
        <v>55991</v>
      </c>
      <c r="G1356" s="81">
        <v>1</v>
      </c>
      <c r="H1356" s="82">
        <v>359.46</v>
      </c>
      <c r="I1356" s="251">
        <v>359.46</v>
      </c>
      <c r="J1356" s="9" t="s">
        <v>1387</v>
      </c>
      <c r="K1356" s="9" t="s">
        <v>1388</v>
      </c>
      <c r="L1356" s="83">
        <v>45200</v>
      </c>
      <c r="M1356" s="83">
        <v>45230</v>
      </c>
    </row>
    <row r="1357" spans="1:13" ht="14.25" customHeight="1" x14ac:dyDescent="0.25">
      <c r="A1357" s="9" t="s">
        <v>0</v>
      </c>
      <c r="B1357" s="81">
        <v>114509</v>
      </c>
      <c r="C1357" s="81">
        <v>10760</v>
      </c>
      <c r="D1357" s="9" t="s">
        <v>1044</v>
      </c>
      <c r="E1357" s="81">
        <v>14563091</v>
      </c>
      <c r="F1357" s="81">
        <v>35900</v>
      </c>
      <c r="G1357" s="81">
        <v>1</v>
      </c>
      <c r="H1357" s="82">
        <v>359.46</v>
      </c>
      <c r="I1357" s="251">
        <v>359.46</v>
      </c>
      <c r="J1357" s="9" t="s">
        <v>1387</v>
      </c>
      <c r="K1357" s="9" t="s">
        <v>1388</v>
      </c>
      <c r="L1357" s="83">
        <v>45200</v>
      </c>
      <c r="M1357" s="83">
        <v>45230</v>
      </c>
    </row>
    <row r="1358" spans="1:13" ht="14.25" customHeight="1" x14ac:dyDescent="0.25">
      <c r="A1358" s="9" t="s">
        <v>1578</v>
      </c>
      <c r="B1358" s="81">
        <v>113049</v>
      </c>
      <c r="C1358" s="81">
        <v>10768</v>
      </c>
      <c r="D1358" s="9" t="s">
        <v>559</v>
      </c>
      <c r="E1358" s="81">
        <v>14563091</v>
      </c>
      <c r="F1358" s="81">
        <v>30532</v>
      </c>
      <c r="G1358" s="81">
        <v>1</v>
      </c>
      <c r="H1358" s="82">
        <v>359.46</v>
      </c>
      <c r="I1358" s="251">
        <v>359.46</v>
      </c>
      <c r="J1358" s="9" t="s">
        <v>1387</v>
      </c>
      <c r="K1358" s="9" t="s">
        <v>1388</v>
      </c>
      <c r="L1358" s="83">
        <v>45200</v>
      </c>
      <c r="M1358" s="83">
        <v>45230</v>
      </c>
    </row>
    <row r="1359" spans="1:13" ht="14.25" customHeight="1" x14ac:dyDescent="0.25">
      <c r="A1359" s="9" t="s">
        <v>1578</v>
      </c>
      <c r="B1359" s="81">
        <v>113059</v>
      </c>
      <c r="C1359" s="81">
        <v>10757</v>
      </c>
      <c r="D1359" s="9" t="s">
        <v>564</v>
      </c>
      <c r="E1359" s="81">
        <v>14563091</v>
      </c>
      <c r="F1359" s="81">
        <v>30552</v>
      </c>
      <c r="G1359" s="81">
        <v>1</v>
      </c>
      <c r="H1359" s="82">
        <v>359.46</v>
      </c>
      <c r="I1359" s="251">
        <v>359.46</v>
      </c>
      <c r="J1359" s="9" t="s">
        <v>1387</v>
      </c>
      <c r="K1359" s="9" t="s">
        <v>1388</v>
      </c>
      <c r="L1359" s="83">
        <v>45200</v>
      </c>
      <c r="M1359" s="83">
        <v>45230</v>
      </c>
    </row>
    <row r="1360" spans="1:13" ht="14.25" customHeight="1" x14ac:dyDescent="0.25">
      <c r="A1360" s="9" t="s">
        <v>0</v>
      </c>
      <c r="B1360" s="81">
        <v>118635</v>
      </c>
      <c r="C1360" s="81">
        <v>10758</v>
      </c>
      <c r="D1360" s="9" t="s">
        <v>1409</v>
      </c>
      <c r="E1360" s="81">
        <v>14563091</v>
      </c>
      <c r="F1360" s="81">
        <v>47164</v>
      </c>
      <c r="G1360" s="81">
        <v>1</v>
      </c>
      <c r="H1360" s="82">
        <v>359.46</v>
      </c>
      <c r="I1360" s="251">
        <v>359.46</v>
      </c>
      <c r="J1360" s="9" t="s">
        <v>1387</v>
      </c>
      <c r="K1360" s="9" t="s">
        <v>1388</v>
      </c>
      <c r="L1360" s="83">
        <v>45200</v>
      </c>
      <c r="M1360" s="83">
        <v>45230</v>
      </c>
    </row>
    <row r="1361" spans="1:13" ht="14.25" customHeight="1" x14ac:dyDescent="0.25">
      <c r="A1361" s="9" t="s">
        <v>1578</v>
      </c>
      <c r="B1361" s="81">
        <v>113063</v>
      </c>
      <c r="C1361" s="81">
        <v>10757</v>
      </c>
      <c r="D1361" s="9" t="s">
        <v>565</v>
      </c>
      <c r="E1361" s="81">
        <v>14563091</v>
      </c>
      <c r="F1361" s="81">
        <v>30560</v>
      </c>
      <c r="G1361" s="81">
        <v>1</v>
      </c>
      <c r="H1361" s="82">
        <v>359.46</v>
      </c>
      <c r="I1361" s="251">
        <v>359.46</v>
      </c>
      <c r="J1361" s="9" t="s">
        <v>1387</v>
      </c>
      <c r="K1361" s="9" t="s">
        <v>1388</v>
      </c>
      <c r="L1361" s="83">
        <v>45200</v>
      </c>
      <c r="M1361" s="83">
        <v>45230</v>
      </c>
    </row>
    <row r="1362" spans="1:13" ht="14.25" customHeight="1" x14ac:dyDescent="0.25">
      <c r="A1362" s="9" t="s">
        <v>1578</v>
      </c>
      <c r="B1362" s="81">
        <v>114981</v>
      </c>
      <c r="C1362" s="81">
        <v>10745</v>
      </c>
      <c r="D1362" s="9" t="s">
        <v>1135</v>
      </c>
      <c r="E1362" s="81">
        <v>14563091</v>
      </c>
      <c r="F1362" s="81">
        <v>37739</v>
      </c>
      <c r="G1362" s="81">
        <v>1</v>
      </c>
      <c r="H1362" s="82">
        <v>359.46</v>
      </c>
      <c r="I1362" s="251">
        <v>359.46</v>
      </c>
      <c r="J1362" s="9" t="s">
        <v>1387</v>
      </c>
      <c r="K1362" s="9" t="s">
        <v>1388</v>
      </c>
      <c r="L1362" s="83">
        <v>45200</v>
      </c>
      <c r="M1362" s="83">
        <v>45230</v>
      </c>
    </row>
    <row r="1363" spans="1:13" ht="14.25" customHeight="1" x14ac:dyDescent="0.25">
      <c r="A1363" s="9" t="s">
        <v>1578</v>
      </c>
      <c r="B1363" s="81">
        <v>114943</v>
      </c>
      <c r="C1363" s="81">
        <v>10758</v>
      </c>
      <c r="D1363" s="9" t="s">
        <v>1122</v>
      </c>
      <c r="E1363" s="81">
        <v>14563091</v>
      </c>
      <c r="F1363" s="81">
        <v>37662</v>
      </c>
      <c r="G1363" s="81">
        <v>1</v>
      </c>
      <c r="H1363" s="82">
        <v>359.46</v>
      </c>
      <c r="I1363" s="251">
        <v>359.46</v>
      </c>
      <c r="J1363" s="9" t="s">
        <v>1387</v>
      </c>
      <c r="K1363" s="9" t="s">
        <v>1388</v>
      </c>
      <c r="L1363" s="83">
        <v>45200</v>
      </c>
      <c r="M1363" s="83">
        <v>45230</v>
      </c>
    </row>
    <row r="1364" spans="1:13" ht="14.25" customHeight="1" x14ac:dyDescent="0.25">
      <c r="A1364" s="9" t="s">
        <v>1578</v>
      </c>
      <c r="B1364" s="81">
        <v>122234</v>
      </c>
      <c r="C1364" s="81">
        <v>10762</v>
      </c>
      <c r="D1364" s="9" t="s">
        <v>1663</v>
      </c>
      <c r="E1364" s="81">
        <v>14563091</v>
      </c>
      <c r="F1364" s="81">
        <v>55710</v>
      </c>
      <c r="G1364" s="81">
        <v>1</v>
      </c>
      <c r="H1364" s="82">
        <v>359.46</v>
      </c>
      <c r="I1364" s="251">
        <v>359.46</v>
      </c>
      <c r="J1364" s="9" t="s">
        <v>1387</v>
      </c>
      <c r="K1364" s="9" t="s">
        <v>1388</v>
      </c>
      <c r="L1364" s="83">
        <v>45200</v>
      </c>
      <c r="M1364" s="83">
        <v>45230</v>
      </c>
    </row>
    <row r="1365" spans="1:13" ht="14.25" customHeight="1" x14ac:dyDescent="0.25">
      <c r="A1365" s="9" t="s">
        <v>8</v>
      </c>
      <c r="B1365" s="81">
        <v>112597</v>
      </c>
      <c r="C1365" s="81">
        <v>10750</v>
      </c>
      <c r="D1365" s="9" t="s">
        <v>285</v>
      </c>
      <c r="E1365" s="81">
        <v>14563091</v>
      </c>
      <c r="F1365" s="81">
        <v>29628</v>
      </c>
      <c r="G1365" s="81">
        <v>1</v>
      </c>
      <c r="H1365" s="82">
        <v>359.46</v>
      </c>
      <c r="I1365" s="251">
        <v>359.46</v>
      </c>
      <c r="J1365" s="9" t="s">
        <v>1387</v>
      </c>
      <c r="K1365" s="9" t="s">
        <v>1388</v>
      </c>
      <c r="L1365" s="83">
        <v>45200</v>
      </c>
      <c r="M1365" s="83">
        <v>45230</v>
      </c>
    </row>
    <row r="1366" spans="1:13" ht="14.25" customHeight="1" x14ac:dyDescent="0.25">
      <c r="A1366" s="9" t="s">
        <v>0</v>
      </c>
      <c r="B1366" s="81">
        <v>112882</v>
      </c>
      <c r="C1366" s="81">
        <v>10757</v>
      </c>
      <c r="D1366" s="9" t="s">
        <v>473</v>
      </c>
      <c r="E1366" s="81">
        <v>14563091</v>
      </c>
      <c r="F1366" s="81">
        <v>30198</v>
      </c>
      <c r="G1366" s="81">
        <v>1</v>
      </c>
      <c r="H1366" s="82">
        <v>359.46</v>
      </c>
      <c r="I1366" s="251">
        <v>359.46</v>
      </c>
      <c r="J1366" s="9" t="s">
        <v>1387</v>
      </c>
      <c r="K1366" s="9" t="s">
        <v>1388</v>
      </c>
      <c r="L1366" s="83">
        <v>45200</v>
      </c>
      <c r="M1366" s="83">
        <v>45230</v>
      </c>
    </row>
    <row r="1367" spans="1:13" ht="14.25" customHeight="1" x14ac:dyDescent="0.25">
      <c r="A1367" s="9" t="s">
        <v>1578</v>
      </c>
      <c r="B1367" s="81">
        <v>121684</v>
      </c>
      <c r="C1367" s="81">
        <v>10743</v>
      </c>
      <c r="D1367" s="9" t="s">
        <v>1592</v>
      </c>
      <c r="E1367" s="81">
        <v>14563091</v>
      </c>
      <c r="F1367" s="81">
        <v>54333</v>
      </c>
      <c r="G1367" s="81">
        <v>1</v>
      </c>
      <c r="H1367" s="82">
        <v>359.46</v>
      </c>
      <c r="I1367" s="251">
        <v>359.46</v>
      </c>
      <c r="J1367" s="9" t="s">
        <v>1387</v>
      </c>
      <c r="K1367" s="9" t="s">
        <v>1388</v>
      </c>
      <c r="L1367" s="83">
        <v>45200</v>
      </c>
      <c r="M1367" s="83">
        <v>45230</v>
      </c>
    </row>
    <row r="1368" spans="1:13" ht="14.25" customHeight="1" x14ac:dyDescent="0.25">
      <c r="A1368" s="9" t="s">
        <v>10</v>
      </c>
      <c r="B1368" s="81">
        <v>112345</v>
      </c>
      <c r="C1368" s="81">
        <v>10756</v>
      </c>
      <c r="D1368" s="9" t="s">
        <v>122</v>
      </c>
      <c r="E1368" s="81">
        <v>14563091</v>
      </c>
      <c r="F1368" s="81">
        <v>29124</v>
      </c>
      <c r="G1368" s="81">
        <v>1</v>
      </c>
      <c r="H1368" s="82">
        <v>359.46</v>
      </c>
      <c r="I1368" s="251">
        <v>359.46</v>
      </c>
      <c r="J1368" s="9" t="s">
        <v>1387</v>
      </c>
      <c r="K1368" s="9" t="s">
        <v>1388</v>
      </c>
      <c r="L1368" s="83">
        <v>45200</v>
      </c>
      <c r="M1368" s="83">
        <v>45230</v>
      </c>
    </row>
    <row r="1369" spans="1:13" ht="14.25" customHeight="1" x14ac:dyDescent="0.25">
      <c r="A1369" s="9" t="s">
        <v>19</v>
      </c>
      <c r="B1369" s="81">
        <v>112599</v>
      </c>
      <c r="C1369" s="81">
        <v>10757</v>
      </c>
      <c r="D1369" s="9" t="s">
        <v>287</v>
      </c>
      <c r="E1369" s="81">
        <v>14563091</v>
      </c>
      <c r="F1369" s="81">
        <v>29632</v>
      </c>
      <c r="G1369" s="81">
        <v>1</v>
      </c>
      <c r="H1369" s="82">
        <v>359.46</v>
      </c>
      <c r="I1369" s="251">
        <v>359.46</v>
      </c>
      <c r="J1369" s="9" t="s">
        <v>1387</v>
      </c>
      <c r="K1369" s="9" t="s">
        <v>1388</v>
      </c>
      <c r="L1369" s="83">
        <v>45200</v>
      </c>
      <c r="M1369" s="83">
        <v>45230</v>
      </c>
    </row>
    <row r="1370" spans="1:13" ht="14.25" customHeight="1" x14ac:dyDescent="0.25">
      <c r="A1370" s="9" t="s">
        <v>8</v>
      </c>
      <c r="B1370" s="81">
        <v>121324</v>
      </c>
      <c r="C1370" s="81">
        <v>10750</v>
      </c>
      <c r="D1370" s="9" t="s">
        <v>1539</v>
      </c>
      <c r="E1370" s="81">
        <v>14563091</v>
      </c>
      <c r="F1370" s="81">
        <v>53502</v>
      </c>
      <c r="G1370" s="81">
        <v>1</v>
      </c>
      <c r="H1370" s="82">
        <v>359.46</v>
      </c>
      <c r="I1370" s="251">
        <v>359.46</v>
      </c>
      <c r="J1370" s="9" t="s">
        <v>1387</v>
      </c>
      <c r="K1370" s="9" t="s">
        <v>1388</v>
      </c>
      <c r="L1370" s="83">
        <v>45200</v>
      </c>
      <c r="M1370" s="83">
        <v>45230</v>
      </c>
    </row>
    <row r="1371" spans="1:13" ht="14.25" customHeight="1" x14ac:dyDescent="0.25">
      <c r="A1371" s="9" t="s">
        <v>8</v>
      </c>
      <c r="B1371" s="81">
        <v>122333</v>
      </c>
      <c r="C1371" s="81">
        <v>10750</v>
      </c>
      <c r="D1371" s="9" t="s">
        <v>1664</v>
      </c>
      <c r="E1371" s="81">
        <v>14563091</v>
      </c>
      <c r="F1371" s="81">
        <v>55960</v>
      </c>
      <c r="G1371" s="81">
        <v>1</v>
      </c>
      <c r="H1371" s="82">
        <v>359.46</v>
      </c>
      <c r="I1371" s="251">
        <v>359.46</v>
      </c>
      <c r="J1371" s="9" t="s">
        <v>1387</v>
      </c>
      <c r="K1371" s="9" t="s">
        <v>1388</v>
      </c>
      <c r="L1371" s="83">
        <v>45200</v>
      </c>
      <c r="M1371" s="83">
        <v>45230</v>
      </c>
    </row>
    <row r="1372" spans="1:13" ht="14.25" customHeight="1" x14ac:dyDescent="0.25">
      <c r="A1372" s="9" t="s">
        <v>0</v>
      </c>
      <c r="B1372" s="81">
        <v>119936</v>
      </c>
      <c r="C1372" s="81">
        <v>10763</v>
      </c>
      <c r="D1372" s="9" t="s">
        <v>1486</v>
      </c>
      <c r="E1372" s="81">
        <v>14563091</v>
      </c>
      <c r="F1372" s="81">
        <v>50276</v>
      </c>
      <c r="G1372" s="81">
        <v>1</v>
      </c>
      <c r="H1372" s="82">
        <v>359.46</v>
      </c>
      <c r="I1372" s="251">
        <v>359.46</v>
      </c>
      <c r="J1372" s="9" t="s">
        <v>1387</v>
      </c>
      <c r="K1372" s="9" t="s">
        <v>1388</v>
      </c>
      <c r="L1372" s="83">
        <v>45200</v>
      </c>
      <c r="M1372" s="83">
        <v>45230</v>
      </c>
    </row>
    <row r="1373" spans="1:13" ht="14.25" customHeight="1" x14ac:dyDescent="0.25">
      <c r="A1373" s="9" t="s">
        <v>1578</v>
      </c>
      <c r="B1373" s="81">
        <v>112888</v>
      </c>
      <c r="C1373" s="81">
        <v>10768</v>
      </c>
      <c r="D1373" s="9" t="s">
        <v>477</v>
      </c>
      <c r="E1373" s="81">
        <v>14563091</v>
      </c>
      <c r="F1373" s="81">
        <v>30210</v>
      </c>
      <c r="G1373" s="81">
        <v>1</v>
      </c>
      <c r="H1373" s="82">
        <v>359.46</v>
      </c>
      <c r="I1373" s="251">
        <v>359.46</v>
      </c>
      <c r="J1373" s="9" t="s">
        <v>1387</v>
      </c>
      <c r="K1373" s="9" t="s">
        <v>1388</v>
      </c>
      <c r="L1373" s="83">
        <v>45200</v>
      </c>
      <c r="M1373" s="83">
        <v>45230</v>
      </c>
    </row>
    <row r="1374" spans="1:13" ht="14.25" customHeight="1" x14ac:dyDescent="0.25">
      <c r="A1374" s="9" t="s">
        <v>10</v>
      </c>
      <c r="B1374" s="81">
        <v>118053</v>
      </c>
      <c r="C1374" s="81">
        <v>10757</v>
      </c>
      <c r="D1374" s="9" t="s">
        <v>1410</v>
      </c>
      <c r="E1374" s="81">
        <v>14563091</v>
      </c>
      <c r="F1374" s="81">
        <v>45894</v>
      </c>
      <c r="G1374" s="81">
        <v>1</v>
      </c>
      <c r="H1374" s="82">
        <v>359.46</v>
      </c>
      <c r="I1374" s="251">
        <v>359.46</v>
      </c>
      <c r="J1374" s="9" t="s">
        <v>1387</v>
      </c>
      <c r="K1374" s="9" t="s">
        <v>1388</v>
      </c>
      <c r="L1374" s="83">
        <v>45200</v>
      </c>
      <c r="M1374" s="83">
        <v>45230</v>
      </c>
    </row>
    <row r="1375" spans="1:13" ht="14.25" customHeight="1" x14ac:dyDescent="0.25">
      <c r="A1375" s="9" t="s">
        <v>8</v>
      </c>
      <c r="B1375" s="81">
        <v>112607</v>
      </c>
      <c r="C1375" s="81">
        <v>10760</v>
      </c>
      <c r="D1375" s="9" t="s">
        <v>1385</v>
      </c>
      <c r="E1375" s="81">
        <v>14563091</v>
      </c>
      <c r="F1375" s="81">
        <v>29648</v>
      </c>
      <c r="G1375" s="81">
        <v>1</v>
      </c>
      <c r="H1375" s="82">
        <v>359.46</v>
      </c>
      <c r="I1375" s="251">
        <v>359.46</v>
      </c>
      <c r="J1375" s="9" t="s">
        <v>1387</v>
      </c>
      <c r="K1375" s="9" t="s">
        <v>1388</v>
      </c>
      <c r="L1375" s="83">
        <v>45200</v>
      </c>
      <c r="M1375" s="83">
        <v>45230</v>
      </c>
    </row>
    <row r="1376" spans="1:13" ht="14.25" customHeight="1" x14ac:dyDescent="0.25">
      <c r="A1376" s="9" t="s">
        <v>10</v>
      </c>
      <c r="B1376" s="81">
        <v>112612</v>
      </c>
      <c r="C1376" s="81">
        <v>10763</v>
      </c>
      <c r="D1376" s="9" t="s">
        <v>296</v>
      </c>
      <c r="E1376" s="81">
        <v>14563091</v>
      </c>
      <c r="F1376" s="81">
        <v>29658</v>
      </c>
      <c r="G1376" s="81">
        <v>1</v>
      </c>
      <c r="H1376" s="82">
        <v>359.46</v>
      </c>
      <c r="I1376" s="251">
        <v>359.46</v>
      </c>
      <c r="J1376" s="9" t="s">
        <v>1387</v>
      </c>
      <c r="K1376" s="9" t="s">
        <v>1388</v>
      </c>
      <c r="L1376" s="83">
        <v>45200</v>
      </c>
      <c r="M1376" s="83">
        <v>45230</v>
      </c>
    </row>
    <row r="1377" spans="1:13" ht="14.25" customHeight="1" x14ac:dyDescent="0.25">
      <c r="A1377" s="9" t="s">
        <v>19</v>
      </c>
      <c r="B1377" s="81">
        <v>121480</v>
      </c>
      <c r="C1377" s="81">
        <v>10755</v>
      </c>
      <c r="D1377" s="9" t="s">
        <v>1571</v>
      </c>
      <c r="E1377" s="81">
        <v>14563091</v>
      </c>
      <c r="F1377" s="81">
        <v>53842</v>
      </c>
      <c r="G1377" s="81">
        <v>1</v>
      </c>
      <c r="H1377" s="82">
        <v>359.46</v>
      </c>
      <c r="I1377" s="251">
        <v>359.46</v>
      </c>
      <c r="J1377" s="9" t="s">
        <v>1387</v>
      </c>
      <c r="K1377" s="9" t="s">
        <v>1388</v>
      </c>
      <c r="L1377" s="83">
        <v>45200</v>
      </c>
      <c r="M1377" s="83">
        <v>45230</v>
      </c>
    </row>
    <row r="1378" spans="1:13" ht="14.25" customHeight="1" x14ac:dyDescent="0.25">
      <c r="A1378" s="9" t="s">
        <v>8</v>
      </c>
      <c r="B1378" s="81">
        <v>112614</v>
      </c>
      <c r="C1378" s="81">
        <v>10763</v>
      </c>
      <c r="D1378" s="9" t="s">
        <v>298</v>
      </c>
      <c r="E1378" s="81">
        <v>14563091</v>
      </c>
      <c r="F1378" s="81">
        <v>29662</v>
      </c>
      <c r="G1378" s="81">
        <v>1</v>
      </c>
      <c r="H1378" s="82">
        <v>359.46</v>
      </c>
      <c r="I1378" s="251">
        <v>359.46</v>
      </c>
      <c r="J1378" s="9" t="s">
        <v>1387</v>
      </c>
      <c r="K1378" s="9" t="s">
        <v>1388</v>
      </c>
      <c r="L1378" s="83">
        <v>45200</v>
      </c>
      <c r="M1378" s="83">
        <v>45230</v>
      </c>
    </row>
    <row r="1379" spans="1:13" ht="14.25" customHeight="1" x14ac:dyDescent="0.25">
      <c r="A1379" s="9" t="s">
        <v>10</v>
      </c>
      <c r="B1379" s="81">
        <v>112354</v>
      </c>
      <c r="C1379" s="81">
        <v>10760</v>
      </c>
      <c r="D1379" s="9" t="s">
        <v>128</v>
      </c>
      <c r="E1379" s="81">
        <v>14563091</v>
      </c>
      <c r="F1379" s="81">
        <v>29142</v>
      </c>
      <c r="G1379" s="81">
        <v>1</v>
      </c>
      <c r="H1379" s="82">
        <v>359.46</v>
      </c>
      <c r="I1379" s="251">
        <v>359.46</v>
      </c>
      <c r="J1379" s="9" t="s">
        <v>1387</v>
      </c>
      <c r="K1379" s="9" t="s">
        <v>1388</v>
      </c>
      <c r="L1379" s="83">
        <v>45200</v>
      </c>
      <c r="M1379" s="83">
        <v>45230</v>
      </c>
    </row>
    <row r="1380" spans="1:13" ht="14.25" customHeight="1" x14ac:dyDescent="0.25">
      <c r="A1380" s="9" t="s">
        <v>19</v>
      </c>
      <c r="B1380" s="81">
        <v>119678</v>
      </c>
      <c r="C1380" s="81">
        <v>10761</v>
      </c>
      <c r="D1380" s="9" t="s">
        <v>1474</v>
      </c>
      <c r="E1380" s="81">
        <v>14563091</v>
      </c>
      <c r="F1380" s="81">
        <v>49685</v>
      </c>
      <c r="G1380" s="81">
        <v>1</v>
      </c>
      <c r="H1380" s="82">
        <v>359.46</v>
      </c>
      <c r="I1380" s="251">
        <v>359.46</v>
      </c>
      <c r="J1380" s="9" t="s">
        <v>1387</v>
      </c>
      <c r="K1380" s="9" t="s">
        <v>1388</v>
      </c>
      <c r="L1380" s="83">
        <v>45200</v>
      </c>
      <c r="M1380" s="83">
        <v>45230</v>
      </c>
    </row>
    <row r="1381" spans="1:13" ht="14.25" customHeight="1" x14ac:dyDescent="0.25">
      <c r="A1381" s="9" t="s">
        <v>1578</v>
      </c>
      <c r="B1381" s="81">
        <v>122029</v>
      </c>
      <c r="C1381" s="81">
        <v>10771</v>
      </c>
      <c r="D1381" s="9" t="s">
        <v>1636</v>
      </c>
      <c r="E1381" s="81">
        <v>14563091</v>
      </c>
      <c r="F1381" s="81">
        <v>55370</v>
      </c>
      <c r="G1381" s="81">
        <v>1</v>
      </c>
      <c r="H1381" s="82">
        <v>359.46</v>
      </c>
      <c r="I1381" s="251">
        <v>359.46</v>
      </c>
      <c r="J1381" s="9" t="s">
        <v>1387</v>
      </c>
      <c r="K1381" s="9" t="s">
        <v>1388</v>
      </c>
      <c r="L1381" s="83">
        <v>45200</v>
      </c>
      <c r="M1381" s="83">
        <v>45230</v>
      </c>
    </row>
    <row r="1382" spans="1:13" ht="14.25" customHeight="1" x14ac:dyDescent="0.25">
      <c r="A1382" s="9" t="s">
        <v>0</v>
      </c>
      <c r="B1382" s="81">
        <v>114360</v>
      </c>
      <c r="C1382" s="81">
        <v>10766</v>
      </c>
      <c r="D1382" s="9" t="s">
        <v>1033</v>
      </c>
      <c r="E1382" s="81">
        <v>14563091</v>
      </c>
      <c r="F1382" s="81">
        <v>35856</v>
      </c>
      <c r="G1382" s="81">
        <v>1</v>
      </c>
      <c r="H1382" s="82">
        <v>359.46</v>
      </c>
      <c r="I1382" s="251">
        <v>359.46</v>
      </c>
      <c r="J1382" s="9" t="s">
        <v>1387</v>
      </c>
      <c r="K1382" s="9" t="s">
        <v>1388</v>
      </c>
      <c r="L1382" s="83">
        <v>45200</v>
      </c>
      <c r="M1382" s="83">
        <v>45230</v>
      </c>
    </row>
    <row r="1383" spans="1:13" ht="14.25" customHeight="1" x14ac:dyDescent="0.25">
      <c r="A1383" s="9" t="s">
        <v>0</v>
      </c>
      <c r="B1383" s="81">
        <v>122554</v>
      </c>
      <c r="C1383" s="81">
        <v>10758</v>
      </c>
      <c r="D1383" s="9" t="s">
        <v>1703</v>
      </c>
      <c r="E1383" s="81">
        <v>14563091</v>
      </c>
      <c r="F1383" s="81">
        <v>56500</v>
      </c>
      <c r="G1383" s="81">
        <v>1</v>
      </c>
      <c r="H1383" s="82">
        <v>359.46</v>
      </c>
      <c r="I1383" s="251">
        <v>359.46</v>
      </c>
      <c r="J1383" s="9" t="s">
        <v>1387</v>
      </c>
      <c r="K1383" s="9" t="s">
        <v>1388</v>
      </c>
      <c r="L1383" s="83">
        <v>45200</v>
      </c>
      <c r="M1383" s="83">
        <v>45230</v>
      </c>
    </row>
    <row r="1384" spans="1:13" ht="12.75" customHeight="1" x14ac:dyDescent="0.25">
      <c r="A1384" s="9" t="s">
        <v>0</v>
      </c>
      <c r="B1384" s="81">
        <v>122553</v>
      </c>
      <c r="C1384" s="81">
        <v>10758</v>
      </c>
      <c r="D1384" s="9" t="s">
        <v>1700</v>
      </c>
      <c r="E1384" s="81">
        <v>14563091</v>
      </c>
      <c r="F1384" s="81">
        <v>56498</v>
      </c>
      <c r="G1384" s="81">
        <v>1</v>
      </c>
      <c r="H1384" s="82">
        <v>359.46</v>
      </c>
      <c r="I1384" s="251">
        <v>359.46</v>
      </c>
      <c r="J1384" s="9" t="s">
        <v>1387</v>
      </c>
      <c r="K1384" s="9" t="s">
        <v>1388</v>
      </c>
      <c r="L1384" s="83">
        <v>45200</v>
      </c>
      <c r="M1384" s="83">
        <v>45230</v>
      </c>
    </row>
    <row r="1385" spans="1:13" ht="12.75" customHeight="1" x14ac:dyDescent="0.25">
      <c r="A1385" s="9" t="s">
        <v>1578</v>
      </c>
      <c r="B1385" s="81">
        <v>113074</v>
      </c>
      <c r="C1385" s="81">
        <v>10757</v>
      </c>
      <c r="D1385" s="9" t="s">
        <v>571</v>
      </c>
      <c r="E1385" s="81">
        <v>14563091</v>
      </c>
      <c r="F1385" s="81">
        <v>30582</v>
      </c>
      <c r="G1385" s="81">
        <v>1</v>
      </c>
      <c r="H1385" s="82">
        <v>359.46</v>
      </c>
      <c r="I1385" s="251">
        <v>359.46</v>
      </c>
      <c r="J1385" s="9" t="s">
        <v>1387</v>
      </c>
      <c r="K1385" s="9" t="s">
        <v>1388</v>
      </c>
      <c r="L1385" s="83">
        <v>45200</v>
      </c>
      <c r="M1385" s="83">
        <v>45230</v>
      </c>
    </row>
    <row r="1386" spans="1:13" ht="12.75" customHeight="1" x14ac:dyDescent="0.25">
      <c r="A1386" s="9" t="s">
        <v>10</v>
      </c>
      <c r="B1386" s="81">
        <v>112363</v>
      </c>
      <c r="C1386" s="81">
        <v>10760</v>
      </c>
      <c r="D1386" s="9" t="s">
        <v>131</v>
      </c>
      <c r="E1386" s="81">
        <v>14563091</v>
      </c>
      <c r="F1386" s="81">
        <v>29160</v>
      </c>
      <c r="G1386" s="81">
        <v>1</v>
      </c>
      <c r="H1386" s="82">
        <v>359.46</v>
      </c>
      <c r="I1386" s="251">
        <v>359.46</v>
      </c>
      <c r="J1386" s="9" t="s">
        <v>1387</v>
      </c>
      <c r="K1386" s="9" t="s">
        <v>1388</v>
      </c>
      <c r="L1386" s="83">
        <v>45200</v>
      </c>
      <c r="M1386" s="83">
        <v>45230</v>
      </c>
    </row>
    <row r="1387" spans="1:13" ht="12.75" customHeight="1" x14ac:dyDescent="0.25">
      <c r="A1387" s="9" t="s">
        <v>19</v>
      </c>
      <c r="B1387" s="81">
        <v>114092</v>
      </c>
      <c r="C1387" s="81">
        <v>10763</v>
      </c>
      <c r="D1387" s="9" t="s">
        <v>1000</v>
      </c>
      <c r="E1387" s="81">
        <v>14563091</v>
      </c>
      <c r="F1387" s="81">
        <v>34336</v>
      </c>
      <c r="G1387" s="81">
        <v>1</v>
      </c>
      <c r="H1387" s="82">
        <v>359.46</v>
      </c>
      <c r="I1387" s="251">
        <v>359.46</v>
      </c>
      <c r="J1387" s="9" t="s">
        <v>1387</v>
      </c>
      <c r="K1387" s="9" t="s">
        <v>1388</v>
      </c>
      <c r="L1387" s="83">
        <v>45200</v>
      </c>
      <c r="M1387" s="83">
        <v>45230</v>
      </c>
    </row>
    <row r="1388" spans="1:13" ht="12.75" customHeight="1" x14ac:dyDescent="0.25">
      <c r="A1388" s="9" t="s">
        <v>19</v>
      </c>
      <c r="B1388" s="81">
        <v>112250</v>
      </c>
      <c r="C1388" s="81">
        <v>10757</v>
      </c>
      <c r="D1388" s="9" t="s">
        <v>62</v>
      </c>
      <c r="E1388" s="81">
        <v>14563091</v>
      </c>
      <c r="F1388" s="81">
        <v>28934</v>
      </c>
      <c r="G1388" s="81">
        <v>1</v>
      </c>
      <c r="H1388" s="82">
        <v>359.46</v>
      </c>
      <c r="I1388" s="251">
        <v>359.46</v>
      </c>
      <c r="J1388" s="9" t="s">
        <v>1387</v>
      </c>
      <c r="K1388" s="9" t="s">
        <v>1388</v>
      </c>
      <c r="L1388" s="83">
        <v>45200</v>
      </c>
      <c r="M1388" s="83">
        <v>45230</v>
      </c>
    </row>
    <row r="1389" spans="1:13" ht="12.75" customHeight="1" x14ac:dyDescent="0.25">
      <c r="A1389" s="9" t="s">
        <v>0</v>
      </c>
      <c r="B1389" s="81">
        <v>112893</v>
      </c>
      <c r="C1389" s="81">
        <v>10771</v>
      </c>
      <c r="D1389" s="9" t="s">
        <v>481</v>
      </c>
      <c r="E1389" s="81">
        <v>14563091</v>
      </c>
      <c r="F1389" s="81">
        <v>30220</v>
      </c>
      <c r="G1389" s="81">
        <v>1</v>
      </c>
      <c r="H1389" s="82">
        <v>359.46</v>
      </c>
      <c r="I1389" s="251">
        <v>359.46</v>
      </c>
      <c r="J1389" s="9" t="s">
        <v>1387</v>
      </c>
      <c r="K1389" s="9" t="s">
        <v>1388</v>
      </c>
      <c r="L1389" s="83">
        <v>45200</v>
      </c>
      <c r="M1389" s="83">
        <v>45230</v>
      </c>
    </row>
    <row r="1390" spans="1:13" ht="12.75" customHeight="1" x14ac:dyDescent="0.25">
      <c r="A1390" s="9" t="s">
        <v>1578</v>
      </c>
      <c r="B1390" s="81">
        <v>112896</v>
      </c>
      <c r="C1390" s="81">
        <v>10761</v>
      </c>
      <c r="D1390" s="9" t="s">
        <v>483</v>
      </c>
      <c r="E1390" s="81">
        <v>14563091</v>
      </c>
      <c r="F1390" s="81">
        <v>30226</v>
      </c>
      <c r="G1390" s="81">
        <v>1</v>
      </c>
      <c r="H1390" s="82">
        <v>359.46</v>
      </c>
      <c r="I1390" s="251">
        <v>359.46</v>
      </c>
      <c r="J1390" s="9" t="s">
        <v>1387</v>
      </c>
      <c r="K1390" s="9" t="s">
        <v>1388</v>
      </c>
      <c r="L1390" s="83">
        <v>45200</v>
      </c>
      <c r="M1390" s="83">
        <v>45230</v>
      </c>
    </row>
    <row r="1391" spans="1:13" ht="12.75" customHeight="1" x14ac:dyDescent="0.25">
      <c r="A1391" s="9" t="s">
        <v>10</v>
      </c>
      <c r="B1391" s="81">
        <v>112368</v>
      </c>
      <c r="C1391" s="81">
        <v>10760</v>
      </c>
      <c r="D1391" s="9" t="s">
        <v>134</v>
      </c>
      <c r="E1391" s="81">
        <v>14563091</v>
      </c>
      <c r="F1391" s="81">
        <v>29170</v>
      </c>
      <c r="G1391" s="81">
        <v>1</v>
      </c>
      <c r="H1391" s="82">
        <v>359.46</v>
      </c>
      <c r="I1391" s="251">
        <v>359.46</v>
      </c>
      <c r="J1391" s="9" t="s">
        <v>1387</v>
      </c>
      <c r="K1391" s="9" t="s">
        <v>1388</v>
      </c>
      <c r="L1391" s="83">
        <v>45200</v>
      </c>
      <c r="M1391" s="83">
        <v>45230</v>
      </c>
    </row>
    <row r="1392" spans="1:13" ht="12.75" customHeight="1" x14ac:dyDescent="0.25">
      <c r="A1392" s="9" t="s">
        <v>8</v>
      </c>
      <c r="B1392" s="81">
        <v>112626</v>
      </c>
      <c r="C1392" s="81">
        <v>10755</v>
      </c>
      <c r="D1392" s="9" t="s">
        <v>306</v>
      </c>
      <c r="E1392" s="81">
        <v>14563091</v>
      </c>
      <c r="F1392" s="81">
        <v>29686</v>
      </c>
      <c r="G1392" s="81">
        <v>1</v>
      </c>
      <c r="H1392" s="82">
        <v>359.46</v>
      </c>
      <c r="I1392" s="251">
        <v>359.46</v>
      </c>
      <c r="J1392" s="9" t="s">
        <v>1387</v>
      </c>
      <c r="K1392" s="9" t="s">
        <v>1388</v>
      </c>
      <c r="L1392" s="83">
        <v>45200</v>
      </c>
      <c r="M1392" s="83">
        <v>45230</v>
      </c>
    </row>
    <row r="1393" spans="1:13" ht="12.75" customHeight="1" x14ac:dyDescent="0.25">
      <c r="A1393" s="9" t="s">
        <v>1580</v>
      </c>
      <c r="B1393" s="81">
        <v>113846</v>
      </c>
      <c r="C1393" s="81">
        <v>10774</v>
      </c>
      <c r="D1393" s="9" t="s">
        <v>984</v>
      </c>
      <c r="E1393" s="81">
        <v>14563091</v>
      </c>
      <c r="F1393" s="81">
        <v>33630</v>
      </c>
      <c r="G1393" s="81">
        <v>1</v>
      </c>
      <c r="H1393" s="82">
        <v>359.46</v>
      </c>
      <c r="I1393" s="251">
        <v>359.46</v>
      </c>
      <c r="J1393" s="9" t="s">
        <v>1387</v>
      </c>
      <c r="K1393" s="9" t="s">
        <v>1388</v>
      </c>
      <c r="L1393" s="83">
        <v>45200</v>
      </c>
      <c r="M1393" s="83">
        <v>45230</v>
      </c>
    </row>
    <row r="1394" spans="1:13" ht="12.75" customHeight="1" x14ac:dyDescent="0.25">
      <c r="A1394" s="9" t="s">
        <v>1578</v>
      </c>
      <c r="B1394" s="81">
        <v>112898</v>
      </c>
      <c r="C1394" s="81">
        <v>10761</v>
      </c>
      <c r="D1394" s="9" t="s">
        <v>485</v>
      </c>
      <c r="E1394" s="81">
        <v>14563091</v>
      </c>
      <c r="F1394" s="81">
        <v>30230</v>
      </c>
      <c r="G1394" s="81">
        <v>1</v>
      </c>
      <c r="H1394" s="82">
        <v>359.46</v>
      </c>
      <c r="I1394" s="251">
        <v>359.46</v>
      </c>
      <c r="J1394" s="9" t="s">
        <v>1387</v>
      </c>
      <c r="K1394" s="9" t="s">
        <v>1388</v>
      </c>
      <c r="L1394" s="83">
        <v>45200</v>
      </c>
      <c r="M1394" s="83">
        <v>45230</v>
      </c>
    </row>
    <row r="1395" spans="1:13" ht="12.75" customHeight="1" x14ac:dyDescent="0.25">
      <c r="A1395" s="9" t="s">
        <v>8</v>
      </c>
      <c r="B1395" s="81">
        <v>112618</v>
      </c>
      <c r="C1395" s="81">
        <v>10771</v>
      </c>
      <c r="D1395" s="9" t="s">
        <v>301</v>
      </c>
      <c r="E1395" s="81">
        <v>14563091</v>
      </c>
      <c r="F1395" s="81">
        <v>29670</v>
      </c>
      <c r="G1395" s="81">
        <v>1</v>
      </c>
      <c r="H1395" s="82">
        <v>359.46</v>
      </c>
      <c r="I1395" s="251">
        <v>359.46</v>
      </c>
      <c r="J1395" s="9" t="s">
        <v>1387</v>
      </c>
      <c r="K1395" s="9" t="s">
        <v>1388</v>
      </c>
      <c r="L1395" s="83">
        <v>45200</v>
      </c>
      <c r="M1395" s="83">
        <v>45230</v>
      </c>
    </row>
    <row r="1396" spans="1:13" ht="12.75" customHeight="1" x14ac:dyDescent="0.25">
      <c r="A1396" s="9" t="s">
        <v>8</v>
      </c>
      <c r="B1396" s="81">
        <v>112628</v>
      </c>
      <c r="C1396" s="81">
        <v>10760</v>
      </c>
      <c r="D1396" s="9" t="s">
        <v>307</v>
      </c>
      <c r="E1396" s="81">
        <v>14563091</v>
      </c>
      <c r="F1396" s="81">
        <v>29690</v>
      </c>
      <c r="G1396" s="81">
        <v>1</v>
      </c>
      <c r="H1396" s="82">
        <v>359.46</v>
      </c>
      <c r="I1396" s="251">
        <v>359.46</v>
      </c>
      <c r="J1396" s="9" t="s">
        <v>1387</v>
      </c>
      <c r="K1396" s="9" t="s">
        <v>1388</v>
      </c>
      <c r="L1396" s="83">
        <v>45200</v>
      </c>
      <c r="M1396" s="83">
        <v>45230</v>
      </c>
    </row>
    <row r="1397" spans="1:13" ht="12.75" customHeight="1" x14ac:dyDescent="0.25">
      <c r="A1397" s="9" t="s">
        <v>1578</v>
      </c>
      <c r="B1397" s="81">
        <v>113932</v>
      </c>
      <c r="C1397" s="81">
        <v>10743</v>
      </c>
      <c r="D1397" s="9" t="s">
        <v>993</v>
      </c>
      <c r="E1397" s="81">
        <v>14563091</v>
      </c>
      <c r="F1397" s="81">
        <v>33839</v>
      </c>
      <c r="G1397" s="81">
        <v>1</v>
      </c>
      <c r="H1397" s="82">
        <v>359.46</v>
      </c>
      <c r="I1397" s="251">
        <v>359.46</v>
      </c>
      <c r="J1397" s="9" t="s">
        <v>1387</v>
      </c>
      <c r="K1397" s="9" t="s">
        <v>1388</v>
      </c>
      <c r="L1397" s="83">
        <v>45200</v>
      </c>
      <c r="M1397" s="83">
        <v>45230</v>
      </c>
    </row>
    <row r="1398" spans="1:13" ht="12.75" customHeight="1" x14ac:dyDescent="0.25">
      <c r="A1398" s="9" t="s">
        <v>8</v>
      </c>
      <c r="B1398" s="81">
        <v>119110</v>
      </c>
      <c r="C1398" s="81">
        <v>10757</v>
      </c>
      <c r="D1398" s="9" t="s">
        <v>1445</v>
      </c>
      <c r="E1398" s="81">
        <v>14563091</v>
      </c>
      <c r="F1398" s="81">
        <v>48242</v>
      </c>
      <c r="G1398" s="81">
        <v>1</v>
      </c>
      <c r="H1398" s="82">
        <v>359.46</v>
      </c>
      <c r="I1398" s="251">
        <v>359.46</v>
      </c>
      <c r="J1398" s="9" t="s">
        <v>1387</v>
      </c>
      <c r="K1398" s="9" t="s">
        <v>1388</v>
      </c>
      <c r="L1398" s="83">
        <v>45200</v>
      </c>
      <c r="M1398" s="83">
        <v>45230</v>
      </c>
    </row>
    <row r="1399" spans="1:13" ht="12.75" customHeight="1" x14ac:dyDescent="0.25">
      <c r="A1399" s="9" t="s">
        <v>0</v>
      </c>
      <c r="B1399" s="81">
        <v>114265</v>
      </c>
      <c r="C1399" s="81">
        <v>10766</v>
      </c>
      <c r="D1399" s="9" t="s">
        <v>1026</v>
      </c>
      <c r="E1399" s="81">
        <v>14563091</v>
      </c>
      <c r="F1399" s="81">
        <v>35809</v>
      </c>
      <c r="G1399" s="81">
        <v>1</v>
      </c>
      <c r="H1399" s="82">
        <v>359.46</v>
      </c>
      <c r="I1399" s="251">
        <v>359.46</v>
      </c>
      <c r="J1399" s="9" t="s">
        <v>1387</v>
      </c>
      <c r="K1399" s="9" t="s">
        <v>1388</v>
      </c>
      <c r="L1399" s="83">
        <v>45200</v>
      </c>
      <c r="M1399" s="83">
        <v>45230</v>
      </c>
    </row>
    <row r="1400" spans="1:13" ht="12.75" customHeight="1" x14ac:dyDescent="0.25">
      <c r="A1400" s="9" t="s">
        <v>0</v>
      </c>
      <c r="B1400" s="81">
        <v>112905</v>
      </c>
      <c r="C1400" s="81">
        <v>10757</v>
      </c>
      <c r="D1400" s="9" t="s">
        <v>489</v>
      </c>
      <c r="E1400" s="81">
        <v>14563091</v>
      </c>
      <c r="F1400" s="81">
        <v>30244</v>
      </c>
      <c r="G1400" s="81">
        <v>1</v>
      </c>
      <c r="H1400" s="82">
        <v>359.46</v>
      </c>
      <c r="I1400" s="251">
        <v>359.46</v>
      </c>
      <c r="J1400" s="9" t="s">
        <v>1387</v>
      </c>
      <c r="K1400" s="9" t="s">
        <v>1388</v>
      </c>
      <c r="L1400" s="83">
        <v>45200</v>
      </c>
      <c r="M1400" s="83">
        <v>45230</v>
      </c>
    </row>
    <row r="1401" spans="1:13" ht="12.75" customHeight="1" x14ac:dyDescent="0.25">
      <c r="A1401" s="9" t="s">
        <v>1578</v>
      </c>
      <c r="B1401" s="81">
        <v>112907</v>
      </c>
      <c r="C1401" s="81">
        <v>10767</v>
      </c>
      <c r="D1401" s="9" t="s">
        <v>490</v>
      </c>
      <c r="E1401" s="81">
        <v>14563091</v>
      </c>
      <c r="F1401" s="81">
        <v>30248</v>
      </c>
      <c r="G1401" s="81">
        <v>1</v>
      </c>
      <c r="H1401" s="82">
        <v>359.46</v>
      </c>
      <c r="I1401" s="251">
        <v>359.46</v>
      </c>
      <c r="J1401" s="9" t="s">
        <v>1387</v>
      </c>
      <c r="K1401" s="9" t="s">
        <v>1388</v>
      </c>
      <c r="L1401" s="83">
        <v>45200</v>
      </c>
      <c r="M1401" s="83">
        <v>45230</v>
      </c>
    </row>
    <row r="1402" spans="1:13" ht="12.75" customHeight="1" x14ac:dyDescent="0.25">
      <c r="A1402" s="9" t="s">
        <v>0</v>
      </c>
      <c r="B1402" s="81">
        <v>114748</v>
      </c>
      <c r="C1402" s="81">
        <v>10758</v>
      </c>
      <c r="D1402" s="9" t="s">
        <v>1088</v>
      </c>
      <c r="E1402" s="81">
        <v>14563091</v>
      </c>
      <c r="F1402" s="81">
        <v>36944</v>
      </c>
      <c r="G1402" s="81">
        <v>1</v>
      </c>
      <c r="H1402" s="82">
        <v>359.46</v>
      </c>
      <c r="I1402" s="251">
        <v>359.46</v>
      </c>
      <c r="J1402" s="9" t="s">
        <v>1387</v>
      </c>
      <c r="K1402" s="9" t="s">
        <v>1388</v>
      </c>
      <c r="L1402" s="83">
        <v>45200</v>
      </c>
      <c r="M1402" s="83">
        <v>45230</v>
      </c>
    </row>
    <row r="1403" spans="1:13" ht="12.75" customHeight="1" x14ac:dyDescent="0.25">
      <c r="A1403" s="9" t="s">
        <v>1578</v>
      </c>
      <c r="B1403" s="81">
        <v>114949</v>
      </c>
      <c r="C1403" s="81">
        <v>10762</v>
      </c>
      <c r="D1403" s="9" t="s">
        <v>1098</v>
      </c>
      <c r="E1403" s="81">
        <v>14563091</v>
      </c>
      <c r="F1403" s="81">
        <v>37674</v>
      </c>
      <c r="G1403" s="81">
        <v>1</v>
      </c>
      <c r="H1403" s="82">
        <v>359.46</v>
      </c>
      <c r="I1403" s="251">
        <v>359.46</v>
      </c>
      <c r="J1403" s="9" t="s">
        <v>1387</v>
      </c>
      <c r="K1403" s="9" t="s">
        <v>1388</v>
      </c>
      <c r="L1403" s="83">
        <v>45200</v>
      </c>
      <c r="M1403" s="83">
        <v>45230</v>
      </c>
    </row>
    <row r="1404" spans="1:13" ht="12.75" customHeight="1" x14ac:dyDescent="0.25">
      <c r="A1404" s="9" t="s">
        <v>1578</v>
      </c>
      <c r="B1404" s="81">
        <v>112376</v>
      </c>
      <c r="C1404" s="81">
        <v>10771</v>
      </c>
      <c r="D1404" s="9" t="s">
        <v>138</v>
      </c>
      <c r="E1404" s="81">
        <v>14563091</v>
      </c>
      <c r="F1404" s="81">
        <v>29186</v>
      </c>
      <c r="G1404" s="81">
        <v>1</v>
      </c>
      <c r="H1404" s="82">
        <v>347.47</v>
      </c>
      <c r="I1404" s="251">
        <v>347.47</v>
      </c>
      <c r="J1404" s="9" t="s">
        <v>1387</v>
      </c>
      <c r="K1404" s="9" t="s">
        <v>1388</v>
      </c>
      <c r="L1404" s="83">
        <v>45200</v>
      </c>
      <c r="M1404" s="83">
        <v>45230</v>
      </c>
    </row>
    <row r="1405" spans="1:13" ht="12.75" customHeight="1" x14ac:dyDescent="0.25">
      <c r="A1405" s="9" t="s">
        <v>1578</v>
      </c>
      <c r="B1405" s="81">
        <v>112911</v>
      </c>
      <c r="C1405" s="81">
        <v>10761</v>
      </c>
      <c r="D1405" s="9" t="s">
        <v>493</v>
      </c>
      <c r="E1405" s="81">
        <v>14563091</v>
      </c>
      <c r="F1405" s="81">
        <v>30256</v>
      </c>
      <c r="G1405" s="81">
        <v>1</v>
      </c>
      <c r="H1405" s="82">
        <v>359.46</v>
      </c>
      <c r="I1405" s="251">
        <v>359.46</v>
      </c>
      <c r="J1405" s="9" t="s">
        <v>1387</v>
      </c>
      <c r="K1405" s="9" t="s">
        <v>1388</v>
      </c>
      <c r="L1405" s="83">
        <v>45200</v>
      </c>
      <c r="M1405" s="83">
        <v>45230</v>
      </c>
    </row>
    <row r="1406" spans="1:13" ht="12.75" customHeight="1" x14ac:dyDescent="0.25">
      <c r="A1406" s="9" t="s">
        <v>0</v>
      </c>
      <c r="B1406" s="81">
        <v>112683</v>
      </c>
      <c r="C1406" s="81">
        <v>10757</v>
      </c>
      <c r="D1406" s="9" t="s">
        <v>338</v>
      </c>
      <c r="E1406" s="81">
        <v>14563091</v>
      </c>
      <c r="F1406" s="81">
        <v>29800</v>
      </c>
      <c r="G1406" s="81">
        <v>1</v>
      </c>
      <c r="H1406" s="82">
        <v>359.46</v>
      </c>
      <c r="I1406" s="251">
        <v>359.46</v>
      </c>
      <c r="J1406" s="9" t="s">
        <v>1387</v>
      </c>
      <c r="K1406" s="9" t="s">
        <v>1388</v>
      </c>
      <c r="L1406" s="83">
        <v>45200</v>
      </c>
      <c r="M1406" s="83">
        <v>45230</v>
      </c>
    </row>
    <row r="1407" spans="1:13" ht="12.75" customHeight="1" x14ac:dyDescent="0.25">
      <c r="A1407" s="9" t="s">
        <v>1578</v>
      </c>
      <c r="B1407" s="81">
        <v>112805</v>
      </c>
      <c r="C1407" s="81">
        <v>10743</v>
      </c>
      <c r="D1407" s="9" t="s">
        <v>423</v>
      </c>
      <c r="E1407" s="81">
        <v>14563091</v>
      </c>
      <c r="F1407" s="81">
        <v>30044</v>
      </c>
      <c r="G1407" s="81">
        <v>1</v>
      </c>
      <c r="H1407" s="82">
        <v>359.46</v>
      </c>
      <c r="I1407" s="251">
        <v>359.46</v>
      </c>
      <c r="J1407" s="9" t="s">
        <v>1387</v>
      </c>
      <c r="K1407" s="9" t="s">
        <v>1388</v>
      </c>
      <c r="L1407" s="83">
        <v>45200</v>
      </c>
      <c r="M1407" s="83">
        <v>45230</v>
      </c>
    </row>
    <row r="1408" spans="1:13" ht="12.75" customHeight="1" x14ac:dyDescent="0.25">
      <c r="A1408" s="9" t="s">
        <v>10</v>
      </c>
      <c r="B1408" s="81">
        <v>112685</v>
      </c>
      <c r="C1408" s="81">
        <v>10763</v>
      </c>
      <c r="D1408" s="9" t="s">
        <v>340</v>
      </c>
      <c r="E1408" s="81">
        <v>14563091</v>
      </c>
      <c r="F1408" s="81">
        <v>29804</v>
      </c>
      <c r="G1408" s="81">
        <v>1</v>
      </c>
      <c r="H1408" s="82">
        <v>359.46</v>
      </c>
      <c r="I1408" s="251">
        <v>359.46</v>
      </c>
      <c r="J1408" s="9" t="s">
        <v>1387</v>
      </c>
      <c r="K1408" s="9" t="s">
        <v>1388</v>
      </c>
      <c r="L1408" s="83">
        <v>45200</v>
      </c>
      <c r="M1408" s="83">
        <v>45230</v>
      </c>
    </row>
    <row r="1409" spans="1:13" ht="12.75" customHeight="1" x14ac:dyDescent="0.25">
      <c r="A1409" s="9" t="s">
        <v>1578</v>
      </c>
      <c r="B1409" s="81">
        <v>112918</v>
      </c>
      <c r="C1409" s="81">
        <v>10768</v>
      </c>
      <c r="D1409" s="9" t="s">
        <v>496</v>
      </c>
      <c r="E1409" s="81">
        <v>14563091</v>
      </c>
      <c r="F1409" s="81">
        <v>30270</v>
      </c>
      <c r="G1409" s="81">
        <v>1</v>
      </c>
      <c r="H1409" s="82">
        <v>359.46</v>
      </c>
      <c r="I1409" s="251">
        <v>359.46</v>
      </c>
      <c r="J1409" s="9" t="s">
        <v>1387</v>
      </c>
      <c r="K1409" s="9" t="s">
        <v>1388</v>
      </c>
      <c r="L1409" s="83">
        <v>45200</v>
      </c>
      <c r="M1409" s="83">
        <v>45230</v>
      </c>
    </row>
    <row r="1410" spans="1:13" ht="12.75" customHeight="1" x14ac:dyDescent="0.25">
      <c r="I1410" s="31">
        <f>SUM(I2:I1409)</f>
        <v>504346.04000001156</v>
      </c>
    </row>
  </sheetData>
  <autoFilter ref="A1:M1410" xr:uid="{3084AD14-36A0-4958-BA96-3259F389FD76}">
    <sortState xmlns:xlrd2="http://schemas.microsoft.com/office/spreadsheetml/2017/richdata2" ref="A2:M1410">
      <sortCondition ref="D1:D1410"/>
    </sortState>
  </autoFilter>
  <conditionalFormatting sqref="E1408:E1048576 D2:D1407 E1">
    <cfRule type="duplicateValues" dxfId="9" priority="1"/>
  </conditionalFormatting>
  <pageMargins left="0.78740157480314998" right="0.78740157480314998" top="0.78740157480314998" bottom="0.78740157480314998" header="0.39370078740157499" footer="0.39370078740157499"/>
  <pageSetup paperSize="9" fitToWidth="0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ED66D-0644-4325-9EFB-2B403508CC4B}">
  <sheetPr codeName="Planilha4"/>
  <dimension ref="A1:M1426"/>
  <sheetViews>
    <sheetView workbookViewId="0">
      <pane ySplit="1" topLeftCell="A2" activePane="bottomLeft" state="frozen"/>
      <selection pane="bottomLeft" activeCell="D4" sqref="D4"/>
    </sheetView>
  </sheetViews>
  <sheetFormatPr defaultColWidth="11.453125" defaultRowHeight="12.75" customHeight="1" x14ac:dyDescent="0.25"/>
  <cols>
    <col min="1" max="1" width="27.54296875" style="8" bestFit="1" customWidth="1"/>
    <col min="2" max="2" width="11.453125" style="8" customWidth="1"/>
    <col min="3" max="3" width="11.453125" style="31" customWidth="1"/>
    <col min="4" max="4" width="31.7265625" style="31" bestFit="1" customWidth="1"/>
    <col min="5" max="5" width="26.7265625" style="8" customWidth="1"/>
    <col min="6" max="6" width="16.453125" style="8" customWidth="1"/>
    <col min="7" max="7" width="11.453125" style="8" customWidth="1"/>
    <col min="8" max="8" width="11.453125" style="31" customWidth="1"/>
    <col min="9" max="9" width="17.1796875" style="31" bestFit="1" customWidth="1"/>
    <col min="10" max="10" width="13.26953125" style="31" customWidth="1"/>
    <col min="11" max="11" width="28.54296875" style="10" bestFit="1" customWidth="1"/>
    <col min="12" max="12" width="11.453125" style="8" customWidth="1"/>
    <col min="13" max="13" width="13.26953125" style="8" customWidth="1"/>
    <col min="14" max="16384" width="11.453125" style="8"/>
  </cols>
  <sheetData>
    <row r="1" spans="1:13" ht="18.75" customHeight="1" x14ac:dyDescent="0.25">
      <c r="A1" s="78" t="s">
        <v>1411</v>
      </c>
      <c r="B1" s="78" t="s">
        <v>1412</v>
      </c>
      <c r="C1" s="78" t="s">
        <v>1413</v>
      </c>
      <c r="D1" s="78" t="s">
        <v>1414</v>
      </c>
      <c r="E1" s="78" t="s">
        <v>1415</v>
      </c>
      <c r="F1" s="78" t="s">
        <v>1416</v>
      </c>
      <c r="G1" s="78" t="s">
        <v>1417</v>
      </c>
      <c r="H1" s="78" t="s">
        <v>1418</v>
      </c>
      <c r="I1" s="250" t="s">
        <v>1706</v>
      </c>
      <c r="J1" s="78" t="s">
        <v>1419</v>
      </c>
      <c r="K1" s="78" t="s">
        <v>1420</v>
      </c>
      <c r="L1" s="78" t="s">
        <v>1421</v>
      </c>
      <c r="M1" s="78" t="s">
        <v>1422</v>
      </c>
    </row>
    <row r="2" spans="1:13" ht="18.75" customHeight="1" x14ac:dyDescent="0.25">
      <c r="A2" s="9" t="s">
        <v>19</v>
      </c>
      <c r="B2" s="81">
        <v>112194</v>
      </c>
      <c r="C2" s="81">
        <v>10754</v>
      </c>
      <c r="D2" s="9" t="s">
        <v>26</v>
      </c>
      <c r="E2" s="81">
        <v>14563151</v>
      </c>
      <c r="F2" s="81">
        <v>28823</v>
      </c>
      <c r="G2" s="81">
        <v>25</v>
      </c>
      <c r="H2" s="82">
        <v>26.3</v>
      </c>
      <c r="I2" s="251">
        <v>657.5</v>
      </c>
      <c r="J2" s="9" t="s">
        <v>1305</v>
      </c>
      <c r="K2" s="9" t="s">
        <v>1306</v>
      </c>
      <c r="L2" s="83">
        <v>45200</v>
      </c>
      <c r="M2" s="83">
        <v>45230</v>
      </c>
    </row>
    <row r="3" spans="1:13" ht="18.75" customHeight="1" x14ac:dyDescent="0.25">
      <c r="A3" s="9" t="s">
        <v>0</v>
      </c>
      <c r="B3" s="81">
        <v>112198</v>
      </c>
      <c r="C3" s="81">
        <v>10752</v>
      </c>
      <c r="D3" s="9" t="s">
        <v>1307</v>
      </c>
      <c r="E3" s="81">
        <v>14563151</v>
      </c>
      <c r="F3" s="81">
        <v>28831</v>
      </c>
      <c r="G3" s="81">
        <v>25</v>
      </c>
      <c r="H3" s="82">
        <v>26.3</v>
      </c>
      <c r="I3" s="251">
        <v>657.5</v>
      </c>
      <c r="J3" s="9" t="s">
        <v>1305</v>
      </c>
      <c r="K3" s="9" t="s">
        <v>1306</v>
      </c>
      <c r="L3" s="83">
        <v>45200</v>
      </c>
      <c r="M3" s="83">
        <v>45230</v>
      </c>
    </row>
    <row r="4" spans="1:13" ht="18.75" customHeight="1" x14ac:dyDescent="0.25">
      <c r="A4" s="9" t="s">
        <v>1578</v>
      </c>
      <c r="B4" s="81">
        <v>121403</v>
      </c>
      <c r="C4" s="81">
        <v>10755</v>
      </c>
      <c r="D4" s="9" t="s">
        <v>1544</v>
      </c>
      <c r="E4" s="81">
        <v>14563151</v>
      </c>
      <c r="F4" s="81">
        <v>53687</v>
      </c>
      <c r="G4" s="81">
        <v>25</v>
      </c>
      <c r="H4" s="82">
        <v>26.3</v>
      </c>
      <c r="I4" s="251">
        <v>657.5</v>
      </c>
      <c r="J4" s="9" t="s">
        <v>1305</v>
      </c>
      <c r="K4" s="9" t="s">
        <v>1306</v>
      </c>
      <c r="L4" s="83">
        <v>45200</v>
      </c>
      <c r="M4" s="83">
        <v>45230</v>
      </c>
    </row>
    <row r="5" spans="1:13" ht="18.75" customHeight="1" x14ac:dyDescent="0.25">
      <c r="A5" s="9" t="s">
        <v>1578</v>
      </c>
      <c r="B5" s="81">
        <v>121531</v>
      </c>
      <c r="C5" s="81">
        <v>10763</v>
      </c>
      <c r="D5" s="9" t="s">
        <v>1545</v>
      </c>
      <c r="E5" s="81">
        <v>14563151</v>
      </c>
      <c r="F5" s="81">
        <v>53961</v>
      </c>
      <c r="G5" s="81">
        <v>25</v>
      </c>
      <c r="H5" s="82">
        <v>26.3</v>
      </c>
      <c r="I5" s="251">
        <v>657.5</v>
      </c>
      <c r="J5" s="9" t="s">
        <v>1305</v>
      </c>
      <c r="K5" s="9" t="s">
        <v>1306</v>
      </c>
      <c r="L5" s="83">
        <v>45200</v>
      </c>
      <c r="M5" s="83">
        <v>45230</v>
      </c>
    </row>
    <row r="6" spans="1:13" ht="18.75" customHeight="1" x14ac:dyDescent="0.25">
      <c r="A6" s="9" t="s">
        <v>1578</v>
      </c>
      <c r="B6" s="81">
        <v>114763</v>
      </c>
      <c r="C6" s="81">
        <v>10768</v>
      </c>
      <c r="D6" s="9" t="s">
        <v>1095</v>
      </c>
      <c r="E6" s="81">
        <v>14563151</v>
      </c>
      <c r="F6" s="81">
        <v>36975</v>
      </c>
      <c r="G6" s="81">
        <v>25</v>
      </c>
      <c r="H6" s="82">
        <v>26.3</v>
      </c>
      <c r="I6" s="251">
        <v>657.5</v>
      </c>
      <c r="J6" s="9" t="s">
        <v>1305</v>
      </c>
      <c r="K6" s="9" t="s">
        <v>1306</v>
      </c>
      <c r="L6" s="83">
        <v>45200</v>
      </c>
      <c r="M6" s="83">
        <v>45230</v>
      </c>
    </row>
    <row r="7" spans="1:13" ht="18.75" customHeight="1" x14ac:dyDescent="0.25">
      <c r="A7" s="9" t="s">
        <v>1578</v>
      </c>
      <c r="B7" s="81">
        <v>122404</v>
      </c>
      <c r="C7" s="81">
        <v>10755</v>
      </c>
      <c r="D7" s="9" t="s">
        <v>1674</v>
      </c>
      <c r="E7" s="81">
        <v>14563151</v>
      </c>
      <c r="F7" s="81">
        <v>56127</v>
      </c>
      <c r="G7" s="81">
        <v>25</v>
      </c>
      <c r="H7" s="82">
        <v>26.3</v>
      </c>
      <c r="I7" s="251">
        <v>657.5</v>
      </c>
      <c r="J7" s="9" t="s">
        <v>1305</v>
      </c>
      <c r="K7" s="9" t="s">
        <v>1306</v>
      </c>
      <c r="L7" s="83">
        <v>45200</v>
      </c>
      <c r="M7" s="83">
        <v>45230</v>
      </c>
    </row>
    <row r="8" spans="1:13" ht="18.75" customHeight="1" x14ac:dyDescent="0.25">
      <c r="A8" s="9" t="s">
        <v>1578</v>
      </c>
      <c r="B8" s="81">
        <v>112254</v>
      </c>
      <c r="C8" s="81">
        <v>10768</v>
      </c>
      <c r="D8" s="9" t="s">
        <v>65</v>
      </c>
      <c r="E8" s="81">
        <v>14563151</v>
      </c>
      <c r="F8" s="81">
        <v>28943</v>
      </c>
      <c r="G8" s="81">
        <v>25</v>
      </c>
      <c r="H8" s="82">
        <v>26.3</v>
      </c>
      <c r="I8" s="251">
        <v>657.5</v>
      </c>
      <c r="J8" s="9" t="s">
        <v>1305</v>
      </c>
      <c r="K8" s="9" t="s">
        <v>1306</v>
      </c>
      <c r="L8" s="83">
        <v>45200</v>
      </c>
      <c r="M8" s="83">
        <v>45230</v>
      </c>
    </row>
    <row r="9" spans="1:13" ht="18.75" customHeight="1" x14ac:dyDescent="0.25">
      <c r="A9" s="9" t="s">
        <v>8</v>
      </c>
      <c r="B9" s="81">
        <v>112258</v>
      </c>
      <c r="C9" s="81">
        <v>10750</v>
      </c>
      <c r="D9" s="9" t="s">
        <v>69</v>
      </c>
      <c r="E9" s="81">
        <v>14563151</v>
      </c>
      <c r="F9" s="81">
        <v>28951</v>
      </c>
      <c r="G9" s="81">
        <v>25</v>
      </c>
      <c r="H9" s="82">
        <v>26.3</v>
      </c>
      <c r="I9" s="251">
        <v>657.5</v>
      </c>
      <c r="J9" s="9" t="s">
        <v>1305</v>
      </c>
      <c r="K9" s="9" t="s">
        <v>1306</v>
      </c>
      <c r="L9" s="83">
        <v>45200</v>
      </c>
      <c r="M9" s="83">
        <v>45230</v>
      </c>
    </row>
    <row r="10" spans="1:13" ht="18.75" customHeight="1" x14ac:dyDescent="0.25">
      <c r="A10" s="9" t="s">
        <v>19</v>
      </c>
      <c r="B10" s="81">
        <v>112265</v>
      </c>
      <c r="C10" s="81">
        <v>10763</v>
      </c>
      <c r="D10" s="9" t="s">
        <v>75</v>
      </c>
      <c r="E10" s="81">
        <v>14563151</v>
      </c>
      <c r="F10" s="81">
        <v>28965</v>
      </c>
      <c r="G10" s="81">
        <v>25</v>
      </c>
      <c r="H10" s="82">
        <v>26.3</v>
      </c>
      <c r="I10" s="251">
        <v>657.5</v>
      </c>
      <c r="J10" s="9" t="s">
        <v>1305</v>
      </c>
      <c r="K10" s="9" t="s">
        <v>1306</v>
      </c>
      <c r="L10" s="83">
        <v>45200</v>
      </c>
      <c r="M10" s="83">
        <v>45230</v>
      </c>
    </row>
    <row r="11" spans="1:13" ht="18.75" customHeight="1" x14ac:dyDescent="0.25">
      <c r="A11" s="9" t="s">
        <v>32</v>
      </c>
      <c r="B11" s="81">
        <v>112271</v>
      </c>
      <c r="C11" s="81">
        <v>10766</v>
      </c>
      <c r="D11" s="9" t="s">
        <v>78</v>
      </c>
      <c r="E11" s="81">
        <v>14563151</v>
      </c>
      <c r="F11" s="81">
        <v>28977</v>
      </c>
      <c r="G11" s="81">
        <v>25</v>
      </c>
      <c r="H11" s="82">
        <v>26.3</v>
      </c>
      <c r="I11" s="251">
        <v>657.5</v>
      </c>
      <c r="J11" s="9" t="s">
        <v>1305</v>
      </c>
      <c r="K11" s="9" t="s">
        <v>1306</v>
      </c>
      <c r="L11" s="83">
        <v>45200</v>
      </c>
      <c r="M11" s="83">
        <v>45230</v>
      </c>
    </row>
    <row r="12" spans="1:13" ht="18.75" customHeight="1" x14ac:dyDescent="0.25">
      <c r="A12" s="9" t="s">
        <v>10</v>
      </c>
      <c r="B12" s="81">
        <v>115223</v>
      </c>
      <c r="C12" s="81">
        <v>10755</v>
      </c>
      <c r="D12" s="9" t="s">
        <v>1144</v>
      </c>
      <c r="E12" s="81">
        <v>14563151</v>
      </c>
      <c r="F12" s="81">
        <v>38497</v>
      </c>
      <c r="G12" s="81">
        <v>25</v>
      </c>
      <c r="H12" s="82">
        <v>26.3</v>
      </c>
      <c r="I12" s="251">
        <v>657.5</v>
      </c>
      <c r="J12" s="9" t="s">
        <v>1305</v>
      </c>
      <c r="K12" s="9" t="s">
        <v>1306</v>
      </c>
      <c r="L12" s="83">
        <v>45200</v>
      </c>
      <c r="M12" s="83">
        <v>45230</v>
      </c>
    </row>
    <row r="13" spans="1:13" ht="18.75" customHeight="1" x14ac:dyDescent="0.25">
      <c r="A13" s="9" t="s">
        <v>1578</v>
      </c>
      <c r="B13" s="81">
        <v>114910</v>
      </c>
      <c r="C13" s="81">
        <v>10761</v>
      </c>
      <c r="D13" s="9" t="s">
        <v>1104</v>
      </c>
      <c r="E13" s="81">
        <v>14563151</v>
      </c>
      <c r="F13" s="81">
        <v>37602</v>
      </c>
      <c r="G13" s="81">
        <v>25</v>
      </c>
      <c r="H13" s="82">
        <v>26.3</v>
      </c>
      <c r="I13" s="251">
        <v>657.5</v>
      </c>
      <c r="J13" s="9" t="s">
        <v>1305</v>
      </c>
      <c r="K13" s="9" t="s">
        <v>1306</v>
      </c>
      <c r="L13" s="83">
        <v>45200</v>
      </c>
      <c r="M13" s="83">
        <v>45230</v>
      </c>
    </row>
    <row r="14" spans="1:13" ht="18.75" customHeight="1" x14ac:dyDescent="0.25">
      <c r="A14" s="9" t="s">
        <v>0</v>
      </c>
      <c r="B14" s="81">
        <v>112279</v>
      </c>
      <c r="C14" s="81">
        <v>10752</v>
      </c>
      <c r="D14" s="9" t="s">
        <v>84</v>
      </c>
      <c r="E14" s="81">
        <v>14563151</v>
      </c>
      <c r="F14" s="81">
        <v>28993</v>
      </c>
      <c r="G14" s="81">
        <v>25</v>
      </c>
      <c r="H14" s="82">
        <v>26.3</v>
      </c>
      <c r="I14" s="251">
        <v>657.5</v>
      </c>
      <c r="J14" s="9" t="s">
        <v>1305</v>
      </c>
      <c r="K14" s="9" t="s">
        <v>1306</v>
      </c>
      <c r="L14" s="83">
        <v>45200</v>
      </c>
      <c r="M14" s="83">
        <v>45230</v>
      </c>
    </row>
    <row r="15" spans="1:13" ht="18.75" customHeight="1" x14ac:dyDescent="0.25">
      <c r="A15" s="9" t="s">
        <v>8</v>
      </c>
      <c r="B15" s="81">
        <v>112299</v>
      </c>
      <c r="C15" s="81">
        <v>10750</v>
      </c>
      <c r="D15" s="9" t="s">
        <v>97</v>
      </c>
      <c r="E15" s="81">
        <v>14563151</v>
      </c>
      <c r="F15" s="81">
        <v>29033</v>
      </c>
      <c r="G15" s="81">
        <v>25</v>
      </c>
      <c r="H15" s="82">
        <v>26.3</v>
      </c>
      <c r="I15" s="251">
        <v>657.5</v>
      </c>
      <c r="J15" s="9" t="s">
        <v>1305</v>
      </c>
      <c r="K15" s="9" t="s">
        <v>1306</v>
      </c>
      <c r="L15" s="83">
        <v>45200</v>
      </c>
      <c r="M15" s="83">
        <v>45230</v>
      </c>
    </row>
    <row r="16" spans="1:13" ht="18.75" customHeight="1" x14ac:dyDescent="0.25">
      <c r="A16" s="9" t="s">
        <v>1580</v>
      </c>
      <c r="B16" s="81">
        <v>121802</v>
      </c>
      <c r="C16" s="81">
        <v>10774</v>
      </c>
      <c r="D16" s="9" t="s">
        <v>1579</v>
      </c>
      <c r="E16" s="81">
        <v>14563151</v>
      </c>
      <c r="F16" s="81">
        <v>54629</v>
      </c>
      <c r="G16" s="81">
        <v>25</v>
      </c>
      <c r="H16" s="82">
        <v>26.3</v>
      </c>
      <c r="I16" s="251">
        <v>657.5</v>
      </c>
      <c r="J16" s="9" t="s">
        <v>1305</v>
      </c>
      <c r="K16" s="9" t="s">
        <v>1309</v>
      </c>
      <c r="L16" s="83">
        <v>45200</v>
      </c>
      <c r="M16" s="83">
        <v>45230</v>
      </c>
    </row>
    <row r="17" spans="1:13" ht="18.75" customHeight="1" x14ac:dyDescent="0.25">
      <c r="A17" s="9" t="s">
        <v>1578</v>
      </c>
      <c r="B17" s="81">
        <v>120186</v>
      </c>
      <c r="C17" s="81">
        <v>10762</v>
      </c>
      <c r="D17" s="9" t="s">
        <v>1489</v>
      </c>
      <c r="E17" s="81">
        <v>14563151</v>
      </c>
      <c r="F17" s="81">
        <v>50924</v>
      </c>
      <c r="G17" s="81">
        <v>25</v>
      </c>
      <c r="H17" s="82">
        <v>26.3</v>
      </c>
      <c r="I17" s="251">
        <v>657.5</v>
      </c>
      <c r="J17" s="9" t="s">
        <v>1305</v>
      </c>
      <c r="K17" s="9" t="s">
        <v>1306</v>
      </c>
      <c r="L17" s="83">
        <v>45200</v>
      </c>
      <c r="M17" s="83">
        <v>45230</v>
      </c>
    </row>
    <row r="18" spans="1:13" ht="18.75" customHeight="1" x14ac:dyDescent="0.25">
      <c r="A18" s="9" t="s">
        <v>19</v>
      </c>
      <c r="B18" s="81">
        <v>112319</v>
      </c>
      <c r="C18" s="81">
        <v>10757</v>
      </c>
      <c r="D18" s="9" t="s">
        <v>1431</v>
      </c>
      <c r="E18" s="81">
        <v>14563151</v>
      </c>
      <c r="F18" s="81">
        <v>29073</v>
      </c>
      <c r="G18" s="81">
        <v>25</v>
      </c>
      <c r="H18" s="82">
        <v>26.3</v>
      </c>
      <c r="I18" s="251">
        <v>657.5</v>
      </c>
      <c r="J18" s="9" t="s">
        <v>1305</v>
      </c>
      <c r="K18" s="9" t="s">
        <v>1306</v>
      </c>
      <c r="L18" s="83">
        <v>45200</v>
      </c>
      <c r="M18" s="83">
        <v>45230</v>
      </c>
    </row>
    <row r="19" spans="1:13" ht="18.75" customHeight="1" x14ac:dyDescent="0.25">
      <c r="A19" s="9" t="s">
        <v>1578</v>
      </c>
      <c r="B19" s="81">
        <v>116729</v>
      </c>
      <c r="C19" s="81">
        <v>10762</v>
      </c>
      <c r="D19" s="9" t="s">
        <v>1220</v>
      </c>
      <c r="E19" s="81">
        <v>14563151</v>
      </c>
      <c r="F19" s="81">
        <v>42846</v>
      </c>
      <c r="G19" s="81">
        <v>25</v>
      </c>
      <c r="H19" s="82">
        <v>26.3</v>
      </c>
      <c r="I19" s="251">
        <v>657.5</v>
      </c>
      <c r="J19" s="9" t="s">
        <v>1305</v>
      </c>
      <c r="K19" s="9" t="s">
        <v>1306</v>
      </c>
      <c r="L19" s="83">
        <v>45200</v>
      </c>
      <c r="M19" s="83">
        <v>45230</v>
      </c>
    </row>
    <row r="20" spans="1:13" ht="18.75" customHeight="1" x14ac:dyDescent="0.25">
      <c r="A20" s="9" t="s">
        <v>0</v>
      </c>
      <c r="B20" s="81">
        <v>112171</v>
      </c>
      <c r="C20" s="81">
        <v>10757</v>
      </c>
      <c r="D20" s="9" t="s">
        <v>4</v>
      </c>
      <c r="E20" s="81">
        <v>14563151</v>
      </c>
      <c r="F20" s="81">
        <v>28777</v>
      </c>
      <c r="G20" s="81">
        <v>25</v>
      </c>
      <c r="H20" s="82">
        <v>26.3</v>
      </c>
      <c r="I20" s="251">
        <v>657.5</v>
      </c>
      <c r="J20" s="9" t="s">
        <v>1305</v>
      </c>
      <c r="K20" s="9" t="s">
        <v>1306</v>
      </c>
      <c r="L20" s="83">
        <v>45200</v>
      </c>
      <c r="M20" s="83">
        <v>45230</v>
      </c>
    </row>
    <row r="21" spans="1:13" ht="18.75" customHeight="1" x14ac:dyDescent="0.25">
      <c r="A21" s="9" t="s">
        <v>10</v>
      </c>
      <c r="B21" s="81">
        <v>112355</v>
      </c>
      <c r="C21" s="81">
        <v>10750</v>
      </c>
      <c r="D21" s="9" t="s">
        <v>1283</v>
      </c>
      <c r="E21" s="81">
        <v>14563151</v>
      </c>
      <c r="F21" s="81">
        <v>29145</v>
      </c>
      <c r="G21" s="81">
        <v>25</v>
      </c>
      <c r="H21" s="82">
        <v>26.3</v>
      </c>
      <c r="I21" s="251">
        <v>657.5</v>
      </c>
      <c r="J21" s="9" t="s">
        <v>1305</v>
      </c>
      <c r="K21" s="9" t="s">
        <v>1309</v>
      </c>
      <c r="L21" s="83">
        <v>45200</v>
      </c>
      <c r="M21" s="83">
        <v>45230</v>
      </c>
    </row>
    <row r="22" spans="1:13" ht="18.75" customHeight="1" x14ac:dyDescent="0.25">
      <c r="A22" s="9" t="s">
        <v>19</v>
      </c>
      <c r="B22" s="81">
        <v>112358</v>
      </c>
      <c r="C22" s="81">
        <v>10766</v>
      </c>
      <c r="D22" s="9" t="s">
        <v>129</v>
      </c>
      <c r="E22" s="81">
        <v>14563151</v>
      </c>
      <c r="F22" s="81">
        <v>29151</v>
      </c>
      <c r="G22" s="81">
        <v>25</v>
      </c>
      <c r="H22" s="82">
        <v>26.3</v>
      </c>
      <c r="I22" s="251">
        <v>657.5</v>
      </c>
      <c r="J22" s="9" t="s">
        <v>1305</v>
      </c>
      <c r="K22" s="9" t="s">
        <v>1306</v>
      </c>
      <c r="L22" s="83">
        <v>45200</v>
      </c>
      <c r="M22" s="83">
        <v>45230</v>
      </c>
    </row>
    <row r="23" spans="1:13" ht="18.75" customHeight="1" x14ac:dyDescent="0.25">
      <c r="A23" s="9" t="s">
        <v>10</v>
      </c>
      <c r="B23" s="81">
        <v>114679</v>
      </c>
      <c r="C23" s="81">
        <v>10751</v>
      </c>
      <c r="D23" s="9" t="s">
        <v>1062</v>
      </c>
      <c r="E23" s="81">
        <v>14563151</v>
      </c>
      <c r="F23" s="81">
        <v>36798</v>
      </c>
      <c r="G23" s="81">
        <v>25</v>
      </c>
      <c r="H23" s="82">
        <v>26.3</v>
      </c>
      <c r="I23" s="251">
        <v>657.5</v>
      </c>
      <c r="J23" s="9" t="s">
        <v>1305</v>
      </c>
      <c r="K23" s="9" t="s">
        <v>1306</v>
      </c>
      <c r="L23" s="83">
        <v>45200</v>
      </c>
      <c r="M23" s="83">
        <v>45230</v>
      </c>
    </row>
    <row r="24" spans="1:13" ht="18.75" customHeight="1" x14ac:dyDescent="0.25">
      <c r="A24" s="9" t="s">
        <v>32</v>
      </c>
      <c r="B24" s="81">
        <v>114239</v>
      </c>
      <c r="C24" s="81">
        <v>10771</v>
      </c>
      <c r="D24" s="9" t="s">
        <v>1016</v>
      </c>
      <c r="E24" s="81">
        <v>14563151</v>
      </c>
      <c r="F24" s="81">
        <v>35751</v>
      </c>
      <c r="G24" s="81">
        <v>25</v>
      </c>
      <c r="H24" s="82">
        <v>26.3</v>
      </c>
      <c r="I24" s="251">
        <v>657.5</v>
      </c>
      <c r="J24" s="9" t="s">
        <v>1305</v>
      </c>
      <c r="K24" s="9" t="s">
        <v>1306</v>
      </c>
      <c r="L24" s="83">
        <v>45200</v>
      </c>
      <c r="M24" s="83">
        <v>45230</v>
      </c>
    </row>
    <row r="25" spans="1:13" ht="18.75" customHeight="1" x14ac:dyDescent="0.25">
      <c r="A25" s="9" t="s">
        <v>1580</v>
      </c>
      <c r="B25" s="81">
        <v>121941</v>
      </c>
      <c r="C25" s="81">
        <v>10775</v>
      </c>
      <c r="D25" s="9" t="s">
        <v>1600</v>
      </c>
      <c r="E25" s="81">
        <v>14563151</v>
      </c>
      <c r="F25" s="81">
        <v>55021</v>
      </c>
      <c r="G25" s="81">
        <v>25</v>
      </c>
      <c r="H25" s="82">
        <v>26.3</v>
      </c>
      <c r="I25" s="251">
        <v>657.5</v>
      </c>
      <c r="J25" s="9" t="s">
        <v>1305</v>
      </c>
      <c r="K25" s="9" t="s">
        <v>1309</v>
      </c>
      <c r="L25" s="83">
        <v>45200</v>
      </c>
      <c r="M25" s="83">
        <v>45230</v>
      </c>
    </row>
    <row r="26" spans="1:13" ht="18.75" customHeight="1" x14ac:dyDescent="0.25">
      <c r="A26" s="9" t="s">
        <v>8</v>
      </c>
      <c r="B26" s="81">
        <v>112173</v>
      </c>
      <c r="C26" s="81">
        <v>10758</v>
      </c>
      <c r="D26" s="9" t="s">
        <v>9</v>
      </c>
      <c r="E26" s="81">
        <v>14563151</v>
      </c>
      <c r="F26" s="81">
        <v>28781</v>
      </c>
      <c r="G26" s="81">
        <v>25</v>
      </c>
      <c r="H26" s="82">
        <v>26.3</v>
      </c>
      <c r="I26" s="251">
        <v>657.5</v>
      </c>
      <c r="J26" s="9" t="s">
        <v>1305</v>
      </c>
      <c r="K26" s="9" t="s">
        <v>1306</v>
      </c>
      <c r="L26" s="83">
        <v>45200</v>
      </c>
      <c r="M26" s="83">
        <v>45230</v>
      </c>
    </row>
    <row r="27" spans="1:13" ht="18.75" customHeight="1" x14ac:dyDescent="0.25">
      <c r="A27" s="9" t="s">
        <v>10</v>
      </c>
      <c r="B27" s="81">
        <v>112377</v>
      </c>
      <c r="C27" s="81">
        <v>10756</v>
      </c>
      <c r="D27" s="9" t="s">
        <v>140</v>
      </c>
      <c r="E27" s="81">
        <v>14563151</v>
      </c>
      <c r="F27" s="81">
        <v>29189</v>
      </c>
      <c r="G27" s="81">
        <v>24</v>
      </c>
      <c r="H27" s="82">
        <v>26.3</v>
      </c>
      <c r="I27" s="251">
        <v>631.20000000000005</v>
      </c>
      <c r="J27" s="9" t="s">
        <v>1305</v>
      </c>
      <c r="K27" s="9" t="s">
        <v>1306</v>
      </c>
      <c r="L27" s="83">
        <v>45200</v>
      </c>
      <c r="M27" s="83">
        <v>45230</v>
      </c>
    </row>
    <row r="28" spans="1:13" ht="18.75" customHeight="1" x14ac:dyDescent="0.25">
      <c r="A28" s="9" t="s">
        <v>0</v>
      </c>
      <c r="B28" s="81">
        <v>116224</v>
      </c>
      <c r="C28" s="81">
        <v>10766</v>
      </c>
      <c r="D28" s="9" t="s">
        <v>1188</v>
      </c>
      <c r="E28" s="81">
        <v>14563151</v>
      </c>
      <c r="F28" s="81">
        <v>41558</v>
      </c>
      <c r="G28" s="81">
        <v>25</v>
      </c>
      <c r="H28" s="82">
        <v>26.3</v>
      </c>
      <c r="I28" s="251">
        <v>657.5</v>
      </c>
      <c r="J28" s="9" t="s">
        <v>1305</v>
      </c>
      <c r="K28" s="9" t="s">
        <v>1306</v>
      </c>
      <c r="L28" s="83">
        <v>45200</v>
      </c>
      <c r="M28" s="83">
        <v>45230</v>
      </c>
    </row>
    <row r="29" spans="1:13" ht="18.75" customHeight="1" x14ac:dyDescent="0.25">
      <c r="A29" s="9" t="s">
        <v>1578</v>
      </c>
      <c r="B29" s="81">
        <v>116087</v>
      </c>
      <c r="C29" s="81">
        <v>10757</v>
      </c>
      <c r="D29" s="9" t="s">
        <v>1181</v>
      </c>
      <c r="E29" s="81">
        <v>14563151</v>
      </c>
      <c r="F29" s="81">
        <v>41102</v>
      </c>
      <c r="G29" s="81">
        <v>25</v>
      </c>
      <c r="H29" s="82">
        <v>26.3</v>
      </c>
      <c r="I29" s="251">
        <v>657.5</v>
      </c>
      <c r="J29" s="9" t="s">
        <v>1305</v>
      </c>
      <c r="K29" s="9" t="s">
        <v>1306</v>
      </c>
      <c r="L29" s="83">
        <v>45200</v>
      </c>
      <c r="M29" s="83">
        <v>45230</v>
      </c>
    </row>
    <row r="30" spans="1:13" ht="18.75" customHeight="1" x14ac:dyDescent="0.25">
      <c r="A30" s="9" t="s">
        <v>8</v>
      </c>
      <c r="B30" s="81">
        <v>112389</v>
      </c>
      <c r="C30" s="81">
        <v>10754</v>
      </c>
      <c r="D30" s="9" t="s">
        <v>149</v>
      </c>
      <c r="E30" s="81">
        <v>14563151</v>
      </c>
      <c r="F30" s="81">
        <v>29213</v>
      </c>
      <c r="G30" s="81">
        <v>25</v>
      </c>
      <c r="H30" s="82">
        <v>26.3</v>
      </c>
      <c r="I30" s="251">
        <v>657.5</v>
      </c>
      <c r="J30" s="9" t="s">
        <v>1305</v>
      </c>
      <c r="K30" s="9" t="s">
        <v>1306</v>
      </c>
      <c r="L30" s="83">
        <v>45200</v>
      </c>
      <c r="M30" s="83">
        <v>45230</v>
      </c>
    </row>
    <row r="31" spans="1:13" ht="18.75" customHeight="1" x14ac:dyDescent="0.25">
      <c r="A31" s="9" t="s">
        <v>19</v>
      </c>
      <c r="B31" s="81">
        <v>112393</v>
      </c>
      <c r="C31" s="81">
        <v>10757</v>
      </c>
      <c r="D31" s="9" t="s">
        <v>151</v>
      </c>
      <c r="E31" s="81">
        <v>14563151</v>
      </c>
      <c r="F31" s="81">
        <v>29221</v>
      </c>
      <c r="G31" s="81">
        <v>25</v>
      </c>
      <c r="H31" s="82">
        <v>26.3</v>
      </c>
      <c r="I31" s="251">
        <v>657.5</v>
      </c>
      <c r="J31" s="9" t="s">
        <v>1305</v>
      </c>
      <c r="K31" s="9" t="s">
        <v>1306</v>
      </c>
      <c r="L31" s="83">
        <v>45200</v>
      </c>
      <c r="M31" s="83">
        <v>45230</v>
      </c>
    </row>
    <row r="32" spans="1:13" ht="18.75" customHeight="1" x14ac:dyDescent="0.25">
      <c r="A32" s="9" t="s">
        <v>1578</v>
      </c>
      <c r="B32" s="81">
        <v>114607</v>
      </c>
      <c r="C32" s="81">
        <v>10771</v>
      </c>
      <c r="D32" s="9" t="s">
        <v>1059</v>
      </c>
      <c r="E32" s="81">
        <v>14563151</v>
      </c>
      <c r="F32" s="81">
        <v>36533</v>
      </c>
      <c r="G32" s="81">
        <v>25</v>
      </c>
      <c r="H32" s="82">
        <v>26.3</v>
      </c>
      <c r="I32" s="251">
        <v>657.5</v>
      </c>
      <c r="J32" s="9" t="s">
        <v>1305</v>
      </c>
      <c r="K32" s="9" t="s">
        <v>1306</v>
      </c>
      <c r="L32" s="83">
        <v>45200</v>
      </c>
      <c r="M32" s="83">
        <v>45230</v>
      </c>
    </row>
    <row r="33" spans="1:13" ht="18.75" customHeight="1" x14ac:dyDescent="0.25">
      <c r="A33" s="9" t="s">
        <v>1578</v>
      </c>
      <c r="B33" s="81">
        <v>122411</v>
      </c>
      <c r="C33" s="81">
        <v>10758</v>
      </c>
      <c r="D33" s="9" t="s">
        <v>1675</v>
      </c>
      <c r="E33" s="81">
        <v>14563151</v>
      </c>
      <c r="F33" s="81">
        <v>56143</v>
      </c>
      <c r="G33" s="81">
        <v>25</v>
      </c>
      <c r="H33" s="82">
        <v>26.3</v>
      </c>
      <c r="I33" s="251">
        <v>657.5</v>
      </c>
      <c r="J33" s="9" t="s">
        <v>1305</v>
      </c>
      <c r="K33" s="9" t="s">
        <v>1306</v>
      </c>
      <c r="L33" s="83">
        <v>45200</v>
      </c>
      <c r="M33" s="83">
        <v>45230</v>
      </c>
    </row>
    <row r="34" spans="1:13" ht="18.75" customHeight="1" x14ac:dyDescent="0.25">
      <c r="A34" s="9" t="s">
        <v>10</v>
      </c>
      <c r="B34" s="81">
        <v>112399</v>
      </c>
      <c r="C34" s="81">
        <v>10750</v>
      </c>
      <c r="D34" s="9" t="s">
        <v>155</v>
      </c>
      <c r="E34" s="81">
        <v>14563151</v>
      </c>
      <c r="F34" s="81">
        <v>29233</v>
      </c>
      <c r="G34" s="81">
        <v>25</v>
      </c>
      <c r="H34" s="82">
        <v>26.3</v>
      </c>
      <c r="I34" s="251">
        <v>657.5</v>
      </c>
      <c r="J34" s="9" t="s">
        <v>1305</v>
      </c>
      <c r="K34" s="9" t="s">
        <v>1306</v>
      </c>
      <c r="L34" s="83">
        <v>45200</v>
      </c>
      <c r="M34" s="83">
        <v>45230</v>
      </c>
    </row>
    <row r="35" spans="1:13" ht="18.75" customHeight="1" x14ac:dyDescent="0.25">
      <c r="A35" s="9" t="s">
        <v>19</v>
      </c>
      <c r="B35" s="81">
        <v>112419</v>
      </c>
      <c r="C35" s="81">
        <v>10750</v>
      </c>
      <c r="D35" s="9" t="s">
        <v>169</v>
      </c>
      <c r="E35" s="81">
        <v>14563151</v>
      </c>
      <c r="F35" s="81">
        <v>29273</v>
      </c>
      <c r="G35" s="81">
        <v>25</v>
      </c>
      <c r="H35" s="82">
        <v>26.3</v>
      </c>
      <c r="I35" s="251">
        <v>657.5</v>
      </c>
      <c r="J35" s="9" t="s">
        <v>1305</v>
      </c>
      <c r="K35" s="9" t="s">
        <v>1306</v>
      </c>
      <c r="L35" s="83">
        <v>45200</v>
      </c>
      <c r="M35" s="83">
        <v>45230</v>
      </c>
    </row>
    <row r="36" spans="1:13" ht="18.75" customHeight="1" x14ac:dyDescent="0.25">
      <c r="A36" s="9" t="s">
        <v>10</v>
      </c>
      <c r="B36" s="81">
        <v>112422</v>
      </c>
      <c r="C36" s="81">
        <v>10750</v>
      </c>
      <c r="D36" s="9" t="s">
        <v>171</v>
      </c>
      <c r="E36" s="81">
        <v>14563151</v>
      </c>
      <c r="F36" s="81">
        <v>29279</v>
      </c>
      <c r="G36" s="81">
        <v>25</v>
      </c>
      <c r="H36" s="82">
        <v>26.3</v>
      </c>
      <c r="I36" s="251">
        <v>657.5</v>
      </c>
      <c r="J36" s="9" t="s">
        <v>1305</v>
      </c>
      <c r="K36" s="9" t="s">
        <v>1306</v>
      </c>
      <c r="L36" s="83">
        <v>45200</v>
      </c>
      <c r="M36" s="83">
        <v>45230</v>
      </c>
    </row>
    <row r="37" spans="1:13" ht="18.75" customHeight="1" x14ac:dyDescent="0.25">
      <c r="A37" s="9" t="s">
        <v>10</v>
      </c>
      <c r="B37" s="81">
        <v>112174</v>
      </c>
      <c r="C37" s="81">
        <v>10760</v>
      </c>
      <c r="D37" s="9" t="s">
        <v>11</v>
      </c>
      <c r="E37" s="81">
        <v>14563151</v>
      </c>
      <c r="F37" s="81">
        <v>28783</v>
      </c>
      <c r="G37" s="81">
        <v>25</v>
      </c>
      <c r="H37" s="82">
        <v>26.3</v>
      </c>
      <c r="I37" s="251">
        <v>657.5</v>
      </c>
      <c r="J37" s="9" t="s">
        <v>1305</v>
      </c>
      <c r="K37" s="9" t="s">
        <v>1306</v>
      </c>
      <c r="L37" s="83">
        <v>45200</v>
      </c>
      <c r="M37" s="83">
        <v>45230</v>
      </c>
    </row>
    <row r="38" spans="1:13" ht="18.75" customHeight="1" x14ac:dyDescent="0.25">
      <c r="A38" s="9" t="s">
        <v>1578</v>
      </c>
      <c r="B38" s="81">
        <v>112430</v>
      </c>
      <c r="C38" s="81">
        <v>10755</v>
      </c>
      <c r="D38" s="9" t="s">
        <v>173</v>
      </c>
      <c r="E38" s="81">
        <v>14563151</v>
      </c>
      <c r="F38" s="81">
        <v>29295</v>
      </c>
      <c r="G38" s="81">
        <v>25</v>
      </c>
      <c r="H38" s="82">
        <v>26.3</v>
      </c>
      <c r="I38" s="251">
        <v>657.5</v>
      </c>
      <c r="J38" s="9" t="s">
        <v>1305</v>
      </c>
      <c r="K38" s="9" t="s">
        <v>1306</v>
      </c>
      <c r="L38" s="83">
        <v>45200</v>
      </c>
      <c r="M38" s="83">
        <v>45230</v>
      </c>
    </row>
    <row r="39" spans="1:13" ht="18.75" customHeight="1" x14ac:dyDescent="0.25">
      <c r="A39" s="9" t="s">
        <v>1578</v>
      </c>
      <c r="B39" s="81">
        <v>112433</v>
      </c>
      <c r="C39" s="81">
        <v>10761</v>
      </c>
      <c r="D39" s="9" t="s">
        <v>1308</v>
      </c>
      <c r="E39" s="81">
        <v>14563151</v>
      </c>
      <c r="F39" s="81">
        <v>29301</v>
      </c>
      <c r="G39" s="81">
        <v>25</v>
      </c>
      <c r="H39" s="82">
        <v>26.3</v>
      </c>
      <c r="I39" s="251">
        <v>657.5</v>
      </c>
      <c r="J39" s="9" t="s">
        <v>1305</v>
      </c>
      <c r="K39" s="9" t="s">
        <v>1306</v>
      </c>
      <c r="L39" s="83">
        <v>45200</v>
      </c>
      <c r="M39" s="83">
        <v>45230</v>
      </c>
    </row>
    <row r="40" spans="1:13" ht="18.75" customHeight="1" x14ac:dyDescent="0.25">
      <c r="A40" s="9" t="s">
        <v>10</v>
      </c>
      <c r="B40" s="81">
        <v>112436</v>
      </c>
      <c r="C40" s="81">
        <v>10756</v>
      </c>
      <c r="D40" s="9" t="s">
        <v>178</v>
      </c>
      <c r="E40" s="81">
        <v>14563151</v>
      </c>
      <c r="F40" s="81">
        <v>29307</v>
      </c>
      <c r="G40" s="81">
        <v>25</v>
      </c>
      <c r="H40" s="82">
        <v>26.3</v>
      </c>
      <c r="I40" s="251">
        <v>657.5</v>
      </c>
      <c r="J40" s="9" t="s">
        <v>1305</v>
      </c>
      <c r="K40" s="9" t="s">
        <v>1306</v>
      </c>
      <c r="L40" s="83">
        <v>45200</v>
      </c>
      <c r="M40" s="83">
        <v>45230</v>
      </c>
    </row>
    <row r="41" spans="1:13" ht="18.75" customHeight="1" x14ac:dyDescent="0.25">
      <c r="A41" s="9" t="s">
        <v>1578</v>
      </c>
      <c r="B41" s="81">
        <v>112462</v>
      </c>
      <c r="C41" s="81">
        <v>10762</v>
      </c>
      <c r="D41" s="9" t="s">
        <v>190</v>
      </c>
      <c r="E41" s="81">
        <v>14563151</v>
      </c>
      <c r="F41" s="81">
        <v>29359</v>
      </c>
      <c r="G41" s="81">
        <v>25</v>
      </c>
      <c r="H41" s="82">
        <v>26.3</v>
      </c>
      <c r="I41" s="251">
        <v>657.5</v>
      </c>
      <c r="J41" s="9" t="s">
        <v>1305</v>
      </c>
      <c r="K41" s="9" t="s">
        <v>1306</v>
      </c>
      <c r="L41" s="83">
        <v>45200</v>
      </c>
      <c r="M41" s="83">
        <v>45230</v>
      </c>
    </row>
    <row r="42" spans="1:13" ht="18.75" customHeight="1" x14ac:dyDescent="0.25">
      <c r="A42" s="9" t="s">
        <v>8</v>
      </c>
      <c r="B42" s="81">
        <v>116968</v>
      </c>
      <c r="C42" s="81">
        <v>10763</v>
      </c>
      <c r="D42" s="9" t="s">
        <v>1232</v>
      </c>
      <c r="E42" s="81">
        <v>14563151</v>
      </c>
      <c r="F42" s="81">
        <v>43447</v>
      </c>
      <c r="G42" s="81">
        <v>25</v>
      </c>
      <c r="H42" s="82">
        <v>26.3</v>
      </c>
      <c r="I42" s="251">
        <v>657.5</v>
      </c>
      <c r="J42" s="9" t="s">
        <v>1305</v>
      </c>
      <c r="K42" s="9" t="s">
        <v>1306</v>
      </c>
      <c r="L42" s="83">
        <v>45200</v>
      </c>
      <c r="M42" s="83">
        <v>45230</v>
      </c>
    </row>
    <row r="43" spans="1:13" ht="18.75" customHeight="1" x14ac:dyDescent="0.25">
      <c r="A43" s="9" t="s">
        <v>10</v>
      </c>
      <c r="B43" s="81">
        <v>112547</v>
      </c>
      <c r="C43" s="81">
        <v>10750</v>
      </c>
      <c r="D43" s="9" t="s">
        <v>257</v>
      </c>
      <c r="E43" s="81">
        <v>14563151</v>
      </c>
      <c r="F43" s="81">
        <v>29529</v>
      </c>
      <c r="G43" s="81">
        <v>25</v>
      </c>
      <c r="H43" s="82">
        <v>26.3</v>
      </c>
      <c r="I43" s="251">
        <v>657.5</v>
      </c>
      <c r="J43" s="9" t="s">
        <v>1305</v>
      </c>
      <c r="K43" s="9" t="s">
        <v>1306</v>
      </c>
      <c r="L43" s="83">
        <v>45200</v>
      </c>
      <c r="M43" s="83">
        <v>45230</v>
      </c>
    </row>
    <row r="44" spans="1:13" ht="18.75" customHeight="1" x14ac:dyDescent="0.25">
      <c r="A44" s="9" t="s">
        <v>10</v>
      </c>
      <c r="B44" s="81">
        <v>112632</v>
      </c>
      <c r="C44" s="81">
        <v>10750</v>
      </c>
      <c r="D44" s="9" t="s">
        <v>310</v>
      </c>
      <c r="E44" s="81">
        <v>14563151</v>
      </c>
      <c r="F44" s="81">
        <v>29699</v>
      </c>
      <c r="G44" s="81">
        <v>25</v>
      </c>
      <c r="H44" s="82">
        <v>26.3</v>
      </c>
      <c r="I44" s="251">
        <v>657.5</v>
      </c>
      <c r="J44" s="9" t="s">
        <v>1305</v>
      </c>
      <c r="K44" s="9" t="s">
        <v>1306</v>
      </c>
      <c r="L44" s="83">
        <v>45200</v>
      </c>
      <c r="M44" s="83">
        <v>45230</v>
      </c>
    </row>
    <row r="45" spans="1:13" ht="18.75" customHeight="1" x14ac:dyDescent="0.25">
      <c r="A45" s="9" t="s">
        <v>10</v>
      </c>
      <c r="B45" s="81">
        <v>112549</v>
      </c>
      <c r="C45" s="81">
        <v>10750</v>
      </c>
      <c r="D45" s="9" t="s">
        <v>259</v>
      </c>
      <c r="E45" s="81">
        <v>14563151</v>
      </c>
      <c r="F45" s="81">
        <v>29533</v>
      </c>
      <c r="G45" s="81">
        <v>25</v>
      </c>
      <c r="H45" s="82">
        <v>26.3</v>
      </c>
      <c r="I45" s="251">
        <v>657.5</v>
      </c>
      <c r="J45" s="9" t="s">
        <v>1305</v>
      </c>
      <c r="K45" s="9" t="s">
        <v>1306</v>
      </c>
      <c r="L45" s="83">
        <v>45200</v>
      </c>
      <c r="M45" s="83">
        <v>45230</v>
      </c>
    </row>
    <row r="46" spans="1:13" ht="18.75" customHeight="1" x14ac:dyDescent="0.25">
      <c r="A46" s="9" t="s">
        <v>10</v>
      </c>
      <c r="B46" s="81">
        <v>112641</v>
      </c>
      <c r="C46" s="81">
        <v>10750</v>
      </c>
      <c r="D46" s="9" t="s">
        <v>315</v>
      </c>
      <c r="E46" s="81">
        <v>14563151</v>
      </c>
      <c r="F46" s="81">
        <v>29717</v>
      </c>
      <c r="G46" s="81">
        <v>25</v>
      </c>
      <c r="H46" s="82">
        <v>26.3</v>
      </c>
      <c r="I46" s="251">
        <v>657.5</v>
      </c>
      <c r="J46" s="9" t="s">
        <v>1305</v>
      </c>
      <c r="K46" s="9" t="s">
        <v>1306</v>
      </c>
      <c r="L46" s="83">
        <v>45200</v>
      </c>
      <c r="M46" s="83">
        <v>45230</v>
      </c>
    </row>
    <row r="47" spans="1:13" ht="18.75" customHeight="1" x14ac:dyDescent="0.25">
      <c r="A47" s="9" t="s">
        <v>1578</v>
      </c>
      <c r="B47" s="81">
        <v>114966</v>
      </c>
      <c r="C47" s="81">
        <v>10761</v>
      </c>
      <c r="D47" s="9" t="s">
        <v>1129</v>
      </c>
      <c r="E47" s="81">
        <v>14563151</v>
      </c>
      <c r="F47" s="81">
        <v>37708</v>
      </c>
      <c r="G47" s="81">
        <v>25</v>
      </c>
      <c r="H47" s="82">
        <v>26.3</v>
      </c>
      <c r="I47" s="251">
        <v>657.5</v>
      </c>
      <c r="J47" s="9" t="s">
        <v>1305</v>
      </c>
      <c r="K47" s="9" t="s">
        <v>1306</v>
      </c>
      <c r="L47" s="83">
        <v>45200</v>
      </c>
      <c r="M47" s="83">
        <v>45230</v>
      </c>
    </row>
    <row r="48" spans="1:13" ht="18.75" customHeight="1" x14ac:dyDescent="0.25">
      <c r="A48" s="9" t="s">
        <v>1578</v>
      </c>
      <c r="B48" s="81">
        <v>116076</v>
      </c>
      <c r="C48" s="81">
        <v>10771</v>
      </c>
      <c r="D48" s="9" t="s">
        <v>1179</v>
      </c>
      <c r="E48" s="81">
        <v>14563151</v>
      </c>
      <c r="F48" s="81">
        <v>41073</v>
      </c>
      <c r="G48" s="81">
        <v>24</v>
      </c>
      <c r="H48" s="82">
        <v>26.3</v>
      </c>
      <c r="I48" s="251">
        <v>631.20000000000005</v>
      </c>
      <c r="J48" s="9" t="s">
        <v>1305</v>
      </c>
      <c r="K48" s="9" t="s">
        <v>1306</v>
      </c>
      <c r="L48" s="83">
        <v>45200</v>
      </c>
      <c r="M48" s="83">
        <v>45230</v>
      </c>
    </row>
    <row r="49" spans="1:13" ht="18.75" customHeight="1" x14ac:dyDescent="0.25">
      <c r="A49" s="9" t="s">
        <v>19</v>
      </c>
      <c r="B49" s="81">
        <v>112646</v>
      </c>
      <c r="C49" s="81">
        <v>10763</v>
      </c>
      <c r="D49" s="9" t="s">
        <v>317</v>
      </c>
      <c r="E49" s="81">
        <v>14563151</v>
      </c>
      <c r="F49" s="81">
        <v>29727</v>
      </c>
      <c r="G49" s="81">
        <v>25</v>
      </c>
      <c r="H49" s="82">
        <v>26.3</v>
      </c>
      <c r="I49" s="251">
        <v>657.5</v>
      </c>
      <c r="J49" s="9" t="s">
        <v>1305</v>
      </c>
      <c r="K49" s="9" t="s">
        <v>1306</v>
      </c>
      <c r="L49" s="83">
        <v>45200</v>
      </c>
      <c r="M49" s="83">
        <v>45230</v>
      </c>
    </row>
    <row r="50" spans="1:13" ht="18.75" customHeight="1" x14ac:dyDescent="0.25">
      <c r="A50" s="9" t="s">
        <v>1578</v>
      </c>
      <c r="B50" s="81">
        <v>121954</v>
      </c>
      <c r="C50" s="81">
        <v>10761</v>
      </c>
      <c r="D50" s="9" t="s">
        <v>1601</v>
      </c>
      <c r="E50" s="81">
        <v>14563151</v>
      </c>
      <c r="F50" s="81">
        <v>54964</v>
      </c>
      <c r="G50" s="81">
        <v>21</v>
      </c>
      <c r="H50" s="82">
        <v>26.3</v>
      </c>
      <c r="I50" s="251">
        <v>552.30000000000007</v>
      </c>
      <c r="J50" s="9" t="s">
        <v>1305</v>
      </c>
      <c r="K50" s="9" t="s">
        <v>1306</v>
      </c>
      <c r="L50" s="83">
        <v>45200</v>
      </c>
      <c r="M50" s="83">
        <v>45230</v>
      </c>
    </row>
    <row r="51" spans="1:13" ht="18.75" customHeight="1" x14ac:dyDescent="0.25">
      <c r="A51" s="9" t="s">
        <v>1578</v>
      </c>
      <c r="B51" s="81">
        <v>117290</v>
      </c>
      <c r="C51" s="81">
        <v>10771</v>
      </c>
      <c r="D51" s="9" t="s">
        <v>1260</v>
      </c>
      <c r="E51" s="81">
        <v>14563151</v>
      </c>
      <c r="F51" s="81">
        <v>44212</v>
      </c>
      <c r="G51" s="81">
        <v>25</v>
      </c>
      <c r="H51" s="82">
        <v>26.3</v>
      </c>
      <c r="I51" s="251">
        <v>657.5</v>
      </c>
      <c r="J51" s="9" t="s">
        <v>1305</v>
      </c>
      <c r="K51" s="9" t="s">
        <v>1309</v>
      </c>
      <c r="L51" s="83">
        <v>45200</v>
      </c>
      <c r="M51" s="83">
        <v>45230</v>
      </c>
    </row>
    <row r="52" spans="1:13" ht="18.75" customHeight="1" x14ac:dyDescent="0.25">
      <c r="A52" s="9" t="s">
        <v>32</v>
      </c>
      <c r="B52" s="81">
        <v>112652</v>
      </c>
      <c r="C52" s="81">
        <v>10757</v>
      </c>
      <c r="D52" s="9" t="s">
        <v>320</v>
      </c>
      <c r="E52" s="81">
        <v>14563151</v>
      </c>
      <c r="F52" s="81">
        <v>29739</v>
      </c>
      <c r="G52" s="81">
        <v>25</v>
      </c>
      <c r="H52" s="82">
        <v>26.3</v>
      </c>
      <c r="I52" s="251">
        <v>657.5</v>
      </c>
      <c r="J52" s="9" t="s">
        <v>1305</v>
      </c>
      <c r="K52" s="9" t="s">
        <v>1306</v>
      </c>
      <c r="L52" s="83">
        <v>45200</v>
      </c>
      <c r="M52" s="83">
        <v>45230</v>
      </c>
    </row>
    <row r="53" spans="1:13" ht="18.75" customHeight="1" x14ac:dyDescent="0.25">
      <c r="A53" s="9" t="s">
        <v>8</v>
      </c>
      <c r="B53" s="81">
        <v>112567</v>
      </c>
      <c r="C53" s="81">
        <v>10757</v>
      </c>
      <c r="D53" s="9" t="s">
        <v>269</v>
      </c>
      <c r="E53" s="81">
        <v>14563151</v>
      </c>
      <c r="F53" s="81">
        <v>29569</v>
      </c>
      <c r="G53" s="81">
        <v>25</v>
      </c>
      <c r="H53" s="82">
        <v>26.3</v>
      </c>
      <c r="I53" s="251">
        <v>657.5</v>
      </c>
      <c r="J53" s="9" t="s">
        <v>1305</v>
      </c>
      <c r="K53" s="9" t="s">
        <v>1306</v>
      </c>
      <c r="L53" s="83">
        <v>45200</v>
      </c>
      <c r="M53" s="83">
        <v>45230</v>
      </c>
    </row>
    <row r="54" spans="1:13" ht="18.75" customHeight="1" x14ac:dyDescent="0.25">
      <c r="A54" s="9" t="s">
        <v>1578</v>
      </c>
      <c r="B54" s="81">
        <v>112656</v>
      </c>
      <c r="C54" s="81">
        <v>10768</v>
      </c>
      <c r="D54" s="9" t="s">
        <v>322</v>
      </c>
      <c r="E54" s="81">
        <v>14563151</v>
      </c>
      <c r="F54" s="81">
        <v>29747</v>
      </c>
      <c r="G54" s="81">
        <v>25</v>
      </c>
      <c r="H54" s="82">
        <v>26.3</v>
      </c>
      <c r="I54" s="251">
        <v>657.5</v>
      </c>
      <c r="J54" s="9" t="s">
        <v>1305</v>
      </c>
      <c r="K54" s="9" t="s">
        <v>1306</v>
      </c>
      <c r="L54" s="83">
        <v>45200</v>
      </c>
      <c r="M54" s="83">
        <v>45230</v>
      </c>
    </row>
    <row r="55" spans="1:13" ht="18.75" customHeight="1" x14ac:dyDescent="0.25">
      <c r="A55" s="9" t="s">
        <v>1578</v>
      </c>
      <c r="B55" s="81">
        <v>114976</v>
      </c>
      <c r="C55" s="81">
        <v>10745</v>
      </c>
      <c r="D55" s="9" t="s">
        <v>1132</v>
      </c>
      <c r="E55" s="81">
        <v>14563151</v>
      </c>
      <c r="F55" s="81">
        <v>37728</v>
      </c>
      <c r="G55" s="81">
        <v>25</v>
      </c>
      <c r="H55" s="82">
        <v>26.3</v>
      </c>
      <c r="I55" s="251">
        <v>657.5</v>
      </c>
      <c r="J55" s="9" t="s">
        <v>1305</v>
      </c>
      <c r="K55" s="9" t="s">
        <v>1306</v>
      </c>
      <c r="L55" s="83">
        <v>45200</v>
      </c>
      <c r="M55" s="83">
        <v>45230</v>
      </c>
    </row>
    <row r="56" spans="1:13" ht="18.75" customHeight="1" x14ac:dyDescent="0.25">
      <c r="A56" s="9" t="s">
        <v>0</v>
      </c>
      <c r="B56" s="81">
        <v>112664</v>
      </c>
      <c r="C56" s="81">
        <v>10752</v>
      </c>
      <c r="D56" s="9" t="s">
        <v>326</v>
      </c>
      <c r="E56" s="81">
        <v>14563151</v>
      </c>
      <c r="F56" s="81">
        <v>29763</v>
      </c>
      <c r="G56" s="81">
        <v>24</v>
      </c>
      <c r="H56" s="82">
        <v>26.3</v>
      </c>
      <c r="I56" s="251">
        <v>631.20000000000005</v>
      </c>
      <c r="J56" s="9" t="s">
        <v>1305</v>
      </c>
      <c r="K56" s="9" t="s">
        <v>1306</v>
      </c>
      <c r="L56" s="83">
        <v>45200</v>
      </c>
      <c r="M56" s="83">
        <v>45230</v>
      </c>
    </row>
    <row r="57" spans="1:13" ht="18.75" customHeight="1" x14ac:dyDescent="0.25">
      <c r="A57" s="9" t="s">
        <v>1578</v>
      </c>
      <c r="B57" s="81">
        <v>112691</v>
      </c>
      <c r="C57" s="81">
        <v>10768</v>
      </c>
      <c r="D57" s="9" t="s">
        <v>343</v>
      </c>
      <c r="E57" s="81">
        <v>14563151</v>
      </c>
      <c r="F57" s="81">
        <v>29817</v>
      </c>
      <c r="G57" s="81">
        <v>25</v>
      </c>
      <c r="H57" s="82">
        <v>26.3</v>
      </c>
      <c r="I57" s="251">
        <v>657.5</v>
      </c>
      <c r="J57" s="9" t="s">
        <v>1305</v>
      </c>
      <c r="K57" s="9" t="s">
        <v>1306</v>
      </c>
      <c r="L57" s="83">
        <v>45200</v>
      </c>
      <c r="M57" s="83">
        <v>45230</v>
      </c>
    </row>
    <row r="58" spans="1:13" ht="18.75" customHeight="1" x14ac:dyDescent="0.25">
      <c r="A58" s="9" t="s">
        <v>8</v>
      </c>
      <c r="B58" s="81">
        <v>112697</v>
      </c>
      <c r="C58" s="81">
        <v>10750</v>
      </c>
      <c r="D58" s="9" t="s">
        <v>347</v>
      </c>
      <c r="E58" s="81">
        <v>14563151</v>
      </c>
      <c r="F58" s="81">
        <v>29829</v>
      </c>
      <c r="G58" s="81">
        <v>25</v>
      </c>
      <c r="H58" s="82">
        <v>26.3</v>
      </c>
      <c r="I58" s="251">
        <v>657.5</v>
      </c>
      <c r="J58" s="9" t="s">
        <v>1305</v>
      </c>
      <c r="K58" s="9" t="s">
        <v>1306</v>
      </c>
      <c r="L58" s="83">
        <v>45200</v>
      </c>
      <c r="M58" s="83">
        <v>45230</v>
      </c>
    </row>
    <row r="59" spans="1:13" ht="18.75" customHeight="1" x14ac:dyDescent="0.25">
      <c r="A59" s="9" t="s">
        <v>8</v>
      </c>
      <c r="B59" s="81">
        <v>112700</v>
      </c>
      <c r="C59" s="81">
        <v>10754</v>
      </c>
      <c r="D59" s="9" t="s">
        <v>351</v>
      </c>
      <c r="E59" s="81">
        <v>14563151</v>
      </c>
      <c r="F59" s="81">
        <v>29835</v>
      </c>
      <c r="G59" s="81">
        <v>25</v>
      </c>
      <c r="H59" s="82">
        <v>26.3</v>
      </c>
      <c r="I59" s="251">
        <v>657.5</v>
      </c>
      <c r="J59" s="9" t="s">
        <v>1305</v>
      </c>
      <c r="K59" s="9" t="s">
        <v>1306</v>
      </c>
      <c r="L59" s="83">
        <v>45200</v>
      </c>
      <c r="M59" s="83">
        <v>45230</v>
      </c>
    </row>
    <row r="60" spans="1:13" ht="18.75" customHeight="1" x14ac:dyDescent="0.25">
      <c r="A60" s="9" t="s">
        <v>10</v>
      </c>
      <c r="B60" s="81">
        <v>112175</v>
      </c>
      <c r="C60" s="81">
        <v>10745</v>
      </c>
      <c r="D60" s="9" t="s">
        <v>12</v>
      </c>
      <c r="E60" s="81">
        <v>14563151</v>
      </c>
      <c r="F60" s="81">
        <v>28785</v>
      </c>
      <c r="G60" s="81">
        <v>25</v>
      </c>
      <c r="H60" s="82">
        <v>26.3</v>
      </c>
      <c r="I60" s="251">
        <v>657.5</v>
      </c>
      <c r="J60" s="9" t="s">
        <v>1305</v>
      </c>
      <c r="K60" s="9" t="s">
        <v>1306</v>
      </c>
      <c r="L60" s="83">
        <v>45200</v>
      </c>
      <c r="M60" s="83">
        <v>45230</v>
      </c>
    </row>
    <row r="61" spans="1:13" ht="18.75" customHeight="1" x14ac:dyDescent="0.25">
      <c r="A61" s="9" t="s">
        <v>10</v>
      </c>
      <c r="B61" s="81">
        <v>121314</v>
      </c>
      <c r="C61" s="81">
        <v>10757</v>
      </c>
      <c r="D61" s="9" t="s">
        <v>1522</v>
      </c>
      <c r="E61" s="81">
        <v>14563151</v>
      </c>
      <c r="F61" s="81">
        <v>53483</v>
      </c>
      <c r="G61" s="81">
        <v>25</v>
      </c>
      <c r="H61" s="82">
        <v>26.3</v>
      </c>
      <c r="I61" s="251">
        <v>657.5</v>
      </c>
      <c r="J61" s="9" t="s">
        <v>1305</v>
      </c>
      <c r="K61" s="9" t="s">
        <v>1309</v>
      </c>
      <c r="L61" s="83">
        <v>45200</v>
      </c>
      <c r="M61" s="83">
        <v>45230</v>
      </c>
    </row>
    <row r="62" spans="1:13" ht="18.75" customHeight="1" x14ac:dyDescent="0.25">
      <c r="A62" s="9" t="s">
        <v>1578</v>
      </c>
      <c r="B62" s="81">
        <v>112719</v>
      </c>
      <c r="C62" s="81">
        <v>10756</v>
      </c>
      <c r="D62" s="9" t="s">
        <v>362</v>
      </c>
      <c r="E62" s="81">
        <v>14563151</v>
      </c>
      <c r="F62" s="81">
        <v>29873</v>
      </c>
      <c r="G62" s="81">
        <v>25</v>
      </c>
      <c r="H62" s="82">
        <v>26.3</v>
      </c>
      <c r="I62" s="251">
        <v>657.5</v>
      </c>
      <c r="J62" s="9" t="s">
        <v>1305</v>
      </c>
      <c r="K62" s="9" t="s">
        <v>1306</v>
      </c>
      <c r="L62" s="83">
        <v>45200</v>
      </c>
      <c r="M62" s="83">
        <v>45230</v>
      </c>
    </row>
    <row r="63" spans="1:13" ht="18.75" customHeight="1" x14ac:dyDescent="0.25">
      <c r="A63" s="9" t="s">
        <v>1578</v>
      </c>
      <c r="B63" s="81">
        <v>112726</v>
      </c>
      <c r="C63" s="81">
        <v>10761</v>
      </c>
      <c r="D63" s="9" t="s">
        <v>367</v>
      </c>
      <c r="E63" s="81">
        <v>14563151</v>
      </c>
      <c r="F63" s="81">
        <v>29887</v>
      </c>
      <c r="G63" s="81">
        <v>25</v>
      </c>
      <c r="H63" s="82">
        <v>26.3</v>
      </c>
      <c r="I63" s="251">
        <v>657.5</v>
      </c>
      <c r="J63" s="9" t="s">
        <v>1305</v>
      </c>
      <c r="K63" s="9" t="s">
        <v>1306</v>
      </c>
      <c r="L63" s="83">
        <v>45200</v>
      </c>
      <c r="M63" s="83">
        <v>45230</v>
      </c>
    </row>
    <row r="64" spans="1:13" ht="18.75" customHeight="1" x14ac:dyDescent="0.25">
      <c r="A64" s="9" t="s">
        <v>1580</v>
      </c>
      <c r="B64" s="81">
        <v>113795</v>
      </c>
      <c r="C64" s="81">
        <v>10775</v>
      </c>
      <c r="D64" s="9" t="s">
        <v>981</v>
      </c>
      <c r="E64" s="81">
        <v>14563151</v>
      </c>
      <c r="F64" s="81">
        <v>32043</v>
      </c>
      <c r="G64" s="81">
        <v>25</v>
      </c>
      <c r="H64" s="82">
        <v>26.3</v>
      </c>
      <c r="I64" s="251">
        <v>657.5</v>
      </c>
      <c r="J64" s="9" t="s">
        <v>1305</v>
      </c>
      <c r="K64" s="9" t="s">
        <v>1306</v>
      </c>
      <c r="L64" s="83">
        <v>45200</v>
      </c>
      <c r="M64" s="83">
        <v>45230</v>
      </c>
    </row>
    <row r="65" spans="1:13" ht="18.75" customHeight="1" x14ac:dyDescent="0.25">
      <c r="A65" s="9" t="s">
        <v>0</v>
      </c>
      <c r="B65" s="81">
        <v>116020</v>
      </c>
      <c r="C65" s="81">
        <v>10761</v>
      </c>
      <c r="D65" s="9" t="s">
        <v>1172</v>
      </c>
      <c r="E65" s="81">
        <v>14563151</v>
      </c>
      <c r="F65" s="81">
        <v>40900</v>
      </c>
      <c r="G65" s="81">
        <v>25</v>
      </c>
      <c r="H65" s="82">
        <v>26.3</v>
      </c>
      <c r="I65" s="251">
        <v>657.5</v>
      </c>
      <c r="J65" s="9" t="s">
        <v>1305</v>
      </c>
      <c r="K65" s="9" t="s">
        <v>1306</v>
      </c>
      <c r="L65" s="83">
        <v>45200</v>
      </c>
      <c r="M65" s="83">
        <v>45230</v>
      </c>
    </row>
    <row r="66" spans="1:13" ht="18.75" customHeight="1" x14ac:dyDescent="0.25">
      <c r="A66" s="9" t="s">
        <v>19</v>
      </c>
      <c r="B66" s="81">
        <v>114101</v>
      </c>
      <c r="C66" s="81">
        <v>10758</v>
      </c>
      <c r="D66" s="9" t="s">
        <v>1004</v>
      </c>
      <c r="E66" s="81">
        <v>14563151</v>
      </c>
      <c r="F66" s="81">
        <v>34353</v>
      </c>
      <c r="G66" s="81">
        <v>25</v>
      </c>
      <c r="H66" s="82">
        <v>26.3</v>
      </c>
      <c r="I66" s="251">
        <v>657.5</v>
      </c>
      <c r="J66" s="9" t="s">
        <v>1305</v>
      </c>
      <c r="K66" s="9" t="s">
        <v>1306</v>
      </c>
      <c r="L66" s="83">
        <v>45200</v>
      </c>
      <c r="M66" s="83">
        <v>45230</v>
      </c>
    </row>
    <row r="67" spans="1:13" ht="18.75" customHeight="1" x14ac:dyDescent="0.25">
      <c r="A67" s="9" t="s">
        <v>1578</v>
      </c>
      <c r="B67" s="81">
        <v>122437</v>
      </c>
      <c r="C67" s="81">
        <v>10757</v>
      </c>
      <c r="D67" s="9" t="s">
        <v>1676</v>
      </c>
      <c r="E67" s="81">
        <v>14563151</v>
      </c>
      <c r="F67" s="81">
        <v>56195</v>
      </c>
      <c r="G67" s="81">
        <v>25</v>
      </c>
      <c r="H67" s="82">
        <v>26.3</v>
      </c>
      <c r="I67" s="251">
        <v>657.5</v>
      </c>
      <c r="J67" s="9" t="s">
        <v>1305</v>
      </c>
      <c r="K67" s="9" t="s">
        <v>1306</v>
      </c>
      <c r="L67" s="83">
        <v>45200</v>
      </c>
      <c r="M67" s="83">
        <v>45230</v>
      </c>
    </row>
    <row r="68" spans="1:13" ht="18.75" customHeight="1" x14ac:dyDescent="0.25">
      <c r="A68" s="9" t="s">
        <v>0</v>
      </c>
      <c r="B68" s="81">
        <v>114273</v>
      </c>
      <c r="C68" s="81">
        <v>10758</v>
      </c>
      <c r="D68" s="9" t="s">
        <v>1030</v>
      </c>
      <c r="E68" s="81">
        <v>14563151</v>
      </c>
      <c r="F68" s="81">
        <v>35826</v>
      </c>
      <c r="G68" s="81">
        <v>24</v>
      </c>
      <c r="H68" s="82">
        <v>26.3</v>
      </c>
      <c r="I68" s="251">
        <v>631.20000000000005</v>
      </c>
      <c r="J68" s="9" t="s">
        <v>1305</v>
      </c>
      <c r="K68" s="9" t="s">
        <v>1306</v>
      </c>
      <c r="L68" s="83">
        <v>45200</v>
      </c>
      <c r="M68" s="83">
        <v>45230</v>
      </c>
    </row>
    <row r="69" spans="1:13" ht="18.75" customHeight="1" x14ac:dyDescent="0.25">
      <c r="A69" s="9" t="s">
        <v>1578</v>
      </c>
      <c r="B69" s="81">
        <v>112763</v>
      </c>
      <c r="C69" s="81">
        <v>10768</v>
      </c>
      <c r="D69" s="9" t="s">
        <v>389</v>
      </c>
      <c r="E69" s="81">
        <v>14563151</v>
      </c>
      <c r="F69" s="81">
        <v>29961</v>
      </c>
      <c r="G69" s="81">
        <v>25</v>
      </c>
      <c r="H69" s="82">
        <v>26.3</v>
      </c>
      <c r="I69" s="251">
        <v>657.5</v>
      </c>
      <c r="J69" s="9" t="s">
        <v>1305</v>
      </c>
      <c r="K69" s="9" t="s">
        <v>1306</v>
      </c>
      <c r="L69" s="83">
        <v>45200</v>
      </c>
      <c r="M69" s="83">
        <v>45230</v>
      </c>
    </row>
    <row r="70" spans="1:13" ht="18.75" customHeight="1" x14ac:dyDescent="0.25">
      <c r="A70" s="9" t="s">
        <v>1578</v>
      </c>
      <c r="B70" s="81">
        <v>113000</v>
      </c>
      <c r="C70" s="81">
        <v>10757</v>
      </c>
      <c r="D70" s="9" t="s">
        <v>538</v>
      </c>
      <c r="E70" s="81">
        <v>14563151</v>
      </c>
      <c r="F70" s="81">
        <v>30435</v>
      </c>
      <c r="G70" s="81">
        <v>25</v>
      </c>
      <c r="H70" s="82">
        <v>26.3</v>
      </c>
      <c r="I70" s="251">
        <v>657.5</v>
      </c>
      <c r="J70" s="9" t="s">
        <v>1305</v>
      </c>
      <c r="K70" s="9" t="s">
        <v>1306</v>
      </c>
      <c r="L70" s="83">
        <v>45200</v>
      </c>
      <c r="M70" s="83">
        <v>45230</v>
      </c>
    </row>
    <row r="71" spans="1:13" ht="18.75" customHeight="1" x14ac:dyDescent="0.25">
      <c r="A71" s="9" t="s">
        <v>10</v>
      </c>
      <c r="B71" s="81">
        <v>112793</v>
      </c>
      <c r="C71" s="81">
        <v>10751</v>
      </c>
      <c r="D71" s="9" t="s">
        <v>413</v>
      </c>
      <c r="E71" s="81">
        <v>14563151</v>
      </c>
      <c r="F71" s="81">
        <v>30021</v>
      </c>
      <c r="G71" s="81">
        <v>25</v>
      </c>
      <c r="H71" s="82">
        <v>26.3</v>
      </c>
      <c r="I71" s="251">
        <v>657.5</v>
      </c>
      <c r="J71" s="9" t="s">
        <v>1305</v>
      </c>
      <c r="K71" s="9" t="s">
        <v>1306</v>
      </c>
      <c r="L71" s="83">
        <v>45200</v>
      </c>
      <c r="M71" s="83">
        <v>45230</v>
      </c>
    </row>
    <row r="72" spans="1:13" ht="18.75" customHeight="1" x14ac:dyDescent="0.25">
      <c r="A72" s="9" t="s">
        <v>1578</v>
      </c>
      <c r="B72" s="81">
        <v>117410</v>
      </c>
      <c r="C72" s="81">
        <v>10743</v>
      </c>
      <c r="D72" s="9" t="s">
        <v>1272</v>
      </c>
      <c r="E72" s="81">
        <v>14563151</v>
      </c>
      <c r="F72" s="81">
        <v>44523</v>
      </c>
      <c r="G72" s="81">
        <v>25</v>
      </c>
      <c r="H72" s="82">
        <v>26.3</v>
      </c>
      <c r="I72" s="251">
        <v>657.5</v>
      </c>
      <c r="J72" s="9" t="s">
        <v>1305</v>
      </c>
      <c r="K72" s="9" t="s">
        <v>1306</v>
      </c>
      <c r="L72" s="83">
        <v>45200</v>
      </c>
      <c r="M72" s="83">
        <v>45230</v>
      </c>
    </row>
    <row r="73" spans="1:13" ht="18.75" customHeight="1" x14ac:dyDescent="0.25">
      <c r="A73" s="9" t="s">
        <v>8</v>
      </c>
      <c r="B73" s="81">
        <v>112798</v>
      </c>
      <c r="C73" s="81">
        <v>10751</v>
      </c>
      <c r="D73" s="9" t="s">
        <v>417</v>
      </c>
      <c r="E73" s="81">
        <v>14563151</v>
      </c>
      <c r="F73" s="81">
        <v>30031</v>
      </c>
      <c r="G73" s="81">
        <v>25</v>
      </c>
      <c r="H73" s="82">
        <v>26.3</v>
      </c>
      <c r="I73" s="251">
        <v>657.5</v>
      </c>
      <c r="J73" s="9" t="s">
        <v>1305</v>
      </c>
      <c r="K73" s="9" t="s">
        <v>1306</v>
      </c>
      <c r="L73" s="83">
        <v>45200</v>
      </c>
      <c r="M73" s="83">
        <v>45230</v>
      </c>
    </row>
    <row r="74" spans="1:13" ht="18.75" customHeight="1" x14ac:dyDescent="0.25">
      <c r="A74" s="9" t="s">
        <v>19</v>
      </c>
      <c r="B74" s="81">
        <v>113028</v>
      </c>
      <c r="C74" s="81">
        <v>10771</v>
      </c>
      <c r="D74" s="9" t="s">
        <v>548</v>
      </c>
      <c r="E74" s="81">
        <v>14563151</v>
      </c>
      <c r="F74" s="81">
        <v>30491</v>
      </c>
      <c r="G74" s="81">
        <v>25</v>
      </c>
      <c r="H74" s="82">
        <v>26.3</v>
      </c>
      <c r="I74" s="251">
        <v>657.5</v>
      </c>
      <c r="J74" s="9" t="s">
        <v>1305</v>
      </c>
      <c r="K74" s="9" t="s">
        <v>1309</v>
      </c>
      <c r="L74" s="83">
        <v>45200</v>
      </c>
      <c r="M74" s="83">
        <v>45230</v>
      </c>
    </row>
    <row r="75" spans="1:13" ht="18.75" customHeight="1" x14ac:dyDescent="0.25">
      <c r="A75" s="9" t="s">
        <v>32</v>
      </c>
      <c r="B75" s="81">
        <v>112804</v>
      </c>
      <c r="C75" s="81">
        <v>10750</v>
      </c>
      <c r="D75" s="9" t="s">
        <v>422</v>
      </c>
      <c r="E75" s="81">
        <v>14563151</v>
      </c>
      <c r="F75" s="81">
        <v>30043</v>
      </c>
      <c r="G75" s="81">
        <v>25</v>
      </c>
      <c r="H75" s="82">
        <v>26.3</v>
      </c>
      <c r="I75" s="251">
        <v>657.5</v>
      </c>
      <c r="J75" s="9" t="s">
        <v>1305</v>
      </c>
      <c r="K75" s="9" t="s">
        <v>1306</v>
      </c>
      <c r="L75" s="83">
        <v>45200</v>
      </c>
      <c r="M75" s="83">
        <v>45230</v>
      </c>
    </row>
    <row r="76" spans="1:13" ht="18.75" customHeight="1" x14ac:dyDescent="0.25">
      <c r="A76" s="9" t="s">
        <v>10</v>
      </c>
      <c r="B76" s="81">
        <v>113043</v>
      </c>
      <c r="C76" s="81">
        <v>10763</v>
      </c>
      <c r="D76" s="9" t="s">
        <v>557</v>
      </c>
      <c r="E76" s="81">
        <v>14563151</v>
      </c>
      <c r="F76" s="81">
        <v>30521</v>
      </c>
      <c r="G76" s="81">
        <v>25</v>
      </c>
      <c r="H76" s="82">
        <v>26.3</v>
      </c>
      <c r="I76" s="251">
        <v>657.5</v>
      </c>
      <c r="J76" s="9" t="s">
        <v>1305</v>
      </c>
      <c r="K76" s="9" t="s">
        <v>1306</v>
      </c>
      <c r="L76" s="83">
        <v>45200</v>
      </c>
      <c r="M76" s="83">
        <v>45230</v>
      </c>
    </row>
    <row r="77" spans="1:13" ht="18.75" customHeight="1" x14ac:dyDescent="0.25">
      <c r="A77" s="9" t="s">
        <v>1578</v>
      </c>
      <c r="B77" s="81">
        <v>121482</v>
      </c>
      <c r="C77" s="81">
        <v>10755</v>
      </c>
      <c r="D77" s="9" t="s">
        <v>1573</v>
      </c>
      <c r="E77" s="81">
        <v>14563151</v>
      </c>
      <c r="F77" s="81">
        <v>53848</v>
      </c>
      <c r="G77" s="81">
        <v>25</v>
      </c>
      <c r="H77" s="82">
        <v>26.3</v>
      </c>
      <c r="I77" s="251">
        <v>657.5</v>
      </c>
      <c r="J77" s="9" t="s">
        <v>1305</v>
      </c>
      <c r="K77" s="9" t="s">
        <v>1306</v>
      </c>
      <c r="L77" s="83">
        <v>45200</v>
      </c>
      <c r="M77" s="83">
        <v>45230</v>
      </c>
    </row>
    <row r="78" spans="1:13" ht="18.75" customHeight="1" x14ac:dyDescent="0.25">
      <c r="A78" s="9" t="s">
        <v>19</v>
      </c>
      <c r="B78" s="81">
        <v>112812</v>
      </c>
      <c r="C78" s="81">
        <v>10771</v>
      </c>
      <c r="D78" s="9" t="s">
        <v>428</v>
      </c>
      <c r="E78" s="81">
        <v>14563151</v>
      </c>
      <c r="F78" s="81">
        <v>30059</v>
      </c>
      <c r="G78" s="81">
        <v>25</v>
      </c>
      <c r="H78" s="82">
        <v>26.3</v>
      </c>
      <c r="I78" s="251">
        <v>657.5</v>
      </c>
      <c r="J78" s="9" t="s">
        <v>1305</v>
      </c>
      <c r="K78" s="9" t="s">
        <v>1306</v>
      </c>
      <c r="L78" s="83">
        <v>45200</v>
      </c>
      <c r="M78" s="83">
        <v>45230</v>
      </c>
    </row>
    <row r="79" spans="1:13" ht="18.75" customHeight="1" x14ac:dyDescent="0.25">
      <c r="A79" s="9" t="s">
        <v>10</v>
      </c>
      <c r="B79" s="81">
        <v>112815</v>
      </c>
      <c r="C79" s="81">
        <v>10760</v>
      </c>
      <c r="D79" s="9" t="s">
        <v>430</v>
      </c>
      <c r="E79" s="81">
        <v>14563151</v>
      </c>
      <c r="F79" s="81">
        <v>30065</v>
      </c>
      <c r="G79" s="81">
        <v>25</v>
      </c>
      <c r="H79" s="82">
        <v>26.3</v>
      </c>
      <c r="I79" s="251">
        <v>657.5</v>
      </c>
      <c r="J79" s="9" t="s">
        <v>1305</v>
      </c>
      <c r="K79" s="9" t="s">
        <v>1306</v>
      </c>
      <c r="L79" s="83">
        <v>45200</v>
      </c>
      <c r="M79" s="83">
        <v>45230</v>
      </c>
    </row>
    <row r="80" spans="1:13" ht="18.75" customHeight="1" x14ac:dyDescent="0.25">
      <c r="A80" s="9" t="s">
        <v>0</v>
      </c>
      <c r="B80" s="81">
        <v>118049</v>
      </c>
      <c r="C80" s="81">
        <v>10757</v>
      </c>
      <c r="D80" s="9" t="s">
        <v>1576</v>
      </c>
      <c r="E80" s="81">
        <v>14563151</v>
      </c>
      <c r="F80" s="81">
        <v>45887</v>
      </c>
      <c r="G80" s="81">
        <v>2</v>
      </c>
      <c r="H80" s="82">
        <v>26.3</v>
      </c>
      <c r="I80" s="251">
        <v>52.6</v>
      </c>
      <c r="J80" s="9" t="s">
        <v>1305</v>
      </c>
      <c r="K80" s="9" t="s">
        <v>1309</v>
      </c>
      <c r="L80" s="83">
        <v>45200</v>
      </c>
      <c r="M80" s="83">
        <v>45230</v>
      </c>
    </row>
    <row r="81" spans="1:13" ht="18.75" customHeight="1" x14ac:dyDescent="0.25">
      <c r="A81" s="9" t="s">
        <v>8</v>
      </c>
      <c r="B81" s="81">
        <v>113058</v>
      </c>
      <c r="C81" s="81">
        <v>10750</v>
      </c>
      <c r="D81" s="9" t="s">
        <v>563</v>
      </c>
      <c r="E81" s="81">
        <v>14563151</v>
      </c>
      <c r="F81" s="81">
        <v>30551</v>
      </c>
      <c r="G81" s="81">
        <v>25</v>
      </c>
      <c r="H81" s="82">
        <v>26.3</v>
      </c>
      <c r="I81" s="251">
        <v>657.5</v>
      </c>
      <c r="J81" s="9" t="s">
        <v>1305</v>
      </c>
      <c r="K81" s="9" t="s">
        <v>1306</v>
      </c>
      <c r="L81" s="83">
        <v>45200</v>
      </c>
      <c r="M81" s="83">
        <v>45230</v>
      </c>
    </row>
    <row r="82" spans="1:13" ht="18.75" customHeight="1" x14ac:dyDescent="0.25">
      <c r="A82" s="9" t="s">
        <v>10</v>
      </c>
      <c r="B82" s="81">
        <v>112824</v>
      </c>
      <c r="C82" s="81">
        <v>10750</v>
      </c>
      <c r="D82" s="9" t="s">
        <v>437</v>
      </c>
      <c r="E82" s="81">
        <v>14563151</v>
      </c>
      <c r="F82" s="81">
        <v>30083</v>
      </c>
      <c r="G82" s="81">
        <v>25</v>
      </c>
      <c r="H82" s="82">
        <v>26.3</v>
      </c>
      <c r="I82" s="251">
        <v>657.5</v>
      </c>
      <c r="J82" s="9" t="s">
        <v>1305</v>
      </c>
      <c r="K82" s="9" t="s">
        <v>1306</v>
      </c>
      <c r="L82" s="83">
        <v>45200</v>
      </c>
      <c r="M82" s="83">
        <v>45230</v>
      </c>
    </row>
    <row r="83" spans="1:13" ht="18.75" customHeight="1" x14ac:dyDescent="0.25">
      <c r="A83" s="9" t="s">
        <v>1578</v>
      </c>
      <c r="B83" s="81">
        <v>113086</v>
      </c>
      <c r="C83" s="81">
        <v>10761</v>
      </c>
      <c r="D83" s="9" t="s">
        <v>579</v>
      </c>
      <c r="E83" s="81">
        <v>14563151</v>
      </c>
      <c r="F83" s="81">
        <v>30607</v>
      </c>
      <c r="G83" s="81">
        <v>25</v>
      </c>
      <c r="H83" s="82">
        <v>26.3</v>
      </c>
      <c r="I83" s="251">
        <v>657.5</v>
      </c>
      <c r="J83" s="9" t="s">
        <v>1305</v>
      </c>
      <c r="K83" s="9" t="s">
        <v>1306</v>
      </c>
      <c r="L83" s="83">
        <v>45200</v>
      </c>
      <c r="M83" s="83">
        <v>45230</v>
      </c>
    </row>
    <row r="84" spans="1:13" ht="18.75" customHeight="1" x14ac:dyDescent="0.25">
      <c r="A84" s="9" t="s">
        <v>19</v>
      </c>
      <c r="B84" s="81">
        <v>112995</v>
      </c>
      <c r="C84" s="81">
        <v>10750</v>
      </c>
      <c r="D84" s="9" t="s">
        <v>536</v>
      </c>
      <c r="E84" s="81">
        <v>14563151</v>
      </c>
      <c r="F84" s="81">
        <v>30425</v>
      </c>
      <c r="G84" s="81">
        <v>25</v>
      </c>
      <c r="H84" s="82">
        <v>26.3</v>
      </c>
      <c r="I84" s="251">
        <v>657.5</v>
      </c>
      <c r="J84" s="9" t="s">
        <v>1305</v>
      </c>
      <c r="K84" s="9" t="s">
        <v>1306</v>
      </c>
      <c r="L84" s="83">
        <v>45200</v>
      </c>
      <c r="M84" s="83">
        <v>45230</v>
      </c>
    </row>
    <row r="85" spans="1:13" ht="18.75" customHeight="1" x14ac:dyDescent="0.25">
      <c r="A85" s="9" t="s">
        <v>0</v>
      </c>
      <c r="B85" s="81">
        <v>116330</v>
      </c>
      <c r="C85" s="81">
        <v>10763</v>
      </c>
      <c r="D85" s="9" t="s">
        <v>1207</v>
      </c>
      <c r="E85" s="81">
        <v>14563151</v>
      </c>
      <c r="F85" s="81">
        <v>41871</v>
      </c>
      <c r="G85" s="81">
        <v>25</v>
      </c>
      <c r="H85" s="82">
        <v>26.3</v>
      </c>
      <c r="I85" s="251">
        <v>657.5</v>
      </c>
      <c r="J85" s="9" t="s">
        <v>1305</v>
      </c>
      <c r="K85" s="9" t="s">
        <v>1306</v>
      </c>
      <c r="L85" s="83">
        <v>45200</v>
      </c>
      <c r="M85" s="83">
        <v>45230</v>
      </c>
    </row>
    <row r="86" spans="1:13" ht="18.75" customHeight="1" x14ac:dyDescent="0.25">
      <c r="A86" s="9" t="s">
        <v>8</v>
      </c>
      <c r="B86" s="81">
        <v>113103</v>
      </c>
      <c r="C86" s="81">
        <v>10757</v>
      </c>
      <c r="D86" s="9" t="s">
        <v>586</v>
      </c>
      <c r="E86" s="81">
        <v>14563151</v>
      </c>
      <c r="F86" s="81">
        <v>30641</v>
      </c>
      <c r="G86" s="81">
        <v>25</v>
      </c>
      <c r="H86" s="82">
        <v>26.3</v>
      </c>
      <c r="I86" s="251">
        <v>657.5</v>
      </c>
      <c r="J86" s="9" t="s">
        <v>1305</v>
      </c>
      <c r="K86" s="9" t="s">
        <v>1306</v>
      </c>
      <c r="L86" s="83">
        <v>45200</v>
      </c>
      <c r="M86" s="83">
        <v>45230</v>
      </c>
    </row>
    <row r="87" spans="1:13" ht="18.75" customHeight="1" x14ac:dyDescent="0.25">
      <c r="A87" s="9" t="s">
        <v>8</v>
      </c>
      <c r="B87" s="81">
        <v>113109</v>
      </c>
      <c r="C87" s="81">
        <v>10756</v>
      </c>
      <c r="D87" s="9" t="s">
        <v>588</v>
      </c>
      <c r="E87" s="81">
        <v>14563151</v>
      </c>
      <c r="F87" s="81">
        <v>30653</v>
      </c>
      <c r="G87" s="81">
        <v>25</v>
      </c>
      <c r="H87" s="82">
        <v>26.3</v>
      </c>
      <c r="I87" s="251">
        <v>657.5</v>
      </c>
      <c r="J87" s="9" t="s">
        <v>1305</v>
      </c>
      <c r="K87" s="9" t="s">
        <v>1306</v>
      </c>
      <c r="L87" s="83">
        <v>45200</v>
      </c>
      <c r="M87" s="83">
        <v>45230</v>
      </c>
    </row>
    <row r="88" spans="1:13" ht="18.75" customHeight="1" x14ac:dyDescent="0.25">
      <c r="A88" s="9" t="s">
        <v>32</v>
      </c>
      <c r="B88" s="81">
        <v>113117</v>
      </c>
      <c r="C88" s="81">
        <v>10757</v>
      </c>
      <c r="D88" s="9" t="s">
        <v>593</v>
      </c>
      <c r="E88" s="81">
        <v>14563151</v>
      </c>
      <c r="F88" s="81">
        <v>30669</v>
      </c>
      <c r="G88" s="81">
        <v>25</v>
      </c>
      <c r="H88" s="82">
        <v>26.3</v>
      </c>
      <c r="I88" s="251">
        <v>657.5</v>
      </c>
      <c r="J88" s="9" t="s">
        <v>1305</v>
      </c>
      <c r="K88" s="9" t="s">
        <v>1306</v>
      </c>
      <c r="L88" s="83">
        <v>45200</v>
      </c>
      <c r="M88" s="83">
        <v>45230</v>
      </c>
    </row>
    <row r="89" spans="1:13" ht="18.75" customHeight="1" x14ac:dyDescent="0.25">
      <c r="A89" s="9" t="s">
        <v>1578</v>
      </c>
      <c r="B89" s="81">
        <v>113124</v>
      </c>
      <c r="C89" s="81">
        <v>10768</v>
      </c>
      <c r="D89" s="9" t="s">
        <v>598</v>
      </c>
      <c r="E89" s="81">
        <v>14563151</v>
      </c>
      <c r="F89" s="81">
        <v>30683</v>
      </c>
      <c r="G89" s="81">
        <v>25</v>
      </c>
      <c r="H89" s="82">
        <v>26.3</v>
      </c>
      <c r="I89" s="251">
        <v>657.5</v>
      </c>
      <c r="J89" s="9" t="s">
        <v>1305</v>
      </c>
      <c r="K89" s="9" t="s">
        <v>1306</v>
      </c>
      <c r="L89" s="83">
        <v>45200</v>
      </c>
      <c r="M89" s="83">
        <v>45230</v>
      </c>
    </row>
    <row r="90" spans="1:13" ht="18.75" customHeight="1" x14ac:dyDescent="0.25">
      <c r="A90" s="9" t="s">
        <v>1580</v>
      </c>
      <c r="B90" s="81">
        <v>121817</v>
      </c>
      <c r="C90" s="81">
        <v>10775</v>
      </c>
      <c r="D90" s="9" t="s">
        <v>1595</v>
      </c>
      <c r="E90" s="81">
        <v>14563151</v>
      </c>
      <c r="F90" s="81">
        <v>55015</v>
      </c>
      <c r="G90" s="81">
        <v>25</v>
      </c>
      <c r="H90" s="82">
        <v>26.3</v>
      </c>
      <c r="I90" s="251">
        <v>657.5</v>
      </c>
      <c r="J90" s="9" t="s">
        <v>1305</v>
      </c>
      <c r="K90" s="9" t="s">
        <v>1309</v>
      </c>
      <c r="L90" s="83">
        <v>45200</v>
      </c>
      <c r="M90" s="83">
        <v>45230</v>
      </c>
    </row>
    <row r="91" spans="1:13" ht="18.75" customHeight="1" x14ac:dyDescent="0.25">
      <c r="A91" s="9" t="s">
        <v>19</v>
      </c>
      <c r="B91" s="81">
        <v>113135</v>
      </c>
      <c r="C91" s="81">
        <v>10750</v>
      </c>
      <c r="D91" s="9" t="s">
        <v>603</v>
      </c>
      <c r="E91" s="81">
        <v>14563151</v>
      </c>
      <c r="F91" s="81">
        <v>30705</v>
      </c>
      <c r="G91" s="81">
        <v>25</v>
      </c>
      <c r="H91" s="82">
        <v>26.3</v>
      </c>
      <c r="I91" s="251">
        <v>657.5</v>
      </c>
      <c r="J91" s="9" t="s">
        <v>1305</v>
      </c>
      <c r="K91" s="9" t="s">
        <v>1306</v>
      </c>
      <c r="L91" s="83">
        <v>45200</v>
      </c>
      <c r="M91" s="83">
        <v>45230</v>
      </c>
    </row>
    <row r="92" spans="1:13" ht="18.75" customHeight="1" x14ac:dyDescent="0.25">
      <c r="A92" s="9" t="s">
        <v>32</v>
      </c>
      <c r="B92" s="81">
        <v>121672</v>
      </c>
      <c r="C92" s="81">
        <v>10757</v>
      </c>
      <c r="D92" s="9" t="s">
        <v>1582</v>
      </c>
      <c r="E92" s="81">
        <v>14563151</v>
      </c>
      <c r="F92" s="81">
        <v>54454</v>
      </c>
      <c r="G92" s="81">
        <v>25</v>
      </c>
      <c r="H92" s="82">
        <v>26.3</v>
      </c>
      <c r="I92" s="251">
        <v>657.5</v>
      </c>
      <c r="J92" s="9" t="s">
        <v>1305</v>
      </c>
      <c r="K92" s="9" t="s">
        <v>1306</v>
      </c>
      <c r="L92" s="83">
        <v>45200</v>
      </c>
      <c r="M92" s="83">
        <v>45230</v>
      </c>
    </row>
    <row r="93" spans="1:13" ht="18.75" customHeight="1" x14ac:dyDescent="0.25">
      <c r="A93" s="9" t="s">
        <v>10</v>
      </c>
      <c r="B93" s="81">
        <v>113139</v>
      </c>
      <c r="C93" s="81">
        <v>10750</v>
      </c>
      <c r="D93" s="9" t="s">
        <v>606</v>
      </c>
      <c r="E93" s="81">
        <v>14563151</v>
      </c>
      <c r="F93" s="81">
        <v>30713</v>
      </c>
      <c r="G93" s="81">
        <v>25</v>
      </c>
      <c r="H93" s="82">
        <v>26.3</v>
      </c>
      <c r="I93" s="251">
        <v>657.5</v>
      </c>
      <c r="J93" s="9" t="s">
        <v>1305</v>
      </c>
      <c r="K93" s="9" t="s">
        <v>1306</v>
      </c>
      <c r="L93" s="83">
        <v>45200</v>
      </c>
      <c r="M93" s="83">
        <v>45230</v>
      </c>
    </row>
    <row r="94" spans="1:13" ht="18.75" customHeight="1" x14ac:dyDescent="0.25">
      <c r="A94" s="9" t="s">
        <v>1578</v>
      </c>
      <c r="B94" s="81">
        <v>113760</v>
      </c>
      <c r="C94" s="81">
        <v>10743</v>
      </c>
      <c r="D94" s="9" t="s">
        <v>1509</v>
      </c>
      <c r="E94" s="81">
        <v>14563151</v>
      </c>
      <c r="F94" s="81">
        <v>31962</v>
      </c>
      <c r="G94" s="81">
        <v>25</v>
      </c>
      <c r="H94" s="82">
        <v>26.3</v>
      </c>
      <c r="I94" s="251">
        <v>657.5</v>
      </c>
      <c r="J94" s="9" t="s">
        <v>1305</v>
      </c>
      <c r="K94" s="9" t="s">
        <v>1309</v>
      </c>
      <c r="L94" s="83">
        <v>45200</v>
      </c>
      <c r="M94" s="83">
        <v>45230</v>
      </c>
    </row>
    <row r="95" spans="1:13" ht="18.75" customHeight="1" x14ac:dyDescent="0.25">
      <c r="A95" s="9" t="s">
        <v>10</v>
      </c>
      <c r="B95" s="81">
        <v>114682</v>
      </c>
      <c r="C95" s="81">
        <v>10758</v>
      </c>
      <c r="D95" s="9" t="s">
        <v>1063</v>
      </c>
      <c r="E95" s="81">
        <v>14563151</v>
      </c>
      <c r="F95" s="81">
        <v>36812</v>
      </c>
      <c r="G95" s="81">
        <v>25</v>
      </c>
      <c r="H95" s="82">
        <v>26.3</v>
      </c>
      <c r="I95" s="251">
        <v>657.5</v>
      </c>
      <c r="J95" s="9" t="s">
        <v>1305</v>
      </c>
      <c r="K95" s="9" t="s">
        <v>1306</v>
      </c>
      <c r="L95" s="83">
        <v>45200</v>
      </c>
      <c r="M95" s="83">
        <v>45230</v>
      </c>
    </row>
    <row r="96" spans="1:13" ht="18.75" customHeight="1" x14ac:dyDescent="0.25">
      <c r="A96" s="9" t="s">
        <v>32</v>
      </c>
      <c r="B96" s="81">
        <v>113151</v>
      </c>
      <c r="C96" s="81">
        <v>10755</v>
      </c>
      <c r="D96" s="9" t="s">
        <v>613</v>
      </c>
      <c r="E96" s="81">
        <v>14563151</v>
      </c>
      <c r="F96" s="81">
        <v>30737</v>
      </c>
      <c r="G96" s="81">
        <v>25</v>
      </c>
      <c r="H96" s="82">
        <v>26.3</v>
      </c>
      <c r="I96" s="251">
        <v>657.5</v>
      </c>
      <c r="J96" s="9" t="s">
        <v>1305</v>
      </c>
      <c r="K96" s="9" t="s">
        <v>1306</v>
      </c>
      <c r="L96" s="83">
        <v>45200</v>
      </c>
      <c r="M96" s="83">
        <v>45230</v>
      </c>
    </row>
    <row r="97" spans="1:13" s="38" customFormat="1" ht="18.75" customHeight="1" x14ac:dyDescent="0.25">
      <c r="A97" s="9" t="s">
        <v>1578</v>
      </c>
      <c r="B97" s="81">
        <v>122440</v>
      </c>
      <c r="C97" s="81">
        <v>10755</v>
      </c>
      <c r="D97" s="9" t="s">
        <v>1677</v>
      </c>
      <c r="E97" s="81">
        <v>14563151</v>
      </c>
      <c r="F97" s="81">
        <v>56201</v>
      </c>
      <c r="G97" s="81">
        <v>25</v>
      </c>
      <c r="H97" s="82">
        <v>26.3</v>
      </c>
      <c r="I97" s="251">
        <v>657.5</v>
      </c>
      <c r="J97" s="9" t="s">
        <v>1305</v>
      </c>
      <c r="K97" s="9" t="s">
        <v>1306</v>
      </c>
      <c r="L97" s="83">
        <v>45200</v>
      </c>
      <c r="M97" s="83">
        <v>45230</v>
      </c>
    </row>
    <row r="98" spans="1:13" ht="18.75" customHeight="1" x14ac:dyDescent="0.25">
      <c r="A98" s="9" t="s">
        <v>1578</v>
      </c>
      <c r="B98" s="81">
        <v>114968</v>
      </c>
      <c r="C98" s="81">
        <v>10758</v>
      </c>
      <c r="D98" s="9" t="s">
        <v>1130</v>
      </c>
      <c r="E98" s="81">
        <v>14563151</v>
      </c>
      <c r="F98" s="81">
        <v>37712</v>
      </c>
      <c r="G98" s="81">
        <v>25</v>
      </c>
      <c r="H98" s="82">
        <v>26.3</v>
      </c>
      <c r="I98" s="251">
        <v>657.5</v>
      </c>
      <c r="J98" s="9" t="s">
        <v>1305</v>
      </c>
      <c r="K98" s="9" t="s">
        <v>1306</v>
      </c>
      <c r="L98" s="83">
        <v>45200</v>
      </c>
      <c r="M98" s="83">
        <v>45230</v>
      </c>
    </row>
    <row r="99" spans="1:13" ht="18.75" customHeight="1" x14ac:dyDescent="0.25">
      <c r="A99" s="9" t="s">
        <v>1578</v>
      </c>
      <c r="B99" s="81">
        <v>113171</v>
      </c>
      <c r="C99" s="81">
        <v>10766</v>
      </c>
      <c r="D99" s="9" t="s">
        <v>626</v>
      </c>
      <c r="E99" s="81">
        <v>14563151</v>
      </c>
      <c r="F99" s="81">
        <v>30777</v>
      </c>
      <c r="G99" s="81">
        <v>25</v>
      </c>
      <c r="H99" s="82">
        <v>26.3</v>
      </c>
      <c r="I99" s="251">
        <v>657.5</v>
      </c>
      <c r="J99" s="9" t="s">
        <v>1305</v>
      </c>
      <c r="K99" s="9" t="s">
        <v>1306</v>
      </c>
      <c r="L99" s="83">
        <v>45200</v>
      </c>
      <c r="M99" s="83">
        <v>45230</v>
      </c>
    </row>
    <row r="100" spans="1:13" ht="18.75" customHeight="1" x14ac:dyDescent="0.25">
      <c r="A100" s="9" t="s">
        <v>19</v>
      </c>
      <c r="B100" s="81">
        <v>114683</v>
      </c>
      <c r="C100" s="81">
        <v>10750</v>
      </c>
      <c r="D100" s="9" t="s">
        <v>1064</v>
      </c>
      <c r="E100" s="81">
        <v>14563151</v>
      </c>
      <c r="F100" s="81">
        <v>36814</v>
      </c>
      <c r="G100" s="81">
        <v>25</v>
      </c>
      <c r="H100" s="82">
        <v>26.3</v>
      </c>
      <c r="I100" s="251">
        <v>657.5</v>
      </c>
      <c r="J100" s="9" t="s">
        <v>1305</v>
      </c>
      <c r="K100" s="9" t="s">
        <v>1306</v>
      </c>
      <c r="L100" s="83">
        <v>45200</v>
      </c>
      <c r="M100" s="83">
        <v>45230</v>
      </c>
    </row>
    <row r="101" spans="1:13" ht="18.75" customHeight="1" x14ac:dyDescent="0.25">
      <c r="A101" s="9" t="s">
        <v>19</v>
      </c>
      <c r="B101" s="81">
        <v>113173</v>
      </c>
      <c r="C101" s="81">
        <v>10755</v>
      </c>
      <c r="D101" s="9" t="s">
        <v>628</v>
      </c>
      <c r="E101" s="81">
        <v>14563151</v>
      </c>
      <c r="F101" s="81">
        <v>30781</v>
      </c>
      <c r="G101" s="81">
        <v>25</v>
      </c>
      <c r="H101" s="82">
        <v>26.3</v>
      </c>
      <c r="I101" s="251">
        <v>657.5</v>
      </c>
      <c r="J101" s="9" t="s">
        <v>1305</v>
      </c>
      <c r="K101" s="9" t="s">
        <v>1306</v>
      </c>
      <c r="L101" s="83">
        <v>45200</v>
      </c>
      <c r="M101" s="83">
        <v>45230</v>
      </c>
    </row>
    <row r="102" spans="1:13" ht="18.75" customHeight="1" x14ac:dyDescent="0.25">
      <c r="A102" s="9" t="s">
        <v>1578</v>
      </c>
      <c r="B102" s="81">
        <v>122438</v>
      </c>
      <c r="C102" s="81">
        <v>10758</v>
      </c>
      <c r="D102" s="9" t="s">
        <v>1678</v>
      </c>
      <c r="E102" s="81">
        <v>14563151</v>
      </c>
      <c r="F102" s="81">
        <v>56197</v>
      </c>
      <c r="G102" s="81">
        <v>25</v>
      </c>
      <c r="H102" s="82">
        <v>26.3</v>
      </c>
      <c r="I102" s="251">
        <v>657.5</v>
      </c>
      <c r="J102" s="9" t="s">
        <v>1305</v>
      </c>
      <c r="K102" s="9" t="s">
        <v>1306</v>
      </c>
      <c r="L102" s="83">
        <v>45200</v>
      </c>
      <c r="M102" s="83">
        <v>45230</v>
      </c>
    </row>
    <row r="103" spans="1:13" ht="18.75" customHeight="1" x14ac:dyDescent="0.25">
      <c r="A103" s="9" t="s">
        <v>1578</v>
      </c>
      <c r="B103" s="81">
        <v>114529</v>
      </c>
      <c r="C103" s="81">
        <v>10757</v>
      </c>
      <c r="D103" s="9" t="s">
        <v>1049</v>
      </c>
      <c r="E103" s="81">
        <v>14563151</v>
      </c>
      <c r="F103" s="81">
        <v>36337</v>
      </c>
      <c r="G103" s="81">
        <v>25</v>
      </c>
      <c r="H103" s="82">
        <v>26.3</v>
      </c>
      <c r="I103" s="251">
        <v>657.5</v>
      </c>
      <c r="J103" s="9" t="s">
        <v>1305</v>
      </c>
      <c r="K103" s="9" t="s">
        <v>1306</v>
      </c>
      <c r="L103" s="83">
        <v>45200</v>
      </c>
      <c r="M103" s="83">
        <v>45230</v>
      </c>
    </row>
    <row r="104" spans="1:13" ht="18.75" customHeight="1" x14ac:dyDescent="0.25">
      <c r="A104" s="9" t="s">
        <v>8</v>
      </c>
      <c r="B104" s="81">
        <v>113186</v>
      </c>
      <c r="C104" s="81">
        <v>10750</v>
      </c>
      <c r="D104" s="9" t="s">
        <v>634</v>
      </c>
      <c r="E104" s="81">
        <v>14563151</v>
      </c>
      <c r="F104" s="81">
        <v>30807</v>
      </c>
      <c r="G104" s="81">
        <v>25</v>
      </c>
      <c r="H104" s="82">
        <v>26.3</v>
      </c>
      <c r="I104" s="251">
        <v>657.5</v>
      </c>
      <c r="J104" s="9" t="s">
        <v>1305</v>
      </c>
      <c r="K104" s="9" t="s">
        <v>1306</v>
      </c>
      <c r="L104" s="83">
        <v>45200</v>
      </c>
      <c r="M104" s="83">
        <v>45230</v>
      </c>
    </row>
    <row r="105" spans="1:13" ht="18.75" customHeight="1" x14ac:dyDescent="0.25">
      <c r="A105" s="9" t="s">
        <v>1578</v>
      </c>
      <c r="B105" s="81">
        <v>120187</v>
      </c>
      <c r="C105" s="81">
        <v>10766</v>
      </c>
      <c r="D105" s="9" t="s">
        <v>1490</v>
      </c>
      <c r="E105" s="81">
        <v>14563151</v>
      </c>
      <c r="F105" s="81">
        <v>50926</v>
      </c>
      <c r="G105" s="81">
        <v>25</v>
      </c>
      <c r="H105" s="82">
        <v>26.3</v>
      </c>
      <c r="I105" s="251">
        <v>657.5</v>
      </c>
      <c r="J105" s="9" t="s">
        <v>1305</v>
      </c>
      <c r="K105" s="9" t="s">
        <v>1306</v>
      </c>
      <c r="L105" s="83">
        <v>45200</v>
      </c>
      <c r="M105" s="83">
        <v>45230</v>
      </c>
    </row>
    <row r="106" spans="1:13" ht="18.75" customHeight="1" x14ac:dyDescent="0.25">
      <c r="A106" s="9" t="s">
        <v>1578</v>
      </c>
      <c r="B106" s="81">
        <v>113792</v>
      </c>
      <c r="C106" s="81">
        <v>10771</v>
      </c>
      <c r="D106" s="9" t="s">
        <v>980</v>
      </c>
      <c r="E106" s="81">
        <v>14563151</v>
      </c>
      <c r="F106" s="81">
        <v>32036</v>
      </c>
      <c r="G106" s="81">
        <v>25</v>
      </c>
      <c r="H106" s="82">
        <v>26.3</v>
      </c>
      <c r="I106" s="251">
        <v>657.5</v>
      </c>
      <c r="J106" s="9" t="s">
        <v>1305</v>
      </c>
      <c r="K106" s="9" t="s">
        <v>1306</v>
      </c>
      <c r="L106" s="83">
        <v>45200</v>
      </c>
      <c r="M106" s="83">
        <v>45230</v>
      </c>
    </row>
    <row r="107" spans="1:13" ht="18.75" customHeight="1" x14ac:dyDescent="0.25">
      <c r="A107" s="9" t="s">
        <v>1578</v>
      </c>
      <c r="B107" s="81">
        <v>114760</v>
      </c>
      <c r="C107" s="81">
        <v>10768</v>
      </c>
      <c r="D107" s="9" t="s">
        <v>1093</v>
      </c>
      <c r="E107" s="81">
        <v>14563151</v>
      </c>
      <c r="F107" s="81">
        <v>36969</v>
      </c>
      <c r="G107" s="81">
        <v>25</v>
      </c>
      <c r="H107" s="82">
        <v>26.3</v>
      </c>
      <c r="I107" s="251">
        <v>657.5</v>
      </c>
      <c r="J107" s="9" t="s">
        <v>1305</v>
      </c>
      <c r="K107" s="9" t="s">
        <v>1306</v>
      </c>
      <c r="L107" s="83">
        <v>45200</v>
      </c>
      <c r="M107" s="83">
        <v>45230</v>
      </c>
    </row>
    <row r="108" spans="1:13" ht="18.75" customHeight="1" x14ac:dyDescent="0.25">
      <c r="A108" s="9" t="s">
        <v>1578</v>
      </c>
      <c r="B108" s="81">
        <v>113213</v>
      </c>
      <c r="C108" s="81">
        <v>10758</v>
      </c>
      <c r="D108" s="9" t="s">
        <v>650</v>
      </c>
      <c r="E108" s="81">
        <v>14563151</v>
      </c>
      <c r="F108" s="81">
        <v>30861</v>
      </c>
      <c r="G108" s="81">
        <v>25</v>
      </c>
      <c r="H108" s="82">
        <v>26.3</v>
      </c>
      <c r="I108" s="251">
        <v>657.5</v>
      </c>
      <c r="J108" s="9" t="s">
        <v>1305</v>
      </c>
      <c r="K108" s="9" t="s">
        <v>1306</v>
      </c>
      <c r="L108" s="83">
        <v>45200</v>
      </c>
      <c r="M108" s="83">
        <v>45230</v>
      </c>
    </row>
    <row r="109" spans="1:13" ht="18.75" customHeight="1" x14ac:dyDescent="0.25">
      <c r="A109" s="9" t="s">
        <v>1578</v>
      </c>
      <c r="B109" s="81">
        <v>113219</v>
      </c>
      <c r="C109" s="81">
        <v>10768</v>
      </c>
      <c r="D109" s="9" t="s">
        <v>653</v>
      </c>
      <c r="E109" s="81">
        <v>14563151</v>
      </c>
      <c r="F109" s="81">
        <v>30873</v>
      </c>
      <c r="G109" s="81">
        <v>25</v>
      </c>
      <c r="H109" s="82">
        <v>26.3</v>
      </c>
      <c r="I109" s="251">
        <v>657.5</v>
      </c>
      <c r="J109" s="9" t="s">
        <v>1305</v>
      </c>
      <c r="K109" s="9" t="s">
        <v>1306</v>
      </c>
      <c r="L109" s="83">
        <v>45200</v>
      </c>
      <c r="M109" s="83">
        <v>45230</v>
      </c>
    </row>
    <row r="110" spans="1:13" ht="18.75" customHeight="1" x14ac:dyDescent="0.25">
      <c r="A110" s="9" t="s">
        <v>8</v>
      </c>
      <c r="B110" s="81">
        <v>113223</v>
      </c>
      <c r="C110" s="81">
        <v>10755</v>
      </c>
      <c r="D110" s="9" t="s">
        <v>654</v>
      </c>
      <c r="E110" s="81">
        <v>14563151</v>
      </c>
      <c r="F110" s="81">
        <v>30881</v>
      </c>
      <c r="G110" s="81">
        <v>25</v>
      </c>
      <c r="H110" s="82">
        <v>26.3</v>
      </c>
      <c r="I110" s="251">
        <v>657.5</v>
      </c>
      <c r="J110" s="9" t="s">
        <v>1305</v>
      </c>
      <c r="K110" s="9" t="s">
        <v>1306</v>
      </c>
      <c r="L110" s="83">
        <v>45200</v>
      </c>
      <c r="M110" s="83">
        <v>45230</v>
      </c>
    </row>
    <row r="111" spans="1:13" ht="18.75" customHeight="1" x14ac:dyDescent="0.25">
      <c r="A111" s="9" t="s">
        <v>0</v>
      </c>
      <c r="B111" s="81">
        <v>114684</v>
      </c>
      <c r="C111" s="81">
        <v>10750</v>
      </c>
      <c r="D111" s="9" t="s">
        <v>1065</v>
      </c>
      <c r="E111" s="81">
        <v>14563151</v>
      </c>
      <c r="F111" s="81">
        <v>36816</v>
      </c>
      <c r="G111" s="81">
        <v>25</v>
      </c>
      <c r="H111" s="82">
        <v>26.3</v>
      </c>
      <c r="I111" s="251">
        <v>657.5</v>
      </c>
      <c r="J111" s="9" t="s">
        <v>1305</v>
      </c>
      <c r="K111" s="9" t="s">
        <v>1306</v>
      </c>
      <c r="L111" s="83">
        <v>45200</v>
      </c>
      <c r="M111" s="83">
        <v>45230</v>
      </c>
    </row>
    <row r="112" spans="1:13" ht="18.75" customHeight="1" x14ac:dyDescent="0.25">
      <c r="A112" s="9" t="s">
        <v>1578</v>
      </c>
      <c r="B112" s="81">
        <v>121449</v>
      </c>
      <c r="C112" s="81">
        <v>10755</v>
      </c>
      <c r="D112" s="9" t="s">
        <v>1548</v>
      </c>
      <c r="E112" s="81">
        <v>14563151</v>
      </c>
      <c r="F112" s="81">
        <v>53779</v>
      </c>
      <c r="G112" s="81">
        <v>24</v>
      </c>
      <c r="H112" s="82">
        <v>26.3</v>
      </c>
      <c r="I112" s="251">
        <v>631.20000000000005</v>
      </c>
      <c r="J112" s="9" t="s">
        <v>1305</v>
      </c>
      <c r="K112" s="9" t="s">
        <v>1306</v>
      </c>
      <c r="L112" s="83">
        <v>45200</v>
      </c>
      <c r="M112" s="83">
        <v>45230</v>
      </c>
    </row>
    <row r="113" spans="1:13" ht="18.75" customHeight="1" x14ac:dyDescent="0.25">
      <c r="A113" s="9" t="s">
        <v>0</v>
      </c>
      <c r="B113" s="81">
        <v>113226</v>
      </c>
      <c r="C113" s="81">
        <v>10750</v>
      </c>
      <c r="D113" s="9" t="s">
        <v>657</v>
      </c>
      <c r="E113" s="81">
        <v>14563151</v>
      </c>
      <c r="F113" s="81">
        <v>30887</v>
      </c>
      <c r="G113" s="81">
        <v>25</v>
      </c>
      <c r="H113" s="82">
        <v>26.3</v>
      </c>
      <c r="I113" s="251">
        <v>657.5</v>
      </c>
      <c r="J113" s="9" t="s">
        <v>1305</v>
      </c>
      <c r="K113" s="9" t="s">
        <v>1306</v>
      </c>
      <c r="L113" s="83">
        <v>45200</v>
      </c>
      <c r="M113" s="83">
        <v>45230</v>
      </c>
    </row>
    <row r="114" spans="1:13" ht="18.75" customHeight="1" x14ac:dyDescent="0.25">
      <c r="A114" s="9" t="s">
        <v>8</v>
      </c>
      <c r="B114" s="81">
        <v>114546</v>
      </c>
      <c r="C114" s="81">
        <v>10750</v>
      </c>
      <c r="D114" s="9" t="s">
        <v>1053</v>
      </c>
      <c r="E114" s="81">
        <v>14563151</v>
      </c>
      <c r="F114" s="81">
        <v>36370</v>
      </c>
      <c r="G114" s="81">
        <v>25</v>
      </c>
      <c r="H114" s="82">
        <v>26.3</v>
      </c>
      <c r="I114" s="251">
        <v>657.5</v>
      </c>
      <c r="J114" s="9" t="s">
        <v>1305</v>
      </c>
      <c r="K114" s="9" t="s">
        <v>1306</v>
      </c>
      <c r="L114" s="83">
        <v>45200</v>
      </c>
      <c r="M114" s="83">
        <v>45230</v>
      </c>
    </row>
    <row r="115" spans="1:13" ht="18.75" customHeight="1" x14ac:dyDescent="0.25">
      <c r="A115" s="9" t="s">
        <v>1578</v>
      </c>
      <c r="B115" s="81">
        <v>113232</v>
      </c>
      <c r="C115" s="81">
        <v>10771</v>
      </c>
      <c r="D115" s="9" t="s">
        <v>660</v>
      </c>
      <c r="E115" s="81">
        <v>14563151</v>
      </c>
      <c r="F115" s="81">
        <v>30899</v>
      </c>
      <c r="G115" s="81">
        <v>25</v>
      </c>
      <c r="H115" s="82">
        <v>26.3</v>
      </c>
      <c r="I115" s="251">
        <v>657.5</v>
      </c>
      <c r="J115" s="9" t="s">
        <v>1305</v>
      </c>
      <c r="K115" s="9" t="s">
        <v>1306</v>
      </c>
      <c r="L115" s="83">
        <v>45200</v>
      </c>
      <c r="M115" s="83">
        <v>45230</v>
      </c>
    </row>
    <row r="116" spans="1:13" ht="18.75" customHeight="1" x14ac:dyDescent="0.25">
      <c r="A116" s="9" t="s">
        <v>10</v>
      </c>
      <c r="B116" s="81">
        <v>114685</v>
      </c>
      <c r="C116" s="81">
        <v>10754</v>
      </c>
      <c r="D116" s="9" t="s">
        <v>1066</v>
      </c>
      <c r="E116" s="81">
        <v>14563151</v>
      </c>
      <c r="F116" s="81">
        <v>36818</v>
      </c>
      <c r="G116" s="81">
        <v>24</v>
      </c>
      <c r="H116" s="82">
        <v>26.3</v>
      </c>
      <c r="I116" s="251">
        <v>631.20000000000005</v>
      </c>
      <c r="J116" s="9" t="s">
        <v>1305</v>
      </c>
      <c r="K116" s="9" t="s">
        <v>1306</v>
      </c>
      <c r="L116" s="83">
        <v>45200</v>
      </c>
      <c r="M116" s="83">
        <v>45230</v>
      </c>
    </row>
    <row r="117" spans="1:13" ht="18.75" customHeight="1" x14ac:dyDescent="0.25">
      <c r="A117" s="9" t="s">
        <v>8</v>
      </c>
      <c r="B117" s="81">
        <v>120163</v>
      </c>
      <c r="C117" s="81">
        <v>10756</v>
      </c>
      <c r="D117" s="9" t="s">
        <v>1491</v>
      </c>
      <c r="E117" s="81">
        <v>14563151</v>
      </c>
      <c r="F117" s="81">
        <v>50873</v>
      </c>
      <c r="G117" s="81">
        <v>25</v>
      </c>
      <c r="H117" s="82">
        <v>26.3</v>
      </c>
      <c r="I117" s="251">
        <v>657.5</v>
      </c>
      <c r="J117" s="9" t="s">
        <v>1305</v>
      </c>
      <c r="K117" s="9" t="s">
        <v>1309</v>
      </c>
      <c r="L117" s="83">
        <v>45200</v>
      </c>
      <c r="M117" s="83">
        <v>45230</v>
      </c>
    </row>
    <row r="118" spans="1:13" ht="18.75" customHeight="1" x14ac:dyDescent="0.25">
      <c r="A118" s="9" t="s">
        <v>1578</v>
      </c>
      <c r="B118" s="81">
        <v>113251</v>
      </c>
      <c r="C118" s="81">
        <v>10745</v>
      </c>
      <c r="D118" s="9" t="s">
        <v>669</v>
      </c>
      <c r="E118" s="81">
        <v>14563151</v>
      </c>
      <c r="F118" s="81">
        <v>30937</v>
      </c>
      <c r="G118" s="81">
        <v>25</v>
      </c>
      <c r="H118" s="82">
        <v>26.3</v>
      </c>
      <c r="I118" s="251">
        <v>657.5</v>
      </c>
      <c r="J118" s="9" t="s">
        <v>1305</v>
      </c>
      <c r="K118" s="9" t="s">
        <v>1306</v>
      </c>
      <c r="L118" s="83">
        <v>45200</v>
      </c>
      <c r="M118" s="83">
        <v>45230</v>
      </c>
    </row>
    <row r="119" spans="1:13" ht="18.75" customHeight="1" x14ac:dyDescent="0.25">
      <c r="A119" s="9" t="s">
        <v>0</v>
      </c>
      <c r="B119" s="81">
        <v>118646</v>
      </c>
      <c r="C119" s="81">
        <v>10757</v>
      </c>
      <c r="D119" s="9" t="s">
        <v>1393</v>
      </c>
      <c r="E119" s="81">
        <v>14563151</v>
      </c>
      <c r="F119" s="81">
        <v>47186</v>
      </c>
      <c r="G119" s="81">
        <v>24</v>
      </c>
      <c r="H119" s="82">
        <v>26.3</v>
      </c>
      <c r="I119" s="251">
        <v>631.20000000000005</v>
      </c>
      <c r="J119" s="9" t="s">
        <v>1305</v>
      </c>
      <c r="K119" s="9" t="s">
        <v>1306</v>
      </c>
      <c r="L119" s="83">
        <v>45200</v>
      </c>
      <c r="M119" s="83">
        <v>45230</v>
      </c>
    </row>
    <row r="120" spans="1:13" ht="18.75" customHeight="1" x14ac:dyDescent="0.25">
      <c r="A120" s="9" t="s">
        <v>8</v>
      </c>
      <c r="B120" s="81">
        <v>113253</v>
      </c>
      <c r="C120" s="81">
        <v>10771</v>
      </c>
      <c r="D120" s="9" t="s">
        <v>670</v>
      </c>
      <c r="E120" s="81">
        <v>14563151</v>
      </c>
      <c r="F120" s="81">
        <v>30941</v>
      </c>
      <c r="G120" s="81">
        <v>25</v>
      </c>
      <c r="H120" s="82">
        <v>26.3</v>
      </c>
      <c r="I120" s="251">
        <v>657.5</v>
      </c>
      <c r="J120" s="9" t="s">
        <v>1305</v>
      </c>
      <c r="K120" s="9" t="s">
        <v>1306</v>
      </c>
      <c r="L120" s="83">
        <v>45200</v>
      </c>
      <c r="M120" s="83">
        <v>45230</v>
      </c>
    </row>
    <row r="121" spans="1:13" ht="18.75" customHeight="1" x14ac:dyDescent="0.25">
      <c r="A121" s="9" t="s">
        <v>19</v>
      </c>
      <c r="B121" s="81">
        <v>114687</v>
      </c>
      <c r="C121" s="81">
        <v>10754</v>
      </c>
      <c r="D121" s="9" t="s">
        <v>1067</v>
      </c>
      <c r="E121" s="81">
        <v>14563151</v>
      </c>
      <c r="F121" s="81">
        <v>36822</v>
      </c>
      <c r="G121" s="81">
        <v>25</v>
      </c>
      <c r="H121" s="82">
        <v>26.3</v>
      </c>
      <c r="I121" s="251">
        <v>657.5</v>
      </c>
      <c r="J121" s="9" t="s">
        <v>1305</v>
      </c>
      <c r="K121" s="9" t="s">
        <v>1306</v>
      </c>
      <c r="L121" s="83">
        <v>45200</v>
      </c>
      <c r="M121" s="83">
        <v>45230</v>
      </c>
    </row>
    <row r="122" spans="1:13" ht="18.75" customHeight="1" x14ac:dyDescent="0.25">
      <c r="A122" s="9" t="s">
        <v>1578</v>
      </c>
      <c r="B122" s="81">
        <v>113899</v>
      </c>
      <c r="C122" s="81">
        <v>10761</v>
      </c>
      <c r="D122" s="9" t="s">
        <v>986</v>
      </c>
      <c r="E122" s="81">
        <v>14563151</v>
      </c>
      <c r="F122" s="81">
        <v>33756</v>
      </c>
      <c r="G122" s="81">
        <v>25</v>
      </c>
      <c r="H122" s="82">
        <v>26.3</v>
      </c>
      <c r="I122" s="251">
        <v>657.5</v>
      </c>
      <c r="J122" s="9" t="s">
        <v>1305</v>
      </c>
      <c r="K122" s="9" t="s">
        <v>1306</v>
      </c>
      <c r="L122" s="83">
        <v>45200</v>
      </c>
      <c r="M122" s="83">
        <v>45230</v>
      </c>
    </row>
    <row r="123" spans="1:13" ht="18.75" customHeight="1" x14ac:dyDescent="0.25">
      <c r="A123" s="9" t="s">
        <v>1578</v>
      </c>
      <c r="B123" s="81">
        <v>122832</v>
      </c>
      <c r="C123" s="81">
        <v>10755</v>
      </c>
      <c r="D123" s="9" t="s">
        <v>1714</v>
      </c>
      <c r="E123" s="81">
        <v>14563151</v>
      </c>
      <c r="F123" s="81">
        <v>57232</v>
      </c>
      <c r="G123" s="81">
        <v>25</v>
      </c>
      <c r="H123" s="82">
        <v>26.3</v>
      </c>
      <c r="I123" s="251">
        <v>657.5</v>
      </c>
      <c r="J123" s="9" t="s">
        <v>1305</v>
      </c>
      <c r="K123" s="9" t="s">
        <v>1306</v>
      </c>
      <c r="L123" s="83">
        <v>45200</v>
      </c>
      <c r="M123" s="83">
        <v>45230</v>
      </c>
    </row>
    <row r="124" spans="1:13" ht="18.75" customHeight="1" x14ac:dyDescent="0.25">
      <c r="A124" s="9" t="s">
        <v>8</v>
      </c>
      <c r="B124" s="81">
        <v>113258</v>
      </c>
      <c r="C124" s="81">
        <v>10757</v>
      </c>
      <c r="D124" s="9" t="s">
        <v>672</v>
      </c>
      <c r="E124" s="81">
        <v>14563151</v>
      </c>
      <c r="F124" s="81">
        <v>30951</v>
      </c>
      <c r="G124" s="81">
        <v>25</v>
      </c>
      <c r="H124" s="82">
        <v>26.3</v>
      </c>
      <c r="I124" s="251">
        <v>657.5</v>
      </c>
      <c r="J124" s="9" t="s">
        <v>1305</v>
      </c>
      <c r="K124" s="9" t="s">
        <v>1306</v>
      </c>
      <c r="L124" s="83">
        <v>45200</v>
      </c>
      <c r="M124" s="83">
        <v>45230</v>
      </c>
    </row>
    <row r="125" spans="1:13" ht="18.75" customHeight="1" x14ac:dyDescent="0.25">
      <c r="A125" s="9" t="s">
        <v>8</v>
      </c>
      <c r="B125" s="81">
        <v>113302</v>
      </c>
      <c r="C125" s="81">
        <v>10751</v>
      </c>
      <c r="D125" s="9" t="s">
        <v>694</v>
      </c>
      <c r="E125" s="81">
        <v>14563151</v>
      </c>
      <c r="F125" s="81">
        <v>31039</v>
      </c>
      <c r="G125" s="81">
        <v>25</v>
      </c>
      <c r="H125" s="82">
        <v>26.3</v>
      </c>
      <c r="I125" s="251">
        <v>657.5</v>
      </c>
      <c r="J125" s="9" t="s">
        <v>1305</v>
      </c>
      <c r="K125" s="9" t="s">
        <v>1306</v>
      </c>
      <c r="L125" s="83">
        <v>45200</v>
      </c>
      <c r="M125" s="83">
        <v>45230</v>
      </c>
    </row>
    <row r="126" spans="1:13" ht="18.75" customHeight="1" x14ac:dyDescent="0.25">
      <c r="A126" s="9" t="s">
        <v>0</v>
      </c>
      <c r="B126" s="81">
        <v>113415</v>
      </c>
      <c r="C126" s="81">
        <v>10750</v>
      </c>
      <c r="D126" s="9" t="s">
        <v>764</v>
      </c>
      <c r="E126" s="81">
        <v>14563151</v>
      </c>
      <c r="F126" s="81">
        <v>31265</v>
      </c>
      <c r="G126" s="81">
        <v>25</v>
      </c>
      <c r="H126" s="82">
        <v>26.3</v>
      </c>
      <c r="I126" s="251">
        <v>657.5</v>
      </c>
      <c r="J126" s="9" t="s">
        <v>1305</v>
      </c>
      <c r="K126" s="9" t="s">
        <v>1306</v>
      </c>
      <c r="L126" s="83">
        <v>45200</v>
      </c>
      <c r="M126" s="83">
        <v>45230</v>
      </c>
    </row>
    <row r="127" spans="1:13" ht="18.75" customHeight="1" x14ac:dyDescent="0.25">
      <c r="A127" s="9" t="s">
        <v>1578</v>
      </c>
      <c r="B127" s="81">
        <v>113310</v>
      </c>
      <c r="C127" s="81">
        <v>10767</v>
      </c>
      <c r="D127" s="9" t="s">
        <v>700</v>
      </c>
      <c r="E127" s="81">
        <v>14563151</v>
      </c>
      <c r="F127" s="81">
        <v>31055</v>
      </c>
      <c r="G127" s="81">
        <v>25</v>
      </c>
      <c r="H127" s="82">
        <v>26.3</v>
      </c>
      <c r="I127" s="251">
        <v>657.5</v>
      </c>
      <c r="J127" s="9" t="s">
        <v>1305</v>
      </c>
      <c r="K127" s="9" t="s">
        <v>1306</v>
      </c>
      <c r="L127" s="83">
        <v>45200</v>
      </c>
      <c r="M127" s="83">
        <v>45230</v>
      </c>
    </row>
    <row r="128" spans="1:13" ht="18.75" customHeight="1" x14ac:dyDescent="0.25">
      <c r="A128" s="9" t="s">
        <v>1578</v>
      </c>
      <c r="B128" s="81">
        <v>113419</v>
      </c>
      <c r="C128" s="81">
        <v>10743</v>
      </c>
      <c r="D128" s="9" t="s">
        <v>1310</v>
      </c>
      <c r="E128" s="81">
        <v>14563151</v>
      </c>
      <c r="F128" s="81">
        <v>31273</v>
      </c>
      <c r="G128" s="81">
        <v>25</v>
      </c>
      <c r="H128" s="82">
        <v>26.3</v>
      </c>
      <c r="I128" s="251">
        <v>657.5</v>
      </c>
      <c r="J128" s="9" t="s">
        <v>1305</v>
      </c>
      <c r="K128" s="9" t="s">
        <v>1306</v>
      </c>
      <c r="L128" s="83">
        <v>45200</v>
      </c>
      <c r="M128" s="83">
        <v>45230</v>
      </c>
    </row>
    <row r="129" spans="1:13" ht="18.75" customHeight="1" x14ac:dyDescent="0.25">
      <c r="A129" s="9" t="s">
        <v>1578</v>
      </c>
      <c r="B129" s="81">
        <v>113334</v>
      </c>
      <c r="C129" s="81">
        <v>10745</v>
      </c>
      <c r="D129" s="9" t="s">
        <v>712</v>
      </c>
      <c r="E129" s="81">
        <v>14563151</v>
      </c>
      <c r="F129" s="81">
        <v>31103</v>
      </c>
      <c r="G129" s="81">
        <v>25</v>
      </c>
      <c r="H129" s="82">
        <v>26.3</v>
      </c>
      <c r="I129" s="251">
        <v>657.5</v>
      </c>
      <c r="J129" s="9" t="s">
        <v>1305</v>
      </c>
      <c r="K129" s="9" t="s">
        <v>1306</v>
      </c>
      <c r="L129" s="83">
        <v>45200</v>
      </c>
      <c r="M129" s="83">
        <v>45230</v>
      </c>
    </row>
    <row r="130" spans="1:13" ht="18.75" customHeight="1" x14ac:dyDescent="0.25">
      <c r="A130" s="9" t="s">
        <v>0</v>
      </c>
      <c r="B130" s="81">
        <v>113355</v>
      </c>
      <c r="C130" s="81">
        <v>10758</v>
      </c>
      <c r="D130" s="9" t="s">
        <v>1311</v>
      </c>
      <c r="E130" s="81">
        <v>14563151</v>
      </c>
      <c r="F130" s="81">
        <v>31145</v>
      </c>
      <c r="G130" s="81">
        <v>25</v>
      </c>
      <c r="H130" s="82">
        <v>26.3</v>
      </c>
      <c r="I130" s="251">
        <v>657.5</v>
      </c>
      <c r="J130" s="9" t="s">
        <v>1305</v>
      </c>
      <c r="K130" s="9" t="s">
        <v>1306</v>
      </c>
      <c r="L130" s="83">
        <v>45200</v>
      </c>
      <c r="M130" s="83">
        <v>45230</v>
      </c>
    </row>
    <row r="131" spans="1:13" ht="18.75" customHeight="1" x14ac:dyDescent="0.25">
      <c r="A131" s="9" t="s">
        <v>8</v>
      </c>
      <c r="B131" s="81">
        <v>116969</v>
      </c>
      <c r="C131" s="81">
        <v>10763</v>
      </c>
      <c r="D131" s="9" t="s">
        <v>1233</v>
      </c>
      <c r="E131" s="81">
        <v>14563151</v>
      </c>
      <c r="F131" s="81">
        <v>43449</v>
      </c>
      <c r="G131" s="81">
        <v>25</v>
      </c>
      <c r="H131" s="82">
        <v>26.3</v>
      </c>
      <c r="I131" s="251">
        <v>657.5</v>
      </c>
      <c r="J131" s="9" t="s">
        <v>1305</v>
      </c>
      <c r="K131" s="9" t="s">
        <v>1306</v>
      </c>
      <c r="L131" s="83">
        <v>45200</v>
      </c>
      <c r="M131" s="83">
        <v>45230</v>
      </c>
    </row>
    <row r="132" spans="1:13" ht="18.75" customHeight="1" x14ac:dyDescent="0.25">
      <c r="A132" s="9" t="s">
        <v>0</v>
      </c>
      <c r="B132" s="81">
        <v>113431</v>
      </c>
      <c r="C132" s="81">
        <v>10750</v>
      </c>
      <c r="D132" s="9" t="s">
        <v>774</v>
      </c>
      <c r="E132" s="81">
        <v>14563151</v>
      </c>
      <c r="F132" s="81">
        <v>31297</v>
      </c>
      <c r="G132" s="81">
        <v>25</v>
      </c>
      <c r="H132" s="82">
        <v>26.3</v>
      </c>
      <c r="I132" s="251">
        <v>657.5</v>
      </c>
      <c r="J132" s="9" t="s">
        <v>1305</v>
      </c>
      <c r="K132" s="9" t="s">
        <v>1306</v>
      </c>
      <c r="L132" s="83">
        <v>45200</v>
      </c>
      <c r="M132" s="83">
        <v>45230</v>
      </c>
    </row>
    <row r="133" spans="1:13" ht="18.75" customHeight="1" x14ac:dyDescent="0.25">
      <c r="A133" s="9" t="s">
        <v>10</v>
      </c>
      <c r="B133" s="81">
        <v>113369</v>
      </c>
      <c r="C133" s="81">
        <v>10750</v>
      </c>
      <c r="D133" s="9" t="s">
        <v>734</v>
      </c>
      <c r="E133" s="81">
        <v>14563151</v>
      </c>
      <c r="F133" s="81">
        <v>31173</v>
      </c>
      <c r="G133" s="81">
        <v>25</v>
      </c>
      <c r="H133" s="82">
        <v>26.3</v>
      </c>
      <c r="I133" s="251">
        <v>657.5</v>
      </c>
      <c r="J133" s="9" t="s">
        <v>1305</v>
      </c>
      <c r="K133" s="9" t="s">
        <v>1306</v>
      </c>
      <c r="L133" s="83">
        <v>45200</v>
      </c>
      <c r="M133" s="83">
        <v>45230</v>
      </c>
    </row>
    <row r="134" spans="1:13" ht="18.75" customHeight="1" x14ac:dyDescent="0.25">
      <c r="A134" s="9" t="s">
        <v>0</v>
      </c>
      <c r="B134" s="81">
        <v>121673</v>
      </c>
      <c r="C134" s="81">
        <v>10760</v>
      </c>
      <c r="D134" s="9" t="s">
        <v>1583</v>
      </c>
      <c r="E134" s="81">
        <v>14563151</v>
      </c>
      <c r="F134" s="81">
        <v>54311</v>
      </c>
      <c r="G134" s="81">
        <v>22</v>
      </c>
      <c r="H134" s="82">
        <v>26.3</v>
      </c>
      <c r="I134" s="251">
        <v>578.6</v>
      </c>
      <c r="J134" s="9" t="s">
        <v>1305</v>
      </c>
      <c r="K134" s="9" t="s">
        <v>1306</v>
      </c>
      <c r="L134" s="83">
        <v>45200</v>
      </c>
      <c r="M134" s="83">
        <v>45230</v>
      </c>
    </row>
    <row r="135" spans="1:13" ht="18.75" customHeight="1" x14ac:dyDescent="0.25">
      <c r="A135" s="9" t="s">
        <v>19</v>
      </c>
      <c r="B135" s="81">
        <v>113438</v>
      </c>
      <c r="C135" s="81">
        <v>10766</v>
      </c>
      <c r="D135" s="9" t="s">
        <v>780</v>
      </c>
      <c r="E135" s="81">
        <v>14563151</v>
      </c>
      <c r="F135" s="81">
        <v>31311</v>
      </c>
      <c r="G135" s="81">
        <v>25</v>
      </c>
      <c r="H135" s="82">
        <v>26.3</v>
      </c>
      <c r="I135" s="251">
        <v>657.5</v>
      </c>
      <c r="J135" s="9" t="s">
        <v>1305</v>
      </c>
      <c r="K135" s="9" t="s">
        <v>1306</v>
      </c>
      <c r="L135" s="83">
        <v>45200</v>
      </c>
      <c r="M135" s="83">
        <v>45230</v>
      </c>
    </row>
    <row r="136" spans="1:13" ht="18.75" customHeight="1" x14ac:dyDescent="0.25">
      <c r="A136" s="9" t="s">
        <v>8</v>
      </c>
      <c r="B136" s="81">
        <v>113379</v>
      </c>
      <c r="C136" s="81">
        <v>10756</v>
      </c>
      <c r="D136" s="9" t="s">
        <v>740</v>
      </c>
      <c r="E136" s="81">
        <v>14563151</v>
      </c>
      <c r="F136" s="81">
        <v>31193</v>
      </c>
      <c r="G136" s="81">
        <v>25</v>
      </c>
      <c r="H136" s="82">
        <v>26.3</v>
      </c>
      <c r="I136" s="251">
        <v>657.5</v>
      </c>
      <c r="J136" s="9" t="s">
        <v>1305</v>
      </c>
      <c r="K136" s="9" t="s">
        <v>1306</v>
      </c>
      <c r="L136" s="83">
        <v>45200</v>
      </c>
      <c r="M136" s="83">
        <v>45230</v>
      </c>
    </row>
    <row r="137" spans="1:13" ht="18.75" customHeight="1" x14ac:dyDescent="0.25">
      <c r="A137" s="9" t="s">
        <v>8</v>
      </c>
      <c r="B137" s="81">
        <v>113445</v>
      </c>
      <c r="C137" s="81">
        <v>10757</v>
      </c>
      <c r="D137" s="9" t="s">
        <v>783</v>
      </c>
      <c r="E137" s="81">
        <v>14563151</v>
      </c>
      <c r="F137" s="81">
        <v>31325</v>
      </c>
      <c r="G137" s="81">
        <v>25</v>
      </c>
      <c r="H137" s="82">
        <v>26.3</v>
      </c>
      <c r="I137" s="251">
        <v>657.5</v>
      </c>
      <c r="J137" s="9" t="s">
        <v>1305</v>
      </c>
      <c r="K137" s="9" t="s">
        <v>1306</v>
      </c>
      <c r="L137" s="83">
        <v>45200</v>
      </c>
      <c r="M137" s="83">
        <v>45230</v>
      </c>
    </row>
    <row r="138" spans="1:13" ht="18.75" customHeight="1" x14ac:dyDescent="0.25">
      <c r="A138" s="9" t="s">
        <v>0</v>
      </c>
      <c r="B138" s="81">
        <v>113388</v>
      </c>
      <c r="C138" s="81">
        <v>10750</v>
      </c>
      <c r="D138" s="9" t="s">
        <v>745</v>
      </c>
      <c r="E138" s="81">
        <v>14563151</v>
      </c>
      <c r="F138" s="81">
        <v>31211</v>
      </c>
      <c r="G138" s="81">
        <v>25</v>
      </c>
      <c r="H138" s="82">
        <v>26.3</v>
      </c>
      <c r="I138" s="251">
        <v>657.5</v>
      </c>
      <c r="J138" s="9" t="s">
        <v>1305</v>
      </c>
      <c r="K138" s="9" t="s">
        <v>1306</v>
      </c>
      <c r="L138" s="83">
        <v>45200</v>
      </c>
      <c r="M138" s="83">
        <v>45230</v>
      </c>
    </row>
    <row r="139" spans="1:13" ht="18.75" customHeight="1" x14ac:dyDescent="0.25">
      <c r="A139" s="9" t="s">
        <v>19</v>
      </c>
      <c r="B139" s="81">
        <v>113396</v>
      </c>
      <c r="C139" s="81">
        <v>10766</v>
      </c>
      <c r="D139" s="9" t="s">
        <v>1312</v>
      </c>
      <c r="E139" s="81">
        <v>14563151</v>
      </c>
      <c r="F139" s="81">
        <v>31227</v>
      </c>
      <c r="G139" s="81">
        <v>25</v>
      </c>
      <c r="H139" s="82">
        <v>26.3</v>
      </c>
      <c r="I139" s="251">
        <v>657.5</v>
      </c>
      <c r="J139" s="9" t="s">
        <v>1305</v>
      </c>
      <c r="K139" s="9" t="s">
        <v>1306</v>
      </c>
      <c r="L139" s="83">
        <v>45200</v>
      </c>
      <c r="M139" s="83">
        <v>45230</v>
      </c>
    </row>
    <row r="140" spans="1:13" ht="18.75" customHeight="1" x14ac:dyDescent="0.25">
      <c r="A140" s="9" t="s">
        <v>1578</v>
      </c>
      <c r="B140" s="81">
        <v>113400</v>
      </c>
      <c r="C140" s="81">
        <v>10767</v>
      </c>
      <c r="D140" s="9" t="s">
        <v>755</v>
      </c>
      <c r="E140" s="81">
        <v>14563151</v>
      </c>
      <c r="F140" s="81">
        <v>31235</v>
      </c>
      <c r="G140" s="81">
        <v>25</v>
      </c>
      <c r="H140" s="82">
        <v>26.3</v>
      </c>
      <c r="I140" s="251">
        <v>657.5</v>
      </c>
      <c r="J140" s="9" t="s">
        <v>1305</v>
      </c>
      <c r="K140" s="9" t="s">
        <v>1306</v>
      </c>
      <c r="L140" s="83">
        <v>45200</v>
      </c>
      <c r="M140" s="83">
        <v>45230</v>
      </c>
    </row>
    <row r="141" spans="1:13" ht="18.75" customHeight="1" x14ac:dyDescent="0.25">
      <c r="A141" s="9" t="s">
        <v>1578</v>
      </c>
      <c r="B141" s="81">
        <v>113482</v>
      </c>
      <c r="C141" s="81">
        <v>10771</v>
      </c>
      <c r="D141" s="9" t="s">
        <v>803</v>
      </c>
      <c r="E141" s="81">
        <v>14563151</v>
      </c>
      <c r="F141" s="81">
        <v>31399</v>
      </c>
      <c r="G141" s="81">
        <v>25</v>
      </c>
      <c r="H141" s="82">
        <v>26.3</v>
      </c>
      <c r="I141" s="251">
        <v>657.5</v>
      </c>
      <c r="J141" s="9" t="s">
        <v>1305</v>
      </c>
      <c r="K141" s="9" t="s">
        <v>1306</v>
      </c>
      <c r="L141" s="83">
        <v>45200</v>
      </c>
      <c r="M141" s="83">
        <v>45230</v>
      </c>
    </row>
    <row r="142" spans="1:13" ht="18.75" customHeight="1" x14ac:dyDescent="0.25">
      <c r="A142" s="9" t="s">
        <v>32</v>
      </c>
      <c r="B142" s="81">
        <v>116970</v>
      </c>
      <c r="C142" s="81">
        <v>10760</v>
      </c>
      <c r="D142" s="9" t="s">
        <v>1234</v>
      </c>
      <c r="E142" s="81">
        <v>14563151</v>
      </c>
      <c r="F142" s="81">
        <v>43451</v>
      </c>
      <c r="G142" s="81">
        <v>25</v>
      </c>
      <c r="H142" s="82">
        <v>26.3</v>
      </c>
      <c r="I142" s="251">
        <v>657.5</v>
      </c>
      <c r="J142" s="9" t="s">
        <v>1305</v>
      </c>
      <c r="K142" s="9" t="s">
        <v>1306</v>
      </c>
      <c r="L142" s="83">
        <v>45200</v>
      </c>
      <c r="M142" s="83">
        <v>45230</v>
      </c>
    </row>
    <row r="143" spans="1:13" ht="18.75" customHeight="1" x14ac:dyDescent="0.25">
      <c r="A143" s="9" t="s">
        <v>1578</v>
      </c>
      <c r="B143" s="81">
        <v>113490</v>
      </c>
      <c r="C143" s="81">
        <v>10771</v>
      </c>
      <c r="D143" s="9" t="s">
        <v>807</v>
      </c>
      <c r="E143" s="81">
        <v>14563151</v>
      </c>
      <c r="F143" s="81">
        <v>31415</v>
      </c>
      <c r="G143" s="81">
        <v>25</v>
      </c>
      <c r="H143" s="82">
        <v>26.3</v>
      </c>
      <c r="I143" s="251">
        <v>657.5</v>
      </c>
      <c r="J143" s="9" t="s">
        <v>1305</v>
      </c>
      <c r="K143" s="9" t="s">
        <v>1306</v>
      </c>
      <c r="L143" s="83">
        <v>45200</v>
      </c>
      <c r="M143" s="83">
        <v>45230</v>
      </c>
    </row>
    <row r="144" spans="1:13" ht="18.75" customHeight="1" x14ac:dyDescent="0.25">
      <c r="A144" s="9" t="s">
        <v>1580</v>
      </c>
      <c r="B144" s="81">
        <v>113711</v>
      </c>
      <c r="C144" s="81">
        <v>10775</v>
      </c>
      <c r="D144" s="9" t="s">
        <v>926</v>
      </c>
      <c r="E144" s="81">
        <v>14563151</v>
      </c>
      <c r="F144" s="81">
        <v>31857</v>
      </c>
      <c r="G144" s="81">
        <v>25</v>
      </c>
      <c r="H144" s="82">
        <v>26.3</v>
      </c>
      <c r="I144" s="251">
        <v>657.5</v>
      </c>
      <c r="J144" s="9" t="s">
        <v>1305</v>
      </c>
      <c r="K144" s="9" t="s">
        <v>1306</v>
      </c>
      <c r="L144" s="83">
        <v>45200</v>
      </c>
      <c r="M144" s="83">
        <v>45230</v>
      </c>
    </row>
    <row r="145" spans="1:13" ht="18.75" customHeight="1" x14ac:dyDescent="0.25">
      <c r="A145" s="9" t="s">
        <v>19</v>
      </c>
      <c r="B145" s="81">
        <v>115225</v>
      </c>
      <c r="C145" s="81">
        <v>10760</v>
      </c>
      <c r="D145" s="9" t="s">
        <v>1145</v>
      </c>
      <c r="E145" s="81">
        <v>14563151</v>
      </c>
      <c r="F145" s="81">
        <v>38502</v>
      </c>
      <c r="G145" s="81">
        <v>25</v>
      </c>
      <c r="H145" s="82">
        <v>26.3</v>
      </c>
      <c r="I145" s="251">
        <v>657.5</v>
      </c>
      <c r="J145" s="9" t="s">
        <v>1305</v>
      </c>
      <c r="K145" s="9" t="s">
        <v>1306</v>
      </c>
      <c r="L145" s="83">
        <v>45200</v>
      </c>
      <c r="M145" s="83">
        <v>45230</v>
      </c>
    </row>
    <row r="146" spans="1:13" ht="18.75" customHeight="1" x14ac:dyDescent="0.25">
      <c r="A146" s="9" t="s">
        <v>1578</v>
      </c>
      <c r="B146" s="81">
        <v>113922</v>
      </c>
      <c r="C146" s="81">
        <v>10743</v>
      </c>
      <c r="D146" s="9" t="s">
        <v>988</v>
      </c>
      <c r="E146" s="81">
        <v>14563151</v>
      </c>
      <c r="F146" s="81">
        <v>33815</v>
      </c>
      <c r="G146" s="81">
        <v>25</v>
      </c>
      <c r="H146" s="82">
        <v>26.3</v>
      </c>
      <c r="I146" s="251">
        <v>657.5</v>
      </c>
      <c r="J146" s="9" t="s">
        <v>1305</v>
      </c>
      <c r="K146" s="9" t="s">
        <v>1309</v>
      </c>
      <c r="L146" s="83">
        <v>45200</v>
      </c>
      <c r="M146" s="83">
        <v>45230</v>
      </c>
    </row>
    <row r="147" spans="1:13" ht="18.75" customHeight="1" x14ac:dyDescent="0.25">
      <c r="A147" s="9" t="s">
        <v>0</v>
      </c>
      <c r="B147" s="81">
        <v>118633</v>
      </c>
      <c r="C147" s="81">
        <v>10758</v>
      </c>
      <c r="D147" s="9" t="s">
        <v>1394</v>
      </c>
      <c r="E147" s="81">
        <v>14563151</v>
      </c>
      <c r="F147" s="81">
        <v>47161</v>
      </c>
      <c r="G147" s="81">
        <v>25</v>
      </c>
      <c r="H147" s="82">
        <v>26.3</v>
      </c>
      <c r="I147" s="251">
        <v>657.5</v>
      </c>
      <c r="J147" s="9" t="s">
        <v>1305</v>
      </c>
      <c r="K147" s="9" t="s">
        <v>1306</v>
      </c>
      <c r="L147" s="83">
        <v>45200</v>
      </c>
      <c r="M147" s="83">
        <v>45230</v>
      </c>
    </row>
    <row r="148" spans="1:13" ht="18.75" customHeight="1" x14ac:dyDescent="0.25">
      <c r="A148" s="9" t="s">
        <v>1578</v>
      </c>
      <c r="B148" s="81">
        <v>113508</v>
      </c>
      <c r="C148" s="81">
        <v>10757</v>
      </c>
      <c r="D148" s="9" t="s">
        <v>815</v>
      </c>
      <c r="E148" s="81">
        <v>14563151</v>
      </c>
      <c r="F148" s="81">
        <v>31451</v>
      </c>
      <c r="G148" s="81">
        <v>25</v>
      </c>
      <c r="H148" s="82">
        <v>26.3</v>
      </c>
      <c r="I148" s="251">
        <v>657.5</v>
      </c>
      <c r="J148" s="9" t="s">
        <v>1305</v>
      </c>
      <c r="K148" s="9" t="s">
        <v>1306</v>
      </c>
      <c r="L148" s="83">
        <v>45200</v>
      </c>
      <c r="M148" s="83">
        <v>45230</v>
      </c>
    </row>
    <row r="149" spans="1:13" ht="18.75" customHeight="1" x14ac:dyDescent="0.25">
      <c r="A149" s="9" t="s">
        <v>8</v>
      </c>
      <c r="B149" s="81">
        <v>113699</v>
      </c>
      <c r="C149" s="81">
        <v>10750</v>
      </c>
      <c r="D149" s="9" t="s">
        <v>1313</v>
      </c>
      <c r="E149" s="81">
        <v>14563151</v>
      </c>
      <c r="F149" s="81">
        <v>31833</v>
      </c>
      <c r="G149" s="81">
        <v>25</v>
      </c>
      <c r="H149" s="82">
        <v>26.3</v>
      </c>
      <c r="I149" s="251">
        <v>657.5</v>
      </c>
      <c r="J149" s="9" t="s">
        <v>1305</v>
      </c>
      <c r="K149" s="9" t="s">
        <v>1306</v>
      </c>
      <c r="L149" s="83">
        <v>45200</v>
      </c>
      <c r="M149" s="83">
        <v>45230</v>
      </c>
    </row>
    <row r="150" spans="1:13" ht="18.75" customHeight="1" x14ac:dyDescent="0.25">
      <c r="A150" s="9" t="s">
        <v>10</v>
      </c>
      <c r="B150" s="81">
        <v>113515</v>
      </c>
      <c r="C150" s="81">
        <v>10750</v>
      </c>
      <c r="D150" s="9" t="s">
        <v>818</v>
      </c>
      <c r="E150" s="81">
        <v>14563151</v>
      </c>
      <c r="F150" s="81">
        <v>31465</v>
      </c>
      <c r="G150" s="81">
        <v>25</v>
      </c>
      <c r="H150" s="82">
        <v>26.3</v>
      </c>
      <c r="I150" s="251">
        <v>657.5</v>
      </c>
      <c r="J150" s="9" t="s">
        <v>1305</v>
      </c>
      <c r="K150" s="9" t="s">
        <v>1306</v>
      </c>
      <c r="L150" s="83">
        <v>45200</v>
      </c>
      <c r="M150" s="83">
        <v>45230</v>
      </c>
    </row>
    <row r="151" spans="1:13" ht="18.75" customHeight="1" x14ac:dyDescent="0.25">
      <c r="A151" s="9" t="s">
        <v>0</v>
      </c>
      <c r="B151" s="81">
        <v>113679</v>
      </c>
      <c r="C151" s="81">
        <v>10750</v>
      </c>
      <c r="D151" s="9" t="s">
        <v>355</v>
      </c>
      <c r="E151" s="81">
        <v>14563151</v>
      </c>
      <c r="F151" s="81">
        <v>31793</v>
      </c>
      <c r="G151" s="81">
        <v>25</v>
      </c>
      <c r="H151" s="82">
        <v>26.3</v>
      </c>
      <c r="I151" s="251">
        <v>657.5</v>
      </c>
      <c r="J151" s="9" t="s">
        <v>1305</v>
      </c>
      <c r="K151" s="9" t="s">
        <v>1306</v>
      </c>
      <c r="L151" s="83">
        <v>45200</v>
      </c>
      <c r="M151" s="83">
        <v>45230</v>
      </c>
    </row>
    <row r="152" spans="1:13" ht="18.75" customHeight="1" x14ac:dyDescent="0.25">
      <c r="A152" s="9" t="s">
        <v>1578</v>
      </c>
      <c r="B152" s="81">
        <v>113529</v>
      </c>
      <c r="C152" s="81">
        <v>10755</v>
      </c>
      <c r="D152" s="9" t="s">
        <v>825</v>
      </c>
      <c r="E152" s="81">
        <v>14563151</v>
      </c>
      <c r="F152" s="81">
        <v>31493</v>
      </c>
      <c r="G152" s="81">
        <v>25</v>
      </c>
      <c r="H152" s="82">
        <v>26.3</v>
      </c>
      <c r="I152" s="251">
        <v>657.5</v>
      </c>
      <c r="J152" s="9" t="s">
        <v>1305</v>
      </c>
      <c r="K152" s="9" t="s">
        <v>1306</v>
      </c>
      <c r="L152" s="83">
        <v>45200</v>
      </c>
      <c r="M152" s="83">
        <v>45230</v>
      </c>
    </row>
    <row r="153" spans="1:13" ht="18.75" customHeight="1" x14ac:dyDescent="0.25">
      <c r="A153" s="9" t="s">
        <v>10</v>
      </c>
      <c r="B153" s="81">
        <v>113533</v>
      </c>
      <c r="C153" s="81">
        <v>10750</v>
      </c>
      <c r="D153" s="9" t="s">
        <v>829</v>
      </c>
      <c r="E153" s="81">
        <v>14563151</v>
      </c>
      <c r="F153" s="81">
        <v>31501</v>
      </c>
      <c r="G153" s="81">
        <v>25</v>
      </c>
      <c r="H153" s="82">
        <v>26.3</v>
      </c>
      <c r="I153" s="251">
        <v>657.5</v>
      </c>
      <c r="J153" s="9" t="s">
        <v>1305</v>
      </c>
      <c r="K153" s="9" t="s">
        <v>1306</v>
      </c>
      <c r="L153" s="83">
        <v>45200</v>
      </c>
      <c r="M153" s="83">
        <v>45230</v>
      </c>
    </row>
    <row r="154" spans="1:13" ht="18.75" customHeight="1" x14ac:dyDescent="0.25">
      <c r="A154" s="9" t="s">
        <v>1578</v>
      </c>
      <c r="B154" s="81">
        <v>113543</v>
      </c>
      <c r="C154" s="81">
        <v>10766</v>
      </c>
      <c r="D154" s="9" t="s">
        <v>835</v>
      </c>
      <c r="E154" s="81">
        <v>14563151</v>
      </c>
      <c r="F154" s="81">
        <v>31521</v>
      </c>
      <c r="G154" s="81">
        <v>25</v>
      </c>
      <c r="H154" s="82">
        <v>26.3</v>
      </c>
      <c r="I154" s="251">
        <v>657.5</v>
      </c>
      <c r="J154" s="9" t="s">
        <v>1305</v>
      </c>
      <c r="K154" s="9" t="s">
        <v>1306</v>
      </c>
      <c r="L154" s="83">
        <v>45200</v>
      </c>
      <c r="M154" s="83">
        <v>45230</v>
      </c>
    </row>
    <row r="155" spans="1:13" ht="18.75" customHeight="1" x14ac:dyDescent="0.25">
      <c r="A155" s="9" t="s">
        <v>0</v>
      </c>
      <c r="B155" s="81">
        <v>113549</v>
      </c>
      <c r="C155" s="81">
        <v>10761</v>
      </c>
      <c r="D155" s="9" t="s">
        <v>840</v>
      </c>
      <c r="E155" s="81">
        <v>14563151</v>
      </c>
      <c r="F155" s="81">
        <v>31533</v>
      </c>
      <c r="G155" s="81">
        <v>22</v>
      </c>
      <c r="H155" s="82">
        <v>26.3</v>
      </c>
      <c r="I155" s="251">
        <v>578.6</v>
      </c>
      <c r="J155" s="9" t="s">
        <v>1305</v>
      </c>
      <c r="K155" s="9" t="s">
        <v>1306</v>
      </c>
      <c r="L155" s="83">
        <v>45200</v>
      </c>
      <c r="M155" s="83">
        <v>45230</v>
      </c>
    </row>
    <row r="156" spans="1:13" ht="18.75" customHeight="1" x14ac:dyDescent="0.25">
      <c r="A156" s="9" t="s">
        <v>8</v>
      </c>
      <c r="B156" s="81">
        <v>113553</v>
      </c>
      <c r="C156" s="81">
        <v>10750</v>
      </c>
      <c r="D156" s="9" t="s">
        <v>844</v>
      </c>
      <c r="E156" s="81">
        <v>14563151</v>
      </c>
      <c r="F156" s="81">
        <v>31541</v>
      </c>
      <c r="G156" s="81">
        <v>25</v>
      </c>
      <c r="H156" s="82">
        <v>26.3</v>
      </c>
      <c r="I156" s="251">
        <v>657.5</v>
      </c>
      <c r="J156" s="9" t="s">
        <v>1305</v>
      </c>
      <c r="K156" s="9" t="s">
        <v>1306</v>
      </c>
      <c r="L156" s="83">
        <v>45200</v>
      </c>
      <c r="M156" s="83">
        <v>45230</v>
      </c>
    </row>
    <row r="157" spans="1:13" ht="18.75" customHeight="1" x14ac:dyDescent="0.25">
      <c r="A157" s="9" t="s">
        <v>19</v>
      </c>
      <c r="B157" s="81">
        <v>119644</v>
      </c>
      <c r="C157" s="81">
        <v>10757</v>
      </c>
      <c r="D157" s="9" t="s">
        <v>1454</v>
      </c>
      <c r="E157" s="81">
        <v>14563151</v>
      </c>
      <c r="F157" s="81">
        <v>49604</v>
      </c>
      <c r="G157" s="81">
        <v>25</v>
      </c>
      <c r="H157" s="82">
        <v>26.3</v>
      </c>
      <c r="I157" s="251">
        <v>657.5</v>
      </c>
      <c r="J157" s="9" t="s">
        <v>1305</v>
      </c>
      <c r="K157" s="9" t="s">
        <v>1306</v>
      </c>
      <c r="L157" s="83">
        <v>45200</v>
      </c>
      <c r="M157" s="83">
        <v>45230</v>
      </c>
    </row>
    <row r="158" spans="1:13" ht="18.75" customHeight="1" x14ac:dyDescent="0.25">
      <c r="A158" s="9" t="s">
        <v>0</v>
      </c>
      <c r="B158" s="81">
        <v>113558</v>
      </c>
      <c r="C158" s="81">
        <v>10750</v>
      </c>
      <c r="D158" s="9" t="s">
        <v>846</v>
      </c>
      <c r="E158" s="81">
        <v>14563151</v>
      </c>
      <c r="F158" s="81">
        <v>31551</v>
      </c>
      <c r="G158" s="81">
        <v>25</v>
      </c>
      <c r="H158" s="82">
        <v>26.3</v>
      </c>
      <c r="I158" s="251">
        <v>657.5</v>
      </c>
      <c r="J158" s="9" t="s">
        <v>1305</v>
      </c>
      <c r="K158" s="9" t="s">
        <v>1306</v>
      </c>
      <c r="L158" s="83">
        <v>45200</v>
      </c>
      <c r="M158" s="83">
        <v>45230</v>
      </c>
    </row>
    <row r="159" spans="1:13" ht="18.75" customHeight="1" x14ac:dyDescent="0.25">
      <c r="A159" s="9" t="s">
        <v>10</v>
      </c>
      <c r="B159" s="81">
        <v>113561</v>
      </c>
      <c r="C159" s="81">
        <v>10750</v>
      </c>
      <c r="D159" s="9" t="s">
        <v>849</v>
      </c>
      <c r="E159" s="81">
        <v>14563151</v>
      </c>
      <c r="F159" s="81">
        <v>31557</v>
      </c>
      <c r="G159" s="81">
        <v>25</v>
      </c>
      <c r="H159" s="82">
        <v>26.3</v>
      </c>
      <c r="I159" s="251">
        <v>657.5</v>
      </c>
      <c r="J159" s="9" t="s">
        <v>1305</v>
      </c>
      <c r="K159" s="9" t="s">
        <v>1306</v>
      </c>
      <c r="L159" s="83">
        <v>45200</v>
      </c>
      <c r="M159" s="83">
        <v>45230</v>
      </c>
    </row>
    <row r="160" spans="1:13" ht="18.75" customHeight="1" x14ac:dyDescent="0.25">
      <c r="A160" s="9" t="s">
        <v>1578</v>
      </c>
      <c r="B160" s="81">
        <v>114973</v>
      </c>
      <c r="C160" s="81">
        <v>10745</v>
      </c>
      <c r="D160" s="9" t="s">
        <v>1131</v>
      </c>
      <c r="E160" s="81">
        <v>14563151</v>
      </c>
      <c r="F160" s="81">
        <v>37722</v>
      </c>
      <c r="G160" s="81">
        <v>25</v>
      </c>
      <c r="H160" s="82">
        <v>26.3</v>
      </c>
      <c r="I160" s="251">
        <v>657.5</v>
      </c>
      <c r="J160" s="9" t="s">
        <v>1305</v>
      </c>
      <c r="K160" s="9" t="s">
        <v>1306</v>
      </c>
      <c r="L160" s="83">
        <v>45200</v>
      </c>
      <c r="M160" s="83">
        <v>45230</v>
      </c>
    </row>
    <row r="161" spans="1:13" ht="18.75" customHeight="1" x14ac:dyDescent="0.25">
      <c r="A161" s="9" t="s">
        <v>8</v>
      </c>
      <c r="B161" s="81">
        <v>113588</v>
      </c>
      <c r="C161" s="81">
        <v>10750</v>
      </c>
      <c r="D161" s="9" t="s">
        <v>861</v>
      </c>
      <c r="E161" s="81">
        <v>14563151</v>
      </c>
      <c r="F161" s="81">
        <v>31611</v>
      </c>
      <c r="G161" s="81">
        <v>25</v>
      </c>
      <c r="H161" s="82">
        <v>26.3</v>
      </c>
      <c r="I161" s="251">
        <v>657.5</v>
      </c>
      <c r="J161" s="9" t="s">
        <v>1305</v>
      </c>
      <c r="K161" s="9" t="s">
        <v>1306</v>
      </c>
      <c r="L161" s="83">
        <v>45200</v>
      </c>
      <c r="M161" s="83">
        <v>45230</v>
      </c>
    </row>
    <row r="162" spans="1:13" ht="18.75" customHeight="1" x14ac:dyDescent="0.25">
      <c r="A162" s="9" t="s">
        <v>0</v>
      </c>
      <c r="B162" s="81">
        <v>113625</v>
      </c>
      <c r="C162" s="81">
        <v>10745</v>
      </c>
      <c r="D162" s="9" t="s">
        <v>1314</v>
      </c>
      <c r="E162" s="81">
        <v>14563151</v>
      </c>
      <c r="F162" s="81">
        <v>31685</v>
      </c>
      <c r="G162" s="81">
        <v>25</v>
      </c>
      <c r="H162" s="82">
        <v>26.3</v>
      </c>
      <c r="I162" s="251">
        <v>657.5</v>
      </c>
      <c r="J162" s="9" t="s">
        <v>1305</v>
      </c>
      <c r="K162" s="9" t="s">
        <v>1306</v>
      </c>
      <c r="L162" s="83">
        <v>45200</v>
      </c>
      <c r="M162" s="83">
        <v>45230</v>
      </c>
    </row>
    <row r="163" spans="1:13" ht="18.75" customHeight="1" x14ac:dyDescent="0.25">
      <c r="A163" s="9" t="s">
        <v>10</v>
      </c>
      <c r="B163" s="81">
        <v>113631</v>
      </c>
      <c r="C163" s="81">
        <v>10750</v>
      </c>
      <c r="D163" s="9" t="s">
        <v>883</v>
      </c>
      <c r="E163" s="81">
        <v>14563151</v>
      </c>
      <c r="F163" s="81">
        <v>31697</v>
      </c>
      <c r="G163" s="81">
        <v>25</v>
      </c>
      <c r="H163" s="82">
        <v>26.3</v>
      </c>
      <c r="I163" s="251">
        <v>657.5</v>
      </c>
      <c r="J163" s="9" t="s">
        <v>1305</v>
      </c>
      <c r="K163" s="9" t="s">
        <v>1306</v>
      </c>
      <c r="L163" s="83">
        <v>45200</v>
      </c>
      <c r="M163" s="83">
        <v>45230</v>
      </c>
    </row>
    <row r="164" spans="1:13" ht="18.75" customHeight="1" x14ac:dyDescent="0.25">
      <c r="A164" s="9" t="s">
        <v>1578</v>
      </c>
      <c r="B164" s="81">
        <v>113666</v>
      </c>
      <c r="C164" s="81">
        <v>10771</v>
      </c>
      <c r="D164" s="9" t="s">
        <v>903</v>
      </c>
      <c r="E164" s="81">
        <v>14563151</v>
      </c>
      <c r="F164" s="81">
        <v>31767</v>
      </c>
      <c r="G164" s="81">
        <v>25</v>
      </c>
      <c r="H164" s="82">
        <v>26.3</v>
      </c>
      <c r="I164" s="251">
        <v>657.5</v>
      </c>
      <c r="J164" s="9" t="s">
        <v>1305</v>
      </c>
      <c r="K164" s="9" t="s">
        <v>1306</v>
      </c>
      <c r="L164" s="83">
        <v>45200</v>
      </c>
      <c r="M164" s="83">
        <v>45230</v>
      </c>
    </row>
    <row r="165" spans="1:13" ht="18.75" customHeight="1" x14ac:dyDescent="0.25">
      <c r="A165" s="9" t="s">
        <v>10</v>
      </c>
      <c r="B165" s="81">
        <v>113677</v>
      </c>
      <c r="C165" s="81">
        <v>10750</v>
      </c>
      <c r="D165" s="9" t="s">
        <v>910</v>
      </c>
      <c r="E165" s="81">
        <v>14563151</v>
      </c>
      <c r="F165" s="81">
        <v>31789</v>
      </c>
      <c r="G165" s="81">
        <v>25</v>
      </c>
      <c r="H165" s="82">
        <v>26.3</v>
      </c>
      <c r="I165" s="251">
        <v>657.5</v>
      </c>
      <c r="J165" s="9" t="s">
        <v>1305</v>
      </c>
      <c r="K165" s="9" t="s">
        <v>1306</v>
      </c>
      <c r="L165" s="83">
        <v>45200</v>
      </c>
      <c r="M165" s="83">
        <v>45230</v>
      </c>
    </row>
    <row r="166" spans="1:13" ht="18.75" customHeight="1" x14ac:dyDescent="0.25">
      <c r="A166" s="9" t="s">
        <v>1578</v>
      </c>
      <c r="B166" s="81">
        <v>113694</v>
      </c>
      <c r="C166" s="81">
        <v>10762</v>
      </c>
      <c r="D166" s="9" t="s">
        <v>920</v>
      </c>
      <c r="E166" s="81">
        <v>14563151</v>
      </c>
      <c r="F166" s="81">
        <v>31823</v>
      </c>
      <c r="G166" s="81">
        <v>25</v>
      </c>
      <c r="H166" s="82">
        <v>26.3</v>
      </c>
      <c r="I166" s="251">
        <v>657.5</v>
      </c>
      <c r="J166" s="9" t="s">
        <v>1305</v>
      </c>
      <c r="K166" s="9" t="s">
        <v>1306</v>
      </c>
      <c r="L166" s="83">
        <v>45200</v>
      </c>
      <c r="M166" s="83">
        <v>45230</v>
      </c>
    </row>
    <row r="167" spans="1:13" ht="18.75" customHeight="1" x14ac:dyDescent="0.25">
      <c r="A167" s="9" t="s">
        <v>19</v>
      </c>
      <c r="B167" s="81">
        <v>113696</v>
      </c>
      <c r="C167" s="81">
        <v>10766</v>
      </c>
      <c r="D167" s="9" t="s">
        <v>1315</v>
      </c>
      <c r="E167" s="81">
        <v>14563151</v>
      </c>
      <c r="F167" s="81">
        <v>31827</v>
      </c>
      <c r="G167" s="81">
        <v>25</v>
      </c>
      <c r="H167" s="82">
        <v>26.3</v>
      </c>
      <c r="I167" s="251">
        <v>657.5</v>
      </c>
      <c r="J167" s="9" t="s">
        <v>1305</v>
      </c>
      <c r="K167" s="9" t="s">
        <v>1306</v>
      </c>
      <c r="L167" s="83">
        <v>45200</v>
      </c>
      <c r="M167" s="83">
        <v>45230</v>
      </c>
    </row>
    <row r="168" spans="1:13" ht="18.75" customHeight="1" x14ac:dyDescent="0.25">
      <c r="A168" s="9" t="s">
        <v>0</v>
      </c>
      <c r="B168" s="81">
        <v>113693</v>
      </c>
      <c r="C168" s="81">
        <v>10750</v>
      </c>
      <c r="D168" s="9" t="s">
        <v>919</v>
      </c>
      <c r="E168" s="81">
        <v>14563151</v>
      </c>
      <c r="F168" s="81">
        <v>31821</v>
      </c>
      <c r="G168" s="81">
        <v>25</v>
      </c>
      <c r="H168" s="82">
        <v>26.3</v>
      </c>
      <c r="I168" s="251">
        <v>657.5</v>
      </c>
      <c r="J168" s="9" t="s">
        <v>1305</v>
      </c>
      <c r="K168" s="9" t="s">
        <v>1306</v>
      </c>
      <c r="L168" s="83">
        <v>45200</v>
      </c>
      <c r="M168" s="83">
        <v>45230</v>
      </c>
    </row>
    <row r="169" spans="1:13" ht="18.75" customHeight="1" x14ac:dyDescent="0.25">
      <c r="A169" s="9" t="s">
        <v>32</v>
      </c>
      <c r="B169" s="81">
        <v>113686</v>
      </c>
      <c r="C169" s="81">
        <v>10751</v>
      </c>
      <c r="D169" s="9" t="s">
        <v>1316</v>
      </c>
      <c r="E169" s="81">
        <v>14563151</v>
      </c>
      <c r="F169" s="81">
        <v>31807</v>
      </c>
      <c r="G169" s="81">
        <v>25</v>
      </c>
      <c r="H169" s="82">
        <v>26.3</v>
      </c>
      <c r="I169" s="251">
        <v>657.5</v>
      </c>
      <c r="J169" s="9" t="s">
        <v>1305</v>
      </c>
      <c r="K169" s="9" t="s">
        <v>1306</v>
      </c>
      <c r="L169" s="83">
        <v>45200</v>
      </c>
      <c r="M169" s="83">
        <v>45230</v>
      </c>
    </row>
    <row r="170" spans="1:13" ht="18.75" customHeight="1" x14ac:dyDescent="0.25">
      <c r="A170" s="9" t="s">
        <v>0</v>
      </c>
      <c r="B170" s="81">
        <v>113681</v>
      </c>
      <c r="C170" s="81">
        <v>10750</v>
      </c>
      <c r="D170" s="9" t="s">
        <v>912</v>
      </c>
      <c r="E170" s="81">
        <v>14563151</v>
      </c>
      <c r="F170" s="81">
        <v>31797</v>
      </c>
      <c r="G170" s="81">
        <v>25</v>
      </c>
      <c r="H170" s="82">
        <v>26.3</v>
      </c>
      <c r="I170" s="251">
        <v>657.5</v>
      </c>
      <c r="J170" s="9" t="s">
        <v>1305</v>
      </c>
      <c r="K170" s="9" t="s">
        <v>1306</v>
      </c>
      <c r="L170" s="83">
        <v>45200</v>
      </c>
      <c r="M170" s="83">
        <v>45230</v>
      </c>
    </row>
    <row r="171" spans="1:13" ht="18.75" customHeight="1" x14ac:dyDescent="0.25">
      <c r="A171" s="9" t="s">
        <v>1578</v>
      </c>
      <c r="B171" s="81">
        <v>113698</v>
      </c>
      <c r="C171" s="81">
        <v>10755</v>
      </c>
      <c r="D171" s="9" t="s">
        <v>922</v>
      </c>
      <c r="E171" s="81">
        <v>14563151</v>
      </c>
      <c r="F171" s="81">
        <v>31831</v>
      </c>
      <c r="G171" s="81">
        <v>25</v>
      </c>
      <c r="H171" s="82">
        <v>26.3</v>
      </c>
      <c r="I171" s="251">
        <v>657.5</v>
      </c>
      <c r="J171" s="9" t="s">
        <v>1305</v>
      </c>
      <c r="K171" s="9" t="s">
        <v>1306</v>
      </c>
      <c r="L171" s="83">
        <v>45200</v>
      </c>
      <c r="M171" s="83">
        <v>45230</v>
      </c>
    </row>
    <row r="172" spans="1:13" ht="18.75" customHeight="1" x14ac:dyDescent="0.25">
      <c r="A172" s="9" t="s">
        <v>1578</v>
      </c>
      <c r="B172" s="81">
        <v>114523</v>
      </c>
      <c r="C172" s="81">
        <v>10759</v>
      </c>
      <c r="D172" s="9" t="s">
        <v>1045</v>
      </c>
      <c r="E172" s="81">
        <v>14563151</v>
      </c>
      <c r="F172" s="81">
        <v>36327</v>
      </c>
      <c r="G172" s="81">
        <v>25</v>
      </c>
      <c r="H172" s="82">
        <v>26.3</v>
      </c>
      <c r="I172" s="251">
        <v>657.5</v>
      </c>
      <c r="J172" s="9" t="s">
        <v>1305</v>
      </c>
      <c r="K172" s="9" t="s">
        <v>1306</v>
      </c>
      <c r="L172" s="83">
        <v>45200</v>
      </c>
      <c r="M172" s="83">
        <v>45230</v>
      </c>
    </row>
    <row r="173" spans="1:13" ht="18.75" customHeight="1" x14ac:dyDescent="0.25">
      <c r="A173" s="9" t="s">
        <v>8</v>
      </c>
      <c r="B173" s="81">
        <v>113704</v>
      </c>
      <c r="C173" s="81">
        <v>10750</v>
      </c>
      <c r="D173" s="9" t="s">
        <v>924</v>
      </c>
      <c r="E173" s="81">
        <v>14563151</v>
      </c>
      <c r="F173" s="81">
        <v>31843</v>
      </c>
      <c r="G173" s="81">
        <v>25</v>
      </c>
      <c r="H173" s="82">
        <v>26.3</v>
      </c>
      <c r="I173" s="251">
        <v>657.5</v>
      </c>
      <c r="J173" s="9" t="s">
        <v>1305</v>
      </c>
      <c r="K173" s="9" t="s">
        <v>1306</v>
      </c>
      <c r="L173" s="83">
        <v>45200</v>
      </c>
      <c r="M173" s="83">
        <v>45230</v>
      </c>
    </row>
    <row r="174" spans="1:13" ht="18.75" customHeight="1" x14ac:dyDescent="0.25">
      <c r="A174" s="9" t="s">
        <v>8</v>
      </c>
      <c r="B174" s="81">
        <v>113690</v>
      </c>
      <c r="C174" s="81">
        <v>10750</v>
      </c>
      <c r="D174" s="9" t="s">
        <v>917</v>
      </c>
      <c r="E174" s="81">
        <v>14563151</v>
      </c>
      <c r="F174" s="81">
        <v>31815</v>
      </c>
      <c r="G174" s="81">
        <v>25</v>
      </c>
      <c r="H174" s="82">
        <v>26.3</v>
      </c>
      <c r="I174" s="251">
        <v>657.5</v>
      </c>
      <c r="J174" s="9" t="s">
        <v>1305</v>
      </c>
      <c r="K174" s="9" t="s">
        <v>1306</v>
      </c>
      <c r="L174" s="83">
        <v>45200</v>
      </c>
      <c r="M174" s="83">
        <v>45230</v>
      </c>
    </row>
    <row r="175" spans="1:13" ht="18.75" customHeight="1" x14ac:dyDescent="0.25">
      <c r="A175" s="9" t="s">
        <v>0</v>
      </c>
      <c r="B175" s="81">
        <v>121849</v>
      </c>
      <c r="C175" s="81">
        <v>10758</v>
      </c>
      <c r="D175" s="9" t="s">
        <v>1602</v>
      </c>
      <c r="E175" s="81">
        <v>14563151</v>
      </c>
      <c r="F175" s="81">
        <v>54717</v>
      </c>
      <c r="G175" s="81">
        <v>24</v>
      </c>
      <c r="H175" s="82">
        <v>26.3</v>
      </c>
      <c r="I175" s="251">
        <v>631.20000000000005</v>
      </c>
      <c r="J175" s="9" t="s">
        <v>1305</v>
      </c>
      <c r="K175" s="9" t="s">
        <v>1306</v>
      </c>
      <c r="L175" s="83">
        <v>45200</v>
      </c>
      <c r="M175" s="83">
        <v>45230</v>
      </c>
    </row>
    <row r="176" spans="1:13" ht="18.75" customHeight="1" x14ac:dyDescent="0.25">
      <c r="A176" s="9" t="s">
        <v>1580</v>
      </c>
      <c r="B176" s="81">
        <v>119754</v>
      </c>
      <c r="C176" s="81">
        <v>10775</v>
      </c>
      <c r="D176" s="9" t="s">
        <v>1455</v>
      </c>
      <c r="E176" s="81">
        <v>14563151</v>
      </c>
      <c r="F176" s="81">
        <v>49852</v>
      </c>
      <c r="G176" s="81">
        <v>25</v>
      </c>
      <c r="H176" s="82">
        <v>26.3</v>
      </c>
      <c r="I176" s="251">
        <v>657.5</v>
      </c>
      <c r="J176" s="9" t="s">
        <v>1305</v>
      </c>
      <c r="K176" s="9" t="s">
        <v>1309</v>
      </c>
      <c r="L176" s="83">
        <v>45200</v>
      </c>
      <c r="M176" s="83">
        <v>45230</v>
      </c>
    </row>
    <row r="177" spans="1:13" ht="18.75" customHeight="1" x14ac:dyDescent="0.25">
      <c r="A177" s="9" t="s">
        <v>0</v>
      </c>
      <c r="B177" s="81">
        <v>118056</v>
      </c>
      <c r="C177" s="81">
        <v>10758</v>
      </c>
      <c r="D177" s="9" t="s">
        <v>1395</v>
      </c>
      <c r="E177" s="81">
        <v>14563151</v>
      </c>
      <c r="F177" s="81">
        <v>45901</v>
      </c>
      <c r="G177" s="81">
        <v>25</v>
      </c>
      <c r="H177" s="82">
        <v>26.3</v>
      </c>
      <c r="I177" s="251">
        <v>657.5</v>
      </c>
      <c r="J177" s="9" t="s">
        <v>1305</v>
      </c>
      <c r="K177" s="9" t="s">
        <v>1306</v>
      </c>
      <c r="L177" s="83">
        <v>45200</v>
      </c>
      <c r="M177" s="83">
        <v>45230</v>
      </c>
    </row>
    <row r="178" spans="1:13" ht="18.75" customHeight="1" x14ac:dyDescent="0.25">
      <c r="A178" s="9" t="s">
        <v>1578</v>
      </c>
      <c r="B178" s="81">
        <v>122829</v>
      </c>
      <c r="C178" s="81">
        <v>10758</v>
      </c>
      <c r="D178" s="9" t="s">
        <v>1715</v>
      </c>
      <c r="E178" s="81">
        <v>14563151</v>
      </c>
      <c r="F178" s="81">
        <v>57228</v>
      </c>
      <c r="G178" s="81">
        <v>25</v>
      </c>
      <c r="H178" s="82">
        <v>26.3</v>
      </c>
      <c r="I178" s="251">
        <v>657.5</v>
      </c>
      <c r="J178" s="9" t="s">
        <v>1305</v>
      </c>
      <c r="K178" s="9" t="s">
        <v>1306</v>
      </c>
      <c r="L178" s="83">
        <v>45200</v>
      </c>
      <c r="M178" s="83">
        <v>45230</v>
      </c>
    </row>
    <row r="179" spans="1:13" ht="18.75" customHeight="1" x14ac:dyDescent="0.25">
      <c r="A179" s="9" t="s">
        <v>1578</v>
      </c>
      <c r="B179" s="81">
        <v>113682</v>
      </c>
      <c r="C179" s="81">
        <v>10748</v>
      </c>
      <c r="D179" s="9" t="s">
        <v>913</v>
      </c>
      <c r="E179" s="81">
        <v>14563151</v>
      </c>
      <c r="F179" s="81">
        <v>31799</v>
      </c>
      <c r="G179" s="81">
        <v>25</v>
      </c>
      <c r="H179" s="82">
        <v>26.3</v>
      </c>
      <c r="I179" s="251">
        <v>657.5</v>
      </c>
      <c r="J179" s="9" t="s">
        <v>1305</v>
      </c>
      <c r="K179" s="9" t="s">
        <v>1306</v>
      </c>
      <c r="L179" s="83">
        <v>45200</v>
      </c>
      <c r="M179" s="83">
        <v>45230</v>
      </c>
    </row>
    <row r="180" spans="1:13" ht="18.75" customHeight="1" x14ac:dyDescent="0.25">
      <c r="A180" s="9" t="s">
        <v>0</v>
      </c>
      <c r="B180" s="81">
        <v>113678</v>
      </c>
      <c r="C180" s="81">
        <v>10766</v>
      </c>
      <c r="D180" s="9" t="s">
        <v>911</v>
      </c>
      <c r="E180" s="81">
        <v>14563151</v>
      </c>
      <c r="F180" s="81">
        <v>31791</v>
      </c>
      <c r="G180" s="81">
        <v>25</v>
      </c>
      <c r="H180" s="82">
        <v>26.3</v>
      </c>
      <c r="I180" s="251">
        <v>657.5</v>
      </c>
      <c r="J180" s="9" t="s">
        <v>1305</v>
      </c>
      <c r="K180" s="9" t="s">
        <v>1306</v>
      </c>
      <c r="L180" s="83">
        <v>45200</v>
      </c>
      <c r="M180" s="83">
        <v>45230</v>
      </c>
    </row>
    <row r="181" spans="1:13" ht="18.75" customHeight="1" x14ac:dyDescent="0.25">
      <c r="A181" s="9" t="s">
        <v>1580</v>
      </c>
      <c r="B181" s="81">
        <v>113930</v>
      </c>
      <c r="C181" s="81">
        <v>10788</v>
      </c>
      <c r="D181" s="9" t="s">
        <v>991</v>
      </c>
      <c r="E181" s="81">
        <v>14563151</v>
      </c>
      <c r="F181" s="81">
        <v>33835</v>
      </c>
      <c r="G181" s="81">
        <v>25</v>
      </c>
      <c r="H181" s="82">
        <v>26.3</v>
      </c>
      <c r="I181" s="251">
        <v>657.5</v>
      </c>
      <c r="J181" s="9" t="s">
        <v>1305</v>
      </c>
      <c r="K181" s="9" t="s">
        <v>1309</v>
      </c>
      <c r="L181" s="83">
        <v>45200</v>
      </c>
      <c r="M181" s="83">
        <v>45230</v>
      </c>
    </row>
    <row r="182" spans="1:13" ht="18.75" customHeight="1" x14ac:dyDescent="0.25">
      <c r="A182" s="9" t="s">
        <v>1578</v>
      </c>
      <c r="B182" s="81">
        <v>113692</v>
      </c>
      <c r="C182" s="81">
        <v>10757</v>
      </c>
      <c r="D182" s="9" t="s">
        <v>918</v>
      </c>
      <c r="E182" s="81">
        <v>14563151</v>
      </c>
      <c r="F182" s="81">
        <v>31819</v>
      </c>
      <c r="G182" s="81">
        <v>25</v>
      </c>
      <c r="H182" s="82">
        <v>26.3</v>
      </c>
      <c r="I182" s="251">
        <v>657.5</v>
      </c>
      <c r="J182" s="9" t="s">
        <v>1305</v>
      </c>
      <c r="K182" s="9" t="s">
        <v>1306</v>
      </c>
      <c r="L182" s="83">
        <v>45200</v>
      </c>
      <c r="M182" s="83">
        <v>45230</v>
      </c>
    </row>
    <row r="183" spans="1:13" ht="18.75" customHeight="1" x14ac:dyDescent="0.25">
      <c r="A183" s="9" t="s">
        <v>0</v>
      </c>
      <c r="B183" s="81">
        <v>113683</v>
      </c>
      <c r="C183" s="81">
        <v>10750</v>
      </c>
      <c r="D183" s="9" t="s">
        <v>914</v>
      </c>
      <c r="E183" s="81">
        <v>14563151</v>
      </c>
      <c r="F183" s="81">
        <v>31801</v>
      </c>
      <c r="G183" s="81">
        <v>25</v>
      </c>
      <c r="H183" s="82">
        <v>26.3</v>
      </c>
      <c r="I183" s="251">
        <v>657.5</v>
      </c>
      <c r="J183" s="9" t="s">
        <v>1305</v>
      </c>
      <c r="K183" s="9" t="s">
        <v>1306</v>
      </c>
      <c r="L183" s="83">
        <v>45200</v>
      </c>
      <c r="M183" s="83">
        <v>45230</v>
      </c>
    </row>
    <row r="184" spans="1:13" ht="18.75" customHeight="1" x14ac:dyDescent="0.25">
      <c r="A184" s="9" t="s">
        <v>19</v>
      </c>
      <c r="B184" s="81">
        <v>113585</v>
      </c>
      <c r="C184" s="81">
        <v>10751</v>
      </c>
      <c r="D184" s="9" t="s">
        <v>858</v>
      </c>
      <c r="E184" s="81">
        <v>14563151</v>
      </c>
      <c r="F184" s="81">
        <v>31605</v>
      </c>
      <c r="G184" s="81">
        <v>25</v>
      </c>
      <c r="H184" s="82">
        <v>26.3</v>
      </c>
      <c r="I184" s="251">
        <v>657.5</v>
      </c>
      <c r="J184" s="9" t="s">
        <v>1305</v>
      </c>
      <c r="K184" s="9" t="s">
        <v>1306</v>
      </c>
      <c r="L184" s="83">
        <v>45200</v>
      </c>
      <c r="M184" s="83">
        <v>45230</v>
      </c>
    </row>
    <row r="185" spans="1:13" ht="18.75" customHeight="1" x14ac:dyDescent="0.25">
      <c r="A185" s="9" t="s">
        <v>0</v>
      </c>
      <c r="B185" s="81">
        <v>116972</v>
      </c>
      <c r="C185" s="81">
        <v>10760</v>
      </c>
      <c r="D185" s="9" t="s">
        <v>1235</v>
      </c>
      <c r="E185" s="81">
        <v>14563151</v>
      </c>
      <c r="F185" s="81">
        <v>43455</v>
      </c>
      <c r="G185" s="81">
        <v>25</v>
      </c>
      <c r="H185" s="82">
        <v>26.3</v>
      </c>
      <c r="I185" s="251">
        <v>657.5</v>
      </c>
      <c r="J185" s="9" t="s">
        <v>1305</v>
      </c>
      <c r="K185" s="9" t="s">
        <v>1306</v>
      </c>
      <c r="L185" s="83">
        <v>45200</v>
      </c>
      <c r="M185" s="83">
        <v>45230</v>
      </c>
    </row>
    <row r="186" spans="1:13" ht="18.75" customHeight="1" x14ac:dyDescent="0.25">
      <c r="A186" s="9" t="s">
        <v>1578</v>
      </c>
      <c r="B186" s="81">
        <v>113763</v>
      </c>
      <c r="C186" s="81">
        <v>10771</v>
      </c>
      <c r="D186" s="9" t="s">
        <v>965</v>
      </c>
      <c r="E186" s="81">
        <v>14563151</v>
      </c>
      <c r="F186" s="81">
        <v>31968</v>
      </c>
      <c r="G186" s="81">
        <v>25</v>
      </c>
      <c r="H186" s="82">
        <v>26.3</v>
      </c>
      <c r="I186" s="251">
        <v>657.5</v>
      </c>
      <c r="J186" s="9" t="s">
        <v>1305</v>
      </c>
      <c r="K186" s="9" t="s">
        <v>1306</v>
      </c>
      <c r="L186" s="83">
        <v>45200</v>
      </c>
      <c r="M186" s="83">
        <v>45230</v>
      </c>
    </row>
    <row r="187" spans="1:13" ht="18.75" customHeight="1" x14ac:dyDescent="0.25">
      <c r="A187" s="9" t="s">
        <v>1578</v>
      </c>
      <c r="B187" s="81">
        <v>122028</v>
      </c>
      <c r="C187" s="81">
        <v>10771</v>
      </c>
      <c r="D187" s="9" t="s">
        <v>1625</v>
      </c>
      <c r="E187" s="81">
        <v>14563151</v>
      </c>
      <c r="F187" s="81">
        <v>55143</v>
      </c>
      <c r="G187" s="81">
        <v>25</v>
      </c>
      <c r="H187" s="82">
        <v>26.3</v>
      </c>
      <c r="I187" s="251">
        <v>657.5</v>
      </c>
      <c r="J187" s="9" t="s">
        <v>1305</v>
      </c>
      <c r="K187" s="9" t="s">
        <v>1306</v>
      </c>
      <c r="L187" s="83">
        <v>45200</v>
      </c>
      <c r="M187" s="83">
        <v>45230</v>
      </c>
    </row>
    <row r="188" spans="1:13" ht="18.75" customHeight="1" x14ac:dyDescent="0.25">
      <c r="A188" s="9" t="s">
        <v>1578</v>
      </c>
      <c r="B188" s="81">
        <v>117238</v>
      </c>
      <c r="C188" s="81">
        <v>10755</v>
      </c>
      <c r="D188" s="9" t="s">
        <v>1254</v>
      </c>
      <c r="E188" s="81">
        <v>14563151</v>
      </c>
      <c r="F188" s="81">
        <v>44093</v>
      </c>
      <c r="G188" s="81">
        <v>25</v>
      </c>
      <c r="H188" s="82">
        <v>26.3</v>
      </c>
      <c r="I188" s="251">
        <v>657.5</v>
      </c>
      <c r="J188" s="9" t="s">
        <v>1305</v>
      </c>
      <c r="K188" s="9" t="s">
        <v>1306</v>
      </c>
      <c r="L188" s="83">
        <v>45200</v>
      </c>
      <c r="M188" s="83">
        <v>45230</v>
      </c>
    </row>
    <row r="189" spans="1:13" ht="18.75" customHeight="1" x14ac:dyDescent="0.25">
      <c r="A189" s="9" t="s">
        <v>10</v>
      </c>
      <c r="B189" s="81">
        <v>121320</v>
      </c>
      <c r="C189" s="81">
        <v>10750</v>
      </c>
      <c r="D189" s="9" t="s">
        <v>1523</v>
      </c>
      <c r="E189" s="81">
        <v>14563151</v>
      </c>
      <c r="F189" s="81">
        <v>53495</v>
      </c>
      <c r="G189" s="81">
        <v>25</v>
      </c>
      <c r="H189" s="82">
        <v>26.3</v>
      </c>
      <c r="I189" s="251">
        <v>657.5</v>
      </c>
      <c r="J189" s="9" t="s">
        <v>1305</v>
      </c>
      <c r="K189" s="9" t="s">
        <v>1309</v>
      </c>
      <c r="L189" s="83">
        <v>45200</v>
      </c>
      <c r="M189" s="83">
        <v>45230</v>
      </c>
    </row>
    <row r="190" spans="1:13" ht="18.75" customHeight="1" x14ac:dyDescent="0.25">
      <c r="A190" s="9" t="s">
        <v>32</v>
      </c>
      <c r="B190" s="81">
        <v>122830</v>
      </c>
      <c r="C190" s="81">
        <v>10757</v>
      </c>
      <c r="D190" s="9" t="s">
        <v>1716</v>
      </c>
      <c r="E190" s="81">
        <v>14563151</v>
      </c>
      <c r="F190" s="81">
        <v>57262</v>
      </c>
      <c r="G190" s="81">
        <v>25</v>
      </c>
      <c r="H190" s="82">
        <v>26.3</v>
      </c>
      <c r="I190" s="251">
        <v>657.5</v>
      </c>
      <c r="J190" s="9" t="s">
        <v>1305</v>
      </c>
      <c r="K190" s="9" t="s">
        <v>1306</v>
      </c>
      <c r="L190" s="83">
        <v>45200</v>
      </c>
      <c r="M190" s="83">
        <v>45230</v>
      </c>
    </row>
    <row r="191" spans="1:13" ht="18.75" customHeight="1" x14ac:dyDescent="0.25">
      <c r="A191" s="9" t="s">
        <v>0</v>
      </c>
      <c r="B191" s="81">
        <v>114266</v>
      </c>
      <c r="C191" s="81">
        <v>10750</v>
      </c>
      <c r="D191" s="9" t="s">
        <v>1027</v>
      </c>
      <c r="E191" s="81">
        <v>14563151</v>
      </c>
      <c r="F191" s="81">
        <v>35812</v>
      </c>
      <c r="G191" s="81">
        <v>25</v>
      </c>
      <c r="H191" s="82">
        <v>26.3</v>
      </c>
      <c r="I191" s="251">
        <v>657.5</v>
      </c>
      <c r="J191" s="9" t="s">
        <v>1305</v>
      </c>
      <c r="K191" s="9" t="s">
        <v>1306</v>
      </c>
      <c r="L191" s="83">
        <v>45200</v>
      </c>
      <c r="M191" s="83">
        <v>45230</v>
      </c>
    </row>
    <row r="192" spans="1:13" ht="18.75" customHeight="1" x14ac:dyDescent="0.25">
      <c r="A192" s="9" t="s">
        <v>1578</v>
      </c>
      <c r="B192" s="81">
        <v>113568</v>
      </c>
      <c r="C192" s="81">
        <v>10761</v>
      </c>
      <c r="D192" s="9" t="s">
        <v>852</v>
      </c>
      <c r="E192" s="81">
        <v>14563151</v>
      </c>
      <c r="F192" s="81">
        <v>31571</v>
      </c>
      <c r="G192" s="81">
        <v>25</v>
      </c>
      <c r="H192" s="82">
        <v>26.3</v>
      </c>
      <c r="I192" s="251">
        <v>657.5</v>
      </c>
      <c r="J192" s="9" t="s">
        <v>1305</v>
      </c>
      <c r="K192" s="9" t="s">
        <v>1306</v>
      </c>
      <c r="L192" s="83">
        <v>45200</v>
      </c>
      <c r="M192" s="83">
        <v>45230</v>
      </c>
    </row>
    <row r="193" spans="1:13" ht="18.75" customHeight="1" x14ac:dyDescent="0.25">
      <c r="A193" s="9" t="s">
        <v>0</v>
      </c>
      <c r="B193" s="81">
        <v>121857</v>
      </c>
      <c r="C193" s="81">
        <v>10757</v>
      </c>
      <c r="D193" s="9" t="s">
        <v>1622</v>
      </c>
      <c r="E193" s="81">
        <v>14563151</v>
      </c>
      <c r="F193" s="81">
        <v>54732</v>
      </c>
      <c r="G193" s="81">
        <v>25</v>
      </c>
      <c r="H193" s="82">
        <v>26.3</v>
      </c>
      <c r="I193" s="251">
        <v>657.5</v>
      </c>
      <c r="J193" s="9" t="s">
        <v>1305</v>
      </c>
      <c r="K193" s="9" t="s">
        <v>1306</v>
      </c>
      <c r="L193" s="83">
        <v>45200</v>
      </c>
      <c r="M193" s="83">
        <v>45230</v>
      </c>
    </row>
    <row r="194" spans="1:13" ht="18.75" customHeight="1" x14ac:dyDescent="0.25">
      <c r="A194" s="9" t="s">
        <v>10</v>
      </c>
      <c r="B194" s="81">
        <v>113560</v>
      </c>
      <c r="C194" s="81">
        <v>10760</v>
      </c>
      <c r="D194" s="9" t="s">
        <v>848</v>
      </c>
      <c r="E194" s="81">
        <v>14563151</v>
      </c>
      <c r="F194" s="81">
        <v>31555</v>
      </c>
      <c r="G194" s="81">
        <v>25</v>
      </c>
      <c r="H194" s="82">
        <v>26.3</v>
      </c>
      <c r="I194" s="251">
        <v>657.5</v>
      </c>
      <c r="J194" s="9" t="s">
        <v>1305</v>
      </c>
      <c r="K194" s="9" t="s">
        <v>1306</v>
      </c>
      <c r="L194" s="83">
        <v>45200</v>
      </c>
      <c r="M194" s="83">
        <v>45230</v>
      </c>
    </row>
    <row r="195" spans="1:13" ht="18.75" customHeight="1" x14ac:dyDescent="0.25">
      <c r="A195" s="9" t="s">
        <v>0</v>
      </c>
      <c r="B195" s="81">
        <v>113550</v>
      </c>
      <c r="C195" s="81">
        <v>10760</v>
      </c>
      <c r="D195" s="9" t="s">
        <v>841</v>
      </c>
      <c r="E195" s="81">
        <v>14563151</v>
      </c>
      <c r="F195" s="81">
        <v>31535</v>
      </c>
      <c r="G195" s="81">
        <v>25</v>
      </c>
      <c r="H195" s="82">
        <v>26.3</v>
      </c>
      <c r="I195" s="251">
        <v>657.5</v>
      </c>
      <c r="J195" s="9" t="s">
        <v>1305</v>
      </c>
      <c r="K195" s="9" t="s">
        <v>1306</v>
      </c>
      <c r="L195" s="83">
        <v>45200</v>
      </c>
      <c r="M195" s="83">
        <v>45230</v>
      </c>
    </row>
    <row r="196" spans="1:13" ht="18.75" customHeight="1" x14ac:dyDescent="0.25">
      <c r="A196" s="9" t="s">
        <v>1578</v>
      </c>
      <c r="B196" s="81">
        <v>113546</v>
      </c>
      <c r="C196" s="81">
        <v>10768</v>
      </c>
      <c r="D196" s="9" t="s">
        <v>837</v>
      </c>
      <c r="E196" s="81">
        <v>14563151</v>
      </c>
      <c r="F196" s="81">
        <v>31527</v>
      </c>
      <c r="G196" s="81">
        <v>25</v>
      </c>
      <c r="H196" s="82">
        <v>26.3</v>
      </c>
      <c r="I196" s="251">
        <v>657.5</v>
      </c>
      <c r="J196" s="9" t="s">
        <v>1305</v>
      </c>
      <c r="K196" s="9" t="s">
        <v>1306</v>
      </c>
      <c r="L196" s="83">
        <v>45200</v>
      </c>
      <c r="M196" s="83">
        <v>45230</v>
      </c>
    </row>
    <row r="197" spans="1:13" ht="18.75" customHeight="1" x14ac:dyDescent="0.25">
      <c r="A197" s="9" t="s">
        <v>8</v>
      </c>
      <c r="B197" s="81">
        <v>113545</v>
      </c>
      <c r="C197" s="81">
        <v>10750</v>
      </c>
      <c r="D197" s="9" t="s">
        <v>836</v>
      </c>
      <c r="E197" s="81">
        <v>14563151</v>
      </c>
      <c r="F197" s="81">
        <v>31525</v>
      </c>
      <c r="G197" s="81">
        <v>25</v>
      </c>
      <c r="H197" s="82">
        <v>26.3</v>
      </c>
      <c r="I197" s="251">
        <v>657.5</v>
      </c>
      <c r="J197" s="9" t="s">
        <v>1305</v>
      </c>
      <c r="K197" s="9" t="s">
        <v>1306</v>
      </c>
      <c r="L197" s="83">
        <v>45200</v>
      </c>
      <c r="M197" s="83">
        <v>45230</v>
      </c>
    </row>
    <row r="198" spans="1:13" ht="18.75" customHeight="1" x14ac:dyDescent="0.25">
      <c r="A198" s="9" t="s">
        <v>1580</v>
      </c>
      <c r="B198" s="81">
        <v>121947</v>
      </c>
      <c r="C198" s="81">
        <v>10775</v>
      </c>
      <c r="D198" s="9" t="s">
        <v>1604</v>
      </c>
      <c r="E198" s="81">
        <v>14563151</v>
      </c>
      <c r="F198" s="81">
        <v>55022</v>
      </c>
      <c r="G198" s="81">
        <v>25</v>
      </c>
      <c r="H198" s="82">
        <v>26.3</v>
      </c>
      <c r="I198" s="251">
        <v>657.5</v>
      </c>
      <c r="J198" s="9" t="s">
        <v>1305</v>
      </c>
      <c r="K198" s="9" t="s">
        <v>1309</v>
      </c>
      <c r="L198" s="83">
        <v>45200</v>
      </c>
      <c r="M198" s="83">
        <v>45230</v>
      </c>
    </row>
    <row r="199" spans="1:13" ht="18.75" customHeight="1" x14ac:dyDescent="0.25">
      <c r="A199" s="9" t="s">
        <v>1578</v>
      </c>
      <c r="B199" s="81">
        <v>113540</v>
      </c>
      <c r="C199" s="81">
        <v>10745</v>
      </c>
      <c r="D199" s="9" t="s">
        <v>833</v>
      </c>
      <c r="E199" s="81">
        <v>14563151</v>
      </c>
      <c r="F199" s="81">
        <v>31515</v>
      </c>
      <c r="G199" s="81">
        <v>25</v>
      </c>
      <c r="H199" s="82">
        <v>26.3</v>
      </c>
      <c r="I199" s="251">
        <v>657.5</v>
      </c>
      <c r="J199" s="9" t="s">
        <v>1305</v>
      </c>
      <c r="K199" s="9" t="s">
        <v>1306</v>
      </c>
      <c r="L199" s="83">
        <v>45200</v>
      </c>
      <c r="M199" s="83">
        <v>45230</v>
      </c>
    </row>
    <row r="200" spans="1:13" ht="18.75" customHeight="1" x14ac:dyDescent="0.25">
      <c r="A200" s="9" t="s">
        <v>32</v>
      </c>
      <c r="B200" s="81">
        <v>120356</v>
      </c>
      <c r="C200" s="81">
        <v>10757</v>
      </c>
      <c r="D200" s="9" t="s">
        <v>1506</v>
      </c>
      <c r="E200" s="81">
        <v>14563151</v>
      </c>
      <c r="F200" s="81">
        <v>51544</v>
      </c>
      <c r="G200" s="81">
        <v>25</v>
      </c>
      <c r="H200" s="82">
        <v>26.3</v>
      </c>
      <c r="I200" s="251">
        <v>657.5</v>
      </c>
      <c r="J200" s="9" t="s">
        <v>1305</v>
      </c>
      <c r="K200" s="9" t="s">
        <v>1306</v>
      </c>
      <c r="L200" s="83">
        <v>45200</v>
      </c>
      <c r="M200" s="83">
        <v>45230</v>
      </c>
    </row>
    <row r="201" spans="1:13" ht="18.75" customHeight="1" x14ac:dyDescent="0.25">
      <c r="A201" s="9" t="s">
        <v>1578</v>
      </c>
      <c r="B201" s="81">
        <v>122410</v>
      </c>
      <c r="C201" s="81">
        <v>10757</v>
      </c>
      <c r="D201" s="9" t="s">
        <v>1679</v>
      </c>
      <c r="E201" s="81">
        <v>14563151</v>
      </c>
      <c r="F201" s="81">
        <v>56141</v>
      </c>
      <c r="G201" s="81">
        <v>25</v>
      </c>
      <c r="H201" s="82">
        <v>26.3</v>
      </c>
      <c r="I201" s="251">
        <v>657.5</v>
      </c>
      <c r="J201" s="9" t="s">
        <v>1305</v>
      </c>
      <c r="K201" s="9" t="s">
        <v>1306</v>
      </c>
      <c r="L201" s="83">
        <v>45200</v>
      </c>
      <c r="M201" s="83">
        <v>45230</v>
      </c>
    </row>
    <row r="202" spans="1:13" ht="18.75" customHeight="1" x14ac:dyDescent="0.25">
      <c r="A202" s="9" t="s">
        <v>8</v>
      </c>
      <c r="B202" s="81">
        <v>121848</v>
      </c>
      <c r="C202" s="81">
        <v>10755</v>
      </c>
      <c r="D202" s="9" t="s">
        <v>1605</v>
      </c>
      <c r="E202" s="81">
        <v>14563151</v>
      </c>
      <c r="F202" s="81">
        <v>54715</v>
      </c>
      <c r="G202" s="81">
        <v>25</v>
      </c>
      <c r="H202" s="82">
        <v>26.3</v>
      </c>
      <c r="I202" s="251">
        <v>657.5</v>
      </c>
      <c r="J202" s="9" t="s">
        <v>1305</v>
      </c>
      <c r="K202" s="9" t="s">
        <v>1306</v>
      </c>
      <c r="L202" s="83">
        <v>45200</v>
      </c>
      <c r="M202" s="83">
        <v>45230</v>
      </c>
    </row>
    <row r="203" spans="1:13" ht="18.75" customHeight="1" x14ac:dyDescent="0.25">
      <c r="A203" s="9" t="s">
        <v>0</v>
      </c>
      <c r="B203" s="81">
        <v>112169</v>
      </c>
      <c r="C203" s="81">
        <v>10750</v>
      </c>
      <c r="D203" s="9" t="s">
        <v>1</v>
      </c>
      <c r="E203" s="81">
        <v>14563151</v>
      </c>
      <c r="F203" s="81">
        <v>28773</v>
      </c>
      <c r="G203" s="81">
        <v>25</v>
      </c>
      <c r="H203" s="82">
        <v>26.3</v>
      </c>
      <c r="I203" s="251">
        <v>657.5</v>
      </c>
      <c r="J203" s="9" t="s">
        <v>1305</v>
      </c>
      <c r="K203" s="9" t="s">
        <v>1306</v>
      </c>
      <c r="L203" s="83">
        <v>45200</v>
      </c>
      <c r="M203" s="83">
        <v>45230</v>
      </c>
    </row>
    <row r="204" spans="1:13" ht="18.75" customHeight="1" x14ac:dyDescent="0.25">
      <c r="A204" s="9" t="s">
        <v>0</v>
      </c>
      <c r="B204" s="81">
        <v>112170</v>
      </c>
      <c r="C204" s="81">
        <v>10752</v>
      </c>
      <c r="D204" s="9" t="s">
        <v>3</v>
      </c>
      <c r="E204" s="81">
        <v>14563151</v>
      </c>
      <c r="F204" s="81">
        <v>28775</v>
      </c>
      <c r="G204" s="81">
        <v>25</v>
      </c>
      <c r="H204" s="82">
        <v>26.3</v>
      </c>
      <c r="I204" s="251">
        <v>657.5</v>
      </c>
      <c r="J204" s="9" t="s">
        <v>1305</v>
      </c>
      <c r="K204" s="9" t="s">
        <v>1306</v>
      </c>
      <c r="L204" s="83">
        <v>45200</v>
      </c>
      <c r="M204" s="83">
        <v>45230</v>
      </c>
    </row>
    <row r="205" spans="1:13" ht="18.75" customHeight="1" x14ac:dyDescent="0.25">
      <c r="A205" s="9" t="s">
        <v>0</v>
      </c>
      <c r="B205" s="81">
        <v>114549</v>
      </c>
      <c r="C205" s="81">
        <v>10751</v>
      </c>
      <c r="D205" s="9" t="s">
        <v>1056</v>
      </c>
      <c r="E205" s="81">
        <v>14563151</v>
      </c>
      <c r="F205" s="81">
        <v>36376</v>
      </c>
      <c r="G205" s="81">
        <v>25</v>
      </c>
      <c r="H205" s="82">
        <v>26.3</v>
      </c>
      <c r="I205" s="251">
        <v>657.5</v>
      </c>
      <c r="J205" s="9" t="s">
        <v>1305</v>
      </c>
      <c r="K205" s="9" t="s">
        <v>1306</v>
      </c>
      <c r="L205" s="83">
        <v>45200</v>
      </c>
      <c r="M205" s="83">
        <v>45230</v>
      </c>
    </row>
    <row r="206" spans="1:13" ht="18.75" customHeight="1" x14ac:dyDescent="0.25">
      <c r="A206" s="9" t="s">
        <v>0</v>
      </c>
      <c r="B206" s="81">
        <v>116026</v>
      </c>
      <c r="C206" s="81">
        <v>10766</v>
      </c>
      <c r="D206" s="9" t="s">
        <v>1175</v>
      </c>
      <c r="E206" s="81">
        <v>14563151</v>
      </c>
      <c r="F206" s="81">
        <v>40913</v>
      </c>
      <c r="G206" s="81">
        <v>25</v>
      </c>
      <c r="H206" s="82">
        <v>26.3</v>
      </c>
      <c r="I206" s="251">
        <v>657.5</v>
      </c>
      <c r="J206" s="9" t="s">
        <v>1305</v>
      </c>
      <c r="K206" s="9" t="s">
        <v>1306</v>
      </c>
      <c r="L206" s="83">
        <v>45200</v>
      </c>
      <c r="M206" s="83">
        <v>45230</v>
      </c>
    </row>
    <row r="207" spans="1:13" ht="18.75" customHeight="1" x14ac:dyDescent="0.25">
      <c r="A207" s="9" t="s">
        <v>1578</v>
      </c>
      <c r="B207" s="81">
        <v>112177</v>
      </c>
      <c r="C207" s="81">
        <v>10761</v>
      </c>
      <c r="D207" s="9" t="s">
        <v>1317</v>
      </c>
      <c r="E207" s="81">
        <v>14563151</v>
      </c>
      <c r="F207" s="81">
        <v>28789</v>
      </c>
      <c r="G207" s="81">
        <v>25</v>
      </c>
      <c r="H207" s="82">
        <v>26.3</v>
      </c>
      <c r="I207" s="251">
        <v>657.5</v>
      </c>
      <c r="J207" s="9" t="s">
        <v>1305</v>
      </c>
      <c r="K207" s="9" t="s">
        <v>1306</v>
      </c>
      <c r="L207" s="83">
        <v>45200</v>
      </c>
      <c r="M207" s="83">
        <v>45230</v>
      </c>
    </row>
    <row r="208" spans="1:13" ht="18.75" customHeight="1" x14ac:dyDescent="0.25">
      <c r="A208" s="9" t="s">
        <v>10</v>
      </c>
      <c r="B208" s="81">
        <v>112179</v>
      </c>
      <c r="C208" s="81">
        <v>10757</v>
      </c>
      <c r="D208" s="9" t="s">
        <v>17</v>
      </c>
      <c r="E208" s="81">
        <v>14563151</v>
      </c>
      <c r="F208" s="81">
        <v>28793</v>
      </c>
      <c r="G208" s="81">
        <v>25</v>
      </c>
      <c r="H208" s="82">
        <v>26.3</v>
      </c>
      <c r="I208" s="251">
        <v>657.5</v>
      </c>
      <c r="J208" s="9" t="s">
        <v>1305</v>
      </c>
      <c r="K208" s="9" t="s">
        <v>1306</v>
      </c>
      <c r="L208" s="83">
        <v>45200</v>
      </c>
      <c r="M208" s="83">
        <v>45230</v>
      </c>
    </row>
    <row r="209" spans="1:13" ht="18.75" customHeight="1" x14ac:dyDescent="0.25">
      <c r="A209" s="9" t="s">
        <v>19</v>
      </c>
      <c r="B209" s="81">
        <v>115413</v>
      </c>
      <c r="C209" s="81">
        <v>10757</v>
      </c>
      <c r="D209" s="9" t="s">
        <v>1158</v>
      </c>
      <c r="E209" s="81">
        <v>14563151</v>
      </c>
      <c r="F209" s="81">
        <v>39034</v>
      </c>
      <c r="G209" s="81">
        <v>25</v>
      </c>
      <c r="H209" s="82">
        <v>26.3</v>
      </c>
      <c r="I209" s="251">
        <v>657.5</v>
      </c>
      <c r="J209" s="9" t="s">
        <v>1305</v>
      </c>
      <c r="K209" s="9" t="s">
        <v>1306</v>
      </c>
      <c r="L209" s="83">
        <v>45200</v>
      </c>
      <c r="M209" s="83">
        <v>45230</v>
      </c>
    </row>
    <row r="210" spans="1:13" ht="18.75" customHeight="1" x14ac:dyDescent="0.25">
      <c r="A210" s="9" t="s">
        <v>0</v>
      </c>
      <c r="B210" s="81">
        <v>116008</v>
      </c>
      <c r="C210" s="81">
        <v>10761</v>
      </c>
      <c r="D210" s="9" t="s">
        <v>1170</v>
      </c>
      <c r="E210" s="81">
        <v>14563151</v>
      </c>
      <c r="F210" s="81">
        <v>40872</v>
      </c>
      <c r="G210" s="81">
        <v>25</v>
      </c>
      <c r="H210" s="82">
        <v>26.3</v>
      </c>
      <c r="I210" s="251">
        <v>657.5</v>
      </c>
      <c r="J210" s="9" t="s">
        <v>1305</v>
      </c>
      <c r="K210" s="9" t="s">
        <v>1306</v>
      </c>
      <c r="L210" s="83">
        <v>45200</v>
      </c>
      <c r="M210" s="83">
        <v>45230</v>
      </c>
    </row>
    <row r="211" spans="1:13" ht="18.75" customHeight="1" x14ac:dyDescent="0.25">
      <c r="A211" s="9" t="s">
        <v>10</v>
      </c>
      <c r="B211" s="81">
        <v>112183</v>
      </c>
      <c r="C211" s="81">
        <v>10757</v>
      </c>
      <c r="D211" s="9" t="s">
        <v>18</v>
      </c>
      <c r="E211" s="81">
        <v>14563151</v>
      </c>
      <c r="F211" s="81">
        <v>28801</v>
      </c>
      <c r="G211" s="81">
        <v>25</v>
      </c>
      <c r="H211" s="82">
        <v>26.3</v>
      </c>
      <c r="I211" s="251">
        <v>657.5</v>
      </c>
      <c r="J211" s="9" t="s">
        <v>1305</v>
      </c>
      <c r="K211" s="9" t="s">
        <v>1306</v>
      </c>
      <c r="L211" s="83">
        <v>45200</v>
      </c>
      <c r="M211" s="83">
        <v>45230</v>
      </c>
    </row>
    <row r="212" spans="1:13" ht="18.75" customHeight="1" x14ac:dyDescent="0.25">
      <c r="A212" s="9" t="s">
        <v>19</v>
      </c>
      <c r="B212" s="81">
        <v>112184</v>
      </c>
      <c r="C212" s="81">
        <v>10750</v>
      </c>
      <c r="D212" s="9" t="s">
        <v>20</v>
      </c>
      <c r="E212" s="81">
        <v>14563151</v>
      </c>
      <c r="F212" s="81">
        <v>28803</v>
      </c>
      <c r="G212" s="81">
        <v>25</v>
      </c>
      <c r="H212" s="82">
        <v>26.3</v>
      </c>
      <c r="I212" s="251">
        <v>657.5</v>
      </c>
      <c r="J212" s="9" t="s">
        <v>1305</v>
      </c>
      <c r="K212" s="9" t="s">
        <v>1306</v>
      </c>
      <c r="L212" s="83">
        <v>45200</v>
      </c>
      <c r="M212" s="83">
        <v>45230</v>
      </c>
    </row>
    <row r="213" spans="1:13" ht="18.75" customHeight="1" x14ac:dyDescent="0.25">
      <c r="A213" s="9" t="s">
        <v>1578</v>
      </c>
      <c r="B213" s="81">
        <v>121436</v>
      </c>
      <c r="C213" s="81">
        <v>10755</v>
      </c>
      <c r="D213" s="9" t="s">
        <v>1550</v>
      </c>
      <c r="E213" s="81">
        <v>14563151</v>
      </c>
      <c r="F213" s="81">
        <v>53753</v>
      </c>
      <c r="G213" s="81">
        <v>25</v>
      </c>
      <c r="H213" s="82">
        <v>26.3</v>
      </c>
      <c r="I213" s="251">
        <v>657.5</v>
      </c>
      <c r="J213" s="9" t="s">
        <v>1305</v>
      </c>
      <c r="K213" s="9" t="s">
        <v>1306</v>
      </c>
      <c r="L213" s="83">
        <v>45200</v>
      </c>
      <c r="M213" s="83">
        <v>45230</v>
      </c>
    </row>
    <row r="214" spans="1:13" ht="18.75" customHeight="1" x14ac:dyDescent="0.25">
      <c r="A214" s="9" t="s">
        <v>1578</v>
      </c>
      <c r="B214" s="81">
        <v>118650</v>
      </c>
      <c r="C214" s="81">
        <v>10761</v>
      </c>
      <c r="D214" s="9" t="s">
        <v>1396</v>
      </c>
      <c r="E214" s="81">
        <v>14563151</v>
      </c>
      <c r="F214" s="81">
        <v>47194</v>
      </c>
      <c r="G214" s="81">
        <v>25</v>
      </c>
      <c r="H214" s="82">
        <v>26.3</v>
      </c>
      <c r="I214" s="251">
        <v>657.5</v>
      </c>
      <c r="J214" s="9" t="s">
        <v>1305</v>
      </c>
      <c r="K214" s="9" t="s">
        <v>1306</v>
      </c>
      <c r="L214" s="83">
        <v>45200</v>
      </c>
      <c r="M214" s="83">
        <v>45230</v>
      </c>
    </row>
    <row r="215" spans="1:13" ht="18.75" customHeight="1" x14ac:dyDescent="0.25">
      <c r="A215" s="9" t="s">
        <v>0</v>
      </c>
      <c r="B215" s="81">
        <v>114253</v>
      </c>
      <c r="C215" s="81">
        <v>10757</v>
      </c>
      <c r="D215" s="9" t="s">
        <v>1017</v>
      </c>
      <c r="E215" s="81">
        <v>14563151</v>
      </c>
      <c r="F215" s="81">
        <v>35786</v>
      </c>
      <c r="G215" s="81">
        <v>25</v>
      </c>
      <c r="H215" s="82">
        <v>26.3</v>
      </c>
      <c r="I215" s="251">
        <v>657.5</v>
      </c>
      <c r="J215" s="9" t="s">
        <v>1305</v>
      </c>
      <c r="K215" s="9" t="s">
        <v>1306</v>
      </c>
      <c r="L215" s="83">
        <v>45200</v>
      </c>
      <c r="M215" s="83">
        <v>45230</v>
      </c>
    </row>
    <row r="216" spans="1:13" ht="18.75" customHeight="1" x14ac:dyDescent="0.25">
      <c r="A216" s="9" t="s">
        <v>0</v>
      </c>
      <c r="B216" s="81">
        <v>114691</v>
      </c>
      <c r="C216" s="81">
        <v>10758</v>
      </c>
      <c r="D216" s="9" t="s">
        <v>1068</v>
      </c>
      <c r="E216" s="81">
        <v>14563151</v>
      </c>
      <c r="F216" s="81">
        <v>36830</v>
      </c>
      <c r="G216" s="81">
        <v>10</v>
      </c>
      <c r="H216" s="82">
        <v>26.3</v>
      </c>
      <c r="I216" s="251">
        <v>263</v>
      </c>
      <c r="J216" s="9" t="s">
        <v>1305</v>
      </c>
      <c r="K216" s="9" t="s">
        <v>1306</v>
      </c>
      <c r="L216" s="83">
        <v>45200</v>
      </c>
      <c r="M216" s="83">
        <v>45230</v>
      </c>
    </row>
    <row r="217" spans="1:13" ht="18.75" customHeight="1" x14ac:dyDescent="0.25">
      <c r="A217" s="9" t="s">
        <v>1578</v>
      </c>
      <c r="B217" s="81">
        <v>112186</v>
      </c>
      <c r="C217" s="81">
        <v>10761</v>
      </c>
      <c r="D217" s="9" t="s">
        <v>1638</v>
      </c>
      <c r="E217" s="81">
        <v>14563151</v>
      </c>
      <c r="F217" s="81">
        <v>28807</v>
      </c>
      <c r="G217" s="81">
        <v>25</v>
      </c>
      <c r="H217" s="82">
        <v>26.3</v>
      </c>
      <c r="I217" s="251">
        <v>657.5</v>
      </c>
      <c r="J217" s="9" t="s">
        <v>1305</v>
      </c>
      <c r="K217" s="9" t="s">
        <v>1306</v>
      </c>
      <c r="L217" s="83">
        <v>45200</v>
      </c>
      <c r="M217" s="83">
        <v>45230</v>
      </c>
    </row>
    <row r="218" spans="1:13" ht="18.75" customHeight="1" x14ac:dyDescent="0.25">
      <c r="A218" s="9" t="s">
        <v>1578</v>
      </c>
      <c r="B218" s="81">
        <v>112187</v>
      </c>
      <c r="C218" s="81">
        <v>10761</v>
      </c>
      <c r="D218" s="9" t="s">
        <v>1318</v>
      </c>
      <c r="E218" s="81">
        <v>14563151</v>
      </c>
      <c r="F218" s="81">
        <v>28809</v>
      </c>
      <c r="G218" s="81">
        <v>25</v>
      </c>
      <c r="H218" s="82">
        <v>26.3</v>
      </c>
      <c r="I218" s="251">
        <v>657.5</v>
      </c>
      <c r="J218" s="9" t="s">
        <v>1305</v>
      </c>
      <c r="K218" s="9" t="s">
        <v>1306</v>
      </c>
      <c r="L218" s="83">
        <v>45200</v>
      </c>
      <c r="M218" s="83">
        <v>45230</v>
      </c>
    </row>
    <row r="219" spans="1:13" ht="18.75" customHeight="1" x14ac:dyDescent="0.25">
      <c r="A219" s="9" t="s">
        <v>1578</v>
      </c>
      <c r="B219" s="81">
        <v>121674</v>
      </c>
      <c r="C219" s="81">
        <v>10755</v>
      </c>
      <c r="D219" s="9" t="s">
        <v>1584</v>
      </c>
      <c r="E219" s="81">
        <v>14563151</v>
      </c>
      <c r="F219" s="81">
        <v>54313</v>
      </c>
      <c r="G219" s="81">
        <v>25</v>
      </c>
      <c r="H219" s="82">
        <v>26.3</v>
      </c>
      <c r="I219" s="251">
        <v>657.5</v>
      </c>
      <c r="J219" s="9" t="s">
        <v>1305</v>
      </c>
      <c r="K219" s="9" t="s">
        <v>1306</v>
      </c>
      <c r="L219" s="83">
        <v>45200</v>
      </c>
      <c r="M219" s="83">
        <v>45230</v>
      </c>
    </row>
    <row r="220" spans="1:13" ht="18.75" customHeight="1" x14ac:dyDescent="0.25">
      <c r="A220" s="9" t="s">
        <v>0</v>
      </c>
      <c r="B220" s="81">
        <v>114504</v>
      </c>
      <c r="C220" s="81">
        <v>10754</v>
      </c>
      <c r="D220" s="9" t="s">
        <v>1319</v>
      </c>
      <c r="E220" s="81">
        <v>14563151</v>
      </c>
      <c r="F220" s="81">
        <v>35891</v>
      </c>
      <c r="G220" s="81">
        <v>25</v>
      </c>
      <c r="H220" s="82">
        <v>26.3</v>
      </c>
      <c r="I220" s="251">
        <v>657.5</v>
      </c>
      <c r="J220" s="9" t="s">
        <v>1305</v>
      </c>
      <c r="K220" s="9" t="s">
        <v>1306</v>
      </c>
      <c r="L220" s="83">
        <v>45200</v>
      </c>
      <c r="M220" s="83">
        <v>45230</v>
      </c>
    </row>
    <row r="221" spans="1:13" ht="18.75" customHeight="1" x14ac:dyDescent="0.25">
      <c r="A221" s="9" t="s">
        <v>8</v>
      </c>
      <c r="B221" s="81">
        <v>112318</v>
      </c>
      <c r="C221" s="81">
        <v>10750</v>
      </c>
      <c r="D221" s="9" t="s">
        <v>104</v>
      </c>
      <c r="E221" s="81">
        <v>14563151</v>
      </c>
      <c r="F221" s="81">
        <v>29071</v>
      </c>
      <c r="G221" s="81">
        <v>25</v>
      </c>
      <c r="H221" s="82">
        <v>26.3</v>
      </c>
      <c r="I221" s="251">
        <v>657.5</v>
      </c>
      <c r="J221" s="9" t="s">
        <v>1305</v>
      </c>
      <c r="K221" s="9" t="s">
        <v>1306</v>
      </c>
      <c r="L221" s="83">
        <v>45200</v>
      </c>
      <c r="M221" s="83">
        <v>45230</v>
      </c>
    </row>
    <row r="222" spans="1:13" ht="18.75" customHeight="1" x14ac:dyDescent="0.25">
      <c r="A222" s="9" t="s">
        <v>0</v>
      </c>
      <c r="B222" s="81">
        <v>112324</v>
      </c>
      <c r="C222" s="81">
        <v>10752</v>
      </c>
      <c r="D222" s="9" t="s">
        <v>107</v>
      </c>
      <c r="E222" s="81">
        <v>14563151</v>
      </c>
      <c r="F222" s="81">
        <v>29083</v>
      </c>
      <c r="G222" s="81">
        <v>25</v>
      </c>
      <c r="H222" s="82">
        <v>26.3</v>
      </c>
      <c r="I222" s="251">
        <v>657.5</v>
      </c>
      <c r="J222" s="9" t="s">
        <v>1305</v>
      </c>
      <c r="K222" s="9" t="s">
        <v>1306</v>
      </c>
      <c r="L222" s="83">
        <v>45200</v>
      </c>
      <c r="M222" s="83">
        <v>45230</v>
      </c>
    </row>
    <row r="223" spans="1:13" ht="18.75" customHeight="1" x14ac:dyDescent="0.25">
      <c r="A223" s="9" t="s">
        <v>19</v>
      </c>
      <c r="B223" s="81">
        <v>112327</v>
      </c>
      <c r="C223" s="81">
        <v>10766</v>
      </c>
      <c r="D223" s="9" t="s">
        <v>109</v>
      </c>
      <c r="E223" s="81">
        <v>14563151</v>
      </c>
      <c r="F223" s="81">
        <v>29089</v>
      </c>
      <c r="G223" s="81">
        <v>25</v>
      </c>
      <c r="H223" s="82">
        <v>26.3</v>
      </c>
      <c r="I223" s="251">
        <v>657.5</v>
      </c>
      <c r="J223" s="9" t="s">
        <v>1305</v>
      </c>
      <c r="K223" s="9" t="s">
        <v>1306</v>
      </c>
      <c r="L223" s="83">
        <v>45200</v>
      </c>
      <c r="M223" s="83">
        <v>45230</v>
      </c>
    </row>
    <row r="224" spans="1:13" ht="18.75" customHeight="1" x14ac:dyDescent="0.25">
      <c r="A224" s="9" t="s">
        <v>19</v>
      </c>
      <c r="B224" s="81">
        <v>112334</v>
      </c>
      <c r="C224" s="81">
        <v>10754</v>
      </c>
      <c r="D224" s="9" t="s">
        <v>116</v>
      </c>
      <c r="E224" s="81">
        <v>14563151</v>
      </c>
      <c r="F224" s="81">
        <v>29103</v>
      </c>
      <c r="G224" s="81">
        <v>25</v>
      </c>
      <c r="H224" s="82">
        <v>26.3</v>
      </c>
      <c r="I224" s="251">
        <v>657.5</v>
      </c>
      <c r="J224" s="9" t="s">
        <v>1305</v>
      </c>
      <c r="K224" s="9" t="s">
        <v>1306</v>
      </c>
      <c r="L224" s="83">
        <v>45200</v>
      </c>
      <c r="M224" s="83">
        <v>45230</v>
      </c>
    </row>
    <row r="225" spans="1:13" ht="18.75" customHeight="1" x14ac:dyDescent="0.25">
      <c r="A225" s="9" t="s">
        <v>0</v>
      </c>
      <c r="B225" s="81">
        <v>112340</v>
      </c>
      <c r="C225" s="81">
        <v>10771</v>
      </c>
      <c r="D225" s="9" t="s">
        <v>119</v>
      </c>
      <c r="E225" s="81">
        <v>14563151</v>
      </c>
      <c r="F225" s="81">
        <v>29115</v>
      </c>
      <c r="G225" s="81">
        <v>25</v>
      </c>
      <c r="H225" s="82">
        <v>26.3</v>
      </c>
      <c r="I225" s="251">
        <v>657.5</v>
      </c>
      <c r="J225" s="9" t="s">
        <v>1305</v>
      </c>
      <c r="K225" s="9" t="s">
        <v>1306</v>
      </c>
      <c r="L225" s="83">
        <v>45200</v>
      </c>
      <c r="M225" s="83">
        <v>45230</v>
      </c>
    </row>
    <row r="226" spans="1:13" ht="18.75" customHeight="1" x14ac:dyDescent="0.25">
      <c r="A226" s="9" t="s">
        <v>8</v>
      </c>
      <c r="B226" s="81">
        <v>112348</v>
      </c>
      <c r="C226" s="81">
        <v>10754</v>
      </c>
      <c r="D226" s="9" t="s">
        <v>124</v>
      </c>
      <c r="E226" s="81">
        <v>14563151</v>
      </c>
      <c r="F226" s="81">
        <v>29131</v>
      </c>
      <c r="G226" s="81">
        <v>25</v>
      </c>
      <c r="H226" s="82">
        <v>26.3</v>
      </c>
      <c r="I226" s="251">
        <v>657.5</v>
      </c>
      <c r="J226" s="9" t="s">
        <v>1305</v>
      </c>
      <c r="K226" s="9" t="s">
        <v>1306</v>
      </c>
      <c r="L226" s="83">
        <v>45200</v>
      </c>
      <c r="M226" s="83">
        <v>45230</v>
      </c>
    </row>
    <row r="227" spans="1:13" ht="18.75" customHeight="1" x14ac:dyDescent="0.25">
      <c r="A227" s="9" t="s">
        <v>8</v>
      </c>
      <c r="B227" s="81">
        <v>122343</v>
      </c>
      <c r="C227" s="81">
        <v>10750</v>
      </c>
      <c r="D227" s="9" t="s">
        <v>1651</v>
      </c>
      <c r="E227" s="81">
        <v>14563151</v>
      </c>
      <c r="F227" s="81">
        <v>55986</v>
      </c>
      <c r="G227" s="81">
        <v>25</v>
      </c>
      <c r="H227" s="82">
        <v>26.3</v>
      </c>
      <c r="I227" s="251">
        <v>657.5</v>
      </c>
      <c r="J227" s="9" t="s">
        <v>1305</v>
      </c>
      <c r="K227" s="9" t="s">
        <v>1306</v>
      </c>
      <c r="L227" s="83">
        <v>45200</v>
      </c>
      <c r="M227" s="83">
        <v>45230</v>
      </c>
    </row>
    <row r="228" spans="1:13" ht="18.75" customHeight="1" x14ac:dyDescent="0.25">
      <c r="A228" s="9" t="s">
        <v>19</v>
      </c>
      <c r="B228" s="81">
        <v>112443</v>
      </c>
      <c r="C228" s="81">
        <v>10757</v>
      </c>
      <c r="D228" s="9" t="s">
        <v>184</v>
      </c>
      <c r="E228" s="81">
        <v>14563151</v>
      </c>
      <c r="F228" s="81">
        <v>29321</v>
      </c>
      <c r="G228" s="81">
        <v>25</v>
      </c>
      <c r="H228" s="82">
        <v>26.3</v>
      </c>
      <c r="I228" s="251">
        <v>657.5</v>
      </c>
      <c r="J228" s="9" t="s">
        <v>1305</v>
      </c>
      <c r="K228" s="9" t="s">
        <v>1306</v>
      </c>
      <c r="L228" s="83">
        <v>45200</v>
      </c>
      <c r="M228" s="83">
        <v>45230</v>
      </c>
    </row>
    <row r="229" spans="1:13" ht="18.75" customHeight="1" x14ac:dyDescent="0.25">
      <c r="A229" s="9" t="s">
        <v>1578</v>
      </c>
      <c r="B229" s="81">
        <v>112490</v>
      </c>
      <c r="C229" s="81">
        <v>10767</v>
      </c>
      <c r="D229" s="9" t="s">
        <v>212</v>
      </c>
      <c r="E229" s="81">
        <v>14563151</v>
      </c>
      <c r="F229" s="81">
        <v>29415</v>
      </c>
      <c r="G229" s="81">
        <v>25</v>
      </c>
      <c r="H229" s="82">
        <v>26.3</v>
      </c>
      <c r="I229" s="251">
        <v>657.5</v>
      </c>
      <c r="J229" s="9" t="s">
        <v>1305</v>
      </c>
      <c r="K229" s="9" t="s">
        <v>1306</v>
      </c>
      <c r="L229" s="83">
        <v>45200</v>
      </c>
      <c r="M229" s="83">
        <v>45230</v>
      </c>
    </row>
    <row r="230" spans="1:13" ht="18.75" customHeight="1" x14ac:dyDescent="0.25">
      <c r="A230" s="9" t="s">
        <v>1578</v>
      </c>
      <c r="B230" s="81">
        <v>112502</v>
      </c>
      <c r="C230" s="81">
        <v>10757</v>
      </c>
      <c r="D230" s="9" t="s">
        <v>220</v>
      </c>
      <c r="E230" s="81">
        <v>14563151</v>
      </c>
      <c r="F230" s="81">
        <v>29439</v>
      </c>
      <c r="G230" s="81">
        <v>25</v>
      </c>
      <c r="H230" s="82">
        <v>26.3</v>
      </c>
      <c r="I230" s="251">
        <v>657.5</v>
      </c>
      <c r="J230" s="9" t="s">
        <v>1305</v>
      </c>
      <c r="K230" s="9" t="s">
        <v>1306</v>
      </c>
      <c r="L230" s="83">
        <v>45200</v>
      </c>
      <c r="M230" s="83">
        <v>45230</v>
      </c>
    </row>
    <row r="231" spans="1:13" ht="18.75" customHeight="1" x14ac:dyDescent="0.25">
      <c r="A231" s="9" t="s">
        <v>8</v>
      </c>
      <c r="B231" s="81">
        <v>112521</v>
      </c>
      <c r="C231" s="81">
        <v>10751</v>
      </c>
      <c r="D231" s="9" t="s">
        <v>236</v>
      </c>
      <c r="E231" s="81">
        <v>14563151</v>
      </c>
      <c r="F231" s="81">
        <v>29477</v>
      </c>
      <c r="G231" s="81">
        <v>25</v>
      </c>
      <c r="H231" s="82">
        <v>26.3</v>
      </c>
      <c r="I231" s="251">
        <v>657.5</v>
      </c>
      <c r="J231" s="9" t="s">
        <v>1305</v>
      </c>
      <c r="K231" s="9" t="s">
        <v>1306</v>
      </c>
      <c r="L231" s="83">
        <v>45200</v>
      </c>
      <c r="M231" s="83">
        <v>45230</v>
      </c>
    </row>
    <row r="232" spans="1:13" ht="18.75" customHeight="1" x14ac:dyDescent="0.25">
      <c r="A232" s="9" t="s">
        <v>0</v>
      </c>
      <c r="B232" s="81">
        <v>122824</v>
      </c>
      <c r="C232" s="81">
        <v>10757</v>
      </c>
      <c r="D232" s="9" t="s">
        <v>1717</v>
      </c>
      <c r="E232" s="81">
        <v>14563151</v>
      </c>
      <c r="F232" s="81">
        <v>57220</v>
      </c>
      <c r="G232" s="81">
        <v>25</v>
      </c>
      <c r="H232" s="82">
        <v>26.3</v>
      </c>
      <c r="I232" s="251">
        <v>657.5</v>
      </c>
      <c r="J232" s="9" t="s">
        <v>1305</v>
      </c>
      <c r="K232" s="9" t="s">
        <v>1306</v>
      </c>
      <c r="L232" s="83">
        <v>45200</v>
      </c>
      <c r="M232" s="83">
        <v>45230</v>
      </c>
    </row>
    <row r="233" spans="1:13" ht="18.75" customHeight="1" x14ac:dyDescent="0.25">
      <c r="A233" s="9" t="s">
        <v>0</v>
      </c>
      <c r="B233" s="81">
        <v>113305</v>
      </c>
      <c r="C233" s="81">
        <v>10752</v>
      </c>
      <c r="D233" s="9" t="s">
        <v>696</v>
      </c>
      <c r="E233" s="81">
        <v>14563151</v>
      </c>
      <c r="F233" s="81">
        <v>31045</v>
      </c>
      <c r="G233" s="81">
        <v>25</v>
      </c>
      <c r="H233" s="82">
        <v>26.3</v>
      </c>
      <c r="I233" s="251">
        <v>657.5</v>
      </c>
      <c r="J233" s="9" t="s">
        <v>1305</v>
      </c>
      <c r="K233" s="9" t="s">
        <v>1306</v>
      </c>
      <c r="L233" s="83">
        <v>45200</v>
      </c>
      <c r="M233" s="83">
        <v>45230</v>
      </c>
    </row>
    <row r="234" spans="1:13" ht="18.75" customHeight="1" x14ac:dyDescent="0.25">
      <c r="A234" s="9" t="s">
        <v>1578</v>
      </c>
      <c r="B234" s="81">
        <v>112525</v>
      </c>
      <c r="C234" s="81">
        <v>10755</v>
      </c>
      <c r="D234" s="9" t="s">
        <v>238</v>
      </c>
      <c r="E234" s="81">
        <v>14563151</v>
      </c>
      <c r="F234" s="81">
        <v>29485</v>
      </c>
      <c r="G234" s="81">
        <v>25</v>
      </c>
      <c r="H234" s="82">
        <v>26.3</v>
      </c>
      <c r="I234" s="251">
        <v>657.5</v>
      </c>
      <c r="J234" s="9" t="s">
        <v>1305</v>
      </c>
      <c r="K234" s="9" t="s">
        <v>1306</v>
      </c>
      <c r="L234" s="83">
        <v>45200</v>
      </c>
      <c r="M234" s="83">
        <v>45230</v>
      </c>
    </row>
    <row r="235" spans="1:13" ht="18.75" customHeight="1" x14ac:dyDescent="0.25">
      <c r="A235" s="9" t="s">
        <v>1578</v>
      </c>
      <c r="B235" s="81">
        <v>112527</v>
      </c>
      <c r="C235" s="81">
        <v>10766</v>
      </c>
      <c r="D235" s="9" t="s">
        <v>1320</v>
      </c>
      <c r="E235" s="81">
        <v>14563151</v>
      </c>
      <c r="F235" s="81">
        <v>29489</v>
      </c>
      <c r="G235" s="81">
        <v>25</v>
      </c>
      <c r="H235" s="82">
        <v>26.3</v>
      </c>
      <c r="I235" s="251">
        <v>657.5</v>
      </c>
      <c r="J235" s="9" t="s">
        <v>1305</v>
      </c>
      <c r="K235" s="9" t="s">
        <v>1306</v>
      </c>
      <c r="L235" s="83">
        <v>45200</v>
      </c>
      <c r="M235" s="83">
        <v>45230</v>
      </c>
    </row>
    <row r="236" spans="1:13" ht="18.75" customHeight="1" x14ac:dyDescent="0.25">
      <c r="A236" s="9" t="s">
        <v>1578</v>
      </c>
      <c r="B236" s="81">
        <v>112530</v>
      </c>
      <c r="C236" s="81">
        <v>10761</v>
      </c>
      <c r="D236" s="9" t="s">
        <v>242</v>
      </c>
      <c r="E236" s="81">
        <v>14563151</v>
      </c>
      <c r="F236" s="81">
        <v>29495</v>
      </c>
      <c r="G236" s="81">
        <v>25</v>
      </c>
      <c r="H236" s="82">
        <v>26.3</v>
      </c>
      <c r="I236" s="251">
        <v>657.5</v>
      </c>
      <c r="J236" s="9" t="s">
        <v>1305</v>
      </c>
      <c r="K236" s="9" t="s">
        <v>1306</v>
      </c>
      <c r="L236" s="83">
        <v>45200</v>
      </c>
      <c r="M236" s="83">
        <v>45230</v>
      </c>
    </row>
    <row r="237" spans="1:13" ht="18.75" customHeight="1" x14ac:dyDescent="0.25">
      <c r="A237" s="9" t="s">
        <v>10</v>
      </c>
      <c r="B237" s="81">
        <v>112532</v>
      </c>
      <c r="C237" s="81">
        <v>10750</v>
      </c>
      <c r="D237" s="9" t="s">
        <v>244</v>
      </c>
      <c r="E237" s="81">
        <v>14563151</v>
      </c>
      <c r="F237" s="81">
        <v>29499</v>
      </c>
      <c r="G237" s="81">
        <v>25</v>
      </c>
      <c r="H237" s="82">
        <v>26.3</v>
      </c>
      <c r="I237" s="251">
        <v>657.5</v>
      </c>
      <c r="J237" s="9" t="s">
        <v>1305</v>
      </c>
      <c r="K237" s="9" t="s">
        <v>1306</v>
      </c>
      <c r="L237" s="83">
        <v>45200</v>
      </c>
      <c r="M237" s="83">
        <v>45230</v>
      </c>
    </row>
    <row r="238" spans="1:13" ht="18.75" customHeight="1" x14ac:dyDescent="0.25">
      <c r="A238" s="9" t="s">
        <v>0</v>
      </c>
      <c r="B238" s="81">
        <v>112533</v>
      </c>
      <c r="C238" s="81">
        <v>10754</v>
      </c>
      <c r="D238" s="9" t="s">
        <v>245</v>
      </c>
      <c r="E238" s="81">
        <v>14563151</v>
      </c>
      <c r="F238" s="81">
        <v>29501</v>
      </c>
      <c r="G238" s="81">
        <v>25</v>
      </c>
      <c r="H238" s="82">
        <v>26.3</v>
      </c>
      <c r="I238" s="251">
        <v>657.5</v>
      </c>
      <c r="J238" s="9" t="s">
        <v>1305</v>
      </c>
      <c r="K238" s="9" t="s">
        <v>1306</v>
      </c>
      <c r="L238" s="83">
        <v>45200</v>
      </c>
      <c r="M238" s="83">
        <v>45230</v>
      </c>
    </row>
    <row r="239" spans="1:13" ht="18.75" customHeight="1" x14ac:dyDescent="0.25">
      <c r="A239" s="9" t="s">
        <v>8</v>
      </c>
      <c r="B239" s="81">
        <v>112535</v>
      </c>
      <c r="C239" s="81">
        <v>10754</v>
      </c>
      <c r="D239" s="9" t="s">
        <v>247</v>
      </c>
      <c r="E239" s="81">
        <v>14563151</v>
      </c>
      <c r="F239" s="81">
        <v>29505</v>
      </c>
      <c r="G239" s="81">
        <v>25</v>
      </c>
      <c r="H239" s="82">
        <v>26.3</v>
      </c>
      <c r="I239" s="251">
        <v>657.5</v>
      </c>
      <c r="J239" s="9" t="s">
        <v>1305</v>
      </c>
      <c r="K239" s="9" t="s">
        <v>1306</v>
      </c>
      <c r="L239" s="83">
        <v>45200</v>
      </c>
      <c r="M239" s="83">
        <v>45230</v>
      </c>
    </row>
    <row r="240" spans="1:13" ht="18.75" customHeight="1" x14ac:dyDescent="0.25">
      <c r="A240" s="9" t="s">
        <v>10</v>
      </c>
      <c r="B240" s="81">
        <v>112538</v>
      </c>
      <c r="C240" s="81">
        <v>10750</v>
      </c>
      <c r="D240" s="9" t="s">
        <v>249</v>
      </c>
      <c r="E240" s="81">
        <v>14563151</v>
      </c>
      <c r="F240" s="81">
        <v>29511</v>
      </c>
      <c r="G240" s="81">
        <v>25</v>
      </c>
      <c r="H240" s="82">
        <v>26.3</v>
      </c>
      <c r="I240" s="251">
        <v>657.5</v>
      </c>
      <c r="J240" s="9" t="s">
        <v>1305</v>
      </c>
      <c r="K240" s="9" t="s">
        <v>1306</v>
      </c>
      <c r="L240" s="83">
        <v>45200</v>
      </c>
      <c r="M240" s="83">
        <v>45230</v>
      </c>
    </row>
    <row r="241" spans="1:13" ht="18.75" customHeight="1" x14ac:dyDescent="0.25">
      <c r="A241" s="9" t="s">
        <v>8</v>
      </c>
      <c r="B241" s="81">
        <v>114537</v>
      </c>
      <c r="C241" s="81">
        <v>10757</v>
      </c>
      <c r="D241" s="9" t="s">
        <v>1050</v>
      </c>
      <c r="E241" s="81">
        <v>14563151</v>
      </c>
      <c r="F241" s="81">
        <v>36350</v>
      </c>
      <c r="G241" s="81">
        <v>25</v>
      </c>
      <c r="H241" s="82">
        <v>26.3</v>
      </c>
      <c r="I241" s="251">
        <v>657.5</v>
      </c>
      <c r="J241" s="9" t="s">
        <v>1305</v>
      </c>
      <c r="K241" s="9" t="s">
        <v>1306</v>
      </c>
      <c r="L241" s="83">
        <v>45200</v>
      </c>
      <c r="M241" s="83">
        <v>45230</v>
      </c>
    </row>
    <row r="242" spans="1:13" ht="18.75" customHeight="1" x14ac:dyDescent="0.25">
      <c r="A242" s="9" t="s">
        <v>19</v>
      </c>
      <c r="B242" s="81">
        <v>115218</v>
      </c>
      <c r="C242" s="81">
        <v>10758</v>
      </c>
      <c r="D242" s="9" t="s">
        <v>1142</v>
      </c>
      <c r="E242" s="81">
        <v>14563151</v>
      </c>
      <c r="F242" s="81">
        <v>38484</v>
      </c>
      <c r="G242" s="81">
        <v>25</v>
      </c>
      <c r="H242" s="82">
        <v>26.3</v>
      </c>
      <c r="I242" s="251">
        <v>657.5</v>
      </c>
      <c r="J242" s="9" t="s">
        <v>1305</v>
      </c>
      <c r="K242" s="9" t="s">
        <v>1306</v>
      </c>
      <c r="L242" s="83">
        <v>45200</v>
      </c>
      <c r="M242" s="83">
        <v>45230</v>
      </c>
    </row>
    <row r="243" spans="1:13" ht="18.75" customHeight="1" x14ac:dyDescent="0.25">
      <c r="A243" s="9" t="s">
        <v>32</v>
      </c>
      <c r="B243" s="81">
        <v>112548</v>
      </c>
      <c r="C243" s="81">
        <v>10756</v>
      </c>
      <c r="D243" s="9" t="s">
        <v>258</v>
      </c>
      <c r="E243" s="81">
        <v>14563151</v>
      </c>
      <c r="F243" s="81">
        <v>29531</v>
      </c>
      <c r="G243" s="81">
        <v>25</v>
      </c>
      <c r="H243" s="82">
        <v>26.3</v>
      </c>
      <c r="I243" s="251">
        <v>657.5</v>
      </c>
      <c r="J243" s="9" t="s">
        <v>1305</v>
      </c>
      <c r="K243" s="9" t="s">
        <v>1306</v>
      </c>
      <c r="L243" s="83">
        <v>45200</v>
      </c>
      <c r="M243" s="83">
        <v>45230</v>
      </c>
    </row>
    <row r="244" spans="1:13" ht="18.75" customHeight="1" x14ac:dyDescent="0.25">
      <c r="A244" s="9" t="s">
        <v>1578</v>
      </c>
      <c r="B244" s="81">
        <v>116072</v>
      </c>
      <c r="C244" s="81">
        <v>10743</v>
      </c>
      <c r="D244" s="9" t="s">
        <v>1178</v>
      </c>
      <c r="E244" s="81">
        <v>14563151</v>
      </c>
      <c r="F244" s="81">
        <v>41063</v>
      </c>
      <c r="G244" s="81">
        <v>25</v>
      </c>
      <c r="H244" s="82">
        <v>26.3</v>
      </c>
      <c r="I244" s="251">
        <v>657.5</v>
      </c>
      <c r="J244" s="9" t="s">
        <v>1305</v>
      </c>
      <c r="K244" s="9" t="s">
        <v>1306</v>
      </c>
      <c r="L244" s="83">
        <v>45200</v>
      </c>
      <c r="M244" s="83">
        <v>45230</v>
      </c>
    </row>
    <row r="245" spans="1:13" ht="18.75" customHeight="1" x14ac:dyDescent="0.25">
      <c r="A245" s="9" t="s">
        <v>19</v>
      </c>
      <c r="B245" s="81">
        <v>112551</v>
      </c>
      <c r="C245" s="81">
        <v>10756</v>
      </c>
      <c r="D245" s="9" t="s">
        <v>260</v>
      </c>
      <c r="E245" s="81">
        <v>14563151</v>
      </c>
      <c r="F245" s="81">
        <v>29537</v>
      </c>
      <c r="G245" s="81">
        <v>25</v>
      </c>
      <c r="H245" s="82">
        <v>26.3</v>
      </c>
      <c r="I245" s="251">
        <v>657.5</v>
      </c>
      <c r="J245" s="9" t="s">
        <v>1305</v>
      </c>
      <c r="K245" s="9" t="s">
        <v>1306</v>
      </c>
      <c r="L245" s="83">
        <v>45200</v>
      </c>
      <c r="M245" s="83">
        <v>45230</v>
      </c>
    </row>
    <row r="246" spans="1:13" ht="18.75" customHeight="1" x14ac:dyDescent="0.25">
      <c r="A246" s="9" t="s">
        <v>0</v>
      </c>
      <c r="B246" s="81">
        <v>115415</v>
      </c>
      <c r="C246" s="81">
        <v>10757</v>
      </c>
      <c r="D246" s="9" t="s">
        <v>1159</v>
      </c>
      <c r="E246" s="81">
        <v>14563151</v>
      </c>
      <c r="F246" s="81">
        <v>39038</v>
      </c>
      <c r="G246" s="81">
        <v>25</v>
      </c>
      <c r="H246" s="82">
        <v>26.3</v>
      </c>
      <c r="I246" s="251">
        <v>657.5</v>
      </c>
      <c r="J246" s="9" t="s">
        <v>1305</v>
      </c>
      <c r="K246" s="9" t="s">
        <v>1306</v>
      </c>
      <c r="L246" s="83">
        <v>45200</v>
      </c>
      <c r="M246" s="83">
        <v>45230</v>
      </c>
    </row>
    <row r="247" spans="1:13" ht="18.75" customHeight="1" x14ac:dyDescent="0.25">
      <c r="A247" s="9" t="s">
        <v>8</v>
      </c>
      <c r="B247" s="81">
        <v>112553</v>
      </c>
      <c r="C247" s="81">
        <v>10754</v>
      </c>
      <c r="D247" s="9" t="s">
        <v>261</v>
      </c>
      <c r="E247" s="81">
        <v>14563151</v>
      </c>
      <c r="F247" s="81">
        <v>29541</v>
      </c>
      <c r="G247" s="81">
        <v>25</v>
      </c>
      <c r="H247" s="82">
        <v>26.3</v>
      </c>
      <c r="I247" s="251">
        <v>657.5</v>
      </c>
      <c r="J247" s="9" t="s">
        <v>1305</v>
      </c>
      <c r="K247" s="9" t="s">
        <v>1306</v>
      </c>
      <c r="L247" s="83">
        <v>45200</v>
      </c>
      <c r="M247" s="83">
        <v>45230</v>
      </c>
    </row>
    <row r="248" spans="1:13" ht="18.75" customHeight="1" x14ac:dyDescent="0.25">
      <c r="A248" s="9" t="s">
        <v>8</v>
      </c>
      <c r="B248" s="81">
        <v>112555</v>
      </c>
      <c r="C248" s="81">
        <v>10754</v>
      </c>
      <c r="D248" s="9" t="s">
        <v>262</v>
      </c>
      <c r="E248" s="81">
        <v>14563151</v>
      </c>
      <c r="F248" s="81">
        <v>29545</v>
      </c>
      <c r="G248" s="81">
        <v>25</v>
      </c>
      <c r="H248" s="82">
        <v>26.3</v>
      </c>
      <c r="I248" s="251">
        <v>657.5</v>
      </c>
      <c r="J248" s="9" t="s">
        <v>1305</v>
      </c>
      <c r="K248" s="9" t="s">
        <v>1306</v>
      </c>
      <c r="L248" s="83">
        <v>45200</v>
      </c>
      <c r="M248" s="83">
        <v>45230</v>
      </c>
    </row>
    <row r="249" spans="1:13" ht="18.75" customHeight="1" x14ac:dyDescent="0.25">
      <c r="A249" s="9" t="s">
        <v>1578</v>
      </c>
      <c r="B249" s="81">
        <v>112557</v>
      </c>
      <c r="C249" s="81">
        <v>10768</v>
      </c>
      <c r="D249" s="9" t="s">
        <v>263</v>
      </c>
      <c r="E249" s="81">
        <v>14563151</v>
      </c>
      <c r="F249" s="81">
        <v>29549</v>
      </c>
      <c r="G249" s="81">
        <v>25</v>
      </c>
      <c r="H249" s="82">
        <v>26.3</v>
      </c>
      <c r="I249" s="251">
        <v>657.5</v>
      </c>
      <c r="J249" s="9" t="s">
        <v>1305</v>
      </c>
      <c r="K249" s="9" t="s">
        <v>1306</v>
      </c>
      <c r="L249" s="83">
        <v>45200</v>
      </c>
      <c r="M249" s="83">
        <v>45230</v>
      </c>
    </row>
    <row r="250" spans="1:13" ht="18.75" customHeight="1" x14ac:dyDescent="0.25">
      <c r="A250" s="9" t="s">
        <v>0</v>
      </c>
      <c r="B250" s="81">
        <v>112559</v>
      </c>
      <c r="C250" s="81">
        <v>10752</v>
      </c>
      <c r="D250" s="9" t="s">
        <v>265</v>
      </c>
      <c r="E250" s="81">
        <v>14563151</v>
      </c>
      <c r="F250" s="81">
        <v>29553</v>
      </c>
      <c r="G250" s="81">
        <v>25</v>
      </c>
      <c r="H250" s="82">
        <v>26.3</v>
      </c>
      <c r="I250" s="251">
        <v>657.5</v>
      </c>
      <c r="J250" s="9" t="s">
        <v>1305</v>
      </c>
      <c r="K250" s="9" t="s">
        <v>1306</v>
      </c>
      <c r="L250" s="83">
        <v>45200</v>
      </c>
      <c r="M250" s="83">
        <v>45230</v>
      </c>
    </row>
    <row r="251" spans="1:13" ht="18.75" customHeight="1" x14ac:dyDescent="0.25">
      <c r="A251" s="9" t="s">
        <v>10</v>
      </c>
      <c r="B251" s="81">
        <v>112561</v>
      </c>
      <c r="C251" s="81">
        <v>10750</v>
      </c>
      <c r="D251" s="9" t="s">
        <v>266</v>
      </c>
      <c r="E251" s="81">
        <v>14563151</v>
      </c>
      <c r="F251" s="81">
        <v>29557</v>
      </c>
      <c r="G251" s="81">
        <v>25</v>
      </c>
      <c r="H251" s="82">
        <v>26.3</v>
      </c>
      <c r="I251" s="251">
        <v>657.5</v>
      </c>
      <c r="J251" s="9" t="s">
        <v>1305</v>
      </c>
      <c r="K251" s="9" t="s">
        <v>1306</v>
      </c>
      <c r="L251" s="83">
        <v>45200</v>
      </c>
      <c r="M251" s="83">
        <v>45230</v>
      </c>
    </row>
    <row r="252" spans="1:13" ht="18.75" customHeight="1" x14ac:dyDescent="0.25">
      <c r="A252" s="9" t="s">
        <v>1578</v>
      </c>
      <c r="B252" s="81">
        <v>116731</v>
      </c>
      <c r="C252" s="81">
        <v>10757</v>
      </c>
      <c r="D252" s="9" t="s">
        <v>1222</v>
      </c>
      <c r="E252" s="81">
        <v>14563151</v>
      </c>
      <c r="F252" s="81">
        <v>42850</v>
      </c>
      <c r="G252" s="81">
        <v>25</v>
      </c>
      <c r="H252" s="82">
        <v>26.3</v>
      </c>
      <c r="I252" s="251">
        <v>657.5</v>
      </c>
      <c r="J252" s="9" t="s">
        <v>1305</v>
      </c>
      <c r="K252" s="9" t="s">
        <v>1306</v>
      </c>
      <c r="L252" s="83">
        <v>45200</v>
      </c>
      <c r="M252" s="83">
        <v>45230</v>
      </c>
    </row>
    <row r="253" spans="1:13" ht="18.75" customHeight="1" x14ac:dyDescent="0.25">
      <c r="A253" s="9" t="s">
        <v>0</v>
      </c>
      <c r="B253" s="81">
        <v>112563</v>
      </c>
      <c r="C253" s="81">
        <v>10752</v>
      </c>
      <c r="D253" s="9" t="s">
        <v>267</v>
      </c>
      <c r="E253" s="81">
        <v>14563151</v>
      </c>
      <c r="F253" s="81">
        <v>29561</v>
      </c>
      <c r="G253" s="81">
        <v>25</v>
      </c>
      <c r="H253" s="82">
        <v>26.3</v>
      </c>
      <c r="I253" s="251">
        <v>657.5</v>
      </c>
      <c r="J253" s="9" t="s">
        <v>1305</v>
      </c>
      <c r="K253" s="9" t="s">
        <v>1306</v>
      </c>
      <c r="L253" s="83">
        <v>45200</v>
      </c>
      <c r="M253" s="83">
        <v>45230</v>
      </c>
    </row>
    <row r="254" spans="1:13" ht="18.75" customHeight="1" x14ac:dyDescent="0.25">
      <c r="A254" s="9" t="s">
        <v>1578</v>
      </c>
      <c r="B254" s="81">
        <v>119109</v>
      </c>
      <c r="C254" s="81">
        <v>10757</v>
      </c>
      <c r="D254" s="9" t="s">
        <v>1432</v>
      </c>
      <c r="E254" s="81">
        <v>14563151</v>
      </c>
      <c r="F254" s="81">
        <v>48241</v>
      </c>
      <c r="G254" s="81">
        <v>25</v>
      </c>
      <c r="H254" s="82">
        <v>26.3</v>
      </c>
      <c r="I254" s="251">
        <v>657.5</v>
      </c>
      <c r="J254" s="9" t="s">
        <v>1305</v>
      </c>
      <c r="K254" s="9" t="s">
        <v>1306</v>
      </c>
      <c r="L254" s="83">
        <v>45200</v>
      </c>
      <c r="M254" s="83">
        <v>45230</v>
      </c>
    </row>
    <row r="255" spans="1:13" ht="18.75" customHeight="1" x14ac:dyDescent="0.25">
      <c r="A255" s="9" t="s">
        <v>32</v>
      </c>
      <c r="B255" s="81">
        <v>116315</v>
      </c>
      <c r="C255" s="81">
        <v>10760</v>
      </c>
      <c r="D255" s="9" t="s">
        <v>1321</v>
      </c>
      <c r="E255" s="81">
        <v>14563151</v>
      </c>
      <c r="F255" s="81">
        <v>41882</v>
      </c>
      <c r="G255" s="81">
        <v>25</v>
      </c>
      <c r="H255" s="82">
        <v>26.3</v>
      </c>
      <c r="I255" s="251">
        <v>657.5</v>
      </c>
      <c r="J255" s="9" t="s">
        <v>1305</v>
      </c>
      <c r="K255" s="9" t="s">
        <v>1306</v>
      </c>
      <c r="L255" s="83">
        <v>45200</v>
      </c>
      <c r="M255" s="83">
        <v>45230</v>
      </c>
    </row>
    <row r="256" spans="1:13" ht="18.75" customHeight="1" x14ac:dyDescent="0.25">
      <c r="A256" s="9" t="s">
        <v>1578</v>
      </c>
      <c r="B256" s="81">
        <v>112568</v>
      </c>
      <c r="C256" s="81">
        <v>10768</v>
      </c>
      <c r="D256" s="9" t="s">
        <v>270</v>
      </c>
      <c r="E256" s="81">
        <v>14563151</v>
      </c>
      <c r="F256" s="81">
        <v>29571</v>
      </c>
      <c r="G256" s="81">
        <v>25</v>
      </c>
      <c r="H256" s="82">
        <v>26.3</v>
      </c>
      <c r="I256" s="251">
        <v>657.5</v>
      </c>
      <c r="J256" s="9" t="s">
        <v>1305</v>
      </c>
      <c r="K256" s="9" t="s">
        <v>1306</v>
      </c>
      <c r="L256" s="83">
        <v>45200</v>
      </c>
      <c r="M256" s="83">
        <v>45230</v>
      </c>
    </row>
    <row r="257" spans="1:13" ht="18.75" customHeight="1" x14ac:dyDescent="0.25">
      <c r="A257" s="9" t="s">
        <v>0</v>
      </c>
      <c r="B257" s="81">
        <v>115406</v>
      </c>
      <c r="C257" s="81">
        <v>10757</v>
      </c>
      <c r="D257" s="9" t="s">
        <v>1322</v>
      </c>
      <c r="E257" s="81">
        <v>14563151</v>
      </c>
      <c r="F257" s="81">
        <v>39019</v>
      </c>
      <c r="G257" s="81">
        <v>25</v>
      </c>
      <c r="H257" s="82">
        <v>26.3</v>
      </c>
      <c r="I257" s="251">
        <v>657.5</v>
      </c>
      <c r="J257" s="9" t="s">
        <v>1305</v>
      </c>
      <c r="K257" s="9" t="s">
        <v>1306</v>
      </c>
      <c r="L257" s="83">
        <v>45200</v>
      </c>
      <c r="M257" s="83">
        <v>45230</v>
      </c>
    </row>
    <row r="258" spans="1:13" ht="18.75" customHeight="1" x14ac:dyDescent="0.25">
      <c r="A258" s="9" t="s">
        <v>8</v>
      </c>
      <c r="B258" s="81">
        <v>112576</v>
      </c>
      <c r="C258" s="81">
        <v>10754</v>
      </c>
      <c r="D258" s="9" t="s">
        <v>273</v>
      </c>
      <c r="E258" s="81">
        <v>14563151</v>
      </c>
      <c r="F258" s="81">
        <v>29587</v>
      </c>
      <c r="G258" s="81">
        <v>25</v>
      </c>
      <c r="H258" s="82">
        <v>26.3</v>
      </c>
      <c r="I258" s="251">
        <v>657.5</v>
      </c>
      <c r="J258" s="9" t="s">
        <v>1305</v>
      </c>
      <c r="K258" s="9" t="s">
        <v>1306</v>
      </c>
      <c r="L258" s="83">
        <v>45200</v>
      </c>
      <c r="M258" s="83">
        <v>45230</v>
      </c>
    </row>
    <row r="259" spans="1:13" ht="18.75" customHeight="1" x14ac:dyDescent="0.25">
      <c r="A259" s="9" t="s">
        <v>1578</v>
      </c>
      <c r="B259" s="81">
        <v>112581</v>
      </c>
      <c r="C259" s="81">
        <v>10755</v>
      </c>
      <c r="D259" s="9" t="s">
        <v>277</v>
      </c>
      <c r="E259" s="81">
        <v>14563151</v>
      </c>
      <c r="F259" s="81">
        <v>29597</v>
      </c>
      <c r="G259" s="81">
        <v>25</v>
      </c>
      <c r="H259" s="82">
        <v>26.3</v>
      </c>
      <c r="I259" s="251">
        <v>657.5</v>
      </c>
      <c r="J259" s="9" t="s">
        <v>1305</v>
      </c>
      <c r="K259" s="9" t="s">
        <v>1306</v>
      </c>
      <c r="L259" s="83">
        <v>45200</v>
      </c>
      <c r="M259" s="83">
        <v>45230</v>
      </c>
    </row>
    <row r="260" spans="1:13" ht="18.75" customHeight="1" x14ac:dyDescent="0.25">
      <c r="A260" s="9" t="s">
        <v>0</v>
      </c>
      <c r="B260" s="81">
        <v>112587</v>
      </c>
      <c r="C260" s="81">
        <v>10752</v>
      </c>
      <c r="D260" s="9" t="s">
        <v>280</v>
      </c>
      <c r="E260" s="81">
        <v>14563151</v>
      </c>
      <c r="F260" s="81">
        <v>29609</v>
      </c>
      <c r="G260" s="81">
        <v>25</v>
      </c>
      <c r="H260" s="82">
        <v>26.3</v>
      </c>
      <c r="I260" s="251">
        <v>657.5</v>
      </c>
      <c r="J260" s="9" t="s">
        <v>1305</v>
      </c>
      <c r="K260" s="9" t="s">
        <v>1306</v>
      </c>
      <c r="L260" s="83">
        <v>45200</v>
      </c>
      <c r="M260" s="83">
        <v>45230</v>
      </c>
    </row>
    <row r="261" spans="1:13" ht="18.75" customHeight="1" x14ac:dyDescent="0.25">
      <c r="A261" s="9" t="s">
        <v>1578</v>
      </c>
      <c r="B261" s="81">
        <v>114805</v>
      </c>
      <c r="C261" s="81">
        <v>10761</v>
      </c>
      <c r="D261" s="9" t="s">
        <v>1102</v>
      </c>
      <c r="E261" s="81">
        <v>14563151</v>
      </c>
      <c r="F261" s="81">
        <v>37080</v>
      </c>
      <c r="G261" s="81">
        <v>25</v>
      </c>
      <c r="H261" s="82">
        <v>26.3</v>
      </c>
      <c r="I261" s="251">
        <v>657.5</v>
      </c>
      <c r="J261" s="9" t="s">
        <v>1305</v>
      </c>
      <c r="K261" s="9" t="s">
        <v>1306</v>
      </c>
      <c r="L261" s="83">
        <v>45200</v>
      </c>
      <c r="M261" s="83">
        <v>45230</v>
      </c>
    </row>
    <row r="262" spans="1:13" ht="18.75" customHeight="1" x14ac:dyDescent="0.25">
      <c r="A262" s="9" t="s">
        <v>1578</v>
      </c>
      <c r="B262" s="81">
        <v>114526</v>
      </c>
      <c r="C262" s="81">
        <v>10768</v>
      </c>
      <c r="D262" s="9" t="s">
        <v>1047</v>
      </c>
      <c r="E262" s="81">
        <v>14563151</v>
      </c>
      <c r="F262" s="81">
        <v>36333</v>
      </c>
      <c r="G262" s="81">
        <v>25</v>
      </c>
      <c r="H262" s="82">
        <v>26.3</v>
      </c>
      <c r="I262" s="251">
        <v>657.5</v>
      </c>
      <c r="J262" s="9" t="s">
        <v>1305</v>
      </c>
      <c r="K262" s="9" t="s">
        <v>1306</v>
      </c>
      <c r="L262" s="83">
        <v>45200</v>
      </c>
      <c r="M262" s="83">
        <v>45230</v>
      </c>
    </row>
    <row r="263" spans="1:13" ht="18.75" customHeight="1" x14ac:dyDescent="0.25">
      <c r="A263" s="9" t="s">
        <v>8</v>
      </c>
      <c r="B263" s="81">
        <v>121328</v>
      </c>
      <c r="C263" s="81">
        <v>10758</v>
      </c>
      <c r="D263" s="9" t="s">
        <v>1524</v>
      </c>
      <c r="E263" s="81">
        <v>14563151</v>
      </c>
      <c r="F263" s="81">
        <v>53507</v>
      </c>
      <c r="G263" s="81">
        <v>25</v>
      </c>
      <c r="H263" s="82">
        <v>26.3</v>
      </c>
      <c r="I263" s="251">
        <v>657.5</v>
      </c>
      <c r="J263" s="9" t="s">
        <v>1305</v>
      </c>
      <c r="K263" s="9" t="s">
        <v>1309</v>
      </c>
      <c r="L263" s="83">
        <v>45200</v>
      </c>
      <c r="M263" s="83">
        <v>45230</v>
      </c>
    </row>
    <row r="264" spans="1:13" ht="18.75" customHeight="1" x14ac:dyDescent="0.25">
      <c r="A264" s="9" t="s">
        <v>32</v>
      </c>
      <c r="B264" s="81">
        <v>112594</v>
      </c>
      <c r="C264" s="81">
        <v>10751</v>
      </c>
      <c r="D264" s="9" t="s">
        <v>283</v>
      </c>
      <c r="E264" s="81">
        <v>14563151</v>
      </c>
      <c r="F264" s="81">
        <v>29623</v>
      </c>
      <c r="G264" s="81">
        <v>25</v>
      </c>
      <c r="H264" s="82">
        <v>26.3</v>
      </c>
      <c r="I264" s="251">
        <v>657.5</v>
      </c>
      <c r="J264" s="9" t="s">
        <v>1305</v>
      </c>
      <c r="K264" s="9" t="s">
        <v>1306</v>
      </c>
      <c r="L264" s="83">
        <v>45200</v>
      </c>
      <c r="M264" s="83">
        <v>45230</v>
      </c>
    </row>
    <row r="265" spans="1:13" ht="18.75" customHeight="1" x14ac:dyDescent="0.25">
      <c r="A265" s="9" t="s">
        <v>0</v>
      </c>
      <c r="B265" s="81">
        <v>114693</v>
      </c>
      <c r="C265" s="81">
        <v>10758</v>
      </c>
      <c r="D265" s="9" t="s">
        <v>1069</v>
      </c>
      <c r="E265" s="81">
        <v>14563151</v>
      </c>
      <c r="F265" s="81">
        <v>36835</v>
      </c>
      <c r="G265" s="81">
        <v>25</v>
      </c>
      <c r="H265" s="82">
        <v>26.3</v>
      </c>
      <c r="I265" s="251">
        <v>657.5</v>
      </c>
      <c r="J265" s="9" t="s">
        <v>1305</v>
      </c>
      <c r="K265" s="9" t="s">
        <v>1306</v>
      </c>
      <c r="L265" s="83">
        <v>45200</v>
      </c>
      <c r="M265" s="83">
        <v>45230</v>
      </c>
    </row>
    <row r="266" spans="1:13" ht="18.75" customHeight="1" x14ac:dyDescent="0.25">
      <c r="A266" s="9" t="s">
        <v>19</v>
      </c>
      <c r="B266" s="81">
        <v>112610</v>
      </c>
      <c r="C266" s="81">
        <v>10757</v>
      </c>
      <c r="D266" s="9" t="s">
        <v>1323</v>
      </c>
      <c r="E266" s="81">
        <v>14563151</v>
      </c>
      <c r="F266" s="81">
        <v>29655</v>
      </c>
      <c r="G266" s="81">
        <v>25</v>
      </c>
      <c r="H266" s="82">
        <v>26.3</v>
      </c>
      <c r="I266" s="251">
        <v>657.5</v>
      </c>
      <c r="J266" s="9" t="s">
        <v>1305</v>
      </c>
      <c r="K266" s="9" t="s">
        <v>1306</v>
      </c>
      <c r="L266" s="83">
        <v>45200</v>
      </c>
      <c r="M266" s="83">
        <v>45230</v>
      </c>
    </row>
    <row r="267" spans="1:13" ht="18.75" customHeight="1" x14ac:dyDescent="0.25">
      <c r="A267" s="9" t="s">
        <v>8</v>
      </c>
      <c r="B267" s="81">
        <v>112613</v>
      </c>
      <c r="C267" s="81">
        <v>10757</v>
      </c>
      <c r="D267" s="9" t="s">
        <v>297</v>
      </c>
      <c r="E267" s="81">
        <v>14563151</v>
      </c>
      <c r="F267" s="81">
        <v>29661</v>
      </c>
      <c r="G267" s="81">
        <v>25</v>
      </c>
      <c r="H267" s="82">
        <v>26.3</v>
      </c>
      <c r="I267" s="251">
        <v>657.5</v>
      </c>
      <c r="J267" s="9" t="s">
        <v>1305</v>
      </c>
      <c r="K267" s="9" t="s">
        <v>1306</v>
      </c>
      <c r="L267" s="83">
        <v>45200</v>
      </c>
      <c r="M267" s="83">
        <v>45230</v>
      </c>
    </row>
    <row r="268" spans="1:13" ht="18.75" customHeight="1" x14ac:dyDescent="0.25">
      <c r="A268" s="9" t="s">
        <v>10</v>
      </c>
      <c r="B268" s="81">
        <v>112620</v>
      </c>
      <c r="C268" s="81">
        <v>10763</v>
      </c>
      <c r="D268" s="9" t="s">
        <v>303</v>
      </c>
      <c r="E268" s="81">
        <v>14563151</v>
      </c>
      <c r="F268" s="81">
        <v>29675</v>
      </c>
      <c r="G268" s="81">
        <v>25</v>
      </c>
      <c r="H268" s="82">
        <v>26.3</v>
      </c>
      <c r="I268" s="251">
        <v>657.5</v>
      </c>
      <c r="J268" s="9" t="s">
        <v>1305</v>
      </c>
      <c r="K268" s="9" t="s">
        <v>1306</v>
      </c>
      <c r="L268" s="83">
        <v>45200</v>
      </c>
      <c r="M268" s="83">
        <v>45230</v>
      </c>
    </row>
    <row r="269" spans="1:13" ht="18.75" customHeight="1" x14ac:dyDescent="0.25">
      <c r="A269" s="9" t="s">
        <v>0</v>
      </c>
      <c r="B269" s="81">
        <v>112634</v>
      </c>
      <c r="C269" s="81">
        <v>10752</v>
      </c>
      <c r="D269" s="9" t="s">
        <v>311</v>
      </c>
      <c r="E269" s="81">
        <v>14563151</v>
      </c>
      <c r="F269" s="81">
        <v>29703</v>
      </c>
      <c r="G269" s="81">
        <v>25</v>
      </c>
      <c r="H269" s="82">
        <v>26.3</v>
      </c>
      <c r="I269" s="251">
        <v>657.5</v>
      </c>
      <c r="J269" s="9" t="s">
        <v>1305</v>
      </c>
      <c r="K269" s="9" t="s">
        <v>1306</v>
      </c>
      <c r="L269" s="83">
        <v>45200</v>
      </c>
      <c r="M269" s="83">
        <v>45230</v>
      </c>
    </row>
    <row r="270" spans="1:13" ht="18.75" customHeight="1" x14ac:dyDescent="0.25">
      <c r="A270" s="9" t="s">
        <v>10</v>
      </c>
      <c r="B270" s="81">
        <v>116712</v>
      </c>
      <c r="C270" s="81">
        <v>10760</v>
      </c>
      <c r="D270" s="9" t="s">
        <v>1213</v>
      </c>
      <c r="E270" s="81">
        <v>14563151</v>
      </c>
      <c r="F270" s="81">
        <v>42810</v>
      </c>
      <c r="G270" s="81">
        <v>25</v>
      </c>
      <c r="H270" s="82">
        <v>26.3</v>
      </c>
      <c r="I270" s="251">
        <v>657.5</v>
      </c>
      <c r="J270" s="9" t="s">
        <v>1305</v>
      </c>
      <c r="K270" s="9" t="s">
        <v>1306</v>
      </c>
      <c r="L270" s="83">
        <v>45200</v>
      </c>
      <c r="M270" s="83">
        <v>45230</v>
      </c>
    </row>
    <row r="271" spans="1:13" ht="18.75" customHeight="1" x14ac:dyDescent="0.25">
      <c r="A271" s="9" t="s">
        <v>0</v>
      </c>
      <c r="B271" s="81">
        <v>112797</v>
      </c>
      <c r="C271" s="81">
        <v>10752</v>
      </c>
      <c r="D271" s="9" t="s">
        <v>416</v>
      </c>
      <c r="E271" s="81">
        <v>14563151</v>
      </c>
      <c r="F271" s="81">
        <v>30029</v>
      </c>
      <c r="G271" s="81">
        <v>25</v>
      </c>
      <c r="H271" s="82">
        <v>26.3</v>
      </c>
      <c r="I271" s="251">
        <v>657.5</v>
      </c>
      <c r="J271" s="9" t="s">
        <v>1305</v>
      </c>
      <c r="K271" s="9" t="s">
        <v>1306</v>
      </c>
      <c r="L271" s="83">
        <v>45200</v>
      </c>
      <c r="M271" s="83">
        <v>45230</v>
      </c>
    </row>
    <row r="272" spans="1:13" ht="18.75" customHeight="1" x14ac:dyDescent="0.25">
      <c r="A272" s="9" t="s">
        <v>8</v>
      </c>
      <c r="B272" s="81">
        <v>112851</v>
      </c>
      <c r="C272" s="81">
        <v>10757</v>
      </c>
      <c r="D272" s="9" t="s">
        <v>453</v>
      </c>
      <c r="E272" s="81">
        <v>14563151</v>
      </c>
      <c r="F272" s="81">
        <v>30137</v>
      </c>
      <c r="G272" s="81">
        <v>25</v>
      </c>
      <c r="H272" s="82">
        <v>26.3</v>
      </c>
      <c r="I272" s="251">
        <v>657.5</v>
      </c>
      <c r="J272" s="9" t="s">
        <v>1305</v>
      </c>
      <c r="K272" s="9" t="s">
        <v>1306</v>
      </c>
      <c r="L272" s="83">
        <v>45200</v>
      </c>
      <c r="M272" s="83">
        <v>45230</v>
      </c>
    </row>
    <row r="273" spans="1:13" ht="18.75" customHeight="1" x14ac:dyDescent="0.25">
      <c r="A273" s="9" t="s">
        <v>0</v>
      </c>
      <c r="B273" s="81">
        <v>112855</v>
      </c>
      <c r="C273" s="81">
        <v>10757</v>
      </c>
      <c r="D273" s="9" t="s">
        <v>455</v>
      </c>
      <c r="E273" s="81">
        <v>14563151</v>
      </c>
      <c r="F273" s="81">
        <v>30145</v>
      </c>
      <c r="G273" s="81">
        <v>25</v>
      </c>
      <c r="H273" s="82">
        <v>26.3</v>
      </c>
      <c r="I273" s="251">
        <v>657.5</v>
      </c>
      <c r="J273" s="9" t="s">
        <v>1305</v>
      </c>
      <c r="K273" s="9" t="s">
        <v>1306</v>
      </c>
      <c r="L273" s="83">
        <v>45200</v>
      </c>
      <c r="M273" s="83">
        <v>45230</v>
      </c>
    </row>
    <row r="274" spans="1:13" ht="18.75" customHeight="1" x14ac:dyDescent="0.25">
      <c r="A274" s="9" t="s">
        <v>1578</v>
      </c>
      <c r="B274" s="81">
        <v>112860</v>
      </c>
      <c r="C274" s="81">
        <v>10755</v>
      </c>
      <c r="D274" s="9" t="s">
        <v>457</v>
      </c>
      <c r="E274" s="81">
        <v>14563151</v>
      </c>
      <c r="F274" s="81">
        <v>30155</v>
      </c>
      <c r="G274" s="81">
        <v>25</v>
      </c>
      <c r="H274" s="82">
        <v>26.3</v>
      </c>
      <c r="I274" s="251">
        <v>657.5</v>
      </c>
      <c r="J274" s="9" t="s">
        <v>1305</v>
      </c>
      <c r="K274" s="9" t="s">
        <v>1306</v>
      </c>
      <c r="L274" s="83">
        <v>45200</v>
      </c>
      <c r="M274" s="83">
        <v>45230</v>
      </c>
    </row>
    <row r="275" spans="1:13" ht="18.75" customHeight="1" x14ac:dyDescent="0.25">
      <c r="A275" s="9" t="s">
        <v>19</v>
      </c>
      <c r="B275" s="81">
        <v>112865</v>
      </c>
      <c r="C275" s="81">
        <v>10750</v>
      </c>
      <c r="D275" s="9" t="s">
        <v>460</v>
      </c>
      <c r="E275" s="81">
        <v>14563151</v>
      </c>
      <c r="F275" s="81">
        <v>30165</v>
      </c>
      <c r="G275" s="81">
        <v>25</v>
      </c>
      <c r="H275" s="82">
        <v>26.3</v>
      </c>
      <c r="I275" s="251">
        <v>657.5</v>
      </c>
      <c r="J275" s="9" t="s">
        <v>1305</v>
      </c>
      <c r="K275" s="9" t="s">
        <v>1306</v>
      </c>
      <c r="L275" s="83">
        <v>45200</v>
      </c>
      <c r="M275" s="83">
        <v>45230</v>
      </c>
    </row>
    <row r="276" spans="1:13" ht="18.75" customHeight="1" x14ac:dyDescent="0.25">
      <c r="A276" s="9" t="s">
        <v>1578</v>
      </c>
      <c r="B276" s="81">
        <v>113769</v>
      </c>
      <c r="C276" s="81">
        <v>10743</v>
      </c>
      <c r="D276" s="9" t="s">
        <v>969</v>
      </c>
      <c r="E276" s="81">
        <v>14563151</v>
      </c>
      <c r="F276" s="81">
        <v>31985</v>
      </c>
      <c r="G276" s="81">
        <v>25</v>
      </c>
      <c r="H276" s="82">
        <v>26.3</v>
      </c>
      <c r="I276" s="251">
        <v>657.5</v>
      </c>
      <c r="J276" s="9" t="s">
        <v>1305</v>
      </c>
      <c r="K276" s="9" t="s">
        <v>1306</v>
      </c>
      <c r="L276" s="83">
        <v>45200</v>
      </c>
      <c r="M276" s="83">
        <v>45230</v>
      </c>
    </row>
    <row r="277" spans="1:13" ht="18.75" customHeight="1" x14ac:dyDescent="0.25">
      <c r="A277" s="9" t="s">
        <v>1578</v>
      </c>
      <c r="B277" s="81">
        <v>114988</v>
      </c>
      <c r="C277" s="81">
        <v>10745</v>
      </c>
      <c r="D277" s="9" t="s">
        <v>1136</v>
      </c>
      <c r="E277" s="81">
        <v>14563151</v>
      </c>
      <c r="F277" s="81">
        <v>37751</v>
      </c>
      <c r="G277" s="81">
        <v>25</v>
      </c>
      <c r="H277" s="82">
        <v>26.3</v>
      </c>
      <c r="I277" s="251">
        <v>657.5</v>
      </c>
      <c r="J277" s="9" t="s">
        <v>1305</v>
      </c>
      <c r="K277" s="9" t="s">
        <v>1306</v>
      </c>
      <c r="L277" s="83">
        <v>45200</v>
      </c>
      <c r="M277" s="83">
        <v>45230</v>
      </c>
    </row>
    <row r="278" spans="1:13" ht="18.75" customHeight="1" x14ac:dyDescent="0.25">
      <c r="A278" s="9" t="s">
        <v>1578</v>
      </c>
      <c r="B278" s="81">
        <v>112875</v>
      </c>
      <c r="C278" s="81">
        <v>10757</v>
      </c>
      <c r="D278" s="9" t="s">
        <v>467</v>
      </c>
      <c r="E278" s="81">
        <v>14563151</v>
      </c>
      <c r="F278" s="81">
        <v>30185</v>
      </c>
      <c r="G278" s="81">
        <v>25</v>
      </c>
      <c r="H278" s="82">
        <v>26.3</v>
      </c>
      <c r="I278" s="251">
        <v>657.5</v>
      </c>
      <c r="J278" s="9" t="s">
        <v>1305</v>
      </c>
      <c r="K278" s="9" t="s">
        <v>1306</v>
      </c>
      <c r="L278" s="83">
        <v>45200</v>
      </c>
      <c r="M278" s="83">
        <v>45230</v>
      </c>
    </row>
    <row r="279" spans="1:13" ht="18.75" customHeight="1" x14ac:dyDescent="0.25">
      <c r="A279" s="9" t="s">
        <v>1578</v>
      </c>
      <c r="B279" s="81">
        <v>113766</v>
      </c>
      <c r="C279" s="81">
        <v>10743</v>
      </c>
      <c r="D279" s="9" t="s">
        <v>967</v>
      </c>
      <c r="E279" s="81">
        <v>14563151</v>
      </c>
      <c r="F279" s="81">
        <v>31979</v>
      </c>
      <c r="G279" s="81">
        <v>25</v>
      </c>
      <c r="H279" s="82">
        <v>26.3</v>
      </c>
      <c r="I279" s="251">
        <v>657.5</v>
      </c>
      <c r="J279" s="9" t="s">
        <v>1305</v>
      </c>
      <c r="K279" s="9" t="s">
        <v>1306</v>
      </c>
      <c r="L279" s="83">
        <v>45200</v>
      </c>
      <c r="M279" s="83">
        <v>45230</v>
      </c>
    </row>
    <row r="280" spans="1:13" ht="18.75" customHeight="1" x14ac:dyDescent="0.25">
      <c r="A280" s="9" t="s">
        <v>0</v>
      </c>
      <c r="B280" s="81">
        <v>112883</v>
      </c>
      <c r="C280" s="81">
        <v>10745</v>
      </c>
      <c r="D280" s="9" t="s">
        <v>474</v>
      </c>
      <c r="E280" s="81">
        <v>14563151</v>
      </c>
      <c r="F280" s="81">
        <v>30201</v>
      </c>
      <c r="G280" s="81">
        <v>24</v>
      </c>
      <c r="H280" s="82">
        <v>26.3</v>
      </c>
      <c r="I280" s="251">
        <v>631.20000000000005</v>
      </c>
      <c r="J280" s="9" t="s">
        <v>1305</v>
      </c>
      <c r="K280" s="9" t="s">
        <v>1306</v>
      </c>
      <c r="L280" s="83">
        <v>45200</v>
      </c>
      <c r="M280" s="83">
        <v>45230</v>
      </c>
    </row>
    <row r="281" spans="1:13" ht="18.75" customHeight="1" x14ac:dyDescent="0.25">
      <c r="A281" s="9" t="s">
        <v>19</v>
      </c>
      <c r="B281" s="81">
        <v>112891</v>
      </c>
      <c r="C281" s="81">
        <v>10751</v>
      </c>
      <c r="D281" s="9" t="s">
        <v>478</v>
      </c>
      <c r="E281" s="81">
        <v>14563151</v>
      </c>
      <c r="F281" s="81">
        <v>30217</v>
      </c>
      <c r="G281" s="81">
        <v>25</v>
      </c>
      <c r="H281" s="82">
        <v>26.3</v>
      </c>
      <c r="I281" s="251">
        <v>657.5</v>
      </c>
      <c r="J281" s="9" t="s">
        <v>1305</v>
      </c>
      <c r="K281" s="9" t="s">
        <v>1306</v>
      </c>
      <c r="L281" s="83">
        <v>45200</v>
      </c>
      <c r="M281" s="83">
        <v>45230</v>
      </c>
    </row>
    <row r="282" spans="1:13" ht="18.75" customHeight="1" x14ac:dyDescent="0.25">
      <c r="A282" s="9" t="s">
        <v>10</v>
      </c>
      <c r="B282" s="81">
        <v>112900</v>
      </c>
      <c r="C282" s="81">
        <v>10760</v>
      </c>
      <c r="D282" s="9" t="s">
        <v>486</v>
      </c>
      <c r="E282" s="81">
        <v>14563151</v>
      </c>
      <c r="F282" s="81">
        <v>30235</v>
      </c>
      <c r="G282" s="81">
        <v>25</v>
      </c>
      <c r="H282" s="82">
        <v>26.3</v>
      </c>
      <c r="I282" s="251">
        <v>657.5</v>
      </c>
      <c r="J282" s="9" t="s">
        <v>1305</v>
      </c>
      <c r="K282" s="9" t="s">
        <v>1306</v>
      </c>
      <c r="L282" s="83">
        <v>45200</v>
      </c>
      <c r="M282" s="83">
        <v>45230</v>
      </c>
    </row>
    <row r="283" spans="1:13" ht="18.75" customHeight="1" x14ac:dyDescent="0.25">
      <c r="A283" s="9" t="s">
        <v>19</v>
      </c>
      <c r="B283" s="81">
        <v>112916</v>
      </c>
      <c r="C283" s="81">
        <v>10750</v>
      </c>
      <c r="D283" s="9" t="s">
        <v>495</v>
      </c>
      <c r="E283" s="81">
        <v>14563151</v>
      </c>
      <c r="F283" s="81">
        <v>30267</v>
      </c>
      <c r="G283" s="81">
        <v>25</v>
      </c>
      <c r="H283" s="82">
        <v>26.3</v>
      </c>
      <c r="I283" s="251">
        <v>657.5</v>
      </c>
      <c r="J283" s="9" t="s">
        <v>1305</v>
      </c>
      <c r="K283" s="9" t="s">
        <v>1306</v>
      </c>
      <c r="L283" s="83">
        <v>45200</v>
      </c>
      <c r="M283" s="83">
        <v>45230</v>
      </c>
    </row>
    <row r="284" spans="1:13" ht="18.75" customHeight="1" x14ac:dyDescent="0.25">
      <c r="A284" s="9" t="s">
        <v>1578</v>
      </c>
      <c r="B284" s="81">
        <v>112534</v>
      </c>
      <c r="C284" s="81">
        <v>10748</v>
      </c>
      <c r="D284" s="9" t="s">
        <v>246</v>
      </c>
      <c r="E284" s="81">
        <v>14563151</v>
      </c>
      <c r="F284" s="81">
        <v>29503</v>
      </c>
      <c r="G284" s="81">
        <v>25</v>
      </c>
      <c r="H284" s="82">
        <v>26.3</v>
      </c>
      <c r="I284" s="251">
        <v>657.5</v>
      </c>
      <c r="J284" s="9" t="s">
        <v>1305</v>
      </c>
      <c r="K284" s="9" t="s">
        <v>1306</v>
      </c>
      <c r="L284" s="83">
        <v>45200</v>
      </c>
      <c r="M284" s="83">
        <v>45230</v>
      </c>
    </row>
    <row r="285" spans="1:13" ht="18.75" customHeight="1" x14ac:dyDescent="0.25">
      <c r="A285" s="9" t="s">
        <v>1578</v>
      </c>
      <c r="B285" s="81">
        <v>114913</v>
      </c>
      <c r="C285" s="81">
        <v>10771</v>
      </c>
      <c r="D285" s="9" t="s">
        <v>1324</v>
      </c>
      <c r="E285" s="81">
        <v>14563151</v>
      </c>
      <c r="F285" s="81">
        <v>37608</v>
      </c>
      <c r="G285" s="81">
        <v>25</v>
      </c>
      <c r="H285" s="82">
        <v>26.3</v>
      </c>
      <c r="I285" s="251">
        <v>657.5</v>
      </c>
      <c r="J285" s="9" t="s">
        <v>1305</v>
      </c>
      <c r="K285" s="9" t="s">
        <v>1306</v>
      </c>
      <c r="L285" s="83">
        <v>45200</v>
      </c>
      <c r="M285" s="83">
        <v>45230</v>
      </c>
    </row>
    <row r="286" spans="1:13" ht="18.75" customHeight="1" x14ac:dyDescent="0.25">
      <c r="A286" s="9" t="s">
        <v>10</v>
      </c>
      <c r="B286" s="81">
        <v>112537</v>
      </c>
      <c r="C286" s="81">
        <v>10766</v>
      </c>
      <c r="D286" s="9" t="s">
        <v>248</v>
      </c>
      <c r="E286" s="81">
        <v>14563151</v>
      </c>
      <c r="F286" s="81">
        <v>29509</v>
      </c>
      <c r="G286" s="81">
        <v>25</v>
      </c>
      <c r="H286" s="82">
        <v>26.3</v>
      </c>
      <c r="I286" s="251">
        <v>657.5</v>
      </c>
      <c r="J286" s="9" t="s">
        <v>1305</v>
      </c>
      <c r="K286" s="9" t="s">
        <v>1306</v>
      </c>
      <c r="L286" s="83">
        <v>45200</v>
      </c>
      <c r="M286" s="83">
        <v>45230</v>
      </c>
    </row>
    <row r="287" spans="1:13" ht="18.75" customHeight="1" x14ac:dyDescent="0.25">
      <c r="A287" s="9" t="s">
        <v>0</v>
      </c>
      <c r="B287" s="81">
        <v>112539</v>
      </c>
      <c r="C287" s="81">
        <v>10750</v>
      </c>
      <c r="D287" s="9" t="s">
        <v>250</v>
      </c>
      <c r="E287" s="81">
        <v>14563151</v>
      </c>
      <c r="F287" s="81">
        <v>29513</v>
      </c>
      <c r="G287" s="81">
        <v>25</v>
      </c>
      <c r="H287" s="82">
        <v>26.3</v>
      </c>
      <c r="I287" s="251">
        <v>657.5</v>
      </c>
      <c r="J287" s="9" t="s">
        <v>1305</v>
      </c>
      <c r="K287" s="9" t="s">
        <v>1306</v>
      </c>
      <c r="L287" s="83">
        <v>45200</v>
      </c>
      <c r="M287" s="83">
        <v>45230</v>
      </c>
    </row>
    <row r="288" spans="1:13" ht="18.75" customHeight="1" x14ac:dyDescent="0.25">
      <c r="A288" s="9" t="s">
        <v>0</v>
      </c>
      <c r="B288" s="81">
        <v>112540</v>
      </c>
      <c r="C288" s="81">
        <v>10766</v>
      </c>
      <c r="D288" s="9" t="s">
        <v>251</v>
      </c>
      <c r="E288" s="81">
        <v>14563151</v>
      </c>
      <c r="F288" s="81">
        <v>29515</v>
      </c>
      <c r="G288" s="81">
        <v>25</v>
      </c>
      <c r="H288" s="82">
        <v>26.3</v>
      </c>
      <c r="I288" s="251">
        <v>657.5</v>
      </c>
      <c r="J288" s="9" t="s">
        <v>1305</v>
      </c>
      <c r="K288" s="9" t="s">
        <v>1306</v>
      </c>
      <c r="L288" s="83">
        <v>45200</v>
      </c>
      <c r="M288" s="83">
        <v>45230</v>
      </c>
    </row>
    <row r="289" spans="1:13" ht="18.75" customHeight="1" x14ac:dyDescent="0.25">
      <c r="A289" s="9" t="s">
        <v>1578</v>
      </c>
      <c r="B289" s="81">
        <v>113775</v>
      </c>
      <c r="C289" s="81">
        <v>10771</v>
      </c>
      <c r="D289" s="9" t="s">
        <v>1325</v>
      </c>
      <c r="E289" s="81">
        <v>14563151</v>
      </c>
      <c r="F289" s="81">
        <v>31998</v>
      </c>
      <c r="G289" s="81">
        <v>25</v>
      </c>
      <c r="H289" s="82">
        <v>26.3</v>
      </c>
      <c r="I289" s="251">
        <v>657.5</v>
      </c>
      <c r="J289" s="9" t="s">
        <v>1305</v>
      </c>
      <c r="K289" s="9" t="s">
        <v>1306</v>
      </c>
      <c r="L289" s="83">
        <v>45200</v>
      </c>
      <c r="M289" s="83">
        <v>45230</v>
      </c>
    </row>
    <row r="290" spans="1:13" ht="18.75" customHeight="1" x14ac:dyDescent="0.25">
      <c r="A290" s="9" t="s">
        <v>1578</v>
      </c>
      <c r="B290" s="81">
        <v>122573</v>
      </c>
      <c r="C290" s="81">
        <v>10761</v>
      </c>
      <c r="D290" s="9" t="s">
        <v>1680</v>
      </c>
      <c r="E290" s="81">
        <v>14563151</v>
      </c>
      <c r="F290" s="81">
        <v>56538</v>
      </c>
      <c r="G290" s="81">
        <v>25</v>
      </c>
      <c r="H290" s="82">
        <v>26.3</v>
      </c>
      <c r="I290" s="251">
        <v>657.5</v>
      </c>
      <c r="J290" s="9" t="s">
        <v>1305</v>
      </c>
      <c r="K290" s="9" t="s">
        <v>1306</v>
      </c>
      <c r="L290" s="83">
        <v>45200</v>
      </c>
      <c r="M290" s="83">
        <v>45230</v>
      </c>
    </row>
    <row r="291" spans="1:13" ht="18.75" customHeight="1" x14ac:dyDescent="0.25">
      <c r="A291" s="9" t="s">
        <v>1578</v>
      </c>
      <c r="B291" s="81">
        <v>112821</v>
      </c>
      <c r="C291" s="81">
        <v>10761</v>
      </c>
      <c r="D291" s="9" t="s">
        <v>434</v>
      </c>
      <c r="E291" s="81">
        <v>14563151</v>
      </c>
      <c r="F291" s="81">
        <v>30077</v>
      </c>
      <c r="G291" s="81">
        <v>25</v>
      </c>
      <c r="H291" s="82">
        <v>26.3</v>
      </c>
      <c r="I291" s="251">
        <v>657.5</v>
      </c>
      <c r="J291" s="9" t="s">
        <v>1305</v>
      </c>
      <c r="K291" s="9" t="s">
        <v>1306</v>
      </c>
      <c r="L291" s="83">
        <v>45200</v>
      </c>
      <c r="M291" s="83">
        <v>45230</v>
      </c>
    </row>
    <row r="292" spans="1:13" ht="18.75" customHeight="1" x14ac:dyDescent="0.25">
      <c r="A292" s="9" t="s">
        <v>1578</v>
      </c>
      <c r="B292" s="81">
        <v>114907</v>
      </c>
      <c r="C292" s="81">
        <v>10758</v>
      </c>
      <c r="D292" s="9" t="s">
        <v>1103</v>
      </c>
      <c r="E292" s="81">
        <v>14563151</v>
      </c>
      <c r="F292" s="81">
        <v>37596</v>
      </c>
      <c r="G292" s="81">
        <v>25</v>
      </c>
      <c r="H292" s="82">
        <v>26.3</v>
      </c>
      <c r="I292" s="251">
        <v>657.5</v>
      </c>
      <c r="J292" s="9" t="s">
        <v>1305</v>
      </c>
      <c r="K292" s="9" t="s">
        <v>1306</v>
      </c>
      <c r="L292" s="83">
        <v>45200</v>
      </c>
      <c r="M292" s="83">
        <v>45230</v>
      </c>
    </row>
    <row r="293" spans="1:13" ht="18.75" customHeight="1" x14ac:dyDescent="0.25">
      <c r="A293" s="9" t="s">
        <v>1578</v>
      </c>
      <c r="B293" s="81">
        <v>112827</v>
      </c>
      <c r="C293" s="81">
        <v>10767</v>
      </c>
      <c r="D293" s="9" t="s">
        <v>439</v>
      </c>
      <c r="E293" s="81">
        <v>14563151</v>
      </c>
      <c r="F293" s="81">
        <v>30089</v>
      </c>
      <c r="G293" s="81">
        <v>25</v>
      </c>
      <c r="H293" s="82">
        <v>26.3</v>
      </c>
      <c r="I293" s="251">
        <v>657.5</v>
      </c>
      <c r="J293" s="9" t="s">
        <v>1305</v>
      </c>
      <c r="K293" s="9" t="s">
        <v>1306</v>
      </c>
      <c r="L293" s="83">
        <v>45200</v>
      </c>
      <c r="M293" s="83">
        <v>45230</v>
      </c>
    </row>
    <row r="294" spans="1:13" ht="18.75" customHeight="1" x14ac:dyDescent="0.25">
      <c r="A294" s="9" t="s">
        <v>8</v>
      </c>
      <c r="B294" s="81">
        <v>112834</v>
      </c>
      <c r="C294" s="81">
        <v>10751</v>
      </c>
      <c r="D294" s="9" t="s">
        <v>444</v>
      </c>
      <c r="E294" s="81">
        <v>14563151</v>
      </c>
      <c r="F294" s="81">
        <v>30103</v>
      </c>
      <c r="G294" s="81">
        <v>25</v>
      </c>
      <c r="H294" s="82">
        <v>26.3</v>
      </c>
      <c r="I294" s="251">
        <v>657.5</v>
      </c>
      <c r="J294" s="9" t="s">
        <v>1305</v>
      </c>
      <c r="K294" s="9" t="s">
        <v>1306</v>
      </c>
      <c r="L294" s="83">
        <v>45200</v>
      </c>
      <c r="M294" s="83">
        <v>45230</v>
      </c>
    </row>
    <row r="295" spans="1:13" ht="18.75" customHeight="1" x14ac:dyDescent="0.25">
      <c r="A295" s="9" t="s">
        <v>0</v>
      </c>
      <c r="B295" s="81">
        <v>112843</v>
      </c>
      <c r="C295" s="81">
        <v>10757</v>
      </c>
      <c r="D295" s="9" t="s">
        <v>448</v>
      </c>
      <c r="E295" s="81">
        <v>14563151</v>
      </c>
      <c r="F295" s="81">
        <v>30121</v>
      </c>
      <c r="G295" s="81">
        <v>25</v>
      </c>
      <c r="H295" s="82">
        <v>26.3</v>
      </c>
      <c r="I295" s="251">
        <v>657.5</v>
      </c>
      <c r="J295" s="9" t="s">
        <v>1305</v>
      </c>
      <c r="K295" s="9" t="s">
        <v>1306</v>
      </c>
      <c r="L295" s="83">
        <v>45200</v>
      </c>
      <c r="M295" s="83">
        <v>45230</v>
      </c>
    </row>
    <row r="296" spans="1:13" ht="18.75" customHeight="1" x14ac:dyDescent="0.25">
      <c r="A296" s="9" t="s">
        <v>1578</v>
      </c>
      <c r="B296" s="81">
        <v>112922</v>
      </c>
      <c r="C296" s="81">
        <v>10767</v>
      </c>
      <c r="D296" s="9" t="s">
        <v>498</v>
      </c>
      <c r="E296" s="81">
        <v>14563151</v>
      </c>
      <c r="F296" s="81">
        <v>30279</v>
      </c>
      <c r="G296" s="81">
        <v>25</v>
      </c>
      <c r="H296" s="82">
        <v>26.3</v>
      </c>
      <c r="I296" s="251">
        <v>657.5</v>
      </c>
      <c r="J296" s="9" t="s">
        <v>1305</v>
      </c>
      <c r="K296" s="9" t="s">
        <v>1306</v>
      </c>
      <c r="L296" s="83">
        <v>45200</v>
      </c>
      <c r="M296" s="83">
        <v>45230</v>
      </c>
    </row>
    <row r="297" spans="1:13" ht="18.75" customHeight="1" x14ac:dyDescent="0.25">
      <c r="A297" s="9" t="s">
        <v>10</v>
      </c>
      <c r="B297" s="81">
        <v>112930</v>
      </c>
      <c r="C297" s="81">
        <v>10757</v>
      </c>
      <c r="D297" s="9" t="s">
        <v>503</v>
      </c>
      <c r="E297" s="81">
        <v>14563151</v>
      </c>
      <c r="F297" s="81">
        <v>30295</v>
      </c>
      <c r="G297" s="81">
        <v>25</v>
      </c>
      <c r="H297" s="82">
        <v>26.3</v>
      </c>
      <c r="I297" s="251">
        <v>657.5</v>
      </c>
      <c r="J297" s="9" t="s">
        <v>1305</v>
      </c>
      <c r="K297" s="9" t="s">
        <v>1306</v>
      </c>
      <c r="L297" s="83">
        <v>45200</v>
      </c>
      <c r="M297" s="83">
        <v>45230</v>
      </c>
    </row>
    <row r="298" spans="1:13" ht="18.75" customHeight="1" x14ac:dyDescent="0.25">
      <c r="A298" s="9" t="s">
        <v>0</v>
      </c>
      <c r="B298" s="81">
        <v>114418</v>
      </c>
      <c r="C298" s="81">
        <v>10750</v>
      </c>
      <c r="D298" s="9" t="s">
        <v>1036</v>
      </c>
      <c r="E298" s="81">
        <v>14563151</v>
      </c>
      <c r="F298" s="81">
        <v>35863</v>
      </c>
      <c r="G298" s="81">
        <v>25</v>
      </c>
      <c r="H298" s="82">
        <v>26.3</v>
      </c>
      <c r="I298" s="251">
        <v>657.5</v>
      </c>
      <c r="J298" s="9" t="s">
        <v>1305</v>
      </c>
      <c r="K298" s="9" t="s">
        <v>1306</v>
      </c>
      <c r="L298" s="83">
        <v>45200</v>
      </c>
      <c r="M298" s="83">
        <v>45230</v>
      </c>
    </row>
    <row r="299" spans="1:13" ht="18.75" customHeight="1" x14ac:dyDescent="0.25">
      <c r="A299" s="9" t="s">
        <v>19</v>
      </c>
      <c r="B299" s="81">
        <v>112936</v>
      </c>
      <c r="C299" s="81">
        <v>10750</v>
      </c>
      <c r="D299" s="9" t="s">
        <v>505</v>
      </c>
      <c r="E299" s="81">
        <v>14563151</v>
      </c>
      <c r="F299" s="81">
        <v>30307</v>
      </c>
      <c r="G299" s="81">
        <v>25</v>
      </c>
      <c r="H299" s="82">
        <v>26.3</v>
      </c>
      <c r="I299" s="251">
        <v>657.5</v>
      </c>
      <c r="J299" s="9" t="s">
        <v>1305</v>
      </c>
      <c r="K299" s="9" t="s">
        <v>1306</v>
      </c>
      <c r="L299" s="83">
        <v>45200</v>
      </c>
      <c r="M299" s="83">
        <v>45230</v>
      </c>
    </row>
    <row r="300" spans="1:13" ht="18.75" customHeight="1" x14ac:dyDescent="0.25">
      <c r="A300" s="9" t="s">
        <v>1578</v>
      </c>
      <c r="B300" s="81">
        <v>112942</v>
      </c>
      <c r="C300" s="81">
        <v>10757</v>
      </c>
      <c r="D300" s="9" t="s">
        <v>509</v>
      </c>
      <c r="E300" s="81">
        <v>14563151</v>
      </c>
      <c r="F300" s="81">
        <v>30319</v>
      </c>
      <c r="G300" s="81">
        <v>25</v>
      </c>
      <c r="H300" s="82">
        <v>26.3</v>
      </c>
      <c r="I300" s="251">
        <v>657.5</v>
      </c>
      <c r="J300" s="9" t="s">
        <v>1305</v>
      </c>
      <c r="K300" s="9" t="s">
        <v>1306</v>
      </c>
      <c r="L300" s="83">
        <v>45200</v>
      </c>
      <c r="M300" s="83">
        <v>45230</v>
      </c>
    </row>
    <row r="301" spans="1:13" ht="18.75" customHeight="1" x14ac:dyDescent="0.25">
      <c r="A301" s="9" t="s">
        <v>10</v>
      </c>
      <c r="B301" s="81">
        <v>113774</v>
      </c>
      <c r="C301" s="81">
        <v>10771</v>
      </c>
      <c r="D301" s="9" t="s">
        <v>971</v>
      </c>
      <c r="E301" s="81">
        <v>14563151</v>
      </c>
      <c r="F301" s="81">
        <v>31996</v>
      </c>
      <c r="G301" s="81">
        <v>25</v>
      </c>
      <c r="H301" s="82">
        <v>26.3</v>
      </c>
      <c r="I301" s="251">
        <v>657.5</v>
      </c>
      <c r="J301" s="9" t="s">
        <v>1305</v>
      </c>
      <c r="K301" s="9" t="s">
        <v>1309</v>
      </c>
      <c r="L301" s="83">
        <v>45200</v>
      </c>
      <c r="M301" s="83">
        <v>45230</v>
      </c>
    </row>
    <row r="302" spans="1:13" ht="18.75" customHeight="1" x14ac:dyDescent="0.25">
      <c r="A302" s="9" t="s">
        <v>8</v>
      </c>
      <c r="B302" s="81">
        <v>116716</v>
      </c>
      <c r="C302" s="81">
        <v>10750</v>
      </c>
      <c r="D302" s="9" t="s">
        <v>1215</v>
      </c>
      <c r="E302" s="81">
        <v>14563151</v>
      </c>
      <c r="F302" s="81">
        <v>42818</v>
      </c>
      <c r="G302" s="81">
        <v>25</v>
      </c>
      <c r="H302" s="82">
        <v>26.3</v>
      </c>
      <c r="I302" s="251">
        <v>657.5</v>
      </c>
      <c r="J302" s="9" t="s">
        <v>1305</v>
      </c>
      <c r="K302" s="9" t="s">
        <v>1306</v>
      </c>
      <c r="L302" s="83">
        <v>45200</v>
      </c>
      <c r="M302" s="83">
        <v>45230</v>
      </c>
    </row>
    <row r="303" spans="1:13" ht="18.75" customHeight="1" x14ac:dyDescent="0.25">
      <c r="A303" s="9" t="s">
        <v>1580</v>
      </c>
      <c r="B303" s="81">
        <v>121948</v>
      </c>
      <c r="C303" s="81">
        <v>10775</v>
      </c>
      <c r="D303" s="9" t="s">
        <v>1606</v>
      </c>
      <c r="E303" s="81">
        <v>14563151</v>
      </c>
      <c r="F303" s="81">
        <v>55023</v>
      </c>
      <c r="G303" s="81">
        <v>25</v>
      </c>
      <c r="H303" s="82">
        <v>26.3</v>
      </c>
      <c r="I303" s="251">
        <v>657.5</v>
      </c>
      <c r="J303" s="9" t="s">
        <v>1305</v>
      </c>
      <c r="K303" s="9" t="s">
        <v>1309</v>
      </c>
      <c r="L303" s="83">
        <v>45200</v>
      </c>
      <c r="M303" s="83">
        <v>45230</v>
      </c>
    </row>
    <row r="304" spans="1:13" ht="18.75" customHeight="1" x14ac:dyDescent="0.25">
      <c r="A304" s="9" t="s">
        <v>0</v>
      </c>
      <c r="B304" s="81">
        <v>112950</v>
      </c>
      <c r="C304" s="81">
        <v>10750</v>
      </c>
      <c r="D304" s="9" t="s">
        <v>514</v>
      </c>
      <c r="E304" s="81">
        <v>14563151</v>
      </c>
      <c r="F304" s="81">
        <v>30335</v>
      </c>
      <c r="G304" s="81">
        <v>25</v>
      </c>
      <c r="H304" s="82">
        <v>26.3</v>
      </c>
      <c r="I304" s="251">
        <v>657.5</v>
      </c>
      <c r="J304" s="9" t="s">
        <v>1305</v>
      </c>
      <c r="K304" s="9" t="s">
        <v>1306</v>
      </c>
      <c r="L304" s="83">
        <v>45200</v>
      </c>
      <c r="M304" s="83">
        <v>45230</v>
      </c>
    </row>
    <row r="305" spans="1:13" ht="18.75" customHeight="1" x14ac:dyDescent="0.25">
      <c r="A305" s="9" t="s">
        <v>19</v>
      </c>
      <c r="B305" s="81">
        <v>114695</v>
      </c>
      <c r="C305" s="81">
        <v>10750</v>
      </c>
      <c r="D305" s="9" t="s">
        <v>1070</v>
      </c>
      <c r="E305" s="81">
        <v>14563151</v>
      </c>
      <c r="F305" s="81">
        <v>36839</v>
      </c>
      <c r="G305" s="81">
        <v>25</v>
      </c>
      <c r="H305" s="82">
        <v>26.3</v>
      </c>
      <c r="I305" s="251">
        <v>657.5</v>
      </c>
      <c r="J305" s="9" t="s">
        <v>1305</v>
      </c>
      <c r="K305" s="9" t="s">
        <v>1306</v>
      </c>
      <c r="L305" s="83">
        <v>45200</v>
      </c>
      <c r="M305" s="83">
        <v>45230</v>
      </c>
    </row>
    <row r="306" spans="1:13" ht="18.75" customHeight="1" x14ac:dyDescent="0.25">
      <c r="A306" s="9" t="s">
        <v>8</v>
      </c>
      <c r="B306" s="81">
        <v>112954</v>
      </c>
      <c r="C306" s="81">
        <v>10751</v>
      </c>
      <c r="D306" s="9" t="s">
        <v>517</v>
      </c>
      <c r="E306" s="81">
        <v>14563151</v>
      </c>
      <c r="F306" s="81">
        <v>30343</v>
      </c>
      <c r="G306" s="81">
        <v>25</v>
      </c>
      <c r="H306" s="82">
        <v>26.3</v>
      </c>
      <c r="I306" s="251">
        <v>657.5</v>
      </c>
      <c r="J306" s="9" t="s">
        <v>1305</v>
      </c>
      <c r="K306" s="9" t="s">
        <v>1306</v>
      </c>
      <c r="L306" s="83">
        <v>45200</v>
      </c>
      <c r="M306" s="83">
        <v>45230</v>
      </c>
    </row>
    <row r="307" spans="1:13" ht="18.75" customHeight="1" x14ac:dyDescent="0.25">
      <c r="A307" s="9" t="s">
        <v>19</v>
      </c>
      <c r="B307" s="81">
        <v>112956</v>
      </c>
      <c r="C307" s="81">
        <v>10766</v>
      </c>
      <c r="D307" s="9" t="s">
        <v>518</v>
      </c>
      <c r="E307" s="81">
        <v>14563151</v>
      </c>
      <c r="F307" s="81">
        <v>30347</v>
      </c>
      <c r="G307" s="81">
        <v>24</v>
      </c>
      <c r="H307" s="82">
        <v>26.3</v>
      </c>
      <c r="I307" s="251">
        <v>631.20000000000005</v>
      </c>
      <c r="J307" s="9" t="s">
        <v>1305</v>
      </c>
      <c r="K307" s="9" t="s">
        <v>1306</v>
      </c>
      <c r="L307" s="83">
        <v>45200</v>
      </c>
      <c r="M307" s="83">
        <v>45230</v>
      </c>
    </row>
    <row r="308" spans="1:13" ht="18.75" customHeight="1" x14ac:dyDescent="0.25">
      <c r="A308" s="9" t="s">
        <v>1578</v>
      </c>
      <c r="B308" s="81">
        <v>112961</v>
      </c>
      <c r="C308" s="81">
        <v>10768</v>
      </c>
      <c r="D308" s="9" t="s">
        <v>1326</v>
      </c>
      <c r="E308" s="81">
        <v>14563151</v>
      </c>
      <c r="F308" s="81">
        <v>30357</v>
      </c>
      <c r="G308" s="81">
        <v>25</v>
      </c>
      <c r="H308" s="82">
        <v>26.3</v>
      </c>
      <c r="I308" s="251">
        <v>657.5</v>
      </c>
      <c r="J308" s="9" t="s">
        <v>1305</v>
      </c>
      <c r="K308" s="9" t="s">
        <v>1306</v>
      </c>
      <c r="L308" s="83">
        <v>45200</v>
      </c>
      <c r="M308" s="83">
        <v>45230</v>
      </c>
    </row>
    <row r="309" spans="1:13" ht="18.75" customHeight="1" x14ac:dyDescent="0.25">
      <c r="A309" s="9" t="s">
        <v>0</v>
      </c>
      <c r="B309" s="81">
        <v>114500</v>
      </c>
      <c r="C309" s="81">
        <v>10757</v>
      </c>
      <c r="D309" s="9" t="s">
        <v>1040</v>
      </c>
      <c r="E309" s="81">
        <v>14563151</v>
      </c>
      <c r="F309" s="81">
        <v>35883</v>
      </c>
      <c r="G309" s="81">
        <v>24</v>
      </c>
      <c r="H309" s="82">
        <v>26.3</v>
      </c>
      <c r="I309" s="251">
        <v>631.20000000000005</v>
      </c>
      <c r="J309" s="9" t="s">
        <v>1305</v>
      </c>
      <c r="K309" s="9" t="s">
        <v>1306</v>
      </c>
      <c r="L309" s="83">
        <v>45200</v>
      </c>
      <c r="M309" s="83">
        <v>45230</v>
      </c>
    </row>
    <row r="310" spans="1:13" ht="18.75" customHeight="1" x14ac:dyDescent="0.25">
      <c r="A310" s="9" t="s">
        <v>10</v>
      </c>
      <c r="B310" s="81">
        <v>116326</v>
      </c>
      <c r="C310" s="81">
        <v>10766</v>
      </c>
      <c r="D310" s="9" t="s">
        <v>1205</v>
      </c>
      <c r="E310" s="81">
        <v>14563151</v>
      </c>
      <c r="F310" s="81">
        <v>41863</v>
      </c>
      <c r="G310" s="81">
        <v>25</v>
      </c>
      <c r="H310" s="82">
        <v>26.3</v>
      </c>
      <c r="I310" s="251">
        <v>657.5</v>
      </c>
      <c r="J310" s="9" t="s">
        <v>1305</v>
      </c>
      <c r="K310" s="9" t="s">
        <v>1306</v>
      </c>
      <c r="L310" s="83">
        <v>45200</v>
      </c>
      <c r="M310" s="83">
        <v>45230</v>
      </c>
    </row>
    <row r="311" spans="1:13" ht="18.75" customHeight="1" x14ac:dyDescent="0.25">
      <c r="A311" s="9" t="s">
        <v>1578</v>
      </c>
      <c r="B311" s="81">
        <v>113023</v>
      </c>
      <c r="C311" s="81">
        <v>10757</v>
      </c>
      <c r="D311" s="9" t="s">
        <v>545</v>
      </c>
      <c r="E311" s="81">
        <v>14563151</v>
      </c>
      <c r="F311" s="81">
        <v>30481</v>
      </c>
      <c r="G311" s="81">
        <v>25</v>
      </c>
      <c r="H311" s="82">
        <v>26.3</v>
      </c>
      <c r="I311" s="251">
        <v>657.5</v>
      </c>
      <c r="J311" s="9" t="s">
        <v>1305</v>
      </c>
      <c r="K311" s="9" t="s">
        <v>1306</v>
      </c>
      <c r="L311" s="83">
        <v>45200</v>
      </c>
      <c r="M311" s="83">
        <v>45230</v>
      </c>
    </row>
    <row r="312" spans="1:13" ht="18.75" customHeight="1" x14ac:dyDescent="0.25">
      <c r="A312" s="9" t="s">
        <v>1578</v>
      </c>
      <c r="B312" s="81">
        <v>113068</v>
      </c>
      <c r="C312" s="81">
        <v>10767</v>
      </c>
      <c r="D312" s="9" t="s">
        <v>567</v>
      </c>
      <c r="E312" s="81">
        <v>14563151</v>
      </c>
      <c r="F312" s="81">
        <v>30571</v>
      </c>
      <c r="G312" s="81">
        <v>25</v>
      </c>
      <c r="H312" s="82">
        <v>26.3</v>
      </c>
      <c r="I312" s="251">
        <v>657.5</v>
      </c>
      <c r="J312" s="9" t="s">
        <v>1305</v>
      </c>
      <c r="K312" s="9" t="s">
        <v>1306</v>
      </c>
      <c r="L312" s="83">
        <v>45200</v>
      </c>
      <c r="M312" s="83">
        <v>45230</v>
      </c>
    </row>
    <row r="313" spans="1:13" ht="18.75" customHeight="1" x14ac:dyDescent="0.25">
      <c r="A313" s="9" t="s">
        <v>10</v>
      </c>
      <c r="B313" s="81">
        <v>121030</v>
      </c>
      <c r="C313" s="81">
        <v>10750</v>
      </c>
      <c r="D313" s="9" t="s">
        <v>1520</v>
      </c>
      <c r="E313" s="81">
        <v>14563151</v>
      </c>
      <c r="F313" s="81">
        <v>52806</v>
      </c>
      <c r="G313" s="81">
        <v>25</v>
      </c>
      <c r="H313" s="82">
        <v>26.3</v>
      </c>
      <c r="I313" s="251">
        <v>657.5</v>
      </c>
      <c r="J313" s="9" t="s">
        <v>1305</v>
      </c>
      <c r="K313" s="9" t="s">
        <v>1309</v>
      </c>
      <c r="L313" s="83">
        <v>45200</v>
      </c>
      <c r="M313" s="83">
        <v>45230</v>
      </c>
    </row>
    <row r="314" spans="1:13" ht="18.75" customHeight="1" x14ac:dyDescent="0.25">
      <c r="A314" s="9" t="s">
        <v>8</v>
      </c>
      <c r="B314" s="81">
        <v>113107</v>
      </c>
      <c r="C314" s="81">
        <v>10750</v>
      </c>
      <c r="D314" s="9" t="s">
        <v>587</v>
      </c>
      <c r="E314" s="81">
        <v>14563151</v>
      </c>
      <c r="F314" s="81">
        <v>30649</v>
      </c>
      <c r="G314" s="81">
        <v>25</v>
      </c>
      <c r="H314" s="82">
        <v>26.3</v>
      </c>
      <c r="I314" s="251">
        <v>657.5</v>
      </c>
      <c r="J314" s="9" t="s">
        <v>1305</v>
      </c>
      <c r="K314" s="9" t="s">
        <v>1306</v>
      </c>
      <c r="L314" s="83">
        <v>45200</v>
      </c>
      <c r="M314" s="83">
        <v>45230</v>
      </c>
    </row>
    <row r="315" spans="1:13" ht="18.75" customHeight="1" x14ac:dyDescent="0.25">
      <c r="A315" s="9" t="s">
        <v>1578</v>
      </c>
      <c r="B315" s="81">
        <v>113119</v>
      </c>
      <c r="C315" s="81">
        <v>10768</v>
      </c>
      <c r="D315" s="9" t="s">
        <v>595</v>
      </c>
      <c r="E315" s="81">
        <v>14563151</v>
      </c>
      <c r="F315" s="81">
        <v>30673</v>
      </c>
      <c r="G315" s="81">
        <v>25</v>
      </c>
      <c r="H315" s="82">
        <v>26.3</v>
      </c>
      <c r="I315" s="251">
        <v>657.5</v>
      </c>
      <c r="J315" s="9" t="s">
        <v>1305</v>
      </c>
      <c r="K315" s="9" t="s">
        <v>1306</v>
      </c>
      <c r="L315" s="83">
        <v>45200</v>
      </c>
      <c r="M315" s="83">
        <v>45230</v>
      </c>
    </row>
    <row r="316" spans="1:13" ht="18.75" customHeight="1" x14ac:dyDescent="0.25">
      <c r="A316" s="9" t="s">
        <v>32</v>
      </c>
      <c r="B316" s="81">
        <v>113157</v>
      </c>
      <c r="C316" s="81">
        <v>10750</v>
      </c>
      <c r="D316" s="9" t="s">
        <v>616</v>
      </c>
      <c r="E316" s="81">
        <v>14563151</v>
      </c>
      <c r="F316" s="81">
        <v>30749</v>
      </c>
      <c r="G316" s="81">
        <v>25</v>
      </c>
      <c r="H316" s="82">
        <v>26.3</v>
      </c>
      <c r="I316" s="251">
        <v>657.5</v>
      </c>
      <c r="J316" s="9" t="s">
        <v>1305</v>
      </c>
      <c r="K316" s="9" t="s">
        <v>1306</v>
      </c>
      <c r="L316" s="83">
        <v>45200</v>
      </c>
      <c r="M316" s="83">
        <v>45230</v>
      </c>
    </row>
    <row r="317" spans="1:13" ht="18.75" customHeight="1" x14ac:dyDescent="0.25">
      <c r="A317" s="9" t="s">
        <v>0</v>
      </c>
      <c r="B317" s="81">
        <v>113204</v>
      </c>
      <c r="C317" s="81">
        <v>10757</v>
      </c>
      <c r="D317" s="9" t="s">
        <v>644</v>
      </c>
      <c r="E317" s="81">
        <v>14563151</v>
      </c>
      <c r="F317" s="81">
        <v>30843</v>
      </c>
      <c r="G317" s="81">
        <v>25</v>
      </c>
      <c r="H317" s="82">
        <v>26.3</v>
      </c>
      <c r="I317" s="251">
        <v>657.5</v>
      </c>
      <c r="J317" s="9" t="s">
        <v>1305</v>
      </c>
      <c r="K317" s="9" t="s">
        <v>1306</v>
      </c>
      <c r="L317" s="83">
        <v>45200</v>
      </c>
      <c r="M317" s="83">
        <v>45230</v>
      </c>
    </row>
    <row r="318" spans="1:13" ht="18.75" customHeight="1" x14ac:dyDescent="0.25">
      <c r="A318" s="9" t="s">
        <v>10</v>
      </c>
      <c r="B318" s="81">
        <v>113712</v>
      </c>
      <c r="C318" s="81">
        <v>10763</v>
      </c>
      <c r="D318" s="9" t="s">
        <v>928</v>
      </c>
      <c r="E318" s="81">
        <v>14563151</v>
      </c>
      <c r="F318" s="81">
        <v>31859</v>
      </c>
      <c r="G318" s="81">
        <v>25</v>
      </c>
      <c r="H318" s="82">
        <v>26.3</v>
      </c>
      <c r="I318" s="251">
        <v>657.5</v>
      </c>
      <c r="J318" s="9" t="s">
        <v>1305</v>
      </c>
      <c r="K318" s="9" t="s">
        <v>1306</v>
      </c>
      <c r="L318" s="83">
        <v>45200</v>
      </c>
      <c r="M318" s="83">
        <v>45230</v>
      </c>
    </row>
    <row r="319" spans="1:13" ht="18.75" customHeight="1" x14ac:dyDescent="0.25">
      <c r="A319" s="9" t="s">
        <v>1578</v>
      </c>
      <c r="B319" s="81">
        <v>121486</v>
      </c>
      <c r="C319" s="81">
        <v>10755</v>
      </c>
      <c r="D319" s="9" t="s">
        <v>1554</v>
      </c>
      <c r="E319" s="81">
        <v>14563151</v>
      </c>
      <c r="F319" s="81">
        <v>53857</v>
      </c>
      <c r="G319" s="81">
        <v>25</v>
      </c>
      <c r="H319" s="82">
        <v>26.3</v>
      </c>
      <c r="I319" s="251">
        <v>657.5</v>
      </c>
      <c r="J319" s="9" t="s">
        <v>1305</v>
      </c>
      <c r="K319" s="9" t="s">
        <v>1306</v>
      </c>
      <c r="L319" s="83">
        <v>45200</v>
      </c>
      <c r="M319" s="83">
        <v>45230</v>
      </c>
    </row>
    <row r="320" spans="1:13" ht="18.75" customHeight="1" x14ac:dyDescent="0.25">
      <c r="A320" s="9" t="s">
        <v>0</v>
      </c>
      <c r="B320" s="81">
        <v>113309</v>
      </c>
      <c r="C320" s="81">
        <v>10751</v>
      </c>
      <c r="D320" s="9" t="s">
        <v>699</v>
      </c>
      <c r="E320" s="81">
        <v>14563151</v>
      </c>
      <c r="F320" s="81">
        <v>31053</v>
      </c>
      <c r="G320" s="81">
        <v>25</v>
      </c>
      <c r="H320" s="82">
        <v>26.3</v>
      </c>
      <c r="I320" s="251">
        <v>657.5</v>
      </c>
      <c r="J320" s="9" t="s">
        <v>1305</v>
      </c>
      <c r="K320" s="9" t="s">
        <v>1306</v>
      </c>
      <c r="L320" s="83">
        <v>45200</v>
      </c>
      <c r="M320" s="83">
        <v>45230</v>
      </c>
    </row>
    <row r="321" spans="1:13" ht="18.75" customHeight="1" x14ac:dyDescent="0.25">
      <c r="A321" s="9" t="s">
        <v>19</v>
      </c>
      <c r="B321" s="81">
        <v>113318</v>
      </c>
      <c r="C321" s="81">
        <v>10750</v>
      </c>
      <c r="D321" s="9" t="s">
        <v>703</v>
      </c>
      <c r="E321" s="81">
        <v>14563151</v>
      </c>
      <c r="F321" s="81">
        <v>31071</v>
      </c>
      <c r="G321" s="81">
        <v>25</v>
      </c>
      <c r="H321" s="82">
        <v>26.3</v>
      </c>
      <c r="I321" s="251">
        <v>657.5</v>
      </c>
      <c r="J321" s="9" t="s">
        <v>1305</v>
      </c>
      <c r="K321" s="9" t="s">
        <v>1306</v>
      </c>
      <c r="L321" s="83">
        <v>45200</v>
      </c>
      <c r="M321" s="83">
        <v>45230</v>
      </c>
    </row>
    <row r="322" spans="1:13" ht="18.75" customHeight="1" x14ac:dyDescent="0.25">
      <c r="A322" s="9" t="s">
        <v>1578</v>
      </c>
      <c r="B322" s="81">
        <v>122334</v>
      </c>
      <c r="C322" s="81">
        <v>10766</v>
      </c>
      <c r="D322" s="9" t="s">
        <v>1652</v>
      </c>
      <c r="E322" s="81">
        <v>14563151</v>
      </c>
      <c r="F322" s="81">
        <v>55963</v>
      </c>
      <c r="G322" s="81">
        <v>25</v>
      </c>
      <c r="H322" s="82">
        <v>26.3</v>
      </c>
      <c r="I322" s="251">
        <v>657.5</v>
      </c>
      <c r="J322" s="9" t="s">
        <v>1305</v>
      </c>
      <c r="K322" s="9" t="s">
        <v>1309</v>
      </c>
      <c r="L322" s="83">
        <v>45200</v>
      </c>
      <c r="M322" s="83">
        <v>45230</v>
      </c>
    </row>
    <row r="323" spans="1:13" ht="18.75" customHeight="1" x14ac:dyDescent="0.25">
      <c r="A323" s="9" t="s">
        <v>1578</v>
      </c>
      <c r="B323" s="81">
        <v>116085</v>
      </c>
      <c r="C323" s="81">
        <v>10756</v>
      </c>
      <c r="D323" s="9" t="s">
        <v>1180</v>
      </c>
      <c r="E323" s="81">
        <v>14563151</v>
      </c>
      <c r="F323" s="81">
        <v>41098</v>
      </c>
      <c r="G323" s="81">
        <v>25</v>
      </c>
      <c r="H323" s="82">
        <v>26.3</v>
      </c>
      <c r="I323" s="251">
        <v>657.5</v>
      </c>
      <c r="J323" s="9" t="s">
        <v>1305</v>
      </c>
      <c r="K323" s="9" t="s">
        <v>1306</v>
      </c>
      <c r="L323" s="83">
        <v>45200</v>
      </c>
      <c r="M323" s="83">
        <v>45230</v>
      </c>
    </row>
    <row r="324" spans="1:13" ht="18.75" customHeight="1" x14ac:dyDescent="0.25">
      <c r="A324" s="9" t="s">
        <v>0</v>
      </c>
      <c r="B324" s="81">
        <v>116225</v>
      </c>
      <c r="C324" s="81">
        <v>10760</v>
      </c>
      <c r="D324" s="9" t="s">
        <v>1189</v>
      </c>
      <c r="E324" s="81">
        <v>14563151</v>
      </c>
      <c r="F324" s="81">
        <v>41560</v>
      </c>
      <c r="G324" s="81">
        <v>25</v>
      </c>
      <c r="H324" s="82">
        <v>26.3</v>
      </c>
      <c r="I324" s="251">
        <v>657.5</v>
      </c>
      <c r="J324" s="9" t="s">
        <v>1305</v>
      </c>
      <c r="K324" s="9" t="s">
        <v>1306</v>
      </c>
      <c r="L324" s="83">
        <v>45200</v>
      </c>
      <c r="M324" s="83">
        <v>45230</v>
      </c>
    </row>
    <row r="325" spans="1:13" ht="18.75" customHeight="1" x14ac:dyDescent="0.25">
      <c r="A325" s="9" t="s">
        <v>1578</v>
      </c>
      <c r="B325" s="81">
        <v>113331</v>
      </c>
      <c r="C325" s="81">
        <v>10748</v>
      </c>
      <c r="D325" s="9" t="s">
        <v>711</v>
      </c>
      <c r="E325" s="81">
        <v>14563151</v>
      </c>
      <c r="F325" s="81">
        <v>31097</v>
      </c>
      <c r="G325" s="81">
        <v>25</v>
      </c>
      <c r="H325" s="82">
        <v>26.3</v>
      </c>
      <c r="I325" s="251">
        <v>657.5</v>
      </c>
      <c r="J325" s="9" t="s">
        <v>1305</v>
      </c>
      <c r="K325" s="9" t="s">
        <v>1306</v>
      </c>
      <c r="L325" s="83">
        <v>45200</v>
      </c>
      <c r="M325" s="83">
        <v>45230</v>
      </c>
    </row>
    <row r="326" spans="1:13" ht="18.75" customHeight="1" x14ac:dyDescent="0.25">
      <c r="A326" s="9" t="s">
        <v>8</v>
      </c>
      <c r="B326" s="81">
        <v>113341</v>
      </c>
      <c r="C326" s="81">
        <v>10751</v>
      </c>
      <c r="D326" s="9" t="s">
        <v>716</v>
      </c>
      <c r="E326" s="81">
        <v>14563151</v>
      </c>
      <c r="F326" s="81">
        <v>31117</v>
      </c>
      <c r="G326" s="81">
        <v>25</v>
      </c>
      <c r="H326" s="82">
        <v>26.3</v>
      </c>
      <c r="I326" s="251">
        <v>657.5</v>
      </c>
      <c r="J326" s="9" t="s">
        <v>1305</v>
      </c>
      <c r="K326" s="9" t="s">
        <v>1306</v>
      </c>
      <c r="L326" s="83">
        <v>45200</v>
      </c>
      <c r="M326" s="83">
        <v>45230</v>
      </c>
    </row>
    <row r="327" spans="1:13" ht="18.75" customHeight="1" x14ac:dyDescent="0.25">
      <c r="A327" s="9" t="s">
        <v>1578</v>
      </c>
      <c r="B327" s="81">
        <v>113349</v>
      </c>
      <c r="C327" s="81">
        <v>10756</v>
      </c>
      <c r="D327" s="9" t="s">
        <v>1281</v>
      </c>
      <c r="E327" s="81">
        <v>14563151</v>
      </c>
      <c r="F327" s="81">
        <v>31133</v>
      </c>
      <c r="G327" s="81">
        <v>25</v>
      </c>
      <c r="H327" s="82">
        <v>26.3</v>
      </c>
      <c r="I327" s="251">
        <v>657.5</v>
      </c>
      <c r="J327" s="9" t="s">
        <v>1305</v>
      </c>
      <c r="K327" s="9" t="s">
        <v>1306</v>
      </c>
      <c r="L327" s="83">
        <v>45200</v>
      </c>
      <c r="M327" s="83">
        <v>45230</v>
      </c>
    </row>
    <row r="328" spans="1:13" ht="18.75" customHeight="1" x14ac:dyDescent="0.25">
      <c r="A328" s="9" t="s">
        <v>19</v>
      </c>
      <c r="B328" s="81">
        <v>113354</v>
      </c>
      <c r="C328" s="81">
        <v>10757</v>
      </c>
      <c r="D328" s="9" t="s">
        <v>722</v>
      </c>
      <c r="E328" s="81">
        <v>14563151</v>
      </c>
      <c r="F328" s="81">
        <v>31143</v>
      </c>
      <c r="G328" s="81">
        <v>25</v>
      </c>
      <c r="H328" s="82">
        <v>26.3</v>
      </c>
      <c r="I328" s="251">
        <v>657.5</v>
      </c>
      <c r="J328" s="9" t="s">
        <v>1305</v>
      </c>
      <c r="K328" s="9" t="s">
        <v>1306</v>
      </c>
      <c r="L328" s="83">
        <v>45200</v>
      </c>
      <c r="M328" s="83">
        <v>45230</v>
      </c>
    </row>
    <row r="329" spans="1:13" ht="18.75" customHeight="1" x14ac:dyDescent="0.25">
      <c r="A329" s="9" t="s">
        <v>10</v>
      </c>
      <c r="B329" s="81">
        <v>116974</v>
      </c>
      <c r="C329" s="81">
        <v>10766</v>
      </c>
      <c r="D329" s="9" t="s">
        <v>1327</v>
      </c>
      <c r="E329" s="81">
        <v>14563151</v>
      </c>
      <c r="F329" s="81">
        <v>43459</v>
      </c>
      <c r="G329" s="81">
        <v>25</v>
      </c>
      <c r="H329" s="82">
        <v>26.3</v>
      </c>
      <c r="I329" s="251">
        <v>657.5</v>
      </c>
      <c r="J329" s="9" t="s">
        <v>1305</v>
      </c>
      <c r="K329" s="9" t="s">
        <v>1306</v>
      </c>
      <c r="L329" s="83">
        <v>45200</v>
      </c>
      <c r="M329" s="83">
        <v>45230</v>
      </c>
    </row>
    <row r="330" spans="1:13" ht="18.75" customHeight="1" x14ac:dyDescent="0.25">
      <c r="A330" s="9" t="s">
        <v>1580</v>
      </c>
      <c r="B330" s="81">
        <v>113739</v>
      </c>
      <c r="C330" s="81">
        <v>10775</v>
      </c>
      <c r="D330" s="9" t="s">
        <v>958</v>
      </c>
      <c r="E330" s="81">
        <v>14563151</v>
      </c>
      <c r="F330" s="81">
        <v>31913</v>
      </c>
      <c r="G330" s="81">
        <v>25</v>
      </c>
      <c r="H330" s="82">
        <v>26.3</v>
      </c>
      <c r="I330" s="251">
        <v>657.5</v>
      </c>
      <c r="J330" s="9" t="s">
        <v>1305</v>
      </c>
      <c r="K330" s="9" t="s">
        <v>1306</v>
      </c>
      <c r="L330" s="83">
        <v>45200</v>
      </c>
      <c r="M330" s="83">
        <v>45230</v>
      </c>
    </row>
    <row r="331" spans="1:13" ht="18.75" customHeight="1" x14ac:dyDescent="0.25">
      <c r="A331" s="9" t="s">
        <v>1578</v>
      </c>
      <c r="B331" s="81">
        <v>113361</v>
      </c>
      <c r="C331" s="81">
        <v>10748</v>
      </c>
      <c r="D331" s="9" t="s">
        <v>727</v>
      </c>
      <c r="E331" s="81">
        <v>14563151</v>
      </c>
      <c r="F331" s="81">
        <v>31157</v>
      </c>
      <c r="G331" s="81">
        <v>25</v>
      </c>
      <c r="H331" s="82">
        <v>26.3</v>
      </c>
      <c r="I331" s="251">
        <v>657.5</v>
      </c>
      <c r="J331" s="9" t="s">
        <v>1305</v>
      </c>
      <c r="K331" s="9" t="s">
        <v>1306</v>
      </c>
      <c r="L331" s="83">
        <v>45200</v>
      </c>
      <c r="M331" s="83">
        <v>45230</v>
      </c>
    </row>
    <row r="332" spans="1:13" ht="18.75" customHeight="1" x14ac:dyDescent="0.25">
      <c r="A332" s="9" t="s">
        <v>19</v>
      </c>
      <c r="B332" s="81">
        <v>113364</v>
      </c>
      <c r="C332" s="81">
        <v>10751</v>
      </c>
      <c r="D332" s="9" t="s">
        <v>730</v>
      </c>
      <c r="E332" s="81">
        <v>14563151</v>
      </c>
      <c r="F332" s="81">
        <v>31163</v>
      </c>
      <c r="G332" s="81">
        <v>25</v>
      </c>
      <c r="H332" s="82">
        <v>26.3</v>
      </c>
      <c r="I332" s="251">
        <v>657.5</v>
      </c>
      <c r="J332" s="9" t="s">
        <v>1305</v>
      </c>
      <c r="K332" s="9" t="s">
        <v>1306</v>
      </c>
      <c r="L332" s="83">
        <v>45200</v>
      </c>
      <c r="M332" s="83">
        <v>45230</v>
      </c>
    </row>
    <row r="333" spans="1:13" ht="18.75" customHeight="1" x14ac:dyDescent="0.25">
      <c r="A333" s="9" t="s">
        <v>19</v>
      </c>
      <c r="B333" s="81">
        <v>113368</v>
      </c>
      <c r="C333" s="81">
        <v>10750</v>
      </c>
      <c r="D333" s="9" t="s">
        <v>733</v>
      </c>
      <c r="E333" s="81">
        <v>14563151</v>
      </c>
      <c r="F333" s="81">
        <v>31171</v>
      </c>
      <c r="G333" s="81">
        <v>25</v>
      </c>
      <c r="H333" s="82">
        <v>26.3</v>
      </c>
      <c r="I333" s="251">
        <v>657.5</v>
      </c>
      <c r="J333" s="9" t="s">
        <v>1305</v>
      </c>
      <c r="K333" s="9" t="s">
        <v>1306</v>
      </c>
      <c r="L333" s="83">
        <v>45200</v>
      </c>
      <c r="M333" s="83">
        <v>45230</v>
      </c>
    </row>
    <row r="334" spans="1:13" ht="18.75" customHeight="1" x14ac:dyDescent="0.25">
      <c r="A334" s="9" t="s">
        <v>8</v>
      </c>
      <c r="B334" s="81">
        <v>113374</v>
      </c>
      <c r="C334" s="81">
        <v>10751</v>
      </c>
      <c r="D334" s="9" t="s">
        <v>736</v>
      </c>
      <c r="E334" s="81">
        <v>14563151</v>
      </c>
      <c r="F334" s="81">
        <v>31183</v>
      </c>
      <c r="G334" s="81">
        <v>25</v>
      </c>
      <c r="H334" s="82">
        <v>26.3</v>
      </c>
      <c r="I334" s="251">
        <v>657.5</v>
      </c>
      <c r="J334" s="9" t="s">
        <v>1305</v>
      </c>
      <c r="K334" s="9" t="s">
        <v>1306</v>
      </c>
      <c r="L334" s="83">
        <v>45200</v>
      </c>
      <c r="M334" s="83">
        <v>45230</v>
      </c>
    </row>
    <row r="335" spans="1:13" ht="18.75" customHeight="1" x14ac:dyDescent="0.25">
      <c r="A335" s="9" t="s">
        <v>1578</v>
      </c>
      <c r="B335" s="81">
        <v>117358</v>
      </c>
      <c r="C335" s="81">
        <v>10768</v>
      </c>
      <c r="D335" s="9" t="s">
        <v>1262</v>
      </c>
      <c r="E335" s="81">
        <v>14563151</v>
      </c>
      <c r="F335" s="81">
        <v>44389</v>
      </c>
      <c r="G335" s="81">
        <v>25</v>
      </c>
      <c r="H335" s="82">
        <v>26.3</v>
      </c>
      <c r="I335" s="251">
        <v>657.5</v>
      </c>
      <c r="J335" s="9" t="s">
        <v>1305</v>
      </c>
      <c r="K335" s="9" t="s">
        <v>1306</v>
      </c>
      <c r="L335" s="83">
        <v>45200</v>
      </c>
      <c r="M335" s="83">
        <v>45230</v>
      </c>
    </row>
    <row r="336" spans="1:13" ht="18.75" customHeight="1" x14ac:dyDescent="0.25">
      <c r="A336" s="9" t="s">
        <v>10</v>
      </c>
      <c r="B336" s="81">
        <v>121675</v>
      </c>
      <c r="C336" s="81">
        <v>10757</v>
      </c>
      <c r="D336" s="9" t="s">
        <v>1585</v>
      </c>
      <c r="E336" s="81">
        <v>14563151</v>
      </c>
      <c r="F336" s="81">
        <v>54315</v>
      </c>
      <c r="G336" s="81">
        <v>25</v>
      </c>
      <c r="H336" s="82">
        <v>26.3</v>
      </c>
      <c r="I336" s="251">
        <v>657.5</v>
      </c>
      <c r="J336" s="9" t="s">
        <v>1305</v>
      </c>
      <c r="K336" s="9" t="s">
        <v>1306</v>
      </c>
      <c r="L336" s="83">
        <v>45200</v>
      </c>
      <c r="M336" s="83">
        <v>45230</v>
      </c>
    </row>
    <row r="337" spans="1:13" ht="18.75" customHeight="1" x14ac:dyDescent="0.25">
      <c r="A337" s="9" t="s">
        <v>0</v>
      </c>
      <c r="B337" s="81">
        <v>119645</v>
      </c>
      <c r="C337" s="81">
        <v>10757</v>
      </c>
      <c r="D337" s="9" t="s">
        <v>1457</v>
      </c>
      <c r="E337" s="81">
        <v>14563151</v>
      </c>
      <c r="F337" s="81">
        <v>49606</v>
      </c>
      <c r="G337" s="81">
        <v>25</v>
      </c>
      <c r="H337" s="82">
        <v>26.3</v>
      </c>
      <c r="I337" s="251">
        <v>657.5</v>
      </c>
      <c r="J337" s="9" t="s">
        <v>1305</v>
      </c>
      <c r="K337" s="9" t="s">
        <v>1309</v>
      </c>
      <c r="L337" s="83">
        <v>45200</v>
      </c>
      <c r="M337" s="83">
        <v>45230</v>
      </c>
    </row>
    <row r="338" spans="1:13" ht="18.75" customHeight="1" x14ac:dyDescent="0.25">
      <c r="A338" s="9" t="s">
        <v>0</v>
      </c>
      <c r="B338" s="81">
        <v>116226</v>
      </c>
      <c r="C338" s="81">
        <v>10766</v>
      </c>
      <c r="D338" s="9" t="s">
        <v>1190</v>
      </c>
      <c r="E338" s="81">
        <v>14563151</v>
      </c>
      <c r="F338" s="81">
        <v>41562</v>
      </c>
      <c r="G338" s="81">
        <v>25</v>
      </c>
      <c r="H338" s="82">
        <v>26.3</v>
      </c>
      <c r="I338" s="251">
        <v>657.5</v>
      </c>
      <c r="J338" s="9" t="s">
        <v>1305</v>
      </c>
      <c r="K338" s="9" t="s">
        <v>1306</v>
      </c>
      <c r="L338" s="83">
        <v>45200</v>
      </c>
      <c r="M338" s="83">
        <v>45230</v>
      </c>
    </row>
    <row r="339" spans="1:13" ht="18.75" customHeight="1" x14ac:dyDescent="0.25">
      <c r="A339" s="9" t="s">
        <v>10</v>
      </c>
      <c r="B339" s="81">
        <v>113390</v>
      </c>
      <c r="C339" s="81">
        <v>10773</v>
      </c>
      <c r="D339" s="9" t="s">
        <v>1328</v>
      </c>
      <c r="E339" s="81">
        <v>14563151</v>
      </c>
      <c r="F339" s="81">
        <v>31215</v>
      </c>
      <c r="G339" s="81">
        <v>25</v>
      </c>
      <c r="H339" s="82">
        <v>26.3</v>
      </c>
      <c r="I339" s="251">
        <v>657.5</v>
      </c>
      <c r="J339" s="9" t="s">
        <v>1305</v>
      </c>
      <c r="K339" s="9" t="s">
        <v>1306</v>
      </c>
      <c r="L339" s="83">
        <v>45200</v>
      </c>
      <c r="M339" s="83">
        <v>45230</v>
      </c>
    </row>
    <row r="340" spans="1:13" ht="18.75" customHeight="1" x14ac:dyDescent="0.25">
      <c r="A340" s="9" t="s">
        <v>10</v>
      </c>
      <c r="B340" s="81">
        <v>113392</v>
      </c>
      <c r="C340" s="81">
        <v>10750</v>
      </c>
      <c r="D340" s="9" t="s">
        <v>750</v>
      </c>
      <c r="E340" s="81">
        <v>14563151</v>
      </c>
      <c r="F340" s="81">
        <v>31219</v>
      </c>
      <c r="G340" s="81">
        <v>25</v>
      </c>
      <c r="H340" s="82">
        <v>26.3</v>
      </c>
      <c r="I340" s="251">
        <v>657.5</v>
      </c>
      <c r="J340" s="9" t="s">
        <v>1305</v>
      </c>
      <c r="K340" s="9" t="s">
        <v>1306</v>
      </c>
      <c r="L340" s="83">
        <v>45200</v>
      </c>
      <c r="M340" s="83">
        <v>45230</v>
      </c>
    </row>
    <row r="341" spans="1:13" ht="18.75" customHeight="1" x14ac:dyDescent="0.25">
      <c r="A341" s="9" t="s">
        <v>8</v>
      </c>
      <c r="B341" s="81">
        <v>113404</v>
      </c>
      <c r="C341" s="81">
        <v>10771</v>
      </c>
      <c r="D341" s="9" t="s">
        <v>748</v>
      </c>
      <c r="E341" s="81">
        <v>14563151</v>
      </c>
      <c r="F341" s="81">
        <v>31243</v>
      </c>
      <c r="G341" s="81">
        <v>25</v>
      </c>
      <c r="H341" s="82">
        <v>26.3</v>
      </c>
      <c r="I341" s="251">
        <v>657.5</v>
      </c>
      <c r="J341" s="9" t="s">
        <v>1305</v>
      </c>
      <c r="K341" s="9" t="s">
        <v>1306</v>
      </c>
      <c r="L341" s="83">
        <v>45200</v>
      </c>
      <c r="M341" s="83">
        <v>45230</v>
      </c>
    </row>
    <row r="342" spans="1:13" ht="18.75" customHeight="1" x14ac:dyDescent="0.25">
      <c r="A342" s="9" t="s">
        <v>1578</v>
      </c>
      <c r="B342" s="81">
        <v>112825</v>
      </c>
      <c r="C342" s="81">
        <v>10757</v>
      </c>
      <c r="D342" s="9" t="s">
        <v>438</v>
      </c>
      <c r="E342" s="81">
        <v>14563151</v>
      </c>
      <c r="F342" s="81">
        <v>30085</v>
      </c>
      <c r="G342" s="81">
        <v>25</v>
      </c>
      <c r="H342" s="82">
        <v>26.3</v>
      </c>
      <c r="I342" s="251">
        <v>657.5</v>
      </c>
      <c r="J342" s="9" t="s">
        <v>1305</v>
      </c>
      <c r="K342" s="9" t="s">
        <v>1306</v>
      </c>
      <c r="L342" s="83">
        <v>45200</v>
      </c>
      <c r="M342" s="83">
        <v>45230</v>
      </c>
    </row>
    <row r="343" spans="1:13" ht="18.75" customHeight="1" x14ac:dyDescent="0.25">
      <c r="A343" s="9" t="s">
        <v>10</v>
      </c>
      <c r="B343" s="81">
        <v>112830</v>
      </c>
      <c r="C343" s="81">
        <v>10760</v>
      </c>
      <c r="D343" s="9" t="s">
        <v>441</v>
      </c>
      <c r="E343" s="81">
        <v>14563151</v>
      </c>
      <c r="F343" s="81">
        <v>30095</v>
      </c>
      <c r="G343" s="81">
        <v>25</v>
      </c>
      <c r="H343" s="82">
        <v>26.3</v>
      </c>
      <c r="I343" s="251">
        <v>657.5</v>
      </c>
      <c r="J343" s="9" t="s">
        <v>1305</v>
      </c>
      <c r="K343" s="9" t="s">
        <v>1306</v>
      </c>
      <c r="L343" s="83">
        <v>45200</v>
      </c>
      <c r="M343" s="83">
        <v>45230</v>
      </c>
    </row>
    <row r="344" spans="1:13" ht="18.75" customHeight="1" x14ac:dyDescent="0.25">
      <c r="A344" s="9" t="s">
        <v>1578</v>
      </c>
      <c r="B344" s="81">
        <v>112838</v>
      </c>
      <c r="C344" s="81">
        <v>10768</v>
      </c>
      <c r="D344" s="9" t="s">
        <v>446</v>
      </c>
      <c r="E344" s="81">
        <v>14563151</v>
      </c>
      <c r="F344" s="81">
        <v>30111</v>
      </c>
      <c r="G344" s="81">
        <v>25</v>
      </c>
      <c r="H344" s="82">
        <v>26.3</v>
      </c>
      <c r="I344" s="251">
        <v>657.5</v>
      </c>
      <c r="J344" s="9" t="s">
        <v>1305</v>
      </c>
      <c r="K344" s="9" t="s">
        <v>1306</v>
      </c>
      <c r="L344" s="83">
        <v>45200</v>
      </c>
      <c r="M344" s="83">
        <v>45230</v>
      </c>
    </row>
    <row r="345" spans="1:13" ht="18.75" customHeight="1" x14ac:dyDescent="0.25">
      <c r="A345" s="9" t="s">
        <v>0</v>
      </c>
      <c r="B345" s="81">
        <v>113726</v>
      </c>
      <c r="C345" s="81">
        <v>10760</v>
      </c>
      <c r="D345" s="9" t="s">
        <v>942</v>
      </c>
      <c r="E345" s="81">
        <v>14563151</v>
      </c>
      <c r="F345" s="81">
        <v>31887</v>
      </c>
      <c r="G345" s="81">
        <v>25</v>
      </c>
      <c r="H345" s="82">
        <v>26.3</v>
      </c>
      <c r="I345" s="251">
        <v>657.5</v>
      </c>
      <c r="J345" s="9" t="s">
        <v>1305</v>
      </c>
      <c r="K345" s="9" t="s">
        <v>1306</v>
      </c>
      <c r="L345" s="83">
        <v>45200</v>
      </c>
      <c r="M345" s="83">
        <v>45230</v>
      </c>
    </row>
    <row r="346" spans="1:13" ht="18.75" customHeight="1" x14ac:dyDescent="0.25">
      <c r="A346" s="9" t="s">
        <v>10</v>
      </c>
      <c r="B346" s="81">
        <v>112847</v>
      </c>
      <c r="C346" s="81">
        <v>10756</v>
      </c>
      <c r="D346" s="9" t="s">
        <v>450</v>
      </c>
      <c r="E346" s="81">
        <v>14563151</v>
      </c>
      <c r="F346" s="81">
        <v>30129</v>
      </c>
      <c r="G346" s="81">
        <v>25</v>
      </c>
      <c r="H346" s="82">
        <v>26.3</v>
      </c>
      <c r="I346" s="251">
        <v>657.5</v>
      </c>
      <c r="J346" s="9" t="s">
        <v>1305</v>
      </c>
      <c r="K346" s="9" t="s">
        <v>1306</v>
      </c>
      <c r="L346" s="83">
        <v>45200</v>
      </c>
      <c r="M346" s="83">
        <v>45230</v>
      </c>
    </row>
    <row r="347" spans="1:13" ht="18.75" customHeight="1" x14ac:dyDescent="0.25">
      <c r="A347" s="9" t="s">
        <v>1578</v>
      </c>
      <c r="B347" s="81">
        <v>112850</v>
      </c>
      <c r="C347" s="81">
        <v>10756</v>
      </c>
      <c r="D347" s="9" t="s">
        <v>452</v>
      </c>
      <c r="E347" s="81">
        <v>14563151</v>
      </c>
      <c r="F347" s="81">
        <v>30135</v>
      </c>
      <c r="G347" s="81">
        <v>25</v>
      </c>
      <c r="H347" s="82">
        <v>26.3</v>
      </c>
      <c r="I347" s="251">
        <v>657.5</v>
      </c>
      <c r="J347" s="9" t="s">
        <v>1305</v>
      </c>
      <c r="K347" s="9" t="s">
        <v>1306</v>
      </c>
      <c r="L347" s="83">
        <v>45200</v>
      </c>
      <c r="M347" s="83">
        <v>45230</v>
      </c>
    </row>
    <row r="348" spans="1:13" ht="18.75" customHeight="1" x14ac:dyDescent="0.25">
      <c r="A348" s="9" t="s">
        <v>1578</v>
      </c>
      <c r="B348" s="81">
        <v>112858</v>
      </c>
      <c r="C348" s="81">
        <v>10757</v>
      </c>
      <c r="D348" s="9" t="s">
        <v>456</v>
      </c>
      <c r="E348" s="81">
        <v>14563151</v>
      </c>
      <c r="F348" s="81">
        <v>30151</v>
      </c>
      <c r="G348" s="81">
        <v>25</v>
      </c>
      <c r="H348" s="82">
        <v>26.3</v>
      </c>
      <c r="I348" s="251">
        <v>657.5</v>
      </c>
      <c r="J348" s="9" t="s">
        <v>1305</v>
      </c>
      <c r="K348" s="9" t="s">
        <v>1306</v>
      </c>
      <c r="L348" s="83">
        <v>45200</v>
      </c>
      <c r="M348" s="83">
        <v>45230</v>
      </c>
    </row>
    <row r="349" spans="1:13" ht="18.75" customHeight="1" x14ac:dyDescent="0.25">
      <c r="A349" s="9" t="s">
        <v>8</v>
      </c>
      <c r="B349" s="81">
        <v>112866</v>
      </c>
      <c r="C349" s="81">
        <v>10751</v>
      </c>
      <c r="D349" s="9" t="s">
        <v>461</v>
      </c>
      <c r="E349" s="81">
        <v>14563151</v>
      </c>
      <c r="F349" s="81">
        <v>30167</v>
      </c>
      <c r="G349" s="81">
        <v>25</v>
      </c>
      <c r="H349" s="82">
        <v>26.3</v>
      </c>
      <c r="I349" s="251">
        <v>657.5</v>
      </c>
      <c r="J349" s="9" t="s">
        <v>1305</v>
      </c>
      <c r="K349" s="9" t="s">
        <v>1306</v>
      </c>
      <c r="L349" s="83">
        <v>45200</v>
      </c>
      <c r="M349" s="83">
        <v>45230</v>
      </c>
    </row>
    <row r="350" spans="1:13" ht="18.75" customHeight="1" x14ac:dyDescent="0.25">
      <c r="A350" s="9" t="s">
        <v>8</v>
      </c>
      <c r="B350" s="81">
        <v>112867</v>
      </c>
      <c r="C350" s="81">
        <v>10750</v>
      </c>
      <c r="D350" s="9" t="s">
        <v>462</v>
      </c>
      <c r="E350" s="81">
        <v>14563151</v>
      </c>
      <c r="F350" s="81">
        <v>30169</v>
      </c>
      <c r="G350" s="81">
        <v>25</v>
      </c>
      <c r="H350" s="82">
        <v>26.3</v>
      </c>
      <c r="I350" s="251">
        <v>657.5</v>
      </c>
      <c r="J350" s="9" t="s">
        <v>1305</v>
      </c>
      <c r="K350" s="9" t="s">
        <v>1306</v>
      </c>
      <c r="L350" s="83">
        <v>45200</v>
      </c>
      <c r="M350" s="83">
        <v>45230</v>
      </c>
    </row>
    <row r="351" spans="1:13" ht="18.75" customHeight="1" x14ac:dyDescent="0.25">
      <c r="A351" s="9" t="s">
        <v>1578</v>
      </c>
      <c r="B351" s="81">
        <v>112874</v>
      </c>
      <c r="C351" s="81">
        <v>10755</v>
      </c>
      <c r="D351" s="9" t="s">
        <v>466</v>
      </c>
      <c r="E351" s="81">
        <v>14563151</v>
      </c>
      <c r="F351" s="81">
        <v>30183</v>
      </c>
      <c r="G351" s="81">
        <v>25</v>
      </c>
      <c r="H351" s="82">
        <v>26.3</v>
      </c>
      <c r="I351" s="251">
        <v>657.5</v>
      </c>
      <c r="J351" s="9" t="s">
        <v>1305</v>
      </c>
      <c r="K351" s="9" t="s">
        <v>1306</v>
      </c>
      <c r="L351" s="83">
        <v>45200</v>
      </c>
      <c r="M351" s="83">
        <v>45230</v>
      </c>
    </row>
    <row r="352" spans="1:13" ht="18.75" customHeight="1" x14ac:dyDescent="0.25">
      <c r="A352" s="9" t="s">
        <v>0</v>
      </c>
      <c r="B352" s="81">
        <v>112881</v>
      </c>
      <c r="C352" s="81">
        <v>10751</v>
      </c>
      <c r="D352" s="9" t="s">
        <v>472</v>
      </c>
      <c r="E352" s="81">
        <v>14563151</v>
      </c>
      <c r="F352" s="81">
        <v>30197</v>
      </c>
      <c r="G352" s="81">
        <v>25</v>
      </c>
      <c r="H352" s="82">
        <v>26.3</v>
      </c>
      <c r="I352" s="251">
        <v>657.5</v>
      </c>
      <c r="J352" s="9" t="s">
        <v>1305</v>
      </c>
      <c r="K352" s="9" t="s">
        <v>1306</v>
      </c>
      <c r="L352" s="83">
        <v>45200</v>
      </c>
      <c r="M352" s="83">
        <v>45230</v>
      </c>
    </row>
    <row r="353" spans="1:13" ht="18.75" customHeight="1" x14ac:dyDescent="0.25">
      <c r="A353" s="9" t="s">
        <v>1578</v>
      </c>
      <c r="B353" s="81">
        <v>112878</v>
      </c>
      <c r="C353" s="81">
        <v>10756</v>
      </c>
      <c r="D353" s="9" t="s">
        <v>471</v>
      </c>
      <c r="E353" s="81">
        <v>14563151</v>
      </c>
      <c r="F353" s="81">
        <v>30191</v>
      </c>
      <c r="G353" s="81">
        <v>25</v>
      </c>
      <c r="H353" s="82">
        <v>26.3</v>
      </c>
      <c r="I353" s="251">
        <v>657.5</v>
      </c>
      <c r="J353" s="9" t="s">
        <v>1305</v>
      </c>
      <c r="K353" s="9" t="s">
        <v>1306</v>
      </c>
      <c r="L353" s="83">
        <v>45200</v>
      </c>
      <c r="M353" s="83">
        <v>45230</v>
      </c>
    </row>
    <row r="354" spans="1:13" ht="18.75" customHeight="1" x14ac:dyDescent="0.25">
      <c r="A354" s="9" t="s">
        <v>1578</v>
      </c>
      <c r="B354" s="81">
        <v>119662</v>
      </c>
      <c r="C354" s="81">
        <v>10748</v>
      </c>
      <c r="D354" s="9" t="s">
        <v>1458</v>
      </c>
      <c r="E354" s="81">
        <v>14563151</v>
      </c>
      <c r="F354" s="81">
        <v>49650</v>
      </c>
      <c r="G354" s="81">
        <v>25</v>
      </c>
      <c r="H354" s="82">
        <v>26.3</v>
      </c>
      <c r="I354" s="251">
        <v>657.5</v>
      </c>
      <c r="J354" s="9" t="s">
        <v>1305</v>
      </c>
      <c r="K354" s="9" t="s">
        <v>1306</v>
      </c>
      <c r="L354" s="83">
        <v>45200</v>
      </c>
      <c r="M354" s="83">
        <v>45230</v>
      </c>
    </row>
    <row r="355" spans="1:13" ht="18.75" customHeight="1" x14ac:dyDescent="0.25">
      <c r="A355" s="9" t="s">
        <v>1578</v>
      </c>
      <c r="B355" s="81">
        <v>115231</v>
      </c>
      <c r="C355" s="81">
        <v>10757</v>
      </c>
      <c r="D355" s="9" t="s">
        <v>1147</v>
      </c>
      <c r="E355" s="81">
        <v>14563151</v>
      </c>
      <c r="F355" s="81">
        <v>38518</v>
      </c>
      <c r="G355" s="81">
        <v>25</v>
      </c>
      <c r="H355" s="82">
        <v>26.3</v>
      </c>
      <c r="I355" s="251">
        <v>657.5</v>
      </c>
      <c r="J355" s="9" t="s">
        <v>1305</v>
      </c>
      <c r="K355" s="9" t="s">
        <v>1306</v>
      </c>
      <c r="L355" s="83">
        <v>45200</v>
      </c>
      <c r="M355" s="83">
        <v>45230</v>
      </c>
    </row>
    <row r="356" spans="1:13" ht="18.75" customHeight="1" x14ac:dyDescent="0.25">
      <c r="A356" s="9" t="s">
        <v>0</v>
      </c>
      <c r="B356" s="81">
        <v>113416</v>
      </c>
      <c r="C356" s="81">
        <v>10750</v>
      </c>
      <c r="D356" s="9" t="s">
        <v>765</v>
      </c>
      <c r="E356" s="81">
        <v>14563151</v>
      </c>
      <c r="F356" s="81">
        <v>31267</v>
      </c>
      <c r="G356" s="81">
        <v>25</v>
      </c>
      <c r="H356" s="82">
        <v>26.3</v>
      </c>
      <c r="I356" s="251">
        <v>657.5</v>
      </c>
      <c r="J356" s="9" t="s">
        <v>1305</v>
      </c>
      <c r="K356" s="9" t="s">
        <v>1306</v>
      </c>
      <c r="L356" s="83">
        <v>45200</v>
      </c>
      <c r="M356" s="83">
        <v>45230</v>
      </c>
    </row>
    <row r="357" spans="1:13" ht="18.75" customHeight="1" x14ac:dyDescent="0.25">
      <c r="A357" s="9" t="s">
        <v>1578</v>
      </c>
      <c r="B357" s="81">
        <v>117359</v>
      </c>
      <c r="C357" s="81">
        <v>10768</v>
      </c>
      <c r="D357" s="9" t="s">
        <v>1263</v>
      </c>
      <c r="E357" s="81">
        <v>14563151</v>
      </c>
      <c r="F357" s="81">
        <v>44391</v>
      </c>
      <c r="G357" s="81">
        <v>25</v>
      </c>
      <c r="H357" s="82">
        <v>26.3</v>
      </c>
      <c r="I357" s="251">
        <v>657.5</v>
      </c>
      <c r="J357" s="9" t="s">
        <v>1305</v>
      </c>
      <c r="K357" s="9" t="s">
        <v>1306</v>
      </c>
      <c r="L357" s="83">
        <v>45200</v>
      </c>
      <c r="M357" s="83">
        <v>45230</v>
      </c>
    </row>
    <row r="358" spans="1:13" ht="18.75" customHeight="1" x14ac:dyDescent="0.25">
      <c r="A358" s="9" t="s">
        <v>1578</v>
      </c>
      <c r="B358" s="81">
        <v>114977</v>
      </c>
      <c r="C358" s="81">
        <v>10757</v>
      </c>
      <c r="D358" s="9" t="s">
        <v>1133</v>
      </c>
      <c r="E358" s="81">
        <v>14563151</v>
      </c>
      <c r="F358" s="81">
        <v>37730</v>
      </c>
      <c r="G358" s="81">
        <v>25</v>
      </c>
      <c r="H358" s="82">
        <v>26.3</v>
      </c>
      <c r="I358" s="251">
        <v>657.5</v>
      </c>
      <c r="J358" s="9" t="s">
        <v>1305</v>
      </c>
      <c r="K358" s="9" t="s">
        <v>1306</v>
      </c>
      <c r="L358" s="83">
        <v>45200</v>
      </c>
      <c r="M358" s="83">
        <v>45230</v>
      </c>
    </row>
    <row r="359" spans="1:13" ht="18.75" customHeight="1" x14ac:dyDescent="0.25">
      <c r="A359" s="9" t="s">
        <v>0</v>
      </c>
      <c r="B359" s="81">
        <v>113442</v>
      </c>
      <c r="C359" s="81">
        <v>10750</v>
      </c>
      <c r="D359" s="9" t="s">
        <v>782</v>
      </c>
      <c r="E359" s="81">
        <v>14563151</v>
      </c>
      <c r="F359" s="81">
        <v>31319</v>
      </c>
      <c r="G359" s="81">
        <v>25</v>
      </c>
      <c r="H359" s="82">
        <v>26.3</v>
      </c>
      <c r="I359" s="251">
        <v>657.5</v>
      </c>
      <c r="J359" s="9" t="s">
        <v>1305</v>
      </c>
      <c r="K359" s="9" t="s">
        <v>1306</v>
      </c>
      <c r="L359" s="83">
        <v>45200</v>
      </c>
      <c r="M359" s="83">
        <v>45230</v>
      </c>
    </row>
    <row r="360" spans="1:13" ht="18.75" customHeight="1" x14ac:dyDescent="0.25">
      <c r="A360" s="9" t="s">
        <v>8</v>
      </c>
      <c r="B360" s="81">
        <v>115216</v>
      </c>
      <c r="C360" s="81">
        <v>10766</v>
      </c>
      <c r="D360" s="9" t="s">
        <v>1141</v>
      </c>
      <c r="E360" s="81">
        <v>14563151</v>
      </c>
      <c r="F360" s="81">
        <v>38479</v>
      </c>
      <c r="G360" s="81">
        <v>25</v>
      </c>
      <c r="H360" s="82">
        <v>26.3</v>
      </c>
      <c r="I360" s="251">
        <v>657.5</v>
      </c>
      <c r="J360" s="9" t="s">
        <v>1305</v>
      </c>
      <c r="K360" s="9" t="s">
        <v>1306</v>
      </c>
      <c r="L360" s="83">
        <v>45200</v>
      </c>
      <c r="M360" s="83">
        <v>45230</v>
      </c>
    </row>
    <row r="361" spans="1:13" ht="18.75" customHeight="1" x14ac:dyDescent="0.25">
      <c r="A361" s="9" t="s">
        <v>1578</v>
      </c>
      <c r="B361" s="81">
        <v>113447</v>
      </c>
      <c r="C361" s="81">
        <v>10743</v>
      </c>
      <c r="D361" s="9" t="s">
        <v>784</v>
      </c>
      <c r="E361" s="81">
        <v>14563151</v>
      </c>
      <c r="F361" s="81">
        <v>31329</v>
      </c>
      <c r="G361" s="81">
        <v>25</v>
      </c>
      <c r="H361" s="82">
        <v>26.3</v>
      </c>
      <c r="I361" s="251">
        <v>657.5</v>
      </c>
      <c r="J361" s="9" t="s">
        <v>1305</v>
      </c>
      <c r="K361" s="9" t="s">
        <v>1306</v>
      </c>
      <c r="L361" s="83">
        <v>45200</v>
      </c>
      <c r="M361" s="83">
        <v>45230</v>
      </c>
    </row>
    <row r="362" spans="1:13" ht="18.75" customHeight="1" x14ac:dyDescent="0.25">
      <c r="A362" s="9" t="s">
        <v>32</v>
      </c>
      <c r="B362" s="81">
        <v>113457</v>
      </c>
      <c r="C362" s="81">
        <v>10750</v>
      </c>
      <c r="D362" s="9" t="s">
        <v>788</v>
      </c>
      <c r="E362" s="81">
        <v>14563151</v>
      </c>
      <c r="F362" s="81">
        <v>31349</v>
      </c>
      <c r="G362" s="81">
        <v>25</v>
      </c>
      <c r="H362" s="82">
        <v>26.3</v>
      </c>
      <c r="I362" s="251">
        <v>657.5</v>
      </c>
      <c r="J362" s="9" t="s">
        <v>1305</v>
      </c>
      <c r="K362" s="9" t="s">
        <v>1306</v>
      </c>
      <c r="L362" s="83">
        <v>45200</v>
      </c>
      <c r="M362" s="83">
        <v>45230</v>
      </c>
    </row>
    <row r="363" spans="1:13" ht="18.75" customHeight="1" x14ac:dyDescent="0.25">
      <c r="A363" s="9" t="s">
        <v>1578</v>
      </c>
      <c r="B363" s="81">
        <v>122574</v>
      </c>
      <c r="C363" s="81">
        <v>10761</v>
      </c>
      <c r="D363" s="9" t="s">
        <v>1681</v>
      </c>
      <c r="E363" s="81">
        <v>14563151</v>
      </c>
      <c r="F363" s="81">
        <v>56540</v>
      </c>
      <c r="G363" s="81">
        <v>25</v>
      </c>
      <c r="H363" s="82">
        <v>26.3</v>
      </c>
      <c r="I363" s="251">
        <v>657.5</v>
      </c>
      <c r="J363" s="9" t="s">
        <v>1305</v>
      </c>
      <c r="K363" s="9" t="s">
        <v>1306</v>
      </c>
      <c r="L363" s="83">
        <v>45200</v>
      </c>
      <c r="M363" s="83">
        <v>45230</v>
      </c>
    </row>
    <row r="364" spans="1:13" ht="18.75" customHeight="1" x14ac:dyDescent="0.25">
      <c r="A364" s="9" t="s">
        <v>1578</v>
      </c>
      <c r="B364" s="81">
        <v>113460</v>
      </c>
      <c r="C364" s="81">
        <v>10768</v>
      </c>
      <c r="D364" s="9" t="s">
        <v>791</v>
      </c>
      <c r="E364" s="81">
        <v>14563151</v>
      </c>
      <c r="F364" s="81">
        <v>31355</v>
      </c>
      <c r="G364" s="81">
        <v>25</v>
      </c>
      <c r="H364" s="82">
        <v>26.3</v>
      </c>
      <c r="I364" s="251">
        <v>657.5</v>
      </c>
      <c r="J364" s="9" t="s">
        <v>1305</v>
      </c>
      <c r="K364" s="9" t="s">
        <v>1306</v>
      </c>
      <c r="L364" s="83">
        <v>45200</v>
      </c>
      <c r="M364" s="83">
        <v>45230</v>
      </c>
    </row>
    <row r="365" spans="1:13" ht="18.75" customHeight="1" x14ac:dyDescent="0.25">
      <c r="A365" s="9" t="s">
        <v>0</v>
      </c>
      <c r="B365" s="81">
        <v>113469</v>
      </c>
      <c r="C365" s="81">
        <v>10766</v>
      </c>
      <c r="D365" s="9" t="s">
        <v>796</v>
      </c>
      <c r="E365" s="81">
        <v>14563151</v>
      </c>
      <c r="F365" s="81">
        <v>31373</v>
      </c>
      <c r="G365" s="81">
        <v>25</v>
      </c>
      <c r="H365" s="82">
        <v>26.3</v>
      </c>
      <c r="I365" s="251">
        <v>657.5</v>
      </c>
      <c r="J365" s="9" t="s">
        <v>1305</v>
      </c>
      <c r="K365" s="9" t="s">
        <v>1306</v>
      </c>
      <c r="L365" s="83">
        <v>45200</v>
      </c>
      <c r="M365" s="83">
        <v>45230</v>
      </c>
    </row>
    <row r="366" spans="1:13" ht="18.75" customHeight="1" x14ac:dyDescent="0.25">
      <c r="A366" s="9" t="s">
        <v>32</v>
      </c>
      <c r="B366" s="81">
        <v>113491</v>
      </c>
      <c r="C366" s="81">
        <v>10766</v>
      </c>
      <c r="D366" s="9" t="s">
        <v>808</v>
      </c>
      <c r="E366" s="81">
        <v>14563151</v>
      </c>
      <c r="F366" s="81">
        <v>31417</v>
      </c>
      <c r="G366" s="81">
        <v>25</v>
      </c>
      <c r="H366" s="82">
        <v>26.3</v>
      </c>
      <c r="I366" s="251">
        <v>657.5</v>
      </c>
      <c r="J366" s="9" t="s">
        <v>1305</v>
      </c>
      <c r="K366" s="9" t="s">
        <v>1306</v>
      </c>
      <c r="L366" s="83">
        <v>45200</v>
      </c>
      <c r="M366" s="83">
        <v>45230</v>
      </c>
    </row>
    <row r="367" spans="1:13" ht="18.75" customHeight="1" x14ac:dyDescent="0.25">
      <c r="A367" s="9" t="s">
        <v>19</v>
      </c>
      <c r="B367" s="81">
        <v>113498</v>
      </c>
      <c r="C367" s="81">
        <v>10757</v>
      </c>
      <c r="D367" s="9" t="s">
        <v>810</v>
      </c>
      <c r="E367" s="81">
        <v>14563151</v>
      </c>
      <c r="F367" s="81">
        <v>31431</v>
      </c>
      <c r="G367" s="81">
        <v>24</v>
      </c>
      <c r="H367" s="82">
        <v>26.3</v>
      </c>
      <c r="I367" s="251">
        <v>631.20000000000005</v>
      </c>
      <c r="J367" s="9" t="s">
        <v>1305</v>
      </c>
      <c r="K367" s="9" t="s">
        <v>1306</v>
      </c>
      <c r="L367" s="83">
        <v>45200</v>
      </c>
      <c r="M367" s="83">
        <v>45230</v>
      </c>
    </row>
    <row r="368" spans="1:13" ht="18.75" customHeight="1" x14ac:dyDescent="0.25">
      <c r="A368" s="9" t="s">
        <v>1578</v>
      </c>
      <c r="B368" s="81">
        <v>113510</v>
      </c>
      <c r="C368" s="81">
        <v>10755</v>
      </c>
      <c r="D368" s="9" t="s">
        <v>816</v>
      </c>
      <c r="E368" s="81">
        <v>14563151</v>
      </c>
      <c r="F368" s="81">
        <v>31455</v>
      </c>
      <c r="G368" s="81">
        <v>25</v>
      </c>
      <c r="H368" s="82">
        <v>26.3</v>
      </c>
      <c r="I368" s="251">
        <v>657.5</v>
      </c>
      <c r="J368" s="9" t="s">
        <v>1305</v>
      </c>
      <c r="K368" s="9" t="s">
        <v>1306</v>
      </c>
      <c r="L368" s="83">
        <v>45200</v>
      </c>
      <c r="M368" s="83">
        <v>45230</v>
      </c>
    </row>
    <row r="369" spans="1:13" ht="18.75" customHeight="1" x14ac:dyDescent="0.25">
      <c r="A369" s="9" t="s">
        <v>8</v>
      </c>
      <c r="B369" s="81">
        <v>113512</v>
      </c>
      <c r="C369" s="81">
        <v>10757</v>
      </c>
      <c r="D369" s="9" t="s">
        <v>817</v>
      </c>
      <c r="E369" s="81">
        <v>14563151</v>
      </c>
      <c r="F369" s="81">
        <v>31459</v>
      </c>
      <c r="G369" s="81">
        <v>25</v>
      </c>
      <c r="H369" s="82">
        <v>26.3</v>
      </c>
      <c r="I369" s="251">
        <v>657.5</v>
      </c>
      <c r="J369" s="9" t="s">
        <v>1305</v>
      </c>
      <c r="K369" s="9" t="s">
        <v>1306</v>
      </c>
      <c r="L369" s="83">
        <v>45200</v>
      </c>
      <c r="M369" s="83">
        <v>45230</v>
      </c>
    </row>
    <row r="370" spans="1:13" ht="18.75" customHeight="1" x14ac:dyDescent="0.25">
      <c r="A370" s="9" t="s">
        <v>10</v>
      </c>
      <c r="B370" s="81">
        <v>113516</v>
      </c>
      <c r="C370" s="81">
        <v>10750</v>
      </c>
      <c r="D370" s="9" t="s">
        <v>819</v>
      </c>
      <c r="E370" s="81">
        <v>14563151</v>
      </c>
      <c r="F370" s="81">
        <v>31467</v>
      </c>
      <c r="G370" s="81">
        <v>25</v>
      </c>
      <c r="H370" s="82">
        <v>26.3</v>
      </c>
      <c r="I370" s="251">
        <v>657.5</v>
      </c>
      <c r="J370" s="9" t="s">
        <v>1305</v>
      </c>
      <c r="K370" s="9" t="s">
        <v>1306</v>
      </c>
      <c r="L370" s="83">
        <v>45200</v>
      </c>
      <c r="M370" s="83">
        <v>45230</v>
      </c>
    </row>
    <row r="371" spans="1:13" ht="18.75" customHeight="1" x14ac:dyDescent="0.25">
      <c r="A371" s="9" t="s">
        <v>8</v>
      </c>
      <c r="B371" s="81">
        <v>114108</v>
      </c>
      <c r="C371" s="81">
        <v>10758</v>
      </c>
      <c r="D371" s="9" t="s">
        <v>1008</v>
      </c>
      <c r="E371" s="81">
        <v>14563151</v>
      </c>
      <c r="F371" s="81">
        <v>34366</v>
      </c>
      <c r="G371" s="81">
        <v>25</v>
      </c>
      <c r="H371" s="82">
        <v>26.3</v>
      </c>
      <c r="I371" s="251">
        <v>657.5</v>
      </c>
      <c r="J371" s="9" t="s">
        <v>1305</v>
      </c>
      <c r="K371" s="9" t="s">
        <v>1306</v>
      </c>
      <c r="L371" s="83">
        <v>45200</v>
      </c>
      <c r="M371" s="83">
        <v>45230</v>
      </c>
    </row>
    <row r="372" spans="1:13" ht="18.75" customHeight="1" x14ac:dyDescent="0.25">
      <c r="A372" s="9" t="s">
        <v>0</v>
      </c>
      <c r="B372" s="81">
        <v>113521</v>
      </c>
      <c r="C372" s="81">
        <v>10751</v>
      </c>
      <c r="D372" s="9" t="s">
        <v>822</v>
      </c>
      <c r="E372" s="81">
        <v>14563151</v>
      </c>
      <c r="F372" s="81">
        <v>31477</v>
      </c>
      <c r="G372" s="81">
        <v>25</v>
      </c>
      <c r="H372" s="82">
        <v>26.3</v>
      </c>
      <c r="I372" s="251">
        <v>657.5</v>
      </c>
      <c r="J372" s="9" t="s">
        <v>1305</v>
      </c>
      <c r="K372" s="9" t="s">
        <v>1306</v>
      </c>
      <c r="L372" s="83">
        <v>45200</v>
      </c>
      <c r="M372" s="83">
        <v>45230</v>
      </c>
    </row>
    <row r="373" spans="1:13" ht="18.75" customHeight="1" x14ac:dyDescent="0.25">
      <c r="A373" s="9" t="s">
        <v>0</v>
      </c>
      <c r="B373" s="81">
        <v>116327</v>
      </c>
      <c r="C373" s="81">
        <v>10757</v>
      </c>
      <c r="D373" s="9" t="s">
        <v>1513</v>
      </c>
      <c r="E373" s="81">
        <v>14563151</v>
      </c>
      <c r="F373" s="81">
        <v>41865</v>
      </c>
      <c r="G373" s="81">
        <v>25</v>
      </c>
      <c r="H373" s="82">
        <v>26.3</v>
      </c>
      <c r="I373" s="251">
        <v>657.5</v>
      </c>
      <c r="J373" s="9" t="s">
        <v>1305</v>
      </c>
      <c r="K373" s="9" t="s">
        <v>1306</v>
      </c>
      <c r="L373" s="83">
        <v>45200</v>
      </c>
      <c r="M373" s="83">
        <v>45230</v>
      </c>
    </row>
    <row r="374" spans="1:13" ht="18.75" customHeight="1" x14ac:dyDescent="0.25">
      <c r="A374" s="9" t="s">
        <v>19</v>
      </c>
      <c r="B374" s="81">
        <v>113524</v>
      </c>
      <c r="C374" s="81">
        <v>10757</v>
      </c>
      <c r="D374" s="9" t="s">
        <v>1329</v>
      </c>
      <c r="E374" s="81">
        <v>14563151</v>
      </c>
      <c r="F374" s="81">
        <v>31483</v>
      </c>
      <c r="G374" s="81">
        <v>25</v>
      </c>
      <c r="H374" s="82">
        <v>26.3</v>
      </c>
      <c r="I374" s="251">
        <v>657.5</v>
      </c>
      <c r="J374" s="9" t="s">
        <v>1305</v>
      </c>
      <c r="K374" s="9" t="s">
        <v>1306</v>
      </c>
      <c r="L374" s="83">
        <v>45200</v>
      </c>
      <c r="M374" s="83">
        <v>45230</v>
      </c>
    </row>
    <row r="375" spans="1:13" ht="18.75" customHeight="1" x14ac:dyDescent="0.25">
      <c r="A375" s="9" t="s">
        <v>0</v>
      </c>
      <c r="B375" s="81">
        <v>113530</v>
      </c>
      <c r="C375" s="81">
        <v>10750</v>
      </c>
      <c r="D375" s="9" t="s">
        <v>826</v>
      </c>
      <c r="E375" s="81">
        <v>14563151</v>
      </c>
      <c r="F375" s="81">
        <v>31495</v>
      </c>
      <c r="G375" s="81">
        <v>25</v>
      </c>
      <c r="H375" s="82">
        <v>26.3</v>
      </c>
      <c r="I375" s="251">
        <v>657.5</v>
      </c>
      <c r="J375" s="9" t="s">
        <v>1305</v>
      </c>
      <c r="K375" s="9" t="s">
        <v>1306</v>
      </c>
      <c r="L375" s="83">
        <v>45200</v>
      </c>
      <c r="M375" s="83">
        <v>45230</v>
      </c>
    </row>
    <row r="376" spans="1:13" ht="18.75" customHeight="1" x14ac:dyDescent="0.25">
      <c r="A376" s="9" t="s">
        <v>10</v>
      </c>
      <c r="B376" s="81">
        <v>113532</v>
      </c>
      <c r="C376" s="81">
        <v>10758</v>
      </c>
      <c r="D376" s="9" t="s">
        <v>828</v>
      </c>
      <c r="E376" s="81">
        <v>14563151</v>
      </c>
      <c r="F376" s="81">
        <v>31499</v>
      </c>
      <c r="G376" s="81">
        <v>25</v>
      </c>
      <c r="H376" s="82">
        <v>26.3</v>
      </c>
      <c r="I376" s="251">
        <v>657.5</v>
      </c>
      <c r="J376" s="9" t="s">
        <v>1305</v>
      </c>
      <c r="K376" s="9" t="s">
        <v>1306</v>
      </c>
      <c r="L376" s="83">
        <v>45200</v>
      </c>
      <c r="M376" s="83">
        <v>45230</v>
      </c>
    </row>
    <row r="377" spans="1:13" ht="18.75" customHeight="1" x14ac:dyDescent="0.25">
      <c r="A377" s="9" t="s">
        <v>1578</v>
      </c>
      <c r="B377" s="81">
        <v>113535</v>
      </c>
      <c r="C377" s="81">
        <v>10771</v>
      </c>
      <c r="D377" s="9" t="s">
        <v>830</v>
      </c>
      <c r="E377" s="81">
        <v>14563151</v>
      </c>
      <c r="F377" s="81">
        <v>31505</v>
      </c>
      <c r="G377" s="81">
        <v>25</v>
      </c>
      <c r="H377" s="82">
        <v>26.3</v>
      </c>
      <c r="I377" s="251">
        <v>657.5</v>
      </c>
      <c r="J377" s="9" t="s">
        <v>1305</v>
      </c>
      <c r="K377" s="9" t="s">
        <v>1306</v>
      </c>
      <c r="L377" s="83">
        <v>45200</v>
      </c>
      <c r="M377" s="83">
        <v>45230</v>
      </c>
    </row>
    <row r="378" spans="1:13" ht="18.75" customHeight="1" x14ac:dyDescent="0.25">
      <c r="A378" s="9" t="s">
        <v>0</v>
      </c>
      <c r="B378" s="81">
        <v>113537</v>
      </c>
      <c r="C378" s="81">
        <v>10750</v>
      </c>
      <c r="D378" s="9" t="s">
        <v>832</v>
      </c>
      <c r="E378" s="81">
        <v>14563151</v>
      </c>
      <c r="F378" s="81">
        <v>31509</v>
      </c>
      <c r="G378" s="81">
        <v>25</v>
      </c>
      <c r="H378" s="82">
        <v>26.3</v>
      </c>
      <c r="I378" s="251">
        <v>657.5</v>
      </c>
      <c r="J378" s="9" t="s">
        <v>1305</v>
      </c>
      <c r="K378" s="9" t="s">
        <v>1306</v>
      </c>
      <c r="L378" s="83">
        <v>45200</v>
      </c>
      <c r="M378" s="83">
        <v>45230</v>
      </c>
    </row>
    <row r="379" spans="1:13" ht="18.75" customHeight="1" x14ac:dyDescent="0.25">
      <c r="A379" s="9" t="s">
        <v>1578</v>
      </c>
      <c r="B379" s="81">
        <v>113541</v>
      </c>
      <c r="C379" s="81">
        <v>10771</v>
      </c>
      <c r="D379" s="9" t="s">
        <v>834</v>
      </c>
      <c r="E379" s="81">
        <v>14563151</v>
      </c>
      <c r="F379" s="81">
        <v>31517</v>
      </c>
      <c r="G379" s="81">
        <v>25</v>
      </c>
      <c r="H379" s="82">
        <v>26.3</v>
      </c>
      <c r="I379" s="251">
        <v>657.5</v>
      </c>
      <c r="J379" s="9" t="s">
        <v>1305</v>
      </c>
      <c r="K379" s="9" t="s">
        <v>1306</v>
      </c>
      <c r="L379" s="83">
        <v>45200</v>
      </c>
      <c r="M379" s="83">
        <v>45230</v>
      </c>
    </row>
    <row r="380" spans="1:13" ht="18.75" customHeight="1" x14ac:dyDescent="0.25">
      <c r="A380" s="9" t="s">
        <v>0</v>
      </c>
      <c r="B380" s="81">
        <v>113548</v>
      </c>
      <c r="C380" s="81">
        <v>10760</v>
      </c>
      <c r="D380" s="9" t="s">
        <v>839</v>
      </c>
      <c r="E380" s="81">
        <v>14563151</v>
      </c>
      <c r="F380" s="81">
        <v>31531</v>
      </c>
      <c r="G380" s="81">
        <v>25</v>
      </c>
      <c r="H380" s="82">
        <v>26.3</v>
      </c>
      <c r="I380" s="251">
        <v>657.5</v>
      </c>
      <c r="J380" s="9" t="s">
        <v>1305</v>
      </c>
      <c r="K380" s="9" t="s">
        <v>1306</v>
      </c>
      <c r="L380" s="83">
        <v>45200</v>
      </c>
      <c r="M380" s="83">
        <v>45230</v>
      </c>
    </row>
    <row r="381" spans="1:13" ht="18.75" customHeight="1" x14ac:dyDescent="0.25">
      <c r="A381" s="9" t="s">
        <v>0</v>
      </c>
      <c r="B381" s="81">
        <v>113551</v>
      </c>
      <c r="C381" s="81">
        <v>10751</v>
      </c>
      <c r="D381" s="9" t="s">
        <v>842</v>
      </c>
      <c r="E381" s="81">
        <v>14563151</v>
      </c>
      <c r="F381" s="81">
        <v>31537</v>
      </c>
      <c r="G381" s="81">
        <v>25</v>
      </c>
      <c r="H381" s="82">
        <v>26.3</v>
      </c>
      <c r="I381" s="251">
        <v>657.5</v>
      </c>
      <c r="J381" s="9" t="s">
        <v>1305</v>
      </c>
      <c r="K381" s="9" t="s">
        <v>1306</v>
      </c>
      <c r="L381" s="83">
        <v>45200</v>
      </c>
      <c r="M381" s="83">
        <v>45230</v>
      </c>
    </row>
    <row r="382" spans="1:13" ht="18.75" customHeight="1" x14ac:dyDescent="0.25">
      <c r="A382" s="9" t="s">
        <v>32</v>
      </c>
      <c r="B382" s="81">
        <v>114697</v>
      </c>
      <c r="C382" s="81">
        <v>10756</v>
      </c>
      <c r="D382" s="9" t="s">
        <v>1071</v>
      </c>
      <c r="E382" s="81">
        <v>14563151</v>
      </c>
      <c r="F382" s="81">
        <v>36843</v>
      </c>
      <c r="G382" s="81">
        <v>25</v>
      </c>
      <c r="H382" s="82">
        <v>26.3</v>
      </c>
      <c r="I382" s="251">
        <v>657.5</v>
      </c>
      <c r="J382" s="9" t="s">
        <v>1305</v>
      </c>
      <c r="K382" s="9" t="s">
        <v>1306</v>
      </c>
      <c r="L382" s="83">
        <v>45200</v>
      </c>
      <c r="M382" s="83">
        <v>45230</v>
      </c>
    </row>
    <row r="383" spans="1:13" ht="18.75" customHeight="1" x14ac:dyDescent="0.25">
      <c r="A383" s="9" t="s">
        <v>0</v>
      </c>
      <c r="B383" s="81">
        <v>113594</v>
      </c>
      <c r="C383" s="81">
        <v>10745</v>
      </c>
      <c r="D383" s="9" t="s">
        <v>864</v>
      </c>
      <c r="E383" s="81">
        <v>14563151</v>
      </c>
      <c r="F383" s="81">
        <v>31623</v>
      </c>
      <c r="G383" s="81">
        <v>25</v>
      </c>
      <c r="H383" s="82">
        <v>26.3</v>
      </c>
      <c r="I383" s="251">
        <v>657.5</v>
      </c>
      <c r="J383" s="9" t="s">
        <v>1305</v>
      </c>
      <c r="K383" s="9" t="s">
        <v>1306</v>
      </c>
      <c r="L383" s="83">
        <v>45200</v>
      </c>
      <c r="M383" s="83">
        <v>45230</v>
      </c>
    </row>
    <row r="384" spans="1:13" ht="18.75" customHeight="1" x14ac:dyDescent="0.25">
      <c r="A384" s="9" t="s">
        <v>0</v>
      </c>
      <c r="B384" s="81">
        <v>113566</v>
      </c>
      <c r="C384" s="81">
        <v>10750</v>
      </c>
      <c r="D384" s="9" t="s">
        <v>851</v>
      </c>
      <c r="E384" s="81">
        <v>14563151</v>
      </c>
      <c r="F384" s="81">
        <v>31567</v>
      </c>
      <c r="G384" s="81">
        <v>25</v>
      </c>
      <c r="H384" s="82">
        <v>26.3</v>
      </c>
      <c r="I384" s="251">
        <v>657.5</v>
      </c>
      <c r="J384" s="9" t="s">
        <v>1305</v>
      </c>
      <c r="K384" s="9" t="s">
        <v>1306</v>
      </c>
      <c r="L384" s="83">
        <v>45200</v>
      </c>
      <c r="M384" s="83">
        <v>45230</v>
      </c>
    </row>
    <row r="385" spans="1:13" ht="18.75" customHeight="1" x14ac:dyDescent="0.25">
      <c r="A385" s="9" t="s">
        <v>8</v>
      </c>
      <c r="B385" s="81">
        <v>113597</v>
      </c>
      <c r="C385" s="81">
        <v>10754</v>
      </c>
      <c r="D385" s="9" t="s">
        <v>865</v>
      </c>
      <c r="E385" s="81">
        <v>14563151</v>
      </c>
      <c r="F385" s="81">
        <v>31629</v>
      </c>
      <c r="G385" s="81">
        <v>25</v>
      </c>
      <c r="H385" s="82">
        <v>26.3</v>
      </c>
      <c r="I385" s="251">
        <v>657.5</v>
      </c>
      <c r="J385" s="9" t="s">
        <v>1305</v>
      </c>
      <c r="K385" s="9" t="s">
        <v>1306</v>
      </c>
      <c r="L385" s="83">
        <v>45200</v>
      </c>
      <c r="M385" s="83">
        <v>45230</v>
      </c>
    </row>
    <row r="386" spans="1:13" ht="18.75" customHeight="1" x14ac:dyDescent="0.25">
      <c r="A386" s="9" t="s">
        <v>8</v>
      </c>
      <c r="B386" s="81">
        <v>113579</v>
      </c>
      <c r="C386" s="81">
        <v>10750</v>
      </c>
      <c r="D386" s="9" t="s">
        <v>855</v>
      </c>
      <c r="E386" s="81">
        <v>14563151</v>
      </c>
      <c r="F386" s="81">
        <v>31593</v>
      </c>
      <c r="G386" s="81">
        <v>25</v>
      </c>
      <c r="H386" s="82">
        <v>26.3</v>
      </c>
      <c r="I386" s="251">
        <v>657.5</v>
      </c>
      <c r="J386" s="9" t="s">
        <v>1305</v>
      </c>
      <c r="K386" s="9" t="s">
        <v>1306</v>
      </c>
      <c r="L386" s="83">
        <v>45200</v>
      </c>
      <c r="M386" s="83">
        <v>45230</v>
      </c>
    </row>
    <row r="387" spans="1:13" ht="18.75" customHeight="1" x14ac:dyDescent="0.25">
      <c r="A387" s="9" t="s">
        <v>0</v>
      </c>
      <c r="B387" s="81">
        <v>113584</v>
      </c>
      <c r="C387" s="81">
        <v>10756</v>
      </c>
      <c r="D387" s="9" t="s">
        <v>857</v>
      </c>
      <c r="E387" s="81">
        <v>14563151</v>
      </c>
      <c r="F387" s="81">
        <v>31603</v>
      </c>
      <c r="G387" s="81">
        <v>25</v>
      </c>
      <c r="H387" s="82">
        <v>26.3</v>
      </c>
      <c r="I387" s="251">
        <v>657.5</v>
      </c>
      <c r="J387" s="9" t="s">
        <v>1305</v>
      </c>
      <c r="K387" s="9" t="s">
        <v>1306</v>
      </c>
      <c r="L387" s="83">
        <v>45200</v>
      </c>
      <c r="M387" s="83">
        <v>45230</v>
      </c>
    </row>
    <row r="388" spans="1:13" ht="18.75" customHeight="1" x14ac:dyDescent="0.25">
      <c r="A388" s="9" t="s">
        <v>10</v>
      </c>
      <c r="B388" s="81">
        <v>113586</v>
      </c>
      <c r="C388" s="81">
        <v>10750</v>
      </c>
      <c r="D388" s="9" t="s">
        <v>859</v>
      </c>
      <c r="E388" s="81">
        <v>14563151</v>
      </c>
      <c r="F388" s="81">
        <v>31607</v>
      </c>
      <c r="G388" s="81">
        <v>25</v>
      </c>
      <c r="H388" s="82">
        <v>26.3</v>
      </c>
      <c r="I388" s="251">
        <v>657.5</v>
      </c>
      <c r="J388" s="9" t="s">
        <v>1305</v>
      </c>
      <c r="K388" s="9" t="s">
        <v>1306</v>
      </c>
      <c r="L388" s="83">
        <v>45200</v>
      </c>
      <c r="M388" s="83">
        <v>45230</v>
      </c>
    </row>
    <row r="389" spans="1:13" ht="18.75" customHeight="1" x14ac:dyDescent="0.25">
      <c r="A389" s="9" t="s">
        <v>10</v>
      </c>
      <c r="B389" s="81">
        <v>113589</v>
      </c>
      <c r="C389" s="81">
        <v>10760</v>
      </c>
      <c r="D389" s="9" t="s">
        <v>1397</v>
      </c>
      <c r="E389" s="81">
        <v>14563151</v>
      </c>
      <c r="F389" s="81">
        <v>31613</v>
      </c>
      <c r="G389" s="81">
        <v>25</v>
      </c>
      <c r="H389" s="82">
        <v>26.3</v>
      </c>
      <c r="I389" s="251">
        <v>657.5</v>
      </c>
      <c r="J389" s="9" t="s">
        <v>1305</v>
      </c>
      <c r="K389" s="9" t="s">
        <v>1306</v>
      </c>
      <c r="L389" s="83">
        <v>45200</v>
      </c>
      <c r="M389" s="83">
        <v>45230</v>
      </c>
    </row>
    <row r="390" spans="1:13" ht="18.75" customHeight="1" x14ac:dyDescent="0.25">
      <c r="A390" s="9" t="s">
        <v>1578</v>
      </c>
      <c r="B390" s="81">
        <v>114525</v>
      </c>
      <c r="C390" s="81">
        <v>10756</v>
      </c>
      <c r="D390" s="9" t="s">
        <v>1330</v>
      </c>
      <c r="E390" s="81">
        <v>14563151</v>
      </c>
      <c r="F390" s="81">
        <v>36331</v>
      </c>
      <c r="G390" s="81">
        <v>25</v>
      </c>
      <c r="H390" s="82">
        <v>26.3</v>
      </c>
      <c r="I390" s="251">
        <v>657.5</v>
      </c>
      <c r="J390" s="9" t="s">
        <v>1305</v>
      </c>
      <c r="K390" s="9" t="s">
        <v>1306</v>
      </c>
      <c r="L390" s="83">
        <v>45200</v>
      </c>
      <c r="M390" s="83">
        <v>45230</v>
      </c>
    </row>
    <row r="391" spans="1:13" ht="18.75" customHeight="1" x14ac:dyDescent="0.25">
      <c r="A391" s="9" t="s">
        <v>10</v>
      </c>
      <c r="B391" s="81">
        <v>113590</v>
      </c>
      <c r="C391" s="81">
        <v>10757</v>
      </c>
      <c r="D391" s="9" t="s">
        <v>862</v>
      </c>
      <c r="E391" s="81">
        <v>14563151</v>
      </c>
      <c r="F391" s="81">
        <v>31615</v>
      </c>
      <c r="G391" s="81">
        <v>25</v>
      </c>
      <c r="H391" s="82">
        <v>26.3</v>
      </c>
      <c r="I391" s="251">
        <v>657.5</v>
      </c>
      <c r="J391" s="9" t="s">
        <v>1305</v>
      </c>
      <c r="K391" s="9" t="s">
        <v>1306</v>
      </c>
      <c r="L391" s="83">
        <v>45200</v>
      </c>
      <c r="M391" s="83">
        <v>45230</v>
      </c>
    </row>
    <row r="392" spans="1:13" ht="18.75" customHeight="1" x14ac:dyDescent="0.25">
      <c r="A392" s="9" t="s">
        <v>1578</v>
      </c>
      <c r="B392" s="81">
        <v>113592</v>
      </c>
      <c r="C392" s="81">
        <v>10761</v>
      </c>
      <c r="D392" s="9" t="s">
        <v>863</v>
      </c>
      <c r="E392" s="81">
        <v>14563151</v>
      </c>
      <c r="F392" s="81">
        <v>31619</v>
      </c>
      <c r="G392" s="81">
        <v>25</v>
      </c>
      <c r="H392" s="82">
        <v>26.3</v>
      </c>
      <c r="I392" s="251">
        <v>657.5</v>
      </c>
      <c r="J392" s="9" t="s">
        <v>1305</v>
      </c>
      <c r="K392" s="9" t="s">
        <v>1306</v>
      </c>
      <c r="L392" s="83">
        <v>45200</v>
      </c>
      <c r="M392" s="83">
        <v>45230</v>
      </c>
    </row>
    <row r="393" spans="1:13" ht="18.75" customHeight="1" x14ac:dyDescent="0.25">
      <c r="A393" s="9" t="s">
        <v>1578</v>
      </c>
      <c r="B393" s="81">
        <v>121428</v>
      </c>
      <c r="C393" s="81">
        <v>10755</v>
      </c>
      <c r="D393" s="9" t="s">
        <v>1556</v>
      </c>
      <c r="E393" s="81">
        <v>14563151</v>
      </c>
      <c r="F393" s="81">
        <v>53737</v>
      </c>
      <c r="G393" s="81">
        <v>25</v>
      </c>
      <c r="H393" s="82">
        <v>26.3</v>
      </c>
      <c r="I393" s="251">
        <v>657.5</v>
      </c>
      <c r="J393" s="9" t="s">
        <v>1305</v>
      </c>
      <c r="K393" s="9" t="s">
        <v>1306</v>
      </c>
      <c r="L393" s="83">
        <v>45200</v>
      </c>
      <c r="M393" s="83">
        <v>45230</v>
      </c>
    </row>
    <row r="394" spans="1:13" ht="18.75" customHeight="1" x14ac:dyDescent="0.25">
      <c r="A394" s="9" t="s">
        <v>8</v>
      </c>
      <c r="B394" s="81">
        <v>113603</v>
      </c>
      <c r="C394" s="81">
        <v>10756</v>
      </c>
      <c r="D394" s="9" t="s">
        <v>868</v>
      </c>
      <c r="E394" s="81">
        <v>14563151</v>
      </c>
      <c r="F394" s="81">
        <v>31641</v>
      </c>
      <c r="G394" s="81">
        <v>25</v>
      </c>
      <c r="H394" s="82">
        <v>26.3</v>
      </c>
      <c r="I394" s="251">
        <v>657.5</v>
      </c>
      <c r="J394" s="9" t="s">
        <v>1305</v>
      </c>
      <c r="K394" s="9" t="s">
        <v>1306</v>
      </c>
      <c r="L394" s="83">
        <v>45200</v>
      </c>
      <c r="M394" s="83">
        <v>45230</v>
      </c>
    </row>
    <row r="395" spans="1:13" ht="18.75" customHeight="1" x14ac:dyDescent="0.25">
      <c r="A395" s="9" t="s">
        <v>1578</v>
      </c>
      <c r="B395" s="81">
        <v>113607</v>
      </c>
      <c r="C395" s="81">
        <v>10757</v>
      </c>
      <c r="D395" s="9" t="s">
        <v>869</v>
      </c>
      <c r="E395" s="81">
        <v>14563151</v>
      </c>
      <c r="F395" s="81">
        <v>31649</v>
      </c>
      <c r="G395" s="81">
        <v>25</v>
      </c>
      <c r="H395" s="82">
        <v>26.3</v>
      </c>
      <c r="I395" s="251">
        <v>657.5</v>
      </c>
      <c r="J395" s="9" t="s">
        <v>1305</v>
      </c>
      <c r="K395" s="9" t="s">
        <v>1306</v>
      </c>
      <c r="L395" s="83">
        <v>45200</v>
      </c>
      <c r="M395" s="83">
        <v>45230</v>
      </c>
    </row>
    <row r="396" spans="1:13" ht="18.75" customHeight="1" x14ac:dyDescent="0.25">
      <c r="A396" s="9" t="s">
        <v>10</v>
      </c>
      <c r="B396" s="81">
        <v>113609</v>
      </c>
      <c r="C396" s="81">
        <v>10760</v>
      </c>
      <c r="D396" s="9" t="s">
        <v>871</v>
      </c>
      <c r="E396" s="81">
        <v>14563151</v>
      </c>
      <c r="F396" s="81">
        <v>31653</v>
      </c>
      <c r="G396" s="81">
        <v>25</v>
      </c>
      <c r="H396" s="82">
        <v>26.3</v>
      </c>
      <c r="I396" s="251">
        <v>657.5</v>
      </c>
      <c r="J396" s="9" t="s">
        <v>1305</v>
      </c>
      <c r="K396" s="9" t="s">
        <v>1306</v>
      </c>
      <c r="L396" s="83">
        <v>45200</v>
      </c>
      <c r="M396" s="83">
        <v>45230</v>
      </c>
    </row>
    <row r="397" spans="1:13" ht="18.75" customHeight="1" x14ac:dyDescent="0.25">
      <c r="A397" s="9" t="s">
        <v>8</v>
      </c>
      <c r="B397" s="81">
        <v>113661</v>
      </c>
      <c r="C397" s="81">
        <v>10750</v>
      </c>
      <c r="D397" s="9" t="s">
        <v>900</v>
      </c>
      <c r="E397" s="81">
        <v>14563151</v>
      </c>
      <c r="F397" s="81">
        <v>31757</v>
      </c>
      <c r="G397" s="81">
        <v>25</v>
      </c>
      <c r="H397" s="82">
        <v>26.3</v>
      </c>
      <c r="I397" s="251">
        <v>657.5</v>
      </c>
      <c r="J397" s="9" t="s">
        <v>1305</v>
      </c>
      <c r="K397" s="9" t="s">
        <v>1306</v>
      </c>
      <c r="L397" s="83">
        <v>45200</v>
      </c>
      <c r="M397" s="83">
        <v>45230</v>
      </c>
    </row>
    <row r="398" spans="1:13" ht="18.75" customHeight="1" x14ac:dyDescent="0.25">
      <c r="A398" s="9" t="s">
        <v>8</v>
      </c>
      <c r="B398" s="81">
        <v>113612</v>
      </c>
      <c r="C398" s="81">
        <v>10751</v>
      </c>
      <c r="D398" s="9" t="s">
        <v>873</v>
      </c>
      <c r="E398" s="81">
        <v>14563151</v>
      </c>
      <c r="F398" s="81">
        <v>31659</v>
      </c>
      <c r="G398" s="81">
        <v>25</v>
      </c>
      <c r="H398" s="82">
        <v>26.3</v>
      </c>
      <c r="I398" s="251">
        <v>657.5</v>
      </c>
      <c r="J398" s="9" t="s">
        <v>1305</v>
      </c>
      <c r="K398" s="9" t="s">
        <v>1306</v>
      </c>
      <c r="L398" s="83">
        <v>45200</v>
      </c>
      <c r="M398" s="83">
        <v>45230</v>
      </c>
    </row>
    <row r="399" spans="1:13" ht="18.75" customHeight="1" x14ac:dyDescent="0.25">
      <c r="A399" s="9" t="s">
        <v>8</v>
      </c>
      <c r="B399" s="81">
        <v>113619</v>
      </c>
      <c r="C399" s="81">
        <v>10757</v>
      </c>
      <c r="D399" s="9" t="s">
        <v>876</v>
      </c>
      <c r="E399" s="81">
        <v>14563151</v>
      </c>
      <c r="F399" s="81">
        <v>31673</v>
      </c>
      <c r="G399" s="81">
        <v>25</v>
      </c>
      <c r="H399" s="82">
        <v>26.3</v>
      </c>
      <c r="I399" s="251">
        <v>657.5</v>
      </c>
      <c r="J399" s="9" t="s">
        <v>1305</v>
      </c>
      <c r="K399" s="9" t="s">
        <v>1306</v>
      </c>
      <c r="L399" s="83">
        <v>45200</v>
      </c>
      <c r="M399" s="83">
        <v>45230</v>
      </c>
    </row>
    <row r="400" spans="1:13" ht="18.75" customHeight="1" x14ac:dyDescent="0.25">
      <c r="A400" s="9" t="s">
        <v>19</v>
      </c>
      <c r="B400" s="81">
        <v>113623</v>
      </c>
      <c r="C400" s="81">
        <v>10754</v>
      </c>
      <c r="D400" s="9" t="s">
        <v>877</v>
      </c>
      <c r="E400" s="81">
        <v>14563151</v>
      </c>
      <c r="F400" s="81">
        <v>31681</v>
      </c>
      <c r="G400" s="81">
        <v>25</v>
      </c>
      <c r="H400" s="82">
        <v>26.3</v>
      </c>
      <c r="I400" s="251">
        <v>657.5</v>
      </c>
      <c r="J400" s="9" t="s">
        <v>1305</v>
      </c>
      <c r="K400" s="9" t="s">
        <v>1306</v>
      </c>
      <c r="L400" s="83">
        <v>45200</v>
      </c>
      <c r="M400" s="83">
        <v>45230</v>
      </c>
    </row>
    <row r="401" spans="1:13" ht="18.75" customHeight="1" x14ac:dyDescent="0.25">
      <c r="A401" s="9" t="s">
        <v>1578</v>
      </c>
      <c r="B401" s="81">
        <v>113626</v>
      </c>
      <c r="C401" s="81">
        <v>10771</v>
      </c>
      <c r="D401" s="9" t="s">
        <v>879</v>
      </c>
      <c r="E401" s="81">
        <v>14563151</v>
      </c>
      <c r="F401" s="81">
        <v>31687</v>
      </c>
      <c r="G401" s="81">
        <v>25</v>
      </c>
      <c r="H401" s="82">
        <v>26.3</v>
      </c>
      <c r="I401" s="251">
        <v>657.5</v>
      </c>
      <c r="J401" s="9" t="s">
        <v>1305</v>
      </c>
      <c r="K401" s="9" t="s">
        <v>1306</v>
      </c>
      <c r="L401" s="83">
        <v>45200</v>
      </c>
      <c r="M401" s="83">
        <v>45230</v>
      </c>
    </row>
    <row r="402" spans="1:13" ht="18.75" customHeight="1" x14ac:dyDescent="0.25">
      <c r="A402" s="9" t="s">
        <v>19</v>
      </c>
      <c r="B402" s="81">
        <v>113636</v>
      </c>
      <c r="C402" s="81">
        <v>10757</v>
      </c>
      <c r="D402" s="9" t="s">
        <v>887</v>
      </c>
      <c r="E402" s="81">
        <v>14563151</v>
      </c>
      <c r="F402" s="81">
        <v>31707</v>
      </c>
      <c r="G402" s="81">
        <v>25</v>
      </c>
      <c r="H402" s="82">
        <v>26.3</v>
      </c>
      <c r="I402" s="251">
        <v>657.5</v>
      </c>
      <c r="J402" s="9" t="s">
        <v>1305</v>
      </c>
      <c r="K402" s="9" t="s">
        <v>1306</v>
      </c>
      <c r="L402" s="83">
        <v>45200</v>
      </c>
      <c r="M402" s="83">
        <v>45230</v>
      </c>
    </row>
    <row r="403" spans="1:13" ht="18.75" customHeight="1" x14ac:dyDescent="0.25">
      <c r="A403" s="9" t="s">
        <v>8</v>
      </c>
      <c r="B403" s="81">
        <v>113674</v>
      </c>
      <c r="C403" s="81">
        <v>10754</v>
      </c>
      <c r="D403" s="9" t="s">
        <v>1331</v>
      </c>
      <c r="E403" s="81">
        <v>14563151</v>
      </c>
      <c r="F403" s="81">
        <v>31783</v>
      </c>
      <c r="G403" s="81">
        <v>25</v>
      </c>
      <c r="H403" s="82">
        <v>26.3</v>
      </c>
      <c r="I403" s="251">
        <v>657.5</v>
      </c>
      <c r="J403" s="9" t="s">
        <v>1305</v>
      </c>
      <c r="K403" s="9" t="s">
        <v>1306</v>
      </c>
      <c r="L403" s="83">
        <v>45200</v>
      </c>
      <c r="M403" s="83">
        <v>45230</v>
      </c>
    </row>
    <row r="404" spans="1:13" ht="18.75" customHeight="1" x14ac:dyDescent="0.25">
      <c r="A404" s="9" t="s">
        <v>10</v>
      </c>
      <c r="B404" s="81">
        <v>122081</v>
      </c>
      <c r="C404" s="81">
        <v>10758</v>
      </c>
      <c r="D404" s="9" t="s">
        <v>1639</v>
      </c>
      <c r="E404" s="81">
        <v>14563151</v>
      </c>
      <c r="F404" s="81">
        <v>55279</v>
      </c>
      <c r="G404" s="81">
        <v>25</v>
      </c>
      <c r="H404" s="82">
        <v>26.3</v>
      </c>
      <c r="I404" s="251">
        <v>657.5</v>
      </c>
      <c r="J404" s="9" t="s">
        <v>1305</v>
      </c>
      <c r="K404" s="9" t="s">
        <v>1306</v>
      </c>
      <c r="L404" s="83">
        <v>45200</v>
      </c>
      <c r="M404" s="83">
        <v>45230</v>
      </c>
    </row>
    <row r="405" spans="1:13" ht="18.75" customHeight="1" x14ac:dyDescent="0.25">
      <c r="A405" s="9" t="s">
        <v>1578</v>
      </c>
      <c r="B405" s="81">
        <v>113785</v>
      </c>
      <c r="C405" s="81">
        <v>10768</v>
      </c>
      <c r="D405" s="9" t="s">
        <v>979</v>
      </c>
      <c r="E405" s="81">
        <v>14563151</v>
      </c>
      <c r="F405" s="81">
        <v>32022</v>
      </c>
      <c r="G405" s="81">
        <v>25</v>
      </c>
      <c r="H405" s="82">
        <v>26.3</v>
      </c>
      <c r="I405" s="251">
        <v>657.5</v>
      </c>
      <c r="J405" s="9" t="s">
        <v>1305</v>
      </c>
      <c r="K405" s="9" t="s">
        <v>1306</v>
      </c>
      <c r="L405" s="83">
        <v>45200</v>
      </c>
      <c r="M405" s="83">
        <v>45230</v>
      </c>
    </row>
    <row r="406" spans="1:13" ht="18.75" customHeight="1" x14ac:dyDescent="0.25">
      <c r="A406" s="9" t="s">
        <v>1578</v>
      </c>
      <c r="B406" s="81">
        <v>121404</v>
      </c>
      <c r="C406" s="81">
        <v>10755</v>
      </c>
      <c r="D406" s="9" t="s">
        <v>1557</v>
      </c>
      <c r="E406" s="81">
        <v>14563151</v>
      </c>
      <c r="F406" s="81">
        <v>53689</v>
      </c>
      <c r="G406" s="81">
        <v>25</v>
      </c>
      <c r="H406" s="82">
        <v>26.3</v>
      </c>
      <c r="I406" s="251">
        <v>657.5</v>
      </c>
      <c r="J406" s="9" t="s">
        <v>1305</v>
      </c>
      <c r="K406" s="9" t="s">
        <v>1306</v>
      </c>
      <c r="L406" s="83">
        <v>45200</v>
      </c>
      <c r="M406" s="83">
        <v>45230</v>
      </c>
    </row>
    <row r="407" spans="1:13" ht="18.75" customHeight="1" x14ac:dyDescent="0.25">
      <c r="A407" s="9" t="s">
        <v>19</v>
      </c>
      <c r="B407" s="81">
        <v>113728</v>
      </c>
      <c r="C407" s="81">
        <v>10763</v>
      </c>
      <c r="D407" s="9" t="s">
        <v>943</v>
      </c>
      <c r="E407" s="81">
        <v>14563151</v>
      </c>
      <c r="F407" s="81">
        <v>31891</v>
      </c>
      <c r="G407" s="81">
        <v>25</v>
      </c>
      <c r="H407" s="82">
        <v>26.3</v>
      </c>
      <c r="I407" s="251">
        <v>657.5</v>
      </c>
      <c r="J407" s="9" t="s">
        <v>1305</v>
      </c>
      <c r="K407" s="9" t="s">
        <v>1306</v>
      </c>
      <c r="L407" s="83">
        <v>45200</v>
      </c>
      <c r="M407" s="83">
        <v>45230</v>
      </c>
    </row>
    <row r="408" spans="1:13" ht="18.75" customHeight="1" x14ac:dyDescent="0.25">
      <c r="A408" s="9" t="s">
        <v>32</v>
      </c>
      <c r="B408" s="81">
        <v>113646</v>
      </c>
      <c r="C408" s="81">
        <v>10751</v>
      </c>
      <c r="D408" s="9" t="s">
        <v>892</v>
      </c>
      <c r="E408" s="81">
        <v>14563151</v>
      </c>
      <c r="F408" s="81">
        <v>31727</v>
      </c>
      <c r="G408" s="81">
        <v>25</v>
      </c>
      <c r="H408" s="82">
        <v>26.3</v>
      </c>
      <c r="I408" s="251">
        <v>657.5</v>
      </c>
      <c r="J408" s="9" t="s">
        <v>1305</v>
      </c>
      <c r="K408" s="9" t="s">
        <v>1306</v>
      </c>
      <c r="L408" s="83">
        <v>45200</v>
      </c>
      <c r="M408" s="83">
        <v>45230</v>
      </c>
    </row>
    <row r="409" spans="1:13" ht="18.75" customHeight="1" x14ac:dyDescent="0.25">
      <c r="A409" s="9" t="s">
        <v>0</v>
      </c>
      <c r="B409" s="81">
        <v>113656</v>
      </c>
      <c r="C409" s="81">
        <v>10750</v>
      </c>
      <c r="D409" s="9" t="s">
        <v>898</v>
      </c>
      <c r="E409" s="81">
        <v>14563151</v>
      </c>
      <c r="F409" s="81">
        <v>31747</v>
      </c>
      <c r="G409" s="81">
        <v>25</v>
      </c>
      <c r="H409" s="82">
        <v>26.3</v>
      </c>
      <c r="I409" s="251">
        <v>657.5</v>
      </c>
      <c r="J409" s="9" t="s">
        <v>1305</v>
      </c>
      <c r="K409" s="9" t="s">
        <v>1306</v>
      </c>
      <c r="L409" s="83">
        <v>45200</v>
      </c>
      <c r="M409" s="83">
        <v>45230</v>
      </c>
    </row>
    <row r="410" spans="1:13" ht="18.75" customHeight="1" x14ac:dyDescent="0.25">
      <c r="A410" s="9" t="s">
        <v>0</v>
      </c>
      <c r="B410" s="81">
        <v>114698</v>
      </c>
      <c r="C410" s="81">
        <v>10758</v>
      </c>
      <c r="D410" s="9" t="s">
        <v>1072</v>
      </c>
      <c r="E410" s="81">
        <v>14563151</v>
      </c>
      <c r="F410" s="81">
        <v>36845</v>
      </c>
      <c r="G410" s="81">
        <v>25</v>
      </c>
      <c r="H410" s="82">
        <v>26.3</v>
      </c>
      <c r="I410" s="251">
        <v>657.5</v>
      </c>
      <c r="J410" s="9" t="s">
        <v>1305</v>
      </c>
      <c r="K410" s="9" t="s">
        <v>1306</v>
      </c>
      <c r="L410" s="83">
        <v>45200</v>
      </c>
      <c r="M410" s="83">
        <v>45230</v>
      </c>
    </row>
    <row r="411" spans="1:13" ht="18.75" customHeight="1" x14ac:dyDescent="0.25">
      <c r="A411" s="9" t="s">
        <v>1578</v>
      </c>
      <c r="B411" s="81">
        <v>114385</v>
      </c>
      <c r="C411" s="81">
        <v>10771</v>
      </c>
      <c r="D411" s="9" t="s">
        <v>1332</v>
      </c>
      <c r="E411" s="81">
        <v>14563151</v>
      </c>
      <c r="F411" s="81">
        <v>35859</v>
      </c>
      <c r="G411" s="81">
        <v>25</v>
      </c>
      <c r="H411" s="82">
        <v>26.3</v>
      </c>
      <c r="I411" s="251">
        <v>657.5</v>
      </c>
      <c r="J411" s="9" t="s">
        <v>1305</v>
      </c>
      <c r="K411" s="9" t="s">
        <v>1309</v>
      </c>
      <c r="L411" s="83">
        <v>45200</v>
      </c>
      <c r="M411" s="83">
        <v>45230</v>
      </c>
    </row>
    <row r="412" spans="1:13" ht="18.75" customHeight="1" x14ac:dyDescent="0.25">
      <c r="A412" s="9" t="s">
        <v>19</v>
      </c>
      <c r="B412" s="81">
        <v>112288</v>
      </c>
      <c r="C412" s="81">
        <v>10751</v>
      </c>
      <c r="D412" s="9" t="s">
        <v>90</v>
      </c>
      <c r="E412" s="81">
        <v>14563151</v>
      </c>
      <c r="F412" s="81">
        <v>29011</v>
      </c>
      <c r="G412" s="81">
        <v>25</v>
      </c>
      <c r="H412" s="82">
        <v>26.3</v>
      </c>
      <c r="I412" s="251">
        <v>657.5</v>
      </c>
      <c r="J412" s="9" t="s">
        <v>1305</v>
      </c>
      <c r="K412" s="9" t="s">
        <v>1306</v>
      </c>
      <c r="L412" s="83">
        <v>45200</v>
      </c>
      <c r="M412" s="83">
        <v>45230</v>
      </c>
    </row>
    <row r="413" spans="1:13" ht="18.75" customHeight="1" x14ac:dyDescent="0.25">
      <c r="A413" s="9" t="s">
        <v>19</v>
      </c>
      <c r="B413" s="81">
        <v>118051</v>
      </c>
      <c r="C413" s="81">
        <v>10757</v>
      </c>
      <c r="D413" s="9" t="s">
        <v>1425</v>
      </c>
      <c r="E413" s="81">
        <v>14563151</v>
      </c>
      <c r="F413" s="81">
        <v>45891</v>
      </c>
      <c r="G413" s="81">
        <v>25</v>
      </c>
      <c r="H413" s="82">
        <v>26.3</v>
      </c>
      <c r="I413" s="251">
        <v>657.5</v>
      </c>
      <c r="J413" s="9" t="s">
        <v>1305</v>
      </c>
      <c r="K413" s="9" t="s">
        <v>1306</v>
      </c>
      <c r="L413" s="83">
        <v>45200</v>
      </c>
      <c r="M413" s="83">
        <v>45230</v>
      </c>
    </row>
    <row r="414" spans="1:13" ht="18.75" customHeight="1" x14ac:dyDescent="0.25">
      <c r="A414" s="9" t="s">
        <v>1578</v>
      </c>
      <c r="B414" s="81">
        <v>112297</v>
      </c>
      <c r="C414" s="81">
        <v>10755</v>
      </c>
      <c r="D414" s="9" t="s">
        <v>95</v>
      </c>
      <c r="E414" s="81">
        <v>14563151</v>
      </c>
      <c r="F414" s="81">
        <v>29029</v>
      </c>
      <c r="G414" s="81">
        <v>25</v>
      </c>
      <c r="H414" s="82">
        <v>26.3</v>
      </c>
      <c r="I414" s="251">
        <v>657.5</v>
      </c>
      <c r="J414" s="9" t="s">
        <v>1305</v>
      </c>
      <c r="K414" s="9" t="s">
        <v>1306</v>
      </c>
      <c r="L414" s="83">
        <v>45200</v>
      </c>
      <c r="M414" s="83">
        <v>45230</v>
      </c>
    </row>
    <row r="415" spans="1:13" ht="18.75" customHeight="1" x14ac:dyDescent="0.25">
      <c r="A415" s="9" t="s">
        <v>0</v>
      </c>
      <c r="B415" s="81">
        <v>112359</v>
      </c>
      <c r="C415" s="81">
        <v>10751</v>
      </c>
      <c r="D415" s="9" t="s">
        <v>130</v>
      </c>
      <c r="E415" s="81">
        <v>14563151</v>
      </c>
      <c r="F415" s="81">
        <v>29153</v>
      </c>
      <c r="G415" s="81">
        <v>25</v>
      </c>
      <c r="H415" s="82">
        <v>26.3</v>
      </c>
      <c r="I415" s="251">
        <v>657.5</v>
      </c>
      <c r="J415" s="9" t="s">
        <v>1305</v>
      </c>
      <c r="K415" s="9" t="s">
        <v>1306</v>
      </c>
      <c r="L415" s="83">
        <v>45200</v>
      </c>
      <c r="M415" s="83">
        <v>45230</v>
      </c>
    </row>
    <row r="416" spans="1:13" ht="18.75" customHeight="1" x14ac:dyDescent="0.25">
      <c r="A416" s="9" t="s">
        <v>1578</v>
      </c>
      <c r="B416" s="81">
        <v>112366</v>
      </c>
      <c r="C416" s="81">
        <v>10762</v>
      </c>
      <c r="D416" s="9" t="s">
        <v>133</v>
      </c>
      <c r="E416" s="81">
        <v>14563151</v>
      </c>
      <c r="F416" s="81">
        <v>29167</v>
      </c>
      <c r="G416" s="81">
        <v>25</v>
      </c>
      <c r="H416" s="82">
        <v>26.3</v>
      </c>
      <c r="I416" s="251">
        <v>657.5</v>
      </c>
      <c r="J416" s="9" t="s">
        <v>1305</v>
      </c>
      <c r="K416" s="9" t="s">
        <v>1306</v>
      </c>
      <c r="L416" s="83">
        <v>45200</v>
      </c>
      <c r="M416" s="83">
        <v>45230</v>
      </c>
    </row>
    <row r="417" spans="1:13" ht="18.75" customHeight="1" x14ac:dyDescent="0.25">
      <c r="A417" s="9" t="s">
        <v>0</v>
      </c>
      <c r="B417" s="81">
        <v>112372</v>
      </c>
      <c r="C417" s="81">
        <v>10751</v>
      </c>
      <c r="D417" s="9" t="s">
        <v>136</v>
      </c>
      <c r="E417" s="81">
        <v>14563151</v>
      </c>
      <c r="F417" s="81">
        <v>29179</v>
      </c>
      <c r="G417" s="81">
        <v>25</v>
      </c>
      <c r="H417" s="82">
        <v>26.3</v>
      </c>
      <c r="I417" s="251">
        <v>657.5</v>
      </c>
      <c r="J417" s="9" t="s">
        <v>1305</v>
      </c>
      <c r="K417" s="9" t="s">
        <v>1306</v>
      </c>
      <c r="L417" s="83">
        <v>45200</v>
      </c>
      <c r="M417" s="83">
        <v>45230</v>
      </c>
    </row>
    <row r="418" spans="1:13" ht="18.75" customHeight="1" x14ac:dyDescent="0.25">
      <c r="A418" s="9" t="s">
        <v>0</v>
      </c>
      <c r="B418" s="81">
        <v>112378</v>
      </c>
      <c r="C418" s="81">
        <v>10750</v>
      </c>
      <c r="D418" s="9" t="s">
        <v>141</v>
      </c>
      <c r="E418" s="81">
        <v>14563151</v>
      </c>
      <c r="F418" s="81">
        <v>29191</v>
      </c>
      <c r="G418" s="81">
        <v>25</v>
      </c>
      <c r="H418" s="82">
        <v>26.3</v>
      </c>
      <c r="I418" s="251">
        <v>657.5</v>
      </c>
      <c r="J418" s="9" t="s">
        <v>1305</v>
      </c>
      <c r="K418" s="9" t="s">
        <v>1306</v>
      </c>
      <c r="L418" s="83">
        <v>45200</v>
      </c>
      <c r="M418" s="83">
        <v>45230</v>
      </c>
    </row>
    <row r="419" spans="1:13" ht="18.75" customHeight="1" x14ac:dyDescent="0.25">
      <c r="A419" s="9" t="s">
        <v>19</v>
      </c>
      <c r="B419" s="81">
        <v>112382</v>
      </c>
      <c r="C419" s="81">
        <v>10771</v>
      </c>
      <c r="D419" s="9" t="s">
        <v>145</v>
      </c>
      <c r="E419" s="81">
        <v>14563151</v>
      </c>
      <c r="F419" s="81">
        <v>29199</v>
      </c>
      <c r="G419" s="81">
        <v>25</v>
      </c>
      <c r="H419" s="82">
        <v>26.3</v>
      </c>
      <c r="I419" s="251">
        <v>657.5</v>
      </c>
      <c r="J419" s="9" t="s">
        <v>1305</v>
      </c>
      <c r="K419" s="9" t="s">
        <v>1306</v>
      </c>
      <c r="L419" s="83">
        <v>45200</v>
      </c>
      <c r="M419" s="83">
        <v>45230</v>
      </c>
    </row>
    <row r="420" spans="1:13" ht="18.75" customHeight="1" x14ac:dyDescent="0.25">
      <c r="A420" s="9" t="s">
        <v>1578</v>
      </c>
      <c r="B420" s="81">
        <v>114916</v>
      </c>
      <c r="C420" s="81">
        <v>10771</v>
      </c>
      <c r="D420" s="9" t="s">
        <v>1106</v>
      </c>
      <c r="E420" s="81">
        <v>14563151</v>
      </c>
      <c r="F420" s="81">
        <v>37615</v>
      </c>
      <c r="G420" s="81">
        <v>25</v>
      </c>
      <c r="H420" s="82">
        <v>26.3</v>
      </c>
      <c r="I420" s="251">
        <v>657.5</v>
      </c>
      <c r="J420" s="9" t="s">
        <v>1305</v>
      </c>
      <c r="K420" s="9" t="s">
        <v>1306</v>
      </c>
      <c r="L420" s="83">
        <v>45200</v>
      </c>
      <c r="M420" s="83">
        <v>45230</v>
      </c>
    </row>
    <row r="421" spans="1:13" ht="18.75" customHeight="1" x14ac:dyDescent="0.25">
      <c r="A421" s="9" t="s">
        <v>0</v>
      </c>
      <c r="B421" s="81">
        <v>122833</v>
      </c>
      <c r="C421" s="81">
        <v>10758</v>
      </c>
      <c r="D421" s="9" t="s">
        <v>1736</v>
      </c>
      <c r="E421" s="81">
        <v>14563151</v>
      </c>
      <c r="F421" s="81">
        <v>57234</v>
      </c>
      <c r="G421" s="81">
        <v>25</v>
      </c>
      <c r="H421" s="82">
        <v>26.3</v>
      </c>
      <c r="I421" s="251">
        <v>657.5</v>
      </c>
      <c r="J421" s="9" t="s">
        <v>1305</v>
      </c>
      <c r="K421" s="9" t="s">
        <v>1306</v>
      </c>
      <c r="L421" s="83">
        <v>45200</v>
      </c>
      <c r="M421" s="83">
        <v>45230</v>
      </c>
    </row>
    <row r="422" spans="1:13" ht="18.75" customHeight="1" x14ac:dyDescent="0.25">
      <c r="A422" s="9" t="s">
        <v>0</v>
      </c>
      <c r="B422" s="81">
        <v>114315</v>
      </c>
      <c r="C422" s="81">
        <v>10757</v>
      </c>
      <c r="D422" s="9" t="s">
        <v>1031</v>
      </c>
      <c r="E422" s="81">
        <v>14563151</v>
      </c>
      <c r="F422" s="81">
        <v>35849</v>
      </c>
      <c r="G422" s="81">
        <v>25</v>
      </c>
      <c r="H422" s="82">
        <v>26.3</v>
      </c>
      <c r="I422" s="251">
        <v>657.5</v>
      </c>
      <c r="J422" s="9" t="s">
        <v>1305</v>
      </c>
      <c r="K422" s="9" t="s">
        <v>1306</v>
      </c>
      <c r="L422" s="83">
        <v>45200</v>
      </c>
      <c r="M422" s="83">
        <v>45230</v>
      </c>
    </row>
    <row r="423" spans="1:13" ht="18.75" customHeight="1" x14ac:dyDescent="0.25">
      <c r="A423" s="9" t="s">
        <v>1578</v>
      </c>
      <c r="B423" s="81">
        <v>112400</v>
      </c>
      <c r="C423" s="81">
        <v>10743</v>
      </c>
      <c r="D423" s="9" t="s">
        <v>156</v>
      </c>
      <c r="E423" s="81">
        <v>14563151</v>
      </c>
      <c r="F423" s="81">
        <v>29235</v>
      </c>
      <c r="G423" s="81">
        <v>25</v>
      </c>
      <c r="H423" s="82">
        <v>26.3</v>
      </c>
      <c r="I423" s="251">
        <v>657.5</v>
      </c>
      <c r="J423" s="9" t="s">
        <v>1305</v>
      </c>
      <c r="K423" s="9" t="s">
        <v>1306</v>
      </c>
      <c r="L423" s="83">
        <v>45200</v>
      </c>
      <c r="M423" s="83">
        <v>45230</v>
      </c>
    </row>
    <row r="424" spans="1:13" ht="18.75" customHeight="1" x14ac:dyDescent="0.25">
      <c r="A424" s="9" t="s">
        <v>1578</v>
      </c>
      <c r="B424" s="81">
        <v>122415</v>
      </c>
      <c r="C424" s="81">
        <v>10755</v>
      </c>
      <c r="D424" s="9" t="s">
        <v>1682</v>
      </c>
      <c r="E424" s="81">
        <v>14563151</v>
      </c>
      <c r="F424" s="81">
        <v>56151</v>
      </c>
      <c r="G424" s="81">
        <v>25</v>
      </c>
      <c r="H424" s="82">
        <v>26.3</v>
      </c>
      <c r="I424" s="251">
        <v>657.5</v>
      </c>
      <c r="J424" s="9" t="s">
        <v>1305</v>
      </c>
      <c r="K424" s="9" t="s">
        <v>1306</v>
      </c>
      <c r="L424" s="83">
        <v>45200</v>
      </c>
      <c r="M424" s="83">
        <v>45230</v>
      </c>
    </row>
    <row r="425" spans="1:13" ht="18.75" customHeight="1" x14ac:dyDescent="0.25">
      <c r="A425" s="9" t="s">
        <v>1578</v>
      </c>
      <c r="B425" s="81">
        <v>112410</v>
      </c>
      <c r="C425" s="81">
        <v>10761</v>
      </c>
      <c r="D425" s="9" t="s">
        <v>163</v>
      </c>
      <c r="E425" s="81">
        <v>14563151</v>
      </c>
      <c r="F425" s="81">
        <v>29255</v>
      </c>
      <c r="G425" s="81">
        <v>25</v>
      </c>
      <c r="H425" s="82">
        <v>26.3</v>
      </c>
      <c r="I425" s="251">
        <v>657.5</v>
      </c>
      <c r="J425" s="9" t="s">
        <v>1305</v>
      </c>
      <c r="K425" s="9" t="s">
        <v>1306</v>
      </c>
      <c r="L425" s="83">
        <v>45200</v>
      </c>
      <c r="M425" s="83">
        <v>45230</v>
      </c>
    </row>
    <row r="426" spans="1:13" ht="18.75" customHeight="1" x14ac:dyDescent="0.25">
      <c r="A426" s="9" t="s">
        <v>19</v>
      </c>
      <c r="B426" s="81">
        <v>114548</v>
      </c>
      <c r="C426" s="81">
        <v>10750</v>
      </c>
      <c r="D426" s="9" t="s">
        <v>1055</v>
      </c>
      <c r="E426" s="81">
        <v>14563151</v>
      </c>
      <c r="F426" s="81">
        <v>36374</v>
      </c>
      <c r="G426" s="81">
        <v>25</v>
      </c>
      <c r="H426" s="82">
        <v>26.3</v>
      </c>
      <c r="I426" s="251">
        <v>657.5</v>
      </c>
      <c r="J426" s="9" t="s">
        <v>1305</v>
      </c>
      <c r="K426" s="9" t="s">
        <v>1306</v>
      </c>
      <c r="L426" s="83">
        <v>45200</v>
      </c>
      <c r="M426" s="83">
        <v>45230</v>
      </c>
    </row>
    <row r="427" spans="1:13" ht="18.75" customHeight="1" x14ac:dyDescent="0.25">
      <c r="A427" s="9" t="s">
        <v>1578</v>
      </c>
      <c r="B427" s="81">
        <v>112413</v>
      </c>
      <c r="C427" s="81">
        <v>10761</v>
      </c>
      <c r="D427" s="9" t="s">
        <v>164</v>
      </c>
      <c r="E427" s="81">
        <v>14563151</v>
      </c>
      <c r="F427" s="81">
        <v>29261</v>
      </c>
      <c r="G427" s="81">
        <v>25</v>
      </c>
      <c r="H427" s="82">
        <v>26.3</v>
      </c>
      <c r="I427" s="251">
        <v>657.5</v>
      </c>
      <c r="J427" s="9" t="s">
        <v>1305</v>
      </c>
      <c r="K427" s="9" t="s">
        <v>1306</v>
      </c>
      <c r="L427" s="83">
        <v>45200</v>
      </c>
      <c r="M427" s="83">
        <v>45230</v>
      </c>
    </row>
    <row r="428" spans="1:13" ht="18.75" customHeight="1" x14ac:dyDescent="0.25">
      <c r="A428" s="9" t="s">
        <v>0</v>
      </c>
      <c r="B428" s="81">
        <v>112417</v>
      </c>
      <c r="C428" s="81">
        <v>10751</v>
      </c>
      <c r="D428" s="9" t="s">
        <v>167</v>
      </c>
      <c r="E428" s="81">
        <v>14563151</v>
      </c>
      <c r="F428" s="81">
        <v>29269</v>
      </c>
      <c r="G428" s="81">
        <v>25</v>
      </c>
      <c r="H428" s="82">
        <v>26.3</v>
      </c>
      <c r="I428" s="251">
        <v>657.5</v>
      </c>
      <c r="J428" s="9" t="s">
        <v>1305</v>
      </c>
      <c r="K428" s="9" t="s">
        <v>1306</v>
      </c>
      <c r="L428" s="83">
        <v>45200</v>
      </c>
      <c r="M428" s="83">
        <v>45230</v>
      </c>
    </row>
    <row r="429" spans="1:13" ht="18.75" customHeight="1" x14ac:dyDescent="0.25">
      <c r="A429" s="9" t="s">
        <v>1578</v>
      </c>
      <c r="B429" s="81">
        <v>112439</v>
      </c>
      <c r="C429" s="81">
        <v>10768</v>
      </c>
      <c r="D429" s="9" t="s">
        <v>180</v>
      </c>
      <c r="E429" s="81">
        <v>14563151</v>
      </c>
      <c r="F429" s="81">
        <v>29313</v>
      </c>
      <c r="G429" s="81">
        <v>25</v>
      </c>
      <c r="H429" s="82">
        <v>26.3</v>
      </c>
      <c r="I429" s="251">
        <v>657.5</v>
      </c>
      <c r="J429" s="9" t="s">
        <v>1305</v>
      </c>
      <c r="K429" s="9" t="s">
        <v>1306</v>
      </c>
      <c r="L429" s="83">
        <v>45200</v>
      </c>
      <c r="M429" s="83">
        <v>45230</v>
      </c>
    </row>
    <row r="430" spans="1:13" ht="18.75" customHeight="1" x14ac:dyDescent="0.25">
      <c r="A430" s="9" t="s">
        <v>0</v>
      </c>
      <c r="B430" s="81">
        <v>112449</v>
      </c>
      <c r="C430" s="81">
        <v>10750</v>
      </c>
      <c r="D430" s="9" t="s">
        <v>188</v>
      </c>
      <c r="E430" s="81">
        <v>14563151</v>
      </c>
      <c r="F430" s="81">
        <v>29333</v>
      </c>
      <c r="G430" s="81">
        <v>25</v>
      </c>
      <c r="H430" s="82">
        <v>26.3</v>
      </c>
      <c r="I430" s="251">
        <v>657.5</v>
      </c>
      <c r="J430" s="9" t="s">
        <v>1305</v>
      </c>
      <c r="K430" s="9" t="s">
        <v>1306</v>
      </c>
      <c r="L430" s="83">
        <v>45200</v>
      </c>
      <c r="M430" s="83">
        <v>45230</v>
      </c>
    </row>
    <row r="431" spans="1:13" ht="18.75" customHeight="1" x14ac:dyDescent="0.25">
      <c r="A431" s="9" t="s">
        <v>8</v>
      </c>
      <c r="B431" s="81">
        <v>112471</v>
      </c>
      <c r="C431" s="81">
        <v>10757</v>
      </c>
      <c r="D431" s="9" t="s">
        <v>200</v>
      </c>
      <c r="E431" s="81">
        <v>14563151</v>
      </c>
      <c r="F431" s="81">
        <v>29377</v>
      </c>
      <c r="G431" s="81">
        <v>25</v>
      </c>
      <c r="H431" s="82">
        <v>26.3</v>
      </c>
      <c r="I431" s="251">
        <v>657.5</v>
      </c>
      <c r="J431" s="9" t="s">
        <v>1305</v>
      </c>
      <c r="K431" s="9" t="s">
        <v>1306</v>
      </c>
      <c r="L431" s="83">
        <v>45200</v>
      </c>
      <c r="M431" s="83">
        <v>45230</v>
      </c>
    </row>
    <row r="432" spans="1:13" ht="18.75" customHeight="1" x14ac:dyDescent="0.25">
      <c r="A432" s="9" t="s">
        <v>1578</v>
      </c>
      <c r="B432" s="81">
        <v>114255</v>
      </c>
      <c r="C432" s="81">
        <v>10766</v>
      </c>
      <c r="D432" s="9" t="s">
        <v>1019</v>
      </c>
      <c r="E432" s="81">
        <v>14563151</v>
      </c>
      <c r="F432" s="81">
        <v>35790</v>
      </c>
      <c r="G432" s="81">
        <v>25</v>
      </c>
      <c r="H432" s="82">
        <v>26.3</v>
      </c>
      <c r="I432" s="251">
        <v>657.5</v>
      </c>
      <c r="J432" s="9" t="s">
        <v>1305</v>
      </c>
      <c r="K432" s="9" t="s">
        <v>1306</v>
      </c>
      <c r="L432" s="83">
        <v>45200</v>
      </c>
      <c r="M432" s="83">
        <v>45230</v>
      </c>
    </row>
    <row r="433" spans="1:13" ht="18.75" customHeight="1" x14ac:dyDescent="0.25">
      <c r="A433" s="9" t="s">
        <v>19</v>
      </c>
      <c r="B433" s="81">
        <v>116726</v>
      </c>
      <c r="C433" s="81">
        <v>10754</v>
      </c>
      <c r="D433" s="9" t="s">
        <v>1218</v>
      </c>
      <c r="E433" s="81">
        <v>14563151</v>
      </c>
      <c r="F433" s="81">
        <v>42840</v>
      </c>
      <c r="G433" s="81">
        <v>20</v>
      </c>
      <c r="H433" s="82">
        <v>26.3</v>
      </c>
      <c r="I433" s="251">
        <v>526</v>
      </c>
      <c r="J433" s="9" t="s">
        <v>1305</v>
      </c>
      <c r="K433" s="9" t="s">
        <v>1306</v>
      </c>
      <c r="L433" s="83">
        <v>45200</v>
      </c>
      <c r="M433" s="83">
        <v>45230</v>
      </c>
    </row>
    <row r="434" spans="1:13" ht="18.75" customHeight="1" x14ac:dyDescent="0.25">
      <c r="A434" s="9" t="s">
        <v>1578</v>
      </c>
      <c r="B434" s="81">
        <v>112473</v>
      </c>
      <c r="C434" s="81">
        <v>10743</v>
      </c>
      <c r="D434" s="9" t="s">
        <v>202</v>
      </c>
      <c r="E434" s="81">
        <v>14563151</v>
      </c>
      <c r="F434" s="81">
        <v>29381</v>
      </c>
      <c r="G434" s="81">
        <v>25</v>
      </c>
      <c r="H434" s="82">
        <v>26.3</v>
      </c>
      <c r="I434" s="251">
        <v>657.5</v>
      </c>
      <c r="J434" s="9" t="s">
        <v>1305</v>
      </c>
      <c r="K434" s="9" t="s">
        <v>1306</v>
      </c>
      <c r="L434" s="83">
        <v>45200</v>
      </c>
      <c r="M434" s="83">
        <v>45230</v>
      </c>
    </row>
    <row r="435" spans="1:13" ht="18.75" customHeight="1" x14ac:dyDescent="0.25">
      <c r="A435" s="9" t="s">
        <v>0</v>
      </c>
      <c r="B435" s="81">
        <v>114699</v>
      </c>
      <c r="C435" s="81">
        <v>10758</v>
      </c>
      <c r="D435" s="9" t="s">
        <v>1073</v>
      </c>
      <c r="E435" s="81">
        <v>14563151</v>
      </c>
      <c r="F435" s="81">
        <v>36847</v>
      </c>
      <c r="G435" s="81">
        <v>25</v>
      </c>
      <c r="H435" s="82">
        <v>26.3</v>
      </c>
      <c r="I435" s="251">
        <v>657.5</v>
      </c>
      <c r="J435" s="9" t="s">
        <v>1305</v>
      </c>
      <c r="K435" s="9" t="s">
        <v>1306</v>
      </c>
      <c r="L435" s="83">
        <v>45200</v>
      </c>
      <c r="M435" s="83">
        <v>45230</v>
      </c>
    </row>
    <row r="436" spans="1:13" ht="18.75" customHeight="1" x14ac:dyDescent="0.25">
      <c r="A436" s="9" t="s">
        <v>0</v>
      </c>
      <c r="B436" s="81">
        <v>119652</v>
      </c>
      <c r="C436" s="81">
        <v>10751</v>
      </c>
      <c r="D436" s="9" t="s">
        <v>1460</v>
      </c>
      <c r="E436" s="81">
        <v>14563151</v>
      </c>
      <c r="F436" s="81">
        <v>49623</v>
      </c>
      <c r="G436" s="81">
        <v>25</v>
      </c>
      <c r="H436" s="82">
        <v>26.3</v>
      </c>
      <c r="I436" s="251">
        <v>657.5</v>
      </c>
      <c r="J436" s="9" t="s">
        <v>1305</v>
      </c>
      <c r="K436" s="9" t="s">
        <v>1306</v>
      </c>
      <c r="L436" s="83">
        <v>45200</v>
      </c>
      <c r="M436" s="83">
        <v>45230</v>
      </c>
    </row>
    <row r="437" spans="1:13" ht="18.75" customHeight="1" x14ac:dyDescent="0.25">
      <c r="A437" s="9" t="s">
        <v>0</v>
      </c>
      <c r="B437" s="81">
        <v>112494</v>
      </c>
      <c r="C437" s="81">
        <v>10756</v>
      </c>
      <c r="D437" s="9" t="s">
        <v>214</v>
      </c>
      <c r="E437" s="81">
        <v>14563151</v>
      </c>
      <c r="F437" s="81">
        <v>29423</v>
      </c>
      <c r="G437" s="81">
        <v>25</v>
      </c>
      <c r="H437" s="82">
        <v>26.3</v>
      </c>
      <c r="I437" s="251">
        <v>657.5</v>
      </c>
      <c r="J437" s="9" t="s">
        <v>1305</v>
      </c>
      <c r="K437" s="9" t="s">
        <v>1306</v>
      </c>
      <c r="L437" s="83">
        <v>45200</v>
      </c>
      <c r="M437" s="83">
        <v>45230</v>
      </c>
    </row>
    <row r="438" spans="1:13" ht="18.75" customHeight="1" x14ac:dyDescent="0.25">
      <c r="A438" s="9" t="s">
        <v>1578</v>
      </c>
      <c r="B438" s="81">
        <v>113776</v>
      </c>
      <c r="C438" s="81">
        <v>10771</v>
      </c>
      <c r="D438" s="9" t="s">
        <v>974</v>
      </c>
      <c r="E438" s="81">
        <v>14563151</v>
      </c>
      <c r="F438" s="81">
        <v>32000</v>
      </c>
      <c r="G438" s="81">
        <v>25</v>
      </c>
      <c r="H438" s="82">
        <v>26.3</v>
      </c>
      <c r="I438" s="251">
        <v>657.5</v>
      </c>
      <c r="J438" s="9" t="s">
        <v>1305</v>
      </c>
      <c r="K438" s="9" t="s">
        <v>1306</v>
      </c>
      <c r="L438" s="83">
        <v>45200</v>
      </c>
      <c r="M438" s="83">
        <v>45230</v>
      </c>
    </row>
    <row r="439" spans="1:13" ht="18.75" customHeight="1" x14ac:dyDescent="0.25">
      <c r="A439" s="9" t="s">
        <v>19</v>
      </c>
      <c r="B439" s="81">
        <v>112500</v>
      </c>
      <c r="C439" s="81">
        <v>10757</v>
      </c>
      <c r="D439" s="9" t="s">
        <v>219</v>
      </c>
      <c r="E439" s="81">
        <v>14563151</v>
      </c>
      <c r="F439" s="81">
        <v>29435</v>
      </c>
      <c r="G439" s="81">
        <v>25</v>
      </c>
      <c r="H439" s="82">
        <v>26.3</v>
      </c>
      <c r="I439" s="251">
        <v>657.5</v>
      </c>
      <c r="J439" s="9" t="s">
        <v>1305</v>
      </c>
      <c r="K439" s="9" t="s">
        <v>1306</v>
      </c>
      <c r="L439" s="83">
        <v>45200</v>
      </c>
      <c r="M439" s="83">
        <v>45230</v>
      </c>
    </row>
    <row r="440" spans="1:13" ht="18.75" customHeight="1" x14ac:dyDescent="0.25">
      <c r="A440" s="9" t="s">
        <v>1578</v>
      </c>
      <c r="B440" s="81">
        <v>112506</v>
      </c>
      <c r="C440" s="81">
        <v>10757</v>
      </c>
      <c r="D440" s="9" t="s">
        <v>224</v>
      </c>
      <c r="E440" s="81">
        <v>14563151</v>
      </c>
      <c r="F440" s="81">
        <v>29447</v>
      </c>
      <c r="G440" s="81">
        <v>25</v>
      </c>
      <c r="H440" s="82">
        <v>26.3</v>
      </c>
      <c r="I440" s="251">
        <v>657.5</v>
      </c>
      <c r="J440" s="9" t="s">
        <v>1305</v>
      </c>
      <c r="K440" s="9" t="s">
        <v>1306</v>
      </c>
      <c r="L440" s="83">
        <v>45200</v>
      </c>
      <c r="M440" s="83">
        <v>45230</v>
      </c>
    </row>
    <row r="441" spans="1:13" ht="18.75" customHeight="1" x14ac:dyDescent="0.25">
      <c r="A441" s="9" t="s">
        <v>10</v>
      </c>
      <c r="B441" s="81">
        <v>112510</v>
      </c>
      <c r="C441" s="81">
        <v>10757</v>
      </c>
      <c r="D441" s="9" t="s">
        <v>227</v>
      </c>
      <c r="E441" s="81">
        <v>14563151</v>
      </c>
      <c r="F441" s="81">
        <v>29455</v>
      </c>
      <c r="G441" s="81">
        <v>25</v>
      </c>
      <c r="H441" s="82">
        <v>26.3</v>
      </c>
      <c r="I441" s="251">
        <v>657.5</v>
      </c>
      <c r="J441" s="9" t="s">
        <v>1305</v>
      </c>
      <c r="K441" s="9" t="s">
        <v>1306</v>
      </c>
      <c r="L441" s="83">
        <v>45200</v>
      </c>
      <c r="M441" s="83">
        <v>45230</v>
      </c>
    </row>
    <row r="442" spans="1:13" ht="18.75" customHeight="1" x14ac:dyDescent="0.25">
      <c r="A442" s="9" t="s">
        <v>8</v>
      </c>
      <c r="B442" s="81">
        <v>112514</v>
      </c>
      <c r="C442" s="81">
        <v>10756</v>
      </c>
      <c r="D442" s="9" t="s">
        <v>231</v>
      </c>
      <c r="E442" s="81">
        <v>14563151</v>
      </c>
      <c r="F442" s="81">
        <v>29463</v>
      </c>
      <c r="G442" s="81">
        <v>25</v>
      </c>
      <c r="H442" s="82">
        <v>26.3</v>
      </c>
      <c r="I442" s="251">
        <v>657.5</v>
      </c>
      <c r="J442" s="9" t="s">
        <v>1305</v>
      </c>
      <c r="K442" s="9" t="s">
        <v>1306</v>
      </c>
      <c r="L442" s="83">
        <v>45200</v>
      </c>
      <c r="M442" s="83">
        <v>45230</v>
      </c>
    </row>
    <row r="443" spans="1:13" ht="18.75" customHeight="1" x14ac:dyDescent="0.25">
      <c r="A443" s="9" t="s">
        <v>1578</v>
      </c>
      <c r="B443" s="81">
        <v>112518</v>
      </c>
      <c r="C443" s="81">
        <v>10761</v>
      </c>
      <c r="D443" s="9" t="s">
        <v>234</v>
      </c>
      <c r="E443" s="81">
        <v>14563151</v>
      </c>
      <c r="F443" s="81">
        <v>29471</v>
      </c>
      <c r="G443" s="81">
        <v>25</v>
      </c>
      <c r="H443" s="82">
        <v>26.3</v>
      </c>
      <c r="I443" s="251">
        <v>657.5</v>
      </c>
      <c r="J443" s="9" t="s">
        <v>1305</v>
      </c>
      <c r="K443" s="9" t="s">
        <v>1306</v>
      </c>
      <c r="L443" s="83">
        <v>45200</v>
      </c>
      <c r="M443" s="83">
        <v>45230</v>
      </c>
    </row>
    <row r="444" spans="1:13" ht="18.75" customHeight="1" x14ac:dyDescent="0.25">
      <c r="A444" s="9" t="s">
        <v>0</v>
      </c>
      <c r="B444" s="81">
        <v>112520</v>
      </c>
      <c r="C444" s="81">
        <v>10750</v>
      </c>
      <c r="D444" s="9" t="s">
        <v>235</v>
      </c>
      <c r="E444" s="81">
        <v>14563151</v>
      </c>
      <c r="F444" s="81">
        <v>29475</v>
      </c>
      <c r="G444" s="81">
        <v>25</v>
      </c>
      <c r="H444" s="82">
        <v>26.3</v>
      </c>
      <c r="I444" s="251">
        <v>657.5</v>
      </c>
      <c r="J444" s="9" t="s">
        <v>1305</v>
      </c>
      <c r="K444" s="9" t="s">
        <v>1306</v>
      </c>
      <c r="L444" s="83">
        <v>45200</v>
      </c>
      <c r="M444" s="83">
        <v>45230</v>
      </c>
    </row>
    <row r="445" spans="1:13" ht="18.75" customHeight="1" x14ac:dyDescent="0.25">
      <c r="A445" s="9" t="s">
        <v>10</v>
      </c>
      <c r="B445" s="81">
        <v>112522</v>
      </c>
      <c r="C445" s="81">
        <v>10751</v>
      </c>
      <c r="D445" s="9" t="s">
        <v>237</v>
      </c>
      <c r="E445" s="81">
        <v>14563151</v>
      </c>
      <c r="F445" s="81">
        <v>29479</v>
      </c>
      <c r="G445" s="81">
        <v>25</v>
      </c>
      <c r="H445" s="82">
        <v>26.3</v>
      </c>
      <c r="I445" s="251">
        <v>657.5</v>
      </c>
      <c r="J445" s="9" t="s">
        <v>1305</v>
      </c>
      <c r="K445" s="9" t="s">
        <v>1306</v>
      </c>
      <c r="L445" s="83">
        <v>45200</v>
      </c>
      <c r="M445" s="83">
        <v>45230</v>
      </c>
    </row>
    <row r="446" spans="1:13" ht="18.75" customHeight="1" x14ac:dyDescent="0.25">
      <c r="A446" s="9" t="s">
        <v>10</v>
      </c>
      <c r="B446" s="81">
        <v>112586</v>
      </c>
      <c r="C446" s="81">
        <v>10751</v>
      </c>
      <c r="D446" s="9" t="s">
        <v>279</v>
      </c>
      <c r="E446" s="81">
        <v>14563151</v>
      </c>
      <c r="F446" s="81">
        <v>29607</v>
      </c>
      <c r="G446" s="81">
        <v>25</v>
      </c>
      <c r="H446" s="82">
        <v>26.3</v>
      </c>
      <c r="I446" s="251">
        <v>657.5</v>
      </c>
      <c r="J446" s="9" t="s">
        <v>1305</v>
      </c>
      <c r="K446" s="9" t="s">
        <v>1306</v>
      </c>
      <c r="L446" s="83">
        <v>45200</v>
      </c>
      <c r="M446" s="83">
        <v>45230</v>
      </c>
    </row>
    <row r="447" spans="1:13" ht="18.75" customHeight="1" x14ac:dyDescent="0.25">
      <c r="A447" s="9" t="s">
        <v>1578</v>
      </c>
      <c r="B447" s="81">
        <v>112590</v>
      </c>
      <c r="C447" s="81">
        <v>10761</v>
      </c>
      <c r="D447" s="9" t="s">
        <v>282</v>
      </c>
      <c r="E447" s="81">
        <v>14563151</v>
      </c>
      <c r="F447" s="81">
        <v>29615</v>
      </c>
      <c r="G447" s="81">
        <v>25</v>
      </c>
      <c r="H447" s="82">
        <v>26.3</v>
      </c>
      <c r="I447" s="251">
        <v>657.5</v>
      </c>
      <c r="J447" s="9" t="s">
        <v>1305</v>
      </c>
      <c r="K447" s="9" t="s">
        <v>1306</v>
      </c>
      <c r="L447" s="83">
        <v>45200</v>
      </c>
      <c r="M447" s="83">
        <v>45230</v>
      </c>
    </row>
    <row r="448" spans="1:13" ht="18.75" customHeight="1" x14ac:dyDescent="0.25">
      <c r="A448" s="9" t="s">
        <v>1578</v>
      </c>
      <c r="B448" s="81">
        <v>112598</v>
      </c>
      <c r="C448" s="81">
        <v>10745</v>
      </c>
      <c r="D448" s="9" t="s">
        <v>286</v>
      </c>
      <c r="E448" s="81">
        <v>14563151</v>
      </c>
      <c r="F448" s="81">
        <v>29631</v>
      </c>
      <c r="G448" s="81">
        <v>25</v>
      </c>
      <c r="H448" s="82">
        <v>26.3</v>
      </c>
      <c r="I448" s="251">
        <v>657.5</v>
      </c>
      <c r="J448" s="9" t="s">
        <v>1305</v>
      </c>
      <c r="K448" s="9" t="s">
        <v>1306</v>
      </c>
      <c r="L448" s="83">
        <v>45200</v>
      </c>
      <c r="M448" s="83">
        <v>45230</v>
      </c>
    </row>
    <row r="449" spans="1:13" ht="18.75" customHeight="1" x14ac:dyDescent="0.25">
      <c r="A449" s="9" t="s">
        <v>8</v>
      </c>
      <c r="B449" s="81">
        <v>112602</v>
      </c>
      <c r="C449" s="81">
        <v>10771</v>
      </c>
      <c r="D449" s="9" t="s">
        <v>288</v>
      </c>
      <c r="E449" s="81">
        <v>14563151</v>
      </c>
      <c r="F449" s="81">
        <v>29639</v>
      </c>
      <c r="G449" s="81">
        <v>25</v>
      </c>
      <c r="H449" s="82">
        <v>26.3</v>
      </c>
      <c r="I449" s="251">
        <v>657.5</v>
      </c>
      <c r="J449" s="9" t="s">
        <v>1305</v>
      </c>
      <c r="K449" s="9" t="s">
        <v>1306</v>
      </c>
      <c r="L449" s="83">
        <v>45200</v>
      </c>
      <c r="M449" s="83">
        <v>45230</v>
      </c>
    </row>
    <row r="450" spans="1:13" ht="18.75" customHeight="1" x14ac:dyDescent="0.25">
      <c r="A450" s="9" t="s">
        <v>1578</v>
      </c>
      <c r="B450" s="81">
        <v>112606</v>
      </c>
      <c r="C450" s="81">
        <v>10761</v>
      </c>
      <c r="D450" s="9" t="s">
        <v>290</v>
      </c>
      <c r="E450" s="81">
        <v>14563151</v>
      </c>
      <c r="F450" s="81">
        <v>29647</v>
      </c>
      <c r="G450" s="81">
        <v>25</v>
      </c>
      <c r="H450" s="82">
        <v>26.3</v>
      </c>
      <c r="I450" s="251">
        <v>657.5</v>
      </c>
      <c r="J450" s="9" t="s">
        <v>1305</v>
      </c>
      <c r="K450" s="9" t="s">
        <v>1306</v>
      </c>
      <c r="L450" s="83">
        <v>45200</v>
      </c>
      <c r="M450" s="83">
        <v>45230</v>
      </c>
    </row>
    <row r="451" spans="1:13" ht="18.75" customHeight="1" x14ac:dyDescent="0.25">
      <c r="A451" s="9" t="s">
        <v>8</v>
      </c>
      <c r="B451" s="81">
        <v>112609</v>
      </c>
      <c r="C451" s="81">
        <v>10751</v>
      </c>
      <c r="D451" s="9" t="s">
        <v>293</v>
      </c>
      <c r="E451" s="81">
        <v>14563151</v>
      </c>
      <c r="F451" s="81">
        <v>29653</v>
      </c>
      <c r="G451" s="81">
        <v>25</v>
      </c>
      <c r="H451" s="82">
        <v>26.3</v>
      </c>
      <c r="I451" s="251">
        <v>657.5</v>
      </c>
      <c r="J451" s="9" t="s">
        <v>1305</v>
      </c>
      <c r="K451" s="9" t="s">
        <v>1306</v>
      </c>
      <c r="L451" s="83">
        <v>45200</v>
      </c>
      <c r="M451" s="83">
        <v>45230</v>
      </c>
    </row>
    <row r="452" spans="1:13" ht="18.75" customHeight="1" x14ac:dyDescent="0.25">
      <c r="A452" s="9" t="s">
        <v>8</v>
      </c>
      <c r="B452" s="81">
        <v>112619</v>
      </c>
      <c r="C452" s="81">
        <v>10760</v>
      </c>
      <c r="D452" s="9" t="s">
        <v>302</v>
      </c>
      <c r="E452" s="81">
        <v>14563151</v>
      </c>
      <c r="F452" s="81">
        <v>29673</v>
      </c>
      <c r="G452" s="81">
        <v>25</v>
      </c>
      <c r="H452" s="82">
        <v>26.3</v>
      </c>
      <c r="I452" s="251">
        <v>657.5</v>
      </c>
      <c r="J452" s="9" t="s">
        <v>1305</v>
      </c>
      <c r="K452" s="9" t="s">
        <v>1306</v>
      </c>
      <c r="L452" s="83">
        <v>45200</v>
      </c>
      <c r="M452" s="83">
        <v>45230</v>
      </c>
    </row>
    <row r="453" spans="1:13" ht="18.75" customHeight="1" x14ac:dyDescent="0.25">
      <c r="A453" s="9" t="s">
        <v>10</v>
      </c>
      <c r="B453" s="81">
        <v>116027</v>
      </c>
      <c r="C453" s="81">
        <v>10757</v>
      </c>
      <c r="D453" s="9" t="s">
        <v>1176</v>
      </c>
      <c r="E453" s="81">
        <v>14563151</v>
      </c>
      <c r="F453" s="81">
        <v>40915</v>
      </c>
      <c r="G453" s="81">
        <v>23</v>
      </c>
      <c r="H453" s="82">
        <v>26.3</v>
      </c>
      <c r="I453" s="251">
        <v>604.9</v>
      </c>
      <c r="J453" s="9" t="s">
        <v>1305</v>
      </c>
      <c r="K453" s="9" t="s">
        <v>1306</v>
      </c>
      <c r="L453" s="83">
        <v>45200</v>
      </c>
      <c r="M453" s="83">
        <v>45230</v>
      </c>
    </row>
    <row r="454" spans="1:13" ht="18.75" customHeight="1" x14ac:dyDescent="0.25">
      <c r="A454" s="9" t="s">
        <v>19</v>
      </c>
      <c r="B454" s="81">
        <v>121525</v>
      </c>
      <c r="C454" s="81">
        <v>10755</v>
      </c>
      <c r="D454" s="9" t="s">
        <v>1558</v>
      </c>
      <c r="E454" s="81">
        <v>14563151</v>
      </c>
      <c r="F454" s="81">
        <v>53949</v>
      </c>
      <c r="G454" s="81">
        <v>25</v>
      </c>
      <c r="H454" s="82">
        <v>26.3</v>
      </c>
      <c r="I454" s="251">
        <v>657.5</v>
      </c>
      <c r="J454" s="9" t="s">
        <v>1305</v>
      </c>
      <c r="K454" s="9" t="s">
        <v>1306</v>
      </c>
      <c r="L454" s="83">
        <v>45200</v>
      </c>
      <c r="M454" s="83">
        <v>45230</v>
      </c>
    </row>
    <row r="455" spans="1:13" ht="18.75" customHeight="1" x14ac:dyDescent="0.25">
      <c r="A455" s="9" t="s">
        <v>0</v>
      </c>
      <c r="B455" s="81">
        <v>112629</v>
      </c>
      <c r="C455" s="81">
        <v>10750</v>
      </c>
      <c r="D455" s="9" t="s">
        <v>308</v>
      </c>
      <c r="E455" s="81">
        <v>14563151</v>
      </c>
      <c r="F455" s="81">
        <v>29693</v>
      </c>
      <c r="G455" s="81">
        <v>25</v>
      </c>
      <c r="H455" s="82">
        <v>26.3</v>
      </c>
      <c r="I455" s="251">
        <v>657.5</v>
      </c>
      <c r="J455" s="9" t="s">
        <v>1305</v>
      </c>
      <c r="K455" s="9" t="s">
        <v>1306</v>
      </c>
      <c r="L455" s="83">
        <v>45200</v>
      </c>
      <c r="M455" s="83">
        <v>45230</v>
      </c>
    </row>
    <row r="456" spans="1:13" ht="18.75" customHeight="1" x14ac:dyDescent="0.25">
      <c r="A456" s="9" t="s">
        <v>1578</v>
      </c>
      <c r="B456" s="81">
        <v>117398</v>
      </c>
      <c r="C456" s="81">
        <v>10743</v>
      </c>
      <c r="D456" s="9" t="s">
        <v>1333</v>
      </c>
      <c r="E456" s="81">
        <v>14563151</v>
      </c>
      <c r="F456" s="81">
        <v>44510</v>
      </c>
      <c r="G456" s="81">
        <v>25</v>
      </c>
      <c r="H456" s="82">
        <v>26.3</v>
      </c>
      <c r="I456" s="251">
        <v>657.5</v>
      </c>
      <c r="J456" s="9" t="s">
        <v>1305</v>
      </c>
      <c r="K456" s="9" t="s">
        <v>1309</v>
      </c>
      <c r="L456" s="83">
        <v>45200</v>
      </c>
      <c r="M456" s="83">
        <v>45230</v>
      </c>
    </row>
    <row r="457" spans="1:13" ht="18.75" customHeight="1" x14ac:dyDescent="0.25">
      <c r="A457" s="9" t="s">
        <v>0</v>
      </c>
      <c r="B457" s="81">
        <v>114538</v>
      </c>
      <c r="C457" s="81">
        <v>10771</v>
      </c>
      <c r="D457" s="9" t="s">
        <v>1284</v>
      </c>
      <c r="E457" s="81">
        <v>14563151</v>
      </c>
      <c r="F457" s="81">
        <v>36352</v>
      </c>
      <c r="G457" s="81">
        <v>25</v>
      </c>
      <c r="H457" s="82">
        <v>26.3</v>
      </c>
      <c r="I457" s="251">
        <v>657.5</v>
      </c>
      <c r="J457" s="9" t="s">
        <v>1305</v>
      </c>
      <c r="K457" s="9" t="s">
        <v>1309</v>
      </c>
      <c r="L457" s="83">
        <v>45200</v>
      </c>
      <c r="M457" s="83">
        <v>45230</v>
      </c>
    </row>
    <row r="458" spans="1:13" ht="18.75" customHeight="1" x14ac:dyDescent="0.25">
      <c r="A458" s="9" t="s">
        <v>8</v>
      </c>
      <c r="B458" s="81">
        <v>112638</v>
      </c>
      <c r="C458" s="81">
        <v>10757</v>
      </c>
      <c r="D458" s="9" t="s">
        <v>313</v>
      </c>
      <c r="E458" s="81">
        <v>14563151</v>
      </c>
      <c r="F458" s="81">
        <v>29711</v>
      </c>
      <c r="G458" s="81">
        <v>25</v>
      </c>
      <c r="H458" s="82">
        <v>26.3</v>
      </c>
      <c r="I458" s="251">
        <v>657.5</v>
      </c>
      <c r="J458" s="9" t="s">
        <v>1305</v>
      </c>
      <c r="K458" s="9" t="s">
        <v>1306</v>
      </c>
      <c r="L458" s="83">
        <v>45200</v>
      </c>
      <c r="M458" s="83">
        <v>45230</v>
      </c>
    </row>
    <row r="459" spans="1:13" ht="18.75" customHeight="1" x14ac:dyDescent="0.25">
      <c r="A459" s="9" t="s">
        <v>19</v>
      </c>
      <c r="B459" s="81">
        <v>119642</v>
      </c>
      <c r="C459" s="81">
        <v>10757</v>
      </c>
      <c r="D459" s="9" t="s">
        <v>1461</v>
      </c>
      <c r="E459" s="81">
        <v>14563151</v>
      </c>
      <c r="F459" s="81">
        <v>49600</v>
      </c>
      <c r="G459" s="81">
        <v>25</v>
      </c>
      <c r="H459" s="82">
        <v>26.3</v>
      </c>
      <c r="I459" s="251">
        <v>657.5</v>
      </c>
      <c r="J459" s="9" t="s">
        <v>1305</v>
      </c>
      <c r="K459" s="9" t="s">
        <v>1306</v>
      </c>
      <c r="L459" s="83">
        <v>45200</v>
      </c>
      <c r="M459" s="83">
        <v>45230</v>
      </c>
    </row>
    <row r="460" spans="1:13" ht="18.75" customHeight="1" x14ac:dyDescent="0.25">
      <c r="A460" s="9" t="s">
        <v>32</v>
      </c>
      <c r="B460" s="81">
        <v>112643</v>
      </c>
      <c r="C460" s="81">
        <v>10771</v>
      </c>
      <c r="D460" s="9" t="s">
        <v>316</v>
      </c>
      <c r="E460" s="81">
        <v>14563151</v>
      </c>
      <c r="F460" s="81">
        <v>29721</v>
      </c>
      <c r="G460" s="81">
        <v>25</v>
      </c>
      <c r="H460" s="82">
        <v>26.3</v>
      </c>
      <c r="I460" s="251">
        <v>657.5</v>
      </c>
      <c r="J460" s="9" t="s">
        <v>1305</v>
      </c>
      <c r="K460" s="9" t="s">
        <v>1306</v>
      </c>
      <c r="L460" s="83">
        <v>45200</v>
      </c>
      <c r="M460" s="83">
        <v>45230</v>
      </c>
    </row>
    <row r="461" spans="1:13" ht="18.75" customHeight="1" x14ac:dyDescent="0.25">
      <c r="A461" s="9" t="s">
        <v>8</v>
      </c>
      <c r="B461" s="81">
        <v>112650</v>
      </c>
      <c r="C461" s="81">
        <v>10750</v>
      </c>
      <c r="D461" s="9" t="s">
        <v>1334</v>
      </c>
      <c r="E461" s="81">
        <v>14563151</v>
      </c>
      <c r="F461" s="81">
        <v>29735</v>
      </c>
      <c r="G461" s="81">
        <v>25</v>
      </c>
      <c r="H461" s="82">
        <v>26.3</v>
      </c>
      <c r="I461" s="251">
        <v>657.5</v>
      </c>
      <c r="J461" s="9" t="s">
        <v>1305</v>
      </c>
      <c r="K461" s="9" t="s">
        <v>1306</v>
      </c>
      <c r="L461" s="83">
        <v>45200</v>
      </c>
      <c r="M461" s="83">
        <v>45230</v>
      </c>
    </row>
    <row r="462" spans="1:13" ht="18.75" customHeight="1" x14ac:dyDescent="0.25">
      <c r="A462" s="9" t="s">
        <v>10</v>
      </c>
      <c r="B462" s="81">
        <v>114702</v>
      </c>
      <c r="C462" s="81">
        <v>10750</v>
      </c>
      <c r="D462" s="9" t="s">
        <v>1075</v>
      </c>
      <c r="E462" s="81">
        <v>14563151</v>
      </c>
      <c r="F462" s="81">
        <v>36853</v>
      </c>
      <c r="G462" s="81">
        <v>21</v>
      </c>
      <c r="H462" s="82">
        <v>26.3</v>
      </c>
      <c r="I462" s="251">
        <v>552.30000000000007</v>
      </c>
      <c r="J462" s="9" t="s">
        <v>1305</v>
      </c>
      <c r="K462" s="9" t="s">
        <v>1306</v>
      </c>
      <c r="L462" s="83">
        <v>45200</v>
      </c>
      <c r="M462" s="83">
        <v>45230</v>
      </c>
    </row>
    <row r="463" spans="1:13" ht="18.75" customHeight="1" x14ac:dyDescent="0.25">
      <c r="A463" s="9" t="s">
        <v>0</v>
      </c>
      <c r="B463" s="81">
        <v>114260</v>
      </c>
      <c r="C463" s="81">
        <v>10766</v>
      </c>
      <c r="D463" s="9" t="s">
        <v>1023</v>
      </c>
      <c r="E463" s="81">
        <v>14563151</v>
      </c>
      <c r="F463" s="81">
        <v>35800</v>
      </c>
      <c r="G463" s="81">
        <v>25</v>
      </c>
      <c r="H463" s="82">
        <v>26.3</v>
      </c>
      <c r="I463" s="251">
        <v>657.5</v>
      </c>
      <c r="J463" s="9" t="s">
        <v>1305</v>
      </c>
      <c r="K463" s="9" t="s">
        <v>1306</v>
      </c>
      <c r="L463" s="83">
        <v>45200</v>
      </c>
      <c r="M463" s="83">
        <v>45230</v>
      </c>
    </row>
    <row r="464" spans="1:13" ht="18.75" customHeight="1" x14ac:dyDescent="0.25">
      <c r="A464" s="9" t="s">
        <v>1578</v>
      </c>
      <c r="B464" s="81">
        <v>112654</v>
      </c>
      <c r="C464" s="81">
        <v>10757</v>
      </c>
      <c r="D464" s="9" t="s">
        <v>321</v>
      </c>
      <c r="E464" s="81">
        <v>14563151</v>
      </c>
      <c r="F464" s="81">
        <v>29743</v>
      </c>
      <c r="G464" s="81">
        <v>25</v>
      </c>
      <c r="H464" s="82">
        <v>26.3</v>
      </c>
      <c r="I464" s="251">
        <v>657.5</v>
      </c>
      <c r="J464" s="9" t="s">
        <v>1305</v>
      </c>
      <c r="K464" s="9" t="s">
        <v>1306</v>
      </c>
      <c r="L464" s="83">
        <v>45200</v>
      </c>
      <c r="M464" s="83">
        <v>45230</v>
      </c>
    </row>
    <row r="465" spans="1:13" ht="18.75" customHeight="1" x14ac:dyDescent="0.25">
      <c r="A465" s="9" t="s">
        <v>1578</v>
      </c>
      <c r="B465" s="81">
        <v>113735</v>
      </c>
      <c r="C465" s="81">
        <v>10743</v>
      </c>
      <c r="D465" s="9" t="s">
        <v>950</v>
      </c>
      <c r="E465" s="81">
        <v>14563151</v>
      </c>
      <c r="F465" s="81">
        <v>31905</v>
      </c>
      <c r="G465" s="81">
        <v>25</v>
      </c>
      <c r="H465" s="82">
        <v>26.3</v>
      </c>
      <c r="I465" s="251">
        <v>657.5</v>
      </c>
      <c r="J465" s="9" t="s">
        <v>1305</v>
      </c>
      <c r="K465" s="9" t="s">
        <v>1309</v>
      </c>
      <c r="L465" s="83">
        <v>45200</v>
      </c>
      <c r="M465" s="83">
        <v>45230</v>
      </c>
    </row>
    <row r="466" spans="1:13" ht="18.75" customHeight="1" x14ac:dyDescent="0.25">
      <c r="A466" s="9" t="s">
        <v>1578</v>
      </c>
      <c r="B466" s="81">
        <v>112661</v>
      </c>
      <c r="C466" s="81">
        <v>10757</v>
      </c>
      <c r="D466" s="9" t="s">
        <v>325</v>
      </c>
      <c r="E466" s="81">
        <v>14563151</v>
      </c>
      <c r="F466" s="81">
        <v>29757</v>
      </c>
      <c r="G466" s="81">
        <v>25</v>
      </c>
      <c r="H466" s="82">
        <v>26.3</v>
      </c>
      <c r="I466" s="251">
        <v>657.5</v>
      </c>
      <c r="J466" s="9" t="s">
        <v>1305</v>
      </c>
      <c r="K466" s="9" t="s">
        <v>1306</v>
      </c>
      <c r="L466" s="83">
        <v>45200</v>
      </c>
      <c r="M466" s="83">
        <v>45230</v>
      </c>
    </row>
    <row r="467" spans="1:13" ht="18.75" customHeight="1" x14ac:dyDescent="0.25">
      <c r="A467" s="9" t="s">
        <v>19</v>
      </c>
      <c r="B467" s="81">
        <v>112668</v>
      </c>
      <c r="C467" s="81">
        <v>10750</v>
      </c>
      <c r="D467" s="9" t="s">
        <v>329</v>
      </c>
      <c r="E467" s="81">
        <v>14563151</v>
      </c>
      <c r="F467" s="81">
        <v>29771</v>
      </c>
      <c r="G467" s="81">
        <v>25</v>
      </c>
      <c r="H467" s="82">
        <v>26.3</v>
      </c>
      <c r="I467" s="251">
        <v>657.5</v>
      </c>
      <c r="J467" s="9" t="s">
        <v>1305</v>
      </c>
      <c r="K467" s="9" t="s">
        <v>1306</v>
      </c>
      <c r="L467" s="83">
        <v>45200</v>
      </c>
      <c r="M467" s="83">
        <v>45230</v>
      </c>
    </row>
    <row r="468" spans="1:13" ht="18.75" customHeight="1" x14ac:dyDescent="0.25">
      <c r="A468" s="9" t="s">
        <v>0</v>
      </c>
      <c r="B468" s="81">
        <v>112680</v>
      </c>
      <c r="C468" s="81">
        <v>10771</v>
      </c>
      <c r="D468" s="9" t="s">
        <v>335</v>
      </c>
      <c r="E468" s="81">
        <v>14563151</v>
      </c>
      <c r="F468" s="81">
        <v>29795</v>
      </c>
      <c r="G468" s="81">
        <v>25</v>
      </c>
      <c r="H468" s="82">
        <v>26.3</v>
      </c>
      <c r="I468" s="251">
        <v>657.5</v>
      </c>
      <c r="J468" s="9" t="s">
        <v>1305</v>
      </c>
      <c r="K468" s="9" t="s">
        <v>1306</v>
      </c>
      <c r="L468" s="83">
        <v>45200</v>
      </c>
      <c r="M468" s="83">
        <v>45230</v>
      </c>
    </row>
    <row r="469" spans="1:13" ht="18.75" customHeight="1" x14ac:dyDescent="0.25">
      <c r="A469" s="9" t="s">
        <v>1578</v>
      </c>
      <c r="B469" s="81">
        <v>114506</v>
      </c>
      <c r="C469" s="81">
        <v>10771</v>
      </c>
      <c r="D469" s="9" t="s">
        <v>1042</v>
      </c>
      <c r="E469" s="81">
        <v>14563151</v>
      </c>
      <c r="F469" s="81">
        <v>35895</v>
      </c>
      <c r="G469" s="81">
        <v>25</v>
      </c>
      <c r="H469" s="82">
        <v>26.3</v>
      </c>
      <c r="I469" s="251">
        <v>657.5</v>
      </c>
      <c r="J469" s="9" t="s">
        <v>1305</v>
      </c>
      <c r="K469" s="9" t="s">
        <v>1306</v>
      </c>
      <c r="L469" s="83">
        <v>45200</v>
      </c>
      <c r="M469" s="83">
        <v>45230</v>
      </c>
    </row>
    <row r="470" spans="1:13" ht="18.75" customHeight="1" x14ac:dyDescent="0.25">
      <c r="A470" s="9" t="s">
        <v>1578</v>
      </c>
      <c r="B470" s="81">
        <v>112709</v>
      </c>
      <c r="C470" s="81">
        <v>10757</v>
      </c>
      <c r="D470" s="9" t="s">
        <v>1540</v>
      </c>
      <c r="E470" s="81">
        <v>14563151</v>
      </c>
      <c r="F470" s="81">
        <v>29853</v>
      </c>
      <c r="G470" s="81">
        <v>25</v>
      </c>
      <c r="H470" s="82">
        <v>26.3</v>
      </c>
      <c r="I470" s="251">
        <v>657.5</v>
      </c>
      <c r="J470" s="9" t="s">
        <v>1305</v>
      </c>
      <c r="K470" s="9" t="s">
        <v>1306</v>
      </c>
      <c r="L470" s="83">
        <v>45200</v>
      </c>
      <c r="M470" s="83">
        <v>45230</v>
      </c>
    </row>
    <row r="471" spans="1:13" ht="18.75" customHeight="1" x14ac:dyDescent="0.25">
      <c r="A471" s="9" t="s">
        <v>32</v>
      </c>
      <c r="B471" s="81">
        <v>122821</v>
      </c>
      <c r="C471" s="81">
        <v>10757</v>
      </c>
      <c r="D471" s="9" t="s">
        <v>1719</v>
      </c>
      <c r="E471" s="81">
        <v>14563151</v>
      </c>
      <c r="F471" s="81">
        <v>57264</v>
      </c>
      <c r="G471" s="81">
        <v>25</v>
      </c>
      <c r="H471" s="82">
        <v>26.3</v>
      </c>
      <c r="I471" s="251">
        <v>657.5</v>
      </c>
      <c r="J471" s="9" t="s">
        <v>1305</v>
      </c>
      <c r="K471" s="9" t="s">
        <v>1306</v>
      </c>
      <c r="L471" s="83">
        <v>45200</v>
      </c>
      <c r="M471" s="83">
        <v>45230</v>
      </c>
    </row>
    <row r="472" spans="1:13" ht="18.75" customHeight="1" x14ac:dyDescent="0.25">
      <c r="A472" s="9" t="s">
        <v>1578</v>
      </c>
      <c r="B472" s="81">
        <v>112713</v>
      </c>
      <c r="C472" s="81">
        <v>10757</v>
      </c>
      <c r="D472" s="9" t="s">
        <v>357</v>
      </c>
      <c r="E472" s="81">
        <v>14563151</v>
      </c>
      <c r="F472" s="81">
        <v>29861</v>
      </c>
      <c r="G472" s="81">
        <v>25</v>
      </c>
      <c r="H472" s="82">
        <v>26.3</v>
      </c>
      <c r="I472" s="251">
        <v>657.5</v>
      </c>
      <c r="J472" s="9" t="s">
        <v>1305</v>
      </c>
      <c r="K472" s="9" t="s">
        <v>1306</v>
      </c>
      <c r="L472" s="83">
        <v>45200</v>
      </c>
      <c r="M472" s="83">
        <v>45230</v>
      </c>
    </row>
    <row r="473" spans="1:13" ht="18.75" customHeight="1" x14ac:dyDescent="0.25">
      <c r="A473" s="9" t="s">
        <v>10</v>
      </c>
      <c r="B473" s="81">
        <v>112716</v>
      </c>
      <c r="C473" s="81">
        <v>10751</v>
      </c>
      <c r="D473" s="9" t="s">
        <v>359</v>
      </c>
      <c r="E473" s="81">
        <v>14563151</v>
      </c>
      <c r="F473" s="81">
        <v>29867</v>
      </c>
      <c r="G473" s="81">
        <v>25</v>
      </c>
      <c r="H473" s="82">
        <v>26.3</v>
      </c>
      <c r="I473" s="251">
        <v>657.5</v>
      </c>
      <c r="J473" s="9" t="s">
        <v>1305</v>
      </c>
      <c r="K473" s="9" t="s">
        <v>1306</v>
      </c>
      <c r="L473" s="83">
        <v>45200</v>
      </c>
      <c r="M473" s="83">
        <v>45230</v>
      </c>
    </row>
    <row r="474" spans="1:13" ht="18.75" customHeight="1" x14ac:dyDescent="0.25">
      <c r="A474" s="9" t="s">
        <v>0</v>
      </c>
      <c r="B474" s="81">
        <v>112720</v>
      </c>
      <c r="C474" s="81">
        <v>10751</v>
      </c>
      <c r="D474" s="9" t="s">
        <v>363</v>
      </c>
      <c r="E474" s="81">
        <v>14563151</v>
      </c>
      <c r="F474" s="81">
        <v>29875</v>
      </c>
      <c r="G474" s="81">
        <v>25</v>
      </c>
      <c r="H474" s="82">
        <v>26.3</v>
      </c>
      <c r="I474" s="251">
        <v>657.5</v>
      </c>
      <c r="J474" s="9" t="s">
        <v>1305</v>
      </c>
      <c r="K474" s="9" t="s">
        <v>1306</v>
      </c>
      <c r="L474" s="83">
        <v>45200</v>
      </c>
      <c r="M474" s="83">
        <v>45230</v>
      </c>
    </row>
    <row r="475" spans="1:13" ht="18.75" customHeight="1" x14ac:dyDescent="0.25">
      <c r="A475" s="9" t="s">
        <v>32</v>
      </c>
      <c r="B475" s="81">
        <v>112724</v>
      </c>
      <c r="C475" s="81">
        <v>10766</v>
      </c>
      <c r="D475" s="9" t="s">
        <v>365</v>
      </c>
      <c r="E475" s="81">
        <v>14563151</v>
      </c>
      <c r="F475" s="81">
        <v>29883</v>
      </c>
      <c r="G475" s="81">
        <v>25</v>
      </c>
      <c r="H475" s="82">
        <v>26.3</v>
      </c>
      <c r="I475" s="251">
        <v>657.5</v>
      </c>
      <c r="J475" s="9" t="s">
        <v>1305</v>
      </c>
      <c r="K475" s="9" t="s">
        <v>1306</v>
      </c>
      <c r="L475" s="83">
        <v>45200</v>
      </c>
      <c r="M475" s="83">
        <v>45230</v>
      </c>
    </row>
    <row r="476" spans="1:13" ht="18.75" customHeight="1" x14ac:dyDescent="0.25">
      <c r="A476" s="9" t="s">
        <v>1578</v>
      </c>
      <c r="B476" s="81">
        <v>114120</v>
      </c>
      <c r="C476" s="81">
        <v>10762</v>
      </c>
      <c r="D476" s="9" t="s">
        <v>1010</v>
      </c>
      <c r="E476" s="81">
        <v>14563151</v>
      </c>
      <c r="F476" s="81">
        <v>34392</v>
      </c>
      <c r="G476" s="81">
        <v>25</v>
      </c>
      <c r="H476" s="82">
        <v>26.3</v>
      </c>
      <c r="I476" s="251">
        <v>657.5</v>
      </c>
      <c r="J476" s="9" t="s">
        <v>1305</v>
      </c>
      <c r="K476" s="9" t="s">
        <v>1306</v>
      </c>
      <c r="L476" s="83">
        <v>45200</v>
      </c>
      <c r="M476" s="83">
        <v>45230</v>
      </c>
    </row>
    <row r="477" spans="1:13" ht="18.75" customHeight="1" x14ac:dyDescent="0.25">
      <c r="A477" s="9" t="s">
        <v>0</v>
      </c>
      <c r="B477" s="81">
        <v>112737</v>
      </c>
      <c r="C477" s="81">
        <v>10750</v>
      </c>
      <c r="D477" s="9" t="s">
        <v>374</v>
      </c>
      <c r="E477" s="81">
        <v>14563151</v>
      </c>
      <c r="F477" s="81">
        <v>29909</v>
      </c>
      <c r="G477" s="81">
        <v>25</v>
      </c>
      <c r="H477" s="82">
        <v>26.3</v>
      </c>
      <c r="I477" s="251">
        <v>657.5</v>
      </c>
      <c r="J477" s="9" t="s">
        <v>1305</v>
      </c>
      <c r="K477" s="9" t="s">
        <v>1306</v>
      </c>
      <c r="L477" s="83">
        <v>45200</v>
      </c>
      <c r="M477" s="83">
        <v>45230</v>
      </c>
    </row>
    <row r="478" spans="1:13" ht="18.75" customHeight="1" x14ac:dyDescent="0.25">
      <c r="A478" s="9" t="s">
        <v>1578</v>
      </c>
      <c r="B478" s="81">
        <v>112742</v>
      </c>
      <c r="C478" s="81">
        <v>10771</v>
      </c>
      <c r="D478" s="9" t="s">
        <v>376</v>
      </c>
      <c r="E478" s="81">
        <v>14563151</v>
      </c>
      <c r="F478" s="81">
        <v>29919</v>
      </c>
      <c r="G478" s="81">
        <v>25</v>
      </c>
      <c r="H478" s="82">
        <v>26.3</v>
      </c>
      <c r="I478" s="251">
        <v>657.5</v>
      </c>
      <c r="J478" s="9" t="s">
        <v>1305</v>
      </c>
      <c r="K478" s="9" t="s">
        <v>1306</v>
      </c>
      <c r="L478" s="83">
        <v>45200</v>
      </c>
      <c r="M478" s="83">
        <v>45230</v>
      </c>
    </row>
    <row r="479" spans="1:13" ht="18.75" customHeight="1" x14ac:dyDescent="0.25">
      <c r="A479" s="9" t="s">
        <v>8</v>
      </c>
      <c r="B479" s="81">
        <v>121956</v>
      </c>
      <c r="C479" s="81">
        <v>10758</v>
      </c>
      <c r="D479" s="9" t="s">
        <v>1607</v>
      </c>
      <c r="E479" s="81">
        <v>14563151</v>
      </c>
      <c r="F479" s="81">
        <v>54968</v>
      </c>
      <c r="G479" s="81">
        <v>25</v>
      </c>
      <c r="H479" s="82">
        <v>26.3</v>
      </c>
      <c r="I479" s="251">
        <v>657.5</v>
      </c>
      <c r="J479" s="9" t="s">
        <v>1305</v>
      </c>
      <c r="K479" s="9" t="s">
        <v>1306</v>
      </c>
      <c r="L479" s="83">
        <v>45200</v>
      </c>
      <c r="M479" s="83">
        <v>45230</v>
      </c>
    </row>
    <row r="480" spans="1:13" ht="18.75" customHeight="1" x14ac:dyDescent="0.25">
      <c r="A480" s="9" t="s">
        <v>1578</v>
      </c>
      <c r="B480" s="81">
        <v>112745</v>
      </c>
      <c r="C480" s="81">
        <v>10771</v>
      </c>
      <c r="D480" s="9" t="s">
        <v>379</v>
      </c>
      <c r="E480" s="81">
        <v>14563151</v>
      </c>
      <c r="F480" s="81">
        <v>29925</v>
      </c>
      <c r="G480" s="81">
        <v>25</v>
      </c>
      <c r="H480" s="82">
        <v>26.3</v>
      </c>
      <c r="I480" s="251">
        <v>657.5</v>
      </c>
      <c r="J480" s="9" t="s">
        <v>1305</v>
      </c>
      <c r="K480" s="9" t="s">
        <v>1306</v>
      </c>
      <c r="L480" s="83">
        <v>45200</v>
      </c>
      <c r="M480" s="83">
        <v>45230</v>
      </c>
    </row>
    <row r="481" spans="1:13" ht="18.75" customHeight="1" x14ac:dyDescent="0.25">
      <c r="A481" s="9" t="s">
        <v>0</v>
      </c>
      <c r="B481" s="81">
        <v>114606</v>
      </c>
      <c r="C481" s="81">
        <v>10754</v>
      </c>
      <c r="D481" s="9" t="s">
        <v>1058</v>
      </c>
      <c r="E481" s="81">
        <v>14563151</v>
      </c>
      <c r="F481" s="81">
        <v>36531</v>
      </c>
      <c r="G481" s="81">
        <v>25</v>
      </c>
      <c r="H481" s="82">
        <v>26.3</v>
      </c>
      <c r="I481" s="251">
        <v>657.5</v>
      </c>
      <c r="J481" s="9" t="s">
        <v>1305</v>
      </c>
      <c r="K481" s="9" t="s">
        <v>1306</v>
      </c>
      <c r="L481" s="83">
        <v>45200</v>
      </c>
      <c r="M481" s="83">
        <v>45230</v>
      </c>
    </row>
    <row r="482" spans="1:13" ht="18.75" customHeight="1" x14ac:dyDescent="0.25">
      <c r="A482" s="9" t="s">
        <v>0</v>
      </c>
      <c r="B482" s="81">
        <v>112749</v>
      </c>
      <c r="C482" s="81">
        <v>10750</v>
      </c>
      <c r="D482" s="9" t="s">
        <v>382</v>
      </c>
      <c r="E482" s="81">
        <v>14563151</v>
      </c>
      <c r="F482" s="81">
        <v>29933</v>
      </c>
      <c r="G482" s="81">
        <v>25</v>
      </c>
      <c r="H482" s="82">
        <v>26.3</v>
      </c>
      <c r="I482" s="251">
        <v>657.5</v>
      </c>
      <c r="J482" s="9" t="s">
        <v>1305</v>
      </c>
      <c r="K482" s="9" t="s">
        <v>1306</v>
      </c>
      <c r="L482" s="83">
        <v>45200</v>
      </c>
      <c r="M482" s="83">
        <v>45230</v>
      </c>
    </row>
    <row r="483" spans="1:13" ht="18.75" customHeight="1" x14ac:dyDescent="0.25">
      <c r="A483" s="9" t="s">
        <v>1578</v>
      </c>
      <c r="B483" s="81">
        <v>112753</v>
      </c>
      <c r="C483" s="81">
        <v>10771</v>
      </c>
      <c r="D483" s="9" t="s">
        <v>383</v>
      </c>
      <c r="E483" s="81">
        <v>14563151</v>
      </c>
      <c r="F483" s="81">
        <v>29941</v>
      </c>
      <c r="G483" s="81">
        <v>25</v>
      </c>
      <c r="H483" s="82">
        <v>26.3</v>
      </c>
      <c r="I483" s="251">
        <v>657.5</v>
      </c>
      <c r="J483" s="9" t="s">
        <v>1305</v>
      </c>
      <c r="K483" s="9" t="s">
        <v>1306</v>
      </c>
      <c r="L483" s="83">
        <v>45200</v>
      </c>
      <c r="M483" s="83">
        <v>45230</v>
      </c>
    </row>
    <row r="484" spans="1:13" ht="18.75" customHeight="1" x14ac:dyDescent="0.25">
      <c r="A484" s="9" t="s">
        <v>1578</v>
      </c>
      <c r="B484" s="81">
        <v>112757</v>
      </c>
      <c r="C484" s="81">
        <v>10768</v>
      </c>
      <c r="D484" s="9" t="s">
        <v>386</v>
      </c>
      <c r="E484" s="81">
        <v>14563151</v>
      </c>
      <c r="F484" s="81">
        <v>29949</v>
      </c>
      <c r="G484" s="81">
        <v>25</v>
      </c>
      <c r="H484" s="82">
        <v>26.3</v>
      </c>
      <c r="I484" s="251">
        <v>657.5</v>
      </c>
      <c r="J484" s="9" t="s">
        <v>1305</v>
      </c>
      <c r="K484" s="9" t="s">
        <v>1306</v>
      </c>
      <c r="L484" s="83">
        <v>45200</v>
      </c>
      <c r="M484" s="83">
        <v>45230</v>
      </c>
    </row>
    <row r="485" spans="1:13" ht="18.75" customHeight="1" x14ac:dyDescent="0.25">
      <c r="A485" s="9" t="s">
        <v>1578</v>
      </c>
      <c r="B485" s="81">
        <v>114918</v>
      </c>
      <c r="C485" s="81">
        <v>10758</v>
      </c>
      <c r="D485" s="9" t="s">
        <v>1107</v>
      </c>
      <c r="E485" s="81">
        <v>14563151</v>
      </c>
      <c r="F485" s="81">
        <v>37619</v>
      </c>
      <c r="G485" s="81">
        <v>25</v>
      </c>
      <c r="H485" s="82">
        <v>26.3</v>
      </c>
      <c r="I485" s="251">
        <v>657.5</v>
      </c>
      <c r="J485" s="9" t="s">
        <v>1305</v>
      </c>
      <c r="K485" s="9" t="s">
        <v>1306</v>
      </c>
      <c r="L485" s="83">
        <v>45200</v>
      </c>
      <c r="M485" s="83">
        <v>45230</v>
      </c>
    </row>
    <row r="486" spans="1:13" ht="18.75" customHeight="1" x14ac:dyDescent="0.25">
      <c r="A486" s="9" t="s">
        <v>8</v>
      </c>
      <c r="B486" s="81">
        <v>115214</v>
      </c>
      <c r="C486" s="81">
        <v>10758</v>
      </c>
      <c r="D486" s="9" t="s">
        <v>1140</v>
      </c>
      <c r="E486" s="81">
        <v>14563151</v>
      </c>
      <c r="F486" s="81">
        <v>38474</v>
      </c>
      <c r="G486" s="81">
        <v>25</v>
      </c>
      <c r="H486" s="82">
        <v>26.3</v>
      </c>
      <c r="I486" s="251">
        <v>657.5</v>
      </c>
      <c r="J486" s="9" t="s">
        <v>1305</v>
      </c>
      <c r="K486" s="9" t="s">
        <v>1309</v>
      </c>
      <c r="L486" s="83">
        <v>45200</v>
      </c>
      <c r="M486" s="83">
        <v>45230</v>
      </c>
    </row>
    <row r="487" spans="1:13" ht="18.75" customHeight="1" x14ac:dyDescent="0.25">
      <c r="A487" s="9" t="s">
        <v>1578</v>
      </c>
      <c r="B487" s="81">
        <v>115397</v>
      </c>
      <c r="C487" s="81">
        <v>10757</v>
      </c>
      <c r="D487" s="9" t="s">
        <v>1150</v>
      </c>
      <c r="E487" s="81">
        <v>14563151</v>
      </c>
      <c r="F487" s="81">
        <v>39001</v>
      </c>
      <c r="G487" s="81">
        <v>21</v>
      </c>
      <c r="H487" s="82">
        <v>26.3</v>
      </c>
      <c r="I487" s="251">
        <v>552.30000000000007</v>
      </c>
      <c r="J487" s="9" t="s">
        <v>1305</v>
      </c>
      <c r="K487" s="9" t="s">
        <v>1306</v>
      </c>
      <c r="L487" s="83">
        <v>45200</v>
      </c>
      <c r="M487" s="83">
        <v>45230</v>
      </c>
    </row>
    <row r="488" spans="1:13" ht="18.75" customHeight="1" x14ac:dyDescent="0.25">
      <c r="A488" s="9" t="s">
        <v>0</v>
      </c>
      <c r="B488" s="81">
        <v>115378</v>
      </c>
      <c r="C488" s="81">
        <v>10758</v>
      </c>
      <c r="D488" s="9" t="s">
        <v>1149</v>
      </c>
      <c r="E488" s="81">
        <v>14563151</v>
      </c>
      <c r="F488" s="81">
        <v>38949</v>
      </c>
      <c r="G488" s="81">
        <v>25</v>
      </c>
      <c r="H488" s="82">
        <v>26.3</v>
      </c>
      <c r="I488" s="251">
        <v>657.5</v>
      </c>
      <c r="J488" s="9" t="s">
        <v>1305</v>
      </c>
      <c r="K488" s="9" t="s">
        <v>1306</v>
      </c>
      <c r="L488" s="83">
        <v>45200</v>
      </c>
      <c r="M488" s="83">
        <v>45230</v>
      </c>
    </row>
    <row r="489" spans="1:13" ht="18.75" customHeight="1" x14ac:dyDescent="0.25">
      <c r="A489" s="9" t="s">
        <v>8</v>
      </c>
      <c r="B489" s="81">
        <v>114729</v>
      </c>
      <c r="C489" s="81">
        <v>10750</v>
      </c>
      <c r="D489" s="9" t="s">
        <v>1080</v>
      </c>
      <c r="E489" s="81">
        <v>14563151</v>
      </c>
      <c r="F489" s="81">
        <v>36907</v>
      </c>
      <c r="G489" s="81">
        <v>25</v>
      </c>
      <c r="H489" s="82">
        <v>26.3</v>
      </c>
      <c r="I489" s="251">
        <v>657.5</v>
      </c>
      <c r="J489" s="9" t="s">
        <v>1305</v>
      </c>
      <c r="K489" s="9" t="s">
        <v>1306</v>
      </c>
      <c r="L489" s="83">
        <v>45200</v>
      </c>
      <c r="M489" s="83">
        <v>45230</v>
      </c>
    </row>
    <row r="490" spans="1:13" ht="18.75" customHeight="1" x14ac:dyDescent="0.25">
      <c r="A490" s="9" t="s">
        <v>10</v>
      </c>
      <c r="B490" s="81">
        <v>119665</v>
      </c>
      <c r="C490" s="81">
        <v>10751</v>
      </c>
      <c r="D490" s="9" t="s">
        <v>1462</v>
      </c>
      <c r="E490" s="81">
        <v>14563151</v>
      </c>
      <c r="F490" s="81">
        <v>49658</v>
      </c>
      <c r="G490" s="81">
        <v>25</v>
      </c>
      <c r="H490" s="82">
        <v>26.3</v>
      </c>
      <c r="I490" s="251">
        <v>657.5</v>
      </c>
      <c r="J490" s="9" t="s">
        <v>1305</v>
      </c>
      <c r="K490" s="9" t="s">
        <v>1306</v>
      </c>
      <c r="L490" s="83">
        <v>45200</v>
      </c>
      <c r="M490" s="83">
        <v>45230</v>
      </c>
    </row>
    <row r="491" spans="1:13" ht="18.75" customHeight="1" x14ac:dyDescent="0.25">
      <c r="A491" s="9" t="s">
        <v>19</v>
      </c>
      <c r="B491" s="81">
        <v>112764</v>
      </c>
      <c r="C491" s="81">
        <v>10771</v>
      </c>
      <c r="D491" s="9" t="s">
        <v>390</v>
      </c>
      <c r="E491" s="81">
        <v>14563151</v>
      </c>
      <c r="F491" s="81">
        <v>29963</v>
      </c>
      <c r="G491" s="81">
        <v>25</v>
      </c>
      <c r="H491" s="82">
        <v>26.3</v>
      </c>
      <c r="I491" s="251">
        <v>657.5</v>
      </c>
      <c r="J491" s="9" t="s">
        <v>1305</v>
      </c>
      <c r="K491" s="9" t="s">
        <v>1306</v>
      </c>
      <c r="L491" s="83">
        <v>45200</v>
      </c>
      <c r="M491" s="83">
        <v>45230</v>
      </c>
    </row>
    <row r="492" spans="1:13" ht="18.75" customHeight="1" x14ac:dyDescent="0.25">
      <c r="A492" s="9" t="s">
        <v>0</v>
      </c>
      <c r="B492" s="81">
        <v>114316</v>
      </c>
      <c r="C492" s="81">
        <v>10758</v>
      </c>
      <c r="D492" s="9" t="s">
        <v>1032</v>
      </c>
      <c r="E492" s="81">
        <v>14563151</v>
      </c>
      <c r="F492" s="81">
        <v>35851</v>
      </c>
      <c r="G492" s="81">
        <v>23</v>
      </c>
      <c r="H492" s="82">
        <v>26.3</v>
      </c>
      <c r="I492" s="251">
        <v>604.9</v>
      </c>
      <c r="J492" s="9" t="s">
        <v>1305</v>
      </c>
      <c r="K492" s="9" t="s">
        <v>1306</v>
      </c>
      <c r="L492" s="83">
        <v>45200</v>
      </c>
      <c r="M492" s="83">
        <v>45230</v>
      </c>
    </row>
    <row r="493" spans="1:13" ht="18.75" customHeight="1" x14ac:dyDescent="0.25">
      <c r="A493" s="9" t="s">
        <v>0</v>
      </c>
      <c r="B493" s="81">
        <v>115818</v>
      </c>
      <c r="C493" s="81">
        <v>10757</v>
      </c>
      <c r="D493" s="9" t="s">
        <v>1335</v>
      </c>
      <c r="E493" s="81">
        <v>14563151</v>
      </c>
      <c r="F493" s="81">
        <v>40312</v>
      </c>
      <c r="G493" s="81">
        <v>25</v>
      </c>
      <c r="H493" s="82">
        <v>26.3</v>
      </c>
      <c r="I493" s="251">
        <v>657.5</v>
      </c>
      <c r="J493" s="9" t="s">
        <v>1305</v>
      </c>
      <c r="K493" s="9" t="s">
        <v>1306</v>
      </c>
      <c r="L493" s="83">
        <v>45200</v>
      </c>
      <c r="M493" s="83">
        <v>45230</v>
      </c>
    </row>
    <row r="494" spans="1:13" ht="18.75" customHeight="1" x14ac:dyDescent="0.25">
      <c r="A494" s="9" t="s">
        <v>8</v>
      </c>
      <c r="B494" s="81">
        <v>112766</v>
      </c>
      <c r="C494" s="81">
        <v>10757</v>
      </c>
      <c r="D494" s="9" t="s">
        <v>392</v>
      </c>
      <c r="E494" s="81">
        <v>14563151</v>
      </c>
      <c r="F494" s="81">
        <v>29967</v>
      </c>
      <c r="G494" s="81">
        <v>25</v>
      </c>
      <c r="H494" s="82">
        <v>26.3</v>
      </c>
      <c r="I494" s="251">
        <v>657.5</v>
      </c>
      <c r="J494" s="9" t="s">
        <v>1305</v>
      </c>
      <c r="K494" s="9" t="s">
        <v>1306</v>
      </c>
      <c r="L494" s="83">
        <v>45200</v>
      </c>
      <c r="M494" s="83">
        <v>45230</v>
      </c>
    </row>
    <row r="495" spans="1:13" ht="18.75" customHeight="1" x14ac:dyDescent="0.25">
      <c r="A495" s="9" t="s">
        <v>1578</v>
      </c>
      <c r="B495" s="81">
        <v>112768</v>
      </c>
      <c r="C495" s="81">
        <v>10761</v>
      </c>
      <c r="D495" s="9" t="s">
        <v>394</v>
      </c>
      <c r="E495" s="81">
        <v>14563151</v>
      </c>
      <c r="F495" s="81">
        <v>29971</v>
      </c>
      <c r="G495" s="81">
        <v>25</v>
      </c>
      <c r="H495" s="82">
        <v>26.3</v>
      </c>
      <c r="I495" s="251">
        <v>657.5</v>
      </c>
      <c r="J495" s="9" t="s">
        <v>1305</v>
      </c>
      <c r="K495" s="9" t="s">
        <v>1306</v>
      </c>
      <c r="L495" s="83">
        <v>45200</v>
      </c>
      <c r="M495" s="83">
        <v>45230</v>
      </c>
    </row>
    <row r="496" spans="1:13" ht="18.75" customHeight="1" x14ac:dyDescent="0.25">
      <c r="A496" s="9" t="s">
        <v>32</v>
      </c>
      <c r="B496" s="81">
        <v>112799</v>
      </c>
      <c r="C496" s="81">
        <v>10760</v>
      </c>
      <c r="D496" s="9" t="s">
        <v>418</v>
      </c>
      <c r="E496" s="81">
        <v>14563151</v>
      </c>
      <c r="F496" s="81">
        <v>30033</v>
      </c>
      <c r="G496" s="81">
        <v>25</v>
      </c>
      <c r="H496" s="82">
        <v>26.3</v>
      </c>
      <c r="I496" s="251">
        <v>657.5</v>
      </c>
      <c r="J496" s="9" t="s">
        <v>1305</v>
      </c>
      <c r="K496" s="9" t="s">
        <v>1306</v>
      </c>
      <c r="L496" s="83">
        <v>45200</v>
      </c>
      <c r="M496" s="83">
        <v>45230</v>
      </c>
    </row>
    <row r="497" spans="1:13" ht="18.75" customHeight="1" x14ac:dyDescent="0.25">
      <c r="A497" s="9" t="s">
        <v>1578</v>
      </c>
      <c r="B497" s="81">
        <v>116738</v>
      </c>
      <c r="C497" s="81">
        <v>10743</v>
      </c>
      <c r="D497" s="9" t="s">
        <v>1336</v>
      </c>
      <c r="E497" s="81">
        <v>14563151</v>
      </c>
      <c r="F497" s="81">
        <v>42865</v>
      </c>
      <c r="G497" s="81">
        <v>25</v>
      </c>
      <c r="H497" s="82">
        <v>26.3</v>
      </c>
      <c r="I497" s="251">
        <v>657.5</v>
      </c>
      <c r="J497" s="9" t="s">
        <v>1305</v>
      </c>
      <c r="K497" s="9" t="s">
        <v>1309</v>
      </c>
      <c r="L497" s="83">
        <v>45200</v>
      </c>
      <c r="M497" s="83">
        <v>45230</v>
      </c>
    </row>
    <row r="498" spans="1:13" ht="18.75" customHeight="1" x14ac:dyDescent="0.25">
      <c r="A498" s="9" t="s">
        <v>1578</v>
      </c>
      <c r="B498" s="81">
        <v>113714</v>
      </c>
      <c r="C498" s="81">
        <v>10743</v>
      </c>
      <c r="D498" s="9" t="s">
        <v>930</v>
      </c>
      <c r="E498" s="81">
        <v>14563151</v>
      </c>
      <c r="F498" s="81">
        <v>31863</v>
      </c>
      <c r="G498" s="81">
        <v>25</v>
      </c>
      <c r="H498" s="82">
        <v>26.3</v>
      </c>
      <c r="I498" s="251">
        <v>657.5</v>
      </c>
      <c r="J498" s="9" t="s">
        <v>1305</v>
      </c>
      <c r="K498" s="9" t="s">
        <v>1306</v>
      </c>
      <c r="L498" s="83">
        <v>45200</v>
      </c>
      <c r="M498" s="83">
        <v>45230</v>
      </c>
    </row>
    <row r="499" spans="1:13" ht="18.75" customHeight="1" x14ac:dyDescent="0.25">
      <c r="A499" s="9" t="s">
        <v>1578</v>
      </c>
      <c r="B499" s="81">
        <v>114765</v>
      </c>
      <c r="C499" s="81">
        <v>10768</v>
      </c>
      <c r="D499" s="9" t="s">
        <v>1096</v>
      </c>
      <c r="E499" s="81">
        <v>14563151</v>
      </c>
      <c r="F499" s="81">
        <v>36979</v>
      </c>
      <c r="G499" s="81">
        <v>25</v>
      </c>
      <c r="H499" s="82">
        <v>26.3</v>
      </c>
      <c r="I499" s="251">
        <v>657.5</v>
      </c>
      <c r="J499" s="9" t="s">
        <v>1305</v>
      </c>
      <c r="K499" s="9" t="s">
        <v>1306</v>
      </c>
      <c r="L499" s="83">
        <v>45200</v>
      </c>
      <c r="M499" s="83">
        <v>45230</v>
      </c>
    </row>
    <row r="500" spans="1:13" ht="18.75" customHeight="1" x14ac:dyDescent="0.25">
      <c r="A500" s="9" t="s">
        <v>8</v>
      </c>
      <c r="B500" s="81">
        <v>122822</v>
      </c>
      <c r="C500" s="81">
        <v>10757</v>
      </c>
      <c r="D500" s="9" t="s">
        <v>1720</v>
      </c>
      <c r="E500" s="81">
        <v>14563151</v>
      </c>
      <c r="F500" s="81">
        <v>57216</v>
      </c>
      <c r="G500" s="81">
        <v>25</v>
      </c>
      <c r="H500" s="82">
        <v>26.3</v>
      </c>
      <c r="I500" s="251">
        <v>657.5</v>
      </c>
      <c r="J500" s="9" t="s">
        <v>1305</v>
      </c>
      <c r="K500" s="9" t="s">
        <v>1306</v>
      </c>
      <c r="L500" s="83">
        <v>45200</v>
      </c>
      <c r="M500" s="83">
        <v>45230</v>
      </c>
    </row>
    <row r="501" spans="1:13" ht="18.75" customHeight="1" x14ac:dyDescent="0.25">
      <c r="A501" s="9" t="s">
        <v>10</v>
      </c>
      <c r="B501" s="81">
        <v>112818</v>
      </c>
      <c r="C501" s="81">
        <v>10771</v>
      </c>
      <c r="D501" s="9" t="s">
        <v>432</v>
      </c>
      <c r="E501" s="81">
        <v>14563151</v>
      </c>
      <c r="F501" s="81">
        <v>33624</v>
      </c>
      <c r="G501" s="81">
        <v>25</v>
      </c>
      <c r="H501" s="82">
        <v>26.3</v>
      </c>
      <c r="I501" s="251">
        <v>657.5</v>
      </c>
      <c r="J501" s="9" t="s">
        <v>1305</v>
      </c>
      <c r="K501" s="9" t="s">
        <v>1306</v>
      </c>
      <c r="L501" s="83">
        <v>45200</v>
      </c>
      <c r="M501" s="83">
        <v>45230</v>
      </c>
    </row>
    <row r="502" spans="1:13" ht="18.75" customHeight="1" x14ac:dyDescent="0.25">
      <c r="A502" s="9" t="s">
        <v>19</v>
      </c>
      <c r="B502" s="81">
        <v>115409</v>
      </c>
      <c r="C502" s="81">
        <v>10757</v>
      </c>
      <c r="D502" s="9" t="s">
        <v>1157</v>
      </c>
      <c r="E502" s="81">
        <v>14563151</v>
      </c>
      <c r="F502" s="81">
        <v>39025</v>
      </c>
      <c r="G502" s="81">
        <v>25</v>
      </c>
      <c r="H502" s="82">
        <v>26.3</v>
      </c>
      <c r="I502" s="251">
        <v>657.5</v>
      </c>
      <c r="J502" s="9" t="s">
        <v>1305</v>
      </c>
      <c r="K502" s="9" t="s">
        <v>1306</v>
      </c>
      <c r="L502" s="83">
        <v>45200</v>
      </c>
      <c r="M502" s="83">
        <v>45230</v>
      </c>
    </row>
    <row r="503" spans="1:13" ht="18.75" customHeight="1" x14ac:dyDescent="0.25">
      <c r="A503" s="9" t="s">
        <v>0</v>
      </c>
      <c r="B503" s="81">
        <v>122089</v>
      </c>
      <c r="C503" s="81">
        <v>10766</v>
      </c>
      <c r="D503" s="9" t="s">
        <v>1627</v>
      </c>
      <c r="E503" s="81">
        <v>14563151</v>
      </c>
      <c r="F503" s="81">
        <v>55293</v>
      </c>
      <c r="G503" s="81">
        <v>25</v>
      </c>
      <c r="H503" s="82">
        <v>26.3</v>
      </c>
      <c r="I503" s="251">
        <v>657.5</v>
      </c>
      <c r="J503" s="9" t="s">
        <v>1305</v>
      </c>
      <c r="K503" s="9" t="s">
        <v>1309</v>
      </c>
      <c r="L503" s="83">
        <v>45200</v>
      </c>
      <c r="M503" s="83">
        <v>45230</v>
      </c>
    </row>
    <row r="504" spans="1:13" ht="18.75" customHeight="1" x14ac:dyDescent="0.25">
      <c r="A504" s="9" t="s">
        <v>1578</v>
      </c>
      <c r="B504" s="81">
        <v>112829</v>
      </c>
      <c r="C504" s="81">
        <v>10757</v>
      </c>
      <c r="D504" s="9" t="s">
        <v>440</v>
      </c>
      <c r="E504" s="81">
        <v>14563151</v>
      </c>
      <c r="F504" s="81">
        <v>30093</v>
      </c>
      <c r="G504" s="81">
        <v>25</v>
      </c>
      <c r="H504" s="82">
        <v>26.3</v>
      </c>
      <c r="I504" s="251">
        <v>657.5</v>
      </c>
      <c r="J504" s="9" t="s">
        <v>1305</v>
      </c>
      <c r="K504" s="9" t="s">
        <v>1306</v>
      </c>
      <c r="L504" s="83">
        <v>45200</v>
      </c>
      <c r="M504" s="83">
        <v>45230</v>
      </c>
    </row>
    <row r="505" spans="1:13" ht="18.75" customHeight="1" x14ac:dyDescent="0.25">
      <c r="A505" s="9" t="s">
        <v>1578</v>
      </c>
      <c r="B505" s="81">
        <v>112832</v>
      </c>
      <c r="C505" s="81">
        <v>10768</v>
      </c>
      <c r="D505" s="9" t="s">
        <v>442</v>
      </c>
      <c r="E505" s="81">
        <v>14563151</v>
      </c>
      <c r="F505" s="81">
        <v>30099</v>
      </c>
      <c r="G505" s="81">
        <v>25</v>
      </c>
      <c r="H505" s="82">
        <v>26.3</v>
      </c>
      <c r="I505" s="251">
        <v>657.5</v>
      </c>
      <c r="J505" s="9" t="s">
        <v>1305</v>
      </c>
      <c r="K505" s="9" t="s">
        <v>1306</v>
      </c>
      <c r="L505" s="83">
        <v>45200</v>
      </c>
      <c r="M505" s="83">
        <v>45230</v>
      </c>
    </row>
    <row r="506" spans="1:13" ht="18.75" customHeight="1" x14ac:dyDescent="0.25">
      <c r="A506" s="9" t="s">
        <v>8</v>
      </c>
      <c r="B506" s="81">
        <v>112840</v>
      </c>
      <c r="C506" s="81">
        <v>10750</v>
      </c>
      <c r="D506" s="9" t="s">
        <v>447</v>
      </c>
      <c r="E506" s="81">
        <v>14563151</v>
      </c>
      <c r="F506" s="81">
        <v>30115</v>
      </c>
      <c r="G506" s="81">
        <v>25</v>
      </c>
      <c r="H506" s="82">
        <v>26.3</v>
      </c>
      <c r="I506" s="251">
        <v>657.5</v>
      </c>
      <c r="J506" s="9" t="s">
        <v>1305</v>
      </c>
      <c r="K506" s="9" t="s">
        <v>1306</v>
      </c>
      <c r="L506" s="83">
        <v>45200</v>
      </c>
      <c r="M506" s="83">
        <v>45230</v>
      </c>
    </row>
    <row r="507" spans="1:13" ht="18.75" customHeight="1" x14ac:dyDescent="0.25">
      <c r="A507" s="9" t="s">
        <v>8</v>
      </c>
      <c r="B507" s="81">
        <v>112849</v>
      </c>
      <c r="C507" s="81">
        <v>10750</v>
      </c>
      <c r="D507" s="9" t="s">
        <v>451</v>
      </c>
      <c r="E507" s="81">
        <v>14563151</v>
      </c>
      <c r="F507" s="81">
        <v>30133</v>
      </c>
      <c r="G507" s="81">
        <v>25</v>
      </c>
      <c r="H507" s="82">
        <v>26.3</v>
      </c>
      <c r="I507" s="251">
        <v>657.5</v>
      </c>
      <c r="J507" s="9" t="s">
        <v>1305</v>
      </c>
      <c r="K507" s="9" t="s">
        <v>1306</v>
      </c>
      <c r="L507" s="83">
        <v>45200</v>
      </c>
      <c r="M507" s="83">
        <v>45230</v>
      </c>
    </row>
    <row r="508" spans="1:13" ht="18.75" customHeight="1" x14ac:dyDescent="0.25">
      <c r="A508" s="9" t="s">
        <v>0</v>
      </c>
      <c r="B508" s="81">
        <v>112864</v>
      </c>
      <c r="C508" s="81">
        <v>10750</v>
      </c>
      <c r="D508" s="9" t="s">
        <v>1337</v>
      </c>
      <c r="E508" s="81">
        <v>14563151</v>
      </c>
      <c r="F508" s="81">
        <v>30163</v>
      </c>
      <c r="G508" s="81">
        <v>25</v>
      </c>
      <c r="H508" s="82">
        <v>26.3</v>
      </c>
      <c r="I508" s="251">
        <v>657.5</v>
      </c>
      <c r="J508" s="9" t="s">
        <v>1305</v>
      </c>
      <c r="K508" s="9" t="s">
        <v>1306</v>
      </c>
      <c r="L508" s="83">
        <v>45200</v>
      </c>
      <c r="M508" s="83">
        <v>45230</v>
      </c>
    </row>
    <row r="509" spans="1:13" ht="18.75" customHeight="1" x14ac:dyDescent="0.25">
      <c r="A509" s="9" t="s">
        <v>10</v>
      </c>
      <c r="B509" s="81">
        <v>112870</v>
      </c>
      <c r="C509" s="81">
        <v>10750</v>
      </c>
      <c r="D509" s="9" t="s">
        <v>1338</v>
      </c>
      <c r="E509" s="81">
        <v>14563151</v>
      </c>
      <c r="F509" s="81">
        <v>30175</v>
      </c>
      <c r="G509" s="81">
        <v>25</v>
      </c>
      <c r="H509" s="82">
        <v>26.3</v>
      </c>
      <c r="I509" s="251">
        <v>657.5</v>
      </c>
      <c r="J509" s="9" t="s">
        <v>1305</v>
      </c>
      <c r="K509" s="9" t="s">
        <v>1306</v>
      </c>
      <c r="L509" s="83">
        <v>45200</v>
      </c>
      <c r="M509" s="83">
        <v>45230</v>
      </c>
    </row>
    <row r="510" spans="1:13" ht="18.75" customHeight="1" x14ac:dyDescent="0.25">
      <c r="A510" s="9" t="s">
        <v>8</v>
      </c>
      <c r="B510" s="81">
        <v>112886</v>
      </c>
      <c r="C510" s="81">
        <v>10751</v>
      </c>
      <c r="D510" s="9" t="s">
        <v>1339</v>
      </c>
      <c r="E510" s="81">
        <v>14563151</v>
      </c>
      <c r="F510" s="81">
        <v>30207</v>
      </c>
      <c r="G510" s="81">
        <v>25</v>
      </c>
      <c r="H510" s="82">
        <v>26.3</v>
      </c>
      <c r="I510" s="251">
        <v>657.5</v>
      </c>
      <c r="J510" s="9" t="s">
        <v>1305</v>
      </c>
      <c r="K510" s="9" t="s">
        <v>1306</v>
      </c>
      <c r="L510" s="83">
        <v>45200</v>
      </c>
      <c r="M510" s="83">
        <v>45230</v>
      </c>
    </row>
    <row r="511" spans="1:13" ht="18.75" customHeight="1" x14ac:dyDescent="0.25">
      <c r="A511" s="9" t="s">
        <v>1578</v>
      </c>
      <c r="B511" s="81">
        <v>114954</v>
      </c>
      <c r="C511" s="81">
        <v>10763</v>
      </c>
      <c r="D511" s="9" t="s">
        <v>1125</v>
      </c>
      <c r="E511" s="81">
        <v>14563151</v>
      </c>
      <c r="F511" s="81">
        <v>37685</v>
      </c>
      <c r="G511" s="81">
        <v>25</v>
      </c>
      <c r="H511" s="82">
        <v>26.3</v>
      </c>
      <c r="I511" s="251">
        <v>657.5</v>
      </c>
      <c r="J511" s="9" t="s">
        <v>1305</v>
      </c>
      <c r="K511" s="9" t="s">
        <v>1306</v>
      </c>
      <c r="L511" s="83">
        <v>45200</v>
      </c>
      <c r="M511" s="83">
        <v>45230</v>
      </c>
    </row>
    <row r="512" spans="1:13" ht="18.75" customHeight="1" x14ac:dyDescent="0.25">
      <c r="A512" s="9" t="s">
        <v>1578</v>
      </c>
      <c r="B512" s="81">
        <v>112904</v>
      </c>
      <c r="C512" s="81">
        <v>10762</v>
      </c>
      <c r="D512" s="9" t="s">
        <v>488</v>
      </c>
      <c r="E512" s="81">
        <v>14563151</v>
      </c>
      <c r="F512" s="81">
        <v>30243</v>
      </c>
      <c r="G512" s="81">
        <v>25</v>
      </c>
      <c r="H512" s="82">
        <v>26.3</v>
      </c>
      <c r="I512" s="251">
        <v>657.5</v>
      </c>
      <c r="J512" s="9" t="s">
        <v>1305</v>
      </c>
      <c r="K512" s="9" t="s">
        <v>1306</v>
      </c>
      <c r="L512" s="83">
        <v>45200</v>
      </c>
      <c r="M512" s="83">
        <v>45230</v>
      </c>
    </row>
    <row r="513" spans="1:13" ht="18.75" customHeight="1" x14ac:dyDescent="0.25">
      <c r="A513" s="9" t="s">
        <v>0</v>
      </c>
      <c r="B513" s="81">
        <v>112912</v>
      </c>
      <c r="C513" s="81">
        <v>10750</v>
      </c>
      <c r="D513" s="9" t="s">
        <v>1340</v>
      </c>
      <c r="E513" s="81">
        <v>14563151</v>
      </c>
      <c r="F513" s="81">
        <v>30259</v>
      </c>
      <c r="G513" s="81">
        <v>25</v>
      </c>
      <c r="H513" s="82">
        <v>26.3</v>
      </c>
      <c r="I513" s="251">
        <v>657.5</v>
      </c>
      <c r="J513" s="9" t="s">
        <v>1305</v>
      </c>
      <c r="K513" s="9" t="s">
        <v>1306</v>
      </c>
      <c r="L513" s="83">
        <v>45200</v>
      </c>
      <c r="M513" s="83">
        <v>45230</v>
      </c>
    </row>
    <row r="514" spans="1:13" ht="18.75" customHeight="1" x14ac:dyDescent="0.25">
      <c r="A514" s="9" t="s">
        <v>0</v>
      </c>
      <c r="B514" s="81">
        <v>112974</v>
      </c>
      <c r="C514" s="81">
        <v>10750</v>
      </c>
      <c r="D514" s="9" t="s">
        <v>526</v>
      </c>
      <c r="E514" s="81">
        <v>14563151</v>
      </c>
      <c r="F514" s="81">
        <v>30383</v>
      </c>
      <c r="G514" s="81">
        <v>25</v>
      </c>
      <c r="H514" s="82">
        <v>26.3</v>
      </c>
      <c r="I514" s="251">
        <v>657.5</v>
      </c>
      <c r="J514" s="9" t="s">
        <v>1305</v>
      </c>
      <c r="K514" s="9" t="s">
        <v>1306</v>
      </c>
      <c r="L514" s="83">
        <v>45200</v>
      </c>
      <c r="M514" s="83">
        <v>45230</v>
      </c>
    </row>
    <row r="515" spans="1:13" ht="18.75" customHeight="1" x14ac:dyDescent="0.25">
      <c r="A515" s="9" t="s">
        <v>0</v>
      </c>
      <c r="B515" s="81">
        <v>112978</v>
      </c>
      <c r="C515" s="81">
        <v>10750</v>
      </c>
      <c r="D515" s="9" t="s">
        <v>1341</v>
      </c>
      <c r="E515" s="81">
        <v>14563151</v>
      </c>
      <c r="F515" s="81">
        <v>30391</v>
      </c>
      <c r="G515" s="81">
        <v>25</v>
      </c>
      <c r="H515" s="82">
        <v>26.3</v>
      </c>
      <c r="I515" s="251">
        <v>657.5</v>
      </c>
      <c r="J515" s="9" t="s">
        <v>1305</v>
      </c>
      <c r="K515" s="9" t="s">
        <v>1306</v>
      </c>
      <c r="L515" s="83">
        <v>45200</v>
      </c>
      <c r="M515" s="83">
        <v>45230</v>
      </c>
    </row>
    <row r="516" spans="1:13" ht="18.75" customHeight="1" x14ac:dyDescent="0.25">
      <c r="A516" s="9" t="s">
        <v>1578</v>
      </c>
      <c r="B516" s="81">
        <v>119632</v>
      </c>
      <c r="C516" s="81">
        <v>10757</v>
      </c>
      <c r="D516" s="9" t="s">
        <v>1463</v>
      </c>
      <c r="E516" s="81">
        <v>14563151</v>
      </c>
      <c r="F516" s="81">
        <v>49573</v>
      </c>
      <c r="G516" s="81">
        <v>25</v>
      </c>
      <c r="H516" s="82">
        <v>26.3</v>
      </c>
      <c r="I516" s="251">
        <v>657.5</v>
      </c>
      <c r="J516" s="9" t="s">
        <v>1305</v>
      </c>
      <c r="K516" s="9" t="s">
        <v>1306</v>
      </c>
      <c r="L516" s="83">
        <v>45200</v>
      </c>
      <c r="M516" s="83">
        <v>45230</v>
      </c>
    </row>
    <row r="517" spans="1:13" ht="18.75" customHeight="1" x14ac:dyDescent="0.25">
      <c r="A517" s="9" t="s">
        <v>1578</v>
      </c>
      <c r="B517" s="81">
        <v>114770</v>
      </c>
      <c r="C517" s="81">
        <v>10768</v>
      </c>
      <c r="D517" s="9" t="s">
        <v>1342</v>
      </c>
      <c r="E517" s="81">
        <v>14563151</v>
      </c>
      <c r="F517" s="81">
        <v>36989</v>
      </c>
      <c r="G517" s="81">
        <v>25</v>
      </c>
      <c r="H517" s="82">
        <v>26.3</v>
      </c>
      <c r="I517" s="251">
        <v>657.5</v>
      </c>
      <c r="J517" s="9" t="s">
        <v>1305</v>
      </c>
      <c r="K517" s="9" t="s">
        <v>1306</v>
      </c>
      <c r="L517" s="83">
        <v>45200</v>
      </c>
      <c r="M517" s="83">
        <v>45230</v>
      </c>
    </row>
    <row r="518" spans="1:13" ht="18.75" customHeight="1" x14ac:dyDescent="0.25">
      <c r="A518" s="9" t="s">
        <v>1578</v>
      </c>
      <c r="B518" s="81">
        <v>113029</v>
      </c>
      <c r="C518" s="81">
        <v>10761</v>
      </c>
      <c r="D518" s="9" t="s">
        <v>549</v>
      </c>
      <c r="E518" s="81">
        <v>14563151</v>
      </c>
      <c r="F518" s="81">
        <v>30493</v>
      </c>
      <c r="G518" s="81">
        <v>25</v>
      </c>
      <c r="H518" s="82">
        <v>26.3</v>
      </c>
      <c r="I518" s="251">
        <v>657.5</v>
      </c>
      <c r="J518" s="9" t="s">
        <v>1305</v>
      </c>
      <c r="K518" s="9" t="s">
        <v>1306</v>
      </c>
      <c r="L518" s="83">
        <v>45200</v>
      </c>
      <c r="M518" s="83">
        <v>45230</v>
      </c>
    </row>
    <row r="519" spans="1:13" ht="18.75" customHeight="1" x14ac:dyDescent="0.25">
      <c r="A519" s="9" t="s">
        <v>1578</v>
      </c>
      <c r="B519" s="81">
        <v>113035</v>
      </c>
      <c r="C519" s="81">
        <v>10761</v>
      </c>
      <c r="D519" s="9" t="s">
        <v>1343</v>
      </c>
      <c r="E519" s="81">
        <v>14563151</v>
      </c>
      <c r="F519" s="81">
        <v>30505</v>
      </c>
      <c r="G519" s="81">
        <v>25</v>
      </c>
      <c r="H519" s="82">
        <v>26.3</v>
      </c>
      <c r="I519" s="251">
        <v>657.5</v>
      </c>
      <c r="J519" s="9" t="s">
        <v>1305</v>
      </c>
      <c r="K519" s="9" t="s">
        <v>1306</v>
      </c>
      <c r="L519" s="83">
        <v>45200</v>
      </c>
      <c r="M519" s="83">
        <v>45230</v>
      </c>
    </row>
    <row r="520" spans="1:13" ht="18.75" customHeight="1" x14ac:dyDescent="0.25">
      <c r="A520" s="9" t="s">
        <v>19</v>
      </c>
      <c r="B520" s="81">
        <v>120172</v>
      </c>
      <c r="C520" s="81">
        <v>10766</v>
      </c>
      <c r="D520" s="9" t="s">
        <v>1500</v>
      </c>
      <c r="E520" s="81">
        <v>14563151</v>
      </c>
      <c r="F520" s="81">
        <v>50891</v>
      </c>
      <c r="G520" s="81">
        <v>25</v>
      </c>
      <c r="H520" s="82">
        <v>26.3</v>
      </c>
      <c r="I520" s="251">
        <v>657.5</v>
      </c>
      <c r="J520" s="9" t="s">
        <v>1305</v>
      </c>
      <c r="K520" s="9" t="s">
        <v>1306</v>
      </c>
      <c r="L520" s="83">
        <v>45200</v>
      </c>
      <c r="M520" s="83">
        <v>45230</v>
      </c>
    </row>
    <row r="521" spans="1:13" ht="18.75" customHeight="1" x14ac:dyDescent="0.25">
      <c r="A521" s="9" t="s">
        <v>1578</v>
      </c>
      <c r="B521" s="81">
        <v>113064</v>
      </c>
      <c r="C521" s="81">
        <v>10761</v>
      </c>
      <c r="D521" s="9" t="s">
        <v>1344</v>
      </c>
      <c r="E521" s="81">
        <v>14563151</v>
      </c>
      <c r="F521" s="81">
        <v>30563</v>
      </c>
      <c r="G521" s="81">
        <v>25</v>
      </c>
      <c r="H521" s="82">
        <v>26.3</v>
      </c>
      <c r="I521" s="251">
        <v>657.5</v>
      </c>
      <c r="J521" s="9" t="s">
        <v>1305</v>
      </c>
      <c r="K521" s="9" t="s">
        <v>1306</v>
      </c>
      <c r="L521" s="83">
        <v>45200</v>
      </c>
      <c r="M521" s="83">
        <v>45230</v>
      </c>
    </row>
    <row r="522" spans="1:13" ht="18.75" customHeight="1" x14ac:dyDescent="0.25">
      <c r="A522" s="9" t="s">
        <v>0</v>
      </c>
      <c r="B522" s="81">
        <v>113071</v>
      </c>
      <c r="C522" s="81">
        <v>10771</v>
      </c>
      <c r="D522" s="9" t="s">
        <v>568</v>
      </c>
      <c r="E522" s="81">
        <v>14563151</v>
      </c>
      <c r="F522" s="81">
        <v>30577</v>
      </c>
      <c r="G522" s="81">
        <v>25</v>
      </c>
      <c r="H522" s="82">
        <v>26.3</v>
      </c>
      <c r="I522" s="251">
        <v>657.5</v>
      </c>
      <c r="J522" s="9" t="s">
        <v>1305</v>
      </c>
      <c r="K522" s="9" t="s">
        <v>1306</v>
      </c>
      <c r="L522" s="83">
        <v>45200</v>
      </c>
      <c r="M522" s="83">
        <v>45230</v>
      </c>
    </row>
    <row r="523" spans="1:13" ht="18.75" customHeight="1" x14ac:dyDescent="0.25">
      <c r="A523" s="9" t="s">
        <v>0</v>
      </c>
      <c r="B523" s="81">
        <v>113075</v>
      </c>
      <c r="C523" s="81">
        <v>10750</v>
      </c>
      <c r="D523" s="9" t="s">
        <v>572</v>
      </c>
      <c r="E523" s="81">
        <v>14563151</v>
      </c>
      <c r="F523" s="81">
        <v>30585</v>
      </c>
      <c r="G523" s="81">
        <v>25</v>
      </c>
      <c r="H523" s="82">
        <v>26.3</v>
      </c>
      <c r="I523" s="251">
        <v>657.5</v>
      </c>
      <c r="J523" s="9" t="s">
        <v>1305</v>
      </c>
      <c r="K523" s="9" t="s">
        <v>1306</v>
      </c>
      <c r="L523" s="83">
        <v>45200</v>
      </c>
      <c r="M523" s="83">
        <v>45230</v>
      </c>
    </row>
    <row r="524" spans="1:13" ht="18.75" customHeight="1" x14ac:dyDescent="0.25">
      <c r="A524" s="9" t="s">
        <v>8</v>
      </c>
      <c r="B524" s="81">
        <v>117407</v>
      </c>
      <c r="C524" s="81">
        <v>10750</v>
      </c>
      <c r="D524" s="9" t="s">
        <v>1269</v>
      </c>
      <c r="E524" s="81">
        <v>14563151</v>
      </c>
      <c r="F524" s="81">
        <v>44517</v>
      </c>
      <c r="G524" s="81">
        <v>25</v>
      </c>
      <c r="H524" s="82">
        <v>26.3</v>
      </c>
      <c r="I524" s="251">
        <v>657.5</v>
      </c>
      <c r="J524" s="9" t="s">
        <v>1305</v>
      </c>
      <c r="K524" s="9" t="s">
        <v>1306</v>
      </c>
      <c r="L524" s="83">
        <v>45200</v>
      </c>
      <c r="M524" s="83">
        <v>45230</v>
      </c>
    </row>
    <row r="525" spans="1:13" ht="18.75" customHeight="1" x14ac:dyDescent="0.25">
      <c r="A525" s="9" t="s">
        <v>8</v>
      </c>
      <c r="B525" s="81">
        <v>113079</v>
      </c>
      <c r="C525" s="81">
        <v>10757</v>
      </c>
      <c r="D525" s="9" t="s">
        <v>574</v>
      </c>
      <c r="E525" s="81">
        <v>14563151</v>
      </c>
      <c r="F525" s="81">
        <v>30593</v>
      </c>
      <c r="G525" s="81">
        <v>25</v>
      </c>
      <c r="H525" s="82">
        <v>26.3</v>
      </c>
      <c r="I525" s="251">
        <v>657.5</v>
      </c>
      <c r="J525" s="9" t="s">
        <v>1305</v>
      </c>
      <c r="K525" s="9" t="s">
        <v>1306</v>
      </c>
      <c r="L525" s="83">
        <v>45200</v>
      </c>
      <c r="M525" s="83">
        <v>45230</v>
      </c>
    </row>
    <row r="526" spans="1:13" ht="18.75" customHeight="1" x14ac:dyDescent="0.25">
      <c r="A526" s="9" t="s">
        <v>0</v>
      </c>
      <c r="B526" s="81">
        <v>116323</v>
      </c>
      <c r="C526" s="81">
        <v>10758</v>
      </c>
      <c r="D526" s="9" t="s">
        <v>1204</v>
      </c>
      <c r="E526" s="81">
        <v>14563151</v>
      </c>
      <c r="F526" s="81">
        <v>41859</v>
      </c>
      <c r="G526" s="81">
        <v>25</v>
      </c>
      <c r="H526" s="82">
        <v>26.3</v>
      </c>
      <c r="I526" s="251">
        <v>657.5</v>
      </c>
      <c r="J526" s="9" t="s">
        <v>1305</v>
      </c>
      <c r="K526" s="9" t="s">
        <v>1306</v>
      </c>
      <c r="L526" s="83">
        <v>45200</v>
      </c>
      <c r="M526" s="83">
        <v>45230</v>
      </c>
    </row>
    <row r="527" spans="1:13" ht="18.75" customHeight="1" x14ac:dyDescent="0.25">
      <c r="A527" s="9" t="s">
        <v>0</v>
      </c>
      <c r="B527" s="81">
        <v>116003</v>
      </c>
      <c r="C527" s="81">
        <v>10763</v>
      </c>
      <c r="D527" s="9" t="s">
        <v>1167</v>
      </c>
      <c r="E527" s="81">
        <v>14563151</v>
      </c>
      <c r="F527" s="81">
        <v>40862</v>
      </c>
      <c r="G527" s="81">
        <v>25</v>
      </c>
      <c r="H527" s="82">
        <v>26.3</v>
      </c>
      <c r="I527" s="251">
        <v>657.5</v>
      </c>
      <c r="J527" s="9" t="s">
        <v>1305</v>
      </c>
      <c r="K527" s="9" t="s">
        <v>1306</v>
      </c>
      <c r="L527" s="83">
        <v>45200</v>
      </c>
      <c r="M527" s="83">
        <v>45230</v>
      </c>
    </row>
    <row r="528" spans="1:13" ht="18.75" customHeight="1" x14ac:dyDescent="0.25">
      <c r="A528" s="9" t="s">
        <v>0</v>
      </c>
      <c r="B528" s="81">
        <v>119679</v>
      </c>
      <c r="C528" s="81">
        <v>10758</v>
      </c>
      <c r="D528" s="9" t="s">
        <v>1464</v>
      </c>
      <c r="E528" s="81">
        <v>14563151</v>
      </c>
      <c r="F528" s="81">
        <v>49688</v>
      </c>
      <c r="G528" s="81">
        <v>25</v>
      </c>
      <c r="H528" s="82">
        <v>26.3</v>
      </c>
      <c r="I528" s="251">
        <v>657.5</v>
      </c>
      <c r="J528" s="9" t="s">
        <v>1305</v>
      </c>
      <c r="K528" s="9" t="s">
        <v>1306</v>
      </c>
      <c r="L528" s="83">
        <v>45200</v>
      </c>
      <c r="M528" s="83">
        <v>45230</v>
      </c>
    </row>
    <row r="529" spans="1:13" ht="18.75" customHeight="1" x14ac:dyDescent="0.25">
      <c r="A529" s="9" t="s">
        <v>0</v>
      </c>
      <c r="B529" s="81">
        <v>113111</v>
      </c>
      <c r="C529" s="81">
        <v>10757</v>
      </c>
      <c r="D529" s="9" t="s">
        <v>590</v>
      </c>
      <c r="E529" s="81">
        <v>14563151</v>
      </c>
      <c r="F529" s="81">
        <v>30657</v>
      </c>
      <c r="G529" s="81">
        <v>25</v>
      </c>
      <c r="H529" s="82">
        <v>26.3</v>
      </c>
      <c r="I529" s="251">
        <v>657.5</v>
      </c>
      <c r="J529" s="9" t="s">
        <v>1305</v>
      </c>
      <c r="K529" s="9" t="s">
        <v>1306</v>
      </c>
      <c r="L529" s="83">
        <v>45200</v>
      </c>
      <c r="M529" s="83">
        <v>45230</v>
      </c>
    </row>
    <row r="530" spans="1:13" ht="18.75" customHeight="1" x14ac:dyDescent="0.25">
      <c r="A530" s="9" t="s">
        <v>19</v>
      </c>
      <c r="B530" s="81">
        <v>117412</v>
      </c>
      <c r="C530" s="81">
        <v>10751</v>
      </c>
      <c r="D530" s="9" t="s">
        <v>1273</v>
      </c>
      <c r="E530" s="81">
        <v>14563151</v>
      </c>
      <c r="F530" s="81">
        <v>44525</v>
      </c>
      <c r="G530" s="81">
        <v>25</v>
      </c>
      <c r="H530" s="82">
        <v>26.3</v>
      </c>
      <c r="I530" s="251">
        <v>657.5</v>
      </c>
      <c r="J530" s="9" t="s">
        <v>1305</v>
      </c>
      <c r="K530" s="9" t="s">
        <v>1306</v>
      </c>
      <c r="L530" s="83">
        <v>45200</v>
      </c>
      <c r="M530" s="83">
        <v>45230</v>
      </c>
    </row>
    <row r="531" spans="1:13" ht="18.75" customHeight="1" x14ac:dyDescent="0.25">
      <c r="A531" s="9" t="s">
        <v>0</v>
      </c>
      <c r="B531" s="81">
        <v>114269</v>
      </c>
      <c r="C531" s="81">
        <v>10758</v>
      </c>
      <c r="D531" s="9" t="s">
        <v>1510</v>
      </c>
      <c r="E531" s="81">
        <v>14563151</v>
      </c>
      <c r="F531" s="81">
        <v>35818</v>
      </c>
      <c r="G531" s="81">
        <v>25</v>
      </c>
      <c r="H531" s="82">
        <v>26.3</v>
      </c>
      <c r="I531" s="251">
        <v>657.5</v>
      </c>
      <c r="J531" s="9" t="s">
        <v>1305</v>
      </c>
      <c r="K531" s="9" t="s">
        <v>1306</v>
      </c>
      <c r="L531" s="83">
        <v>45200</v>
      </c>
      <c r="M531" s="83">
        <v>45230</v>
      </c>
    </row>
    <row r="532" spans="1:13" ht="18.75" customHeight="1" x14ac:dyDescent="0.25">
      <c r="A532" s="9" t="s">
        <v>1578</v>
      </c>
      <c r="B532" s="81">
        <v>113121</v>
      </c>
      <c r="C532" s="81">
        <v>10757</v>
      </c>
      <c r="D532" s="9" t="s">
        <v>1285</v>
      </c>
      <c r="E532" s="81">
        <v>14563151</v>
      </c>
      <c r="F532" s="81">
        <v>30677</v>
      </c>
      <c r="G532" s="81">
        <v>25</v>
      </c>
      <c r="H532" s="82">
        <v>26.3</v>
      </c>
      <c r="I532" s="251">
        <v>657.5</v>
      </c>
      <c r="J532" s="9" t="s">
        <v>1305</v>
      </c>
      <c r="K532" s="9" t="s">
        <v>1306</v>
      </c>
      <c r="L532" s="83">
        <v>45200</v>
      </c>
      <c r="M532" s="83">
        <v>45230</v>
      </c>
    </row>
    <row r="533" spans="1:13" ht="18.75" customHeight="1" x14ac:dyDescent="0.25">
      <c r="A533" s="9" t="s">
        <v>19</v>
      </c>
      <c r="B533" s="81">
        <v>113131</v>
      </c>
      <c r="C533" s="81">
        <v>10750</v>
      </c>
      <c r="D533" s="9" t="s">
        <v>600</v>
      </c>
      <c r="E533" s="81">
        <v>14563151</v>
      </c>
      <c r="F533" s="81">
        <v>30697</v>
      </c>
      <c r="G533" s="81">
        <v>25</v>
      </c>
      <c r="H533" s="82">
        <v>26.3</v>
      </c>
      <c r="I533" s="251">
        <v>657.5</v>
      </c>
      <c r="J533" s="9" t="s">
        <v>1305</v>
      </c>
      <c r="K533" s="9" t="s">
        <v>1306</v>
      </c>
      <c r="L533" s="83">
        <v>45200</v>
      </c>
      <c r="M533" s="83">
        <v>45230</v>
      </c>
    </row>
    <row r="534" spans="1:13" ht="18.75" customHeight="1" x14ac:dyDescent="0.25">
      <c r="A534" s="9" t="s">
        <v>1578</v>
      </c>
      <c r="B534" s="81">
        <v>113136</v>
      </c>
      <c r="C534" s="81">
        <v>10759</v>
      </c>
      <c r="D534" s="9" t="s">
        <v>604</v>
      </c>
      <c r="E534" s="81">
        <v>14563151</v>
      </c>
      <c r="F534" s="81">
        <v>30707</v>
      </c>
      <c r="G534" s="81">
        <v>25</v>
      </c>
      <c r="H534" s="82">
        <v>26.3</v>
      </c>
      <c r="I534" s="251">
        <v>657.5</v>
      </c>
      <c r="J534" s="9" t="s">
        <v>1305</v>
      </c>
      <c r="K534" s="9" t="s">
        <v>1306</v>
      </c>
      <c r="L534" s="83">
        <v>45200</v>
      </c>
      <c r="M534" s="83">
        <v>45230</v>
      </c>
    </row>
    <row r="535" spans="1:13" ht="18.75" customHeight="1" x14ac:dyDescent="0.25">
      <c r="A535" s="9" t="s">
        <v>1578</v>
      </c>
      <c r="B535" s="81">
        <v>113150</v>
      </c>
      <c r="C535" s="81">
        <v>10768</v>
      </c>
      <c r="D535" s="9" t="s">
        <v>612</v>
      </c>
      <c r="E535" s="81">
        <v>14563151</v>
      </c>
      <c r="F535" s="81">
        <v>30735</v>
      </c>
      <c r="G535" s="81">
        <v>25</v>
      </c>
      <c r="H535" s="82">
        <v>26.3</v>
      </c>
      <c r="I535" s="251">
        <v>657.5</v>
      </c>
      <c r="J535" s="9" t="s">
        <v>1305</v>
      </c>
      <c r="K535" s="9" t="s">
        <v>1306</v>
      </c>
      <c r="L535" s="83">
        <v>45200</v>
      </c>
      <c r="M535" s="83">
        <v>45230</v>
      </c>
    </row>
    <row r="536" spans="1:13" ht="18.75" customHeight="1" x14ac:dyDescent="0.25">
      <c r="A536" s="9" t="s">
        <v>10</v>
      </c>
      <c r="B536" s="81">
        <v>113153</v>
      </c>
      <c r="C536" s="81">
        <v>10766</v>
      </c>
      <c r="D536" s="9" t="s">
        <v>614</v>
      </c>
      <c r="E536" s="81">
        <v>14563151</v>
      </c>
      <c r="F536" s="81">
        <v>30741</v>
      </c>
      <c r="G536" s="81">
        <v>25</v>
      </c>
      <c r="H536" s="82">
        <v>26.3</v>
      </c>
      <c r="I536" s="251">
        <v>657.5</v>
      </c>
      <c r="J536" s="9" t="s">
        <v>1305</v>
      </c>
      <c r="K536" s="9" t="s">
        <v>1306</v>
      </c>
      <c r="L536" s="83">
        <v>45200</v>
      </c>
      <c r="M536" s="83">
        <v>45230</v>
      </c>
    </row>
    <row r="537" spans="1:13" ht="18.75" customHeight="1" x14ac:dyDescent="0.25">
      <c r="A537" s="9" t="s">
        <v>0</v>
      </c>
      <c r="B537" s="81">
        <v>113179</v>
      </c>
      <c r="C537" s="81">
        <v>10760</v>
      </c>
      <c r="D537" s="9" t="s">
        <v>630</v>
      </c>
      <c r="E537" s="81">
        <v>14563151</v>
      </c>
      <c r="F537" s="81">
        <v>30793</v>
      </c>
      <c r="G537" s="81">
        <v>25</v>
      </c>
      <c r="H537" s="82">
        <v>26.3</v>
      </c>
      <c r="I537" s="251">
        <v>657.5</v>
      </c>
      <c r="J537" s="9" t="s">
        <v>1305</v>
      </c>
      <c r="K537" s="9" t="s">
        <v>1306</v>
      </c>
      <c r="L537" s="83">
        <v>45200</v>
      </c>
      <c r="M537" s="83">
        <v>45230</v>
      </c>
    </row>
    <row r="538" spans="1:13" ht="18.75" customHeight="1" x14ac:dyDescent="0.25">
      <c r="A538" s="9" t="s">
        <v>0</v>
      </c>
      <c r="B538" s="81">
        <v>113181</v>
      </c>
      <c r="C538" s="81">
        <v>10757</v>
      </c>
      <c r="D538" s="9" t="s">
        <v>631</v>
      </c>
      <c r="E538" s="81">
        <v>14563151</v>
      </c>
      <c r="F538" s="81">
        <v>30797</v>
      </c>
      <c r="G538" s="81">
        <v>25</v>
      </c>
      <c r="H538" s="82">
        <v>26.3</v>
      </c>
      <c r="I538" s="251">
        <v>657.5</v>
      </c>
      <c r="J538" s="9" t="s">
        <v>1305</v>
      </c>
      <c r="K538" s="9" t="s">
        <v>1306</v>
      </c>
      <c r="L538" s="83">
        <v>45200</v>
      </c>
      <c r="M538" s="83">
        <v>45230</v>
      </c>
    </row>
    <row r="539" spans="1:13" ht="18.75" customHeight="1" x14ac:dyDescent="0.25">
      <c r="A539" s="9" t="s">
        <v>8</v>
      </c>
      <c r="B539" s="81">
        <v>116235</v>
      </c>
      <c r="C539" s="81">
        <v>10750</v>
      </c>
      <c r="D539" s="9" t="s">
        <v>1195</v>
      </c>
      <c r="E539" s="81">
        <v>14563151</v>
      </c>
      <c r="F539" s="81">
        <v>41578</v>
      </c>
      <c r="G539" s="81">
        <v>25</v>
      </c>
      <c r="H539" s="82">
        <v>26.3</v>
      </c>
      <c r="I539" s="251">
        <v>657.5</v>
      </c>
      <c r="J539" s="9" t="s">
        <v>1305</v>
      </c>
      <c r="K539" s="9" t="s">
        <v>1306</v>
      </c>
      <c r="L539" s="83">
        <v>45200</v>
      </c>
      <c r="M539" s="83">
        <v>45230</v>
      </c>
    </row>
    <row r="540" spans="1:13" ht="18.75" customHeight="1" x14ac:dyDescent="0.25">
      <c r="A540" s="9" t="s">
        <v>8</v>
      </c>
      <c r="B540" s="81">
        <v>113194</v>
      </c>
      <c r="C540" s="81">
        <v>10750</v>
      </c>
      <c r="D540" s="9" t="s">
        <v>1345</v>
      </c>
      <c r="E540" s="81">
        <v>14563151</v>
      </c>
      <c r="F540" s="81">
        <v>30823</v>
      </c>
      <c r="G540" s="81">
        <v>25</v>
      </c>
      <c r="H540" s="82">
        <v>26.3</v>
      </c>
      <c r="I540" s="251">
        <v>657.5</v>
      </c>
      <c r="J540" s="9" t="s">
        <v>1305</v>
      </c>
      <c r="K540" s="9" t="s">
        <v>1306</v>
      </c>
      <c r="L540" s="83">
        <v>45200</v>
      </c>
      <c r="M540" s="83">
        <v>45230</v>
      </c>
    </row>
    <row r="541" spans="1:13" ht="18.75" customHeight="1" x14ac:dyDescent="0.25">
      <c r="A541" s="9" t="s">
        <v>8</v>
      </c>
      <c r="B541" s="81">
        <v>113199</v>
      </c>
      <c r="C541" s="81">
        <v>10750</v>
      </c>
      <c r="D541" s="9" t="s">
        <v>640</v>
      </c>
      <c r="E541" s="81">
        <v>14563151</v>
      </c>
      <c r="F541" s="81">
        <v>30833</v>
      </c>
      <c r="G541" s="81">
        <v>25</v>
      </c>
      <c r="H541" s="82">
        <v>26.3</v>
      </c>
      <c r="I541" s="251">
        <v>657.5</v>
      </c>
      <c r="J541" s="9" t="s">
        <v>1305</v>
      </c>
      <c r="K541" s="9" t="s">
        <v>1306</v>
      </c>
      <c r="L541" s="83">
        <v>45200</v>
      </c>
      <c r="M541" s="83">
        <v>45230</v>
      </c>
    </row>
    <row r="542" spans="1:13" ht="18.75" customHeight="1" x14ac:dyDescent="0.25">
      <c r="A542" s="9" t="s">
        <v>32</v>
      </c>
      <c r="B542" s="81">
        <v>113202</v>
      </c>
      <c r="C542" s="81">
        <v>10755</v>
      </c>
      <c r="D542" s="9" t="s">
        <v>642</v>
      </c>
      <c r="E542" s="81">
        <v>14563151</v>
      </c>
      <c r="F542" s="81">
        <v>30839</v>
      </c>
      <c r="G542" s="81">
        <v>25</v>
      </c>
      <c r="H542" s="82">
        <v>26.3</v>
      </c>
      <c r="I542" s="251">
        <v>657.5</v>
      </c>
      <c r="J542" s="9" t="s">
        <v>1305</v>
      </c>
      <c r="K542" s="9" t="s">
        <v>1306</v>
      </c>
      <c r="L542" s="83">
        <v>45200</v>
      </c>
      <c r="M542" s="83">
        <v>45230</v>
      </c>
    </row>
    <row r="543" spans="1:13" ht="18.75" customHeight="1" x14ac:dyDescent="0.25">
      <c r="A543" s="9" t="s">
        <v>10</v>
      </c>
      <c r="B543" s="81">
        <v>113206</v>
      </c>
      <c r="C543" s="81">
        <v>10750</v>
      </c>
      <c r="D543" s="9" t="s">
        <v>647</v>
      </c>
      <c r="E543" s="81">
        <v>14563151</v>
      </c>
      <c r="F543" s="81">
        <v>30847</v>
      </c>
      <c r="G543" s="81">
        <v>25</v>
      </c>
      <c r="H543" s="82">
        <v>26.3</v>
      </c>
      <c r="I543" s="251">
        <v>657.5</v>
      </c>
      <c r="J543" s="9" t="s">
        <v>1305</v>
      </c>
      <c r="K543" s="9" t="s">
        <v>1306</v>
      </c>
      <c r="L543" s="83">
        <v>45200</v>
      </c>
      <c r="M543" s="83">
        <v>45230</v>
      </c>
    </row>
    <row r="544" spans="1:13" ht="18.75" customHeight="1" x14ac:dyDescent="0.25">
      <c r="A544" s="9" t="s">
        <v>0</v>
      </c>
      <c r="B544" s="81">
        <v>113209</v>
      </c>
      <c r="C544" s="81">
        <v>10750</v>
      </c>
      <c r="D544" s="9" t="s">
        <v>649</v>
      </c>
      <c r="E544" s="81">
        <v>14563151</v>
      </c>
      <c r="F544" s="81">
        <v>30853</v>
      </c>
      <c r="G544" s="81">
        <v>25</v>
      </c>
      <c r="H544" s="82">
        <v>26.3</v>
      </c>
      <c r="I544" s="251">
        <v>657.5</v>
      </c>
      <c r="J544" s="9" t="s">
        <v>1305</v>
      </c>
      <c r="K544" s="9" t="s">
        <v>1306</v>
      </c>
      <c r="L544" s="83">
        <v>45200</v>
      </c>
      <c r="M544" s="83">
        <v>45230</v>
      </c>
    </row>
    <row r="545" spans="1:13" ht="18.75" customHeight="1" x14ac:dyDescent="0.25">
      <c r="A545" s="9" t="s">
        <v>1578</v>
      </c>
      <c r="B545" s="81">
        <v>116804</v>
      </c>
      <c r="C545" s="81">
        <v>10771</v>
      </c>
      <c r="D545" s="9" t="s">
        <v>1224</v>
      </c>
      <c r="E545" s="81">
        <v>14563151</v>
      </c>
      <c r="F545" s="81">
        <v>43072</v>
      </c>
      <c r="G545" s="81">
        <v>25</v>
      </c>
      <c r="H545" s="82">
        <v>26.3</v>
      </c>
      <c r="I545" s="251">
        <v>657.5</v>
      </c>
      <c r="J545" s="9" t="s">
        <v>1305</v>
      </c>
      <c r="K545" s="9" t="s">
        <v>1309</v>
      </c>
      <c r="L545" s="83">
        <v>45200</v>
      </c>
      <c r="M545" s="83">
        <v>45230</v>
      </c>
    </row>
    <row r="546" spans="1:13" ht="18.75" customHeight="1" x14ac:dyDescent="0.25">
      <c r="A546" s="9" t="s">
        <v>0</v>
      </c>
      <c r="B546" s="81">
        <v>113225</v>
      </c>
      <c r="C546" s="81">
        <v>10750</v>
      </c>
      <c r="D546" s="9" t="s">
        <v>656</v>
      </c>
      <c r="E546" s="81">
        <v>14563151</v>
      </c>
      <c r="F546" s="81">
        <v>30885</v>
      </c>
      <c r="G546" s="81">
        <v>25</v>
      </c>
      <c r="H546" s="82">
        <v>26.3</v>
      </c>
      <c r="I546" s="251">
        <v>657.5</v>
      </c>
      <c r="J546" s="9" t="s">
        <v>1305</v>
      </c>
      <c r="K546" s="9" t="s">
        <v>1306</v>
      </c>
      <c r="L546" s="83">
        <v>45200</v>
      </c>
      <c r="M546" s="83">
        <v>45230</v>
      </c>
    </row>
    <row r="547" spans="1:13" ht="18.75" customHeight="1" x14ac:dyDescent="0.25">
      <c r="A547" s="9" t="s">
        <v>1578</v>
      </c>
      <c r="B547" s="81">
        <v>113228</v>
      </c>
      <c r="C547" s="81">
        <v>10767</v>
      </c>
      <c r="D547" s="9" t="s">
        <v>659</v>
      </c>
      <c r="E547" s="81">
        <v>14563151</v>
      </c>
      <c r="F547" s="81">
        <v>30891</v>
      </c>
      <c r="G547" s="81">
        <v>25</v>
      </c>
      <c r="H547" s="82">
        <v>26.3</v>
      </c>
      <c r="I547" s="251">
        <v>657.5</v>
      </c>
      <c r="J547" s="9" t="s">
        <v>1305</v>
      </c>
      <c r="K547" s="9" t="s">
        <v>1306</v>
      </c>
      <c r="L547" s="83">
        <v>45200</v>
      </c>
      <c r="M547" s="83">
        <v>45230</v>
      </c>
    </row>
    <row r="548" spans="1:13" ht="18.75" customHeight="1" x14ac:dyDescent="0.25">
      <c r="A548" s="9" t="s">
        <v>0</v>
      </c>
      <c r="B548" s="81">
        <v>113233</v>
      </c>
      <c r="C548" s="81">
        <v>10758</v>
      </c>
      <c r="D548" s="9" t="s">
        <v>661</v>
      </c>
      <c r="E548" s="81">
        <v>14563151</v>
      </c>
      <c r="F548" s="81">
        <v>30901</v>
      </c>
      <c r="G548" s="81">
        <v>25</v>
      </c>
      <c r="H548" s="82">
        <v>26.3</v>
      </c>
      <c r="I548" s="251">
        <v>657.5</v>
      </c>
      <c r="J548" s="9" t="s">
        <v>1305</v>
      </c>
      <c r="K548" s="9" t="s">
        <v>1306</v>
      </c>
      <c r="L548" s="83">
        <v>45200</v>
      </c>
      <c r="M548" s="83">
        <v>45230</v>
      </c>
    </row>
    <row r="549" spans="1:13" ht="18.75" customHeight="1" x14ac:dyDescent="0.25">
      <c r="A549" s="9" t="s">
        <v>1578</v>
      </c>
      <c r="B549" s="81">
        <v>113246</v>
      </c>
      <c r="C549" s="81">
        <v>10745</v>
      </c>
      <c r="D549" s="9" t="s">
        <v>666</v>
      </c>
      <c r="E549" s="81">
        <v>14563151</v>
      </c>
      <c r="F549" s="81">
        <v>30927</v>
      </c>
      <c r="G549" s="81">
        <v>25</v>
      </c>
      <c r="H549" s="82">
        <v>26.3</v>
      </c>
      <c r="I549" s="251">
        <v>657.5</v>
      </c>
      <c r="J549" s="9" t="s">
        <v>1305</v>
      </c>
      <c r="K549" s="9" t="s">
        <v>1306</v>
      </c>
      <c r="L549" s="83">
        <v>45200</v>
      </c>
      <c r="M549" s="83">
        <v>45230</v>
      </c>
    </row>
    <row r="550" spans="1:13" ht="18.75" customHeight="1" x14ac:dyDescent="0.25">
      <c r="A550" s="9" t="s">
        <v>19</v>
      </c>
      <c r="B550" s="81">
        <v>113249</v>
      </c>
      <c r="C550" s="81">
        <v>10751</v>
      </c>
      <c r="D550" s="9" t="s">
        <v>667</v>
      </c>
      <c r="E550" s="81">
        <v>14563151</v>
      </c>
      <c r="F550" s="81">
        <v>30933</v>
      </c>
      <c r="G550" s="81">
        <v>25</v>
      </c>
      <c r="H550" s="82">
        <v>26.3</v>
      </c>
      <c r="I550" s="251">
        <v>657.5</v>
      </c>
      <c r="J550" s="9" t="s">
        <v>1305</v>
      </c>
      <c r="K550" s="9" t="s">
        <v>1306</v>
      </c>
      <c r="L550" s="83">
        <v>45200</v>
      </c>
      <c r="M550" s="83">
        <v>45230</v>
      </c>
    </row>
    <row r="551" spans="1:13" ht="18.75" customHeight="1" x14ac:dyDescent="0.25">
      <c r="A551" s="9" t="s">
        <v>0</v>
      </c>
      <c r="B551" s="81">
        <v>118057</v>
      </c>
      <c r="C551" s="81">
        <v>10757</v>
      </c>
      <c r="D551" s="9" t="s">
        <v>1399</v>
      </c>
      <c r="E551" s="81">
        <v>14563151</v>
      </c>
      <c r="F551" s="81">
        <v>45903</v>
      </c>
      <c r="G551" s="81">
        <v>25</v>
      </c>
      <c r="H551" s="82">
        <v>26.3</v>
      </c>
      <c r="I551" s="251">
        <v>657.5</v>
      </c>
      <c r="J551" s="9" t="s">
        <v>1305</v>
      </c>
      <c r="K551" s="9" t="s">
        <v>1309</v>
      </c>
      <c r="L551" s="83">
        <v>45200</v>
      </c>
      <c r="M551" s="83">
        <v>45230</v>
      </c>
    </row>
    <row r="552" spans="1:13" ht="18.75" customHeight="1" x14ac:dyDescent="0.25">
      <c r="A552" s="9" t="s">
        <v>19</v>
      </c>
      <c r="B552" s="81">
        <v>113260</v>
      </c>
      <c r="C552" s="81">
        <v>10761</v>
      </c>
      <c r="D552" s="9" t="s">
        <v>673</v>
      </c>
      <c r="E552" s="81">
        <v>14563151</v>
      </c>
      <c r="F552" s="81">
        <v>30955</v>
      </c>
      <c r="G552" s="81">
        <v>25</v>
      </c>
      <c r="H552" s="82">
        <v>26.3</v>
      </c>
      <c r="I552" s="251">
        <v>657.5</v>
      </c>
      <c r="J552" s="9" t="s">
        <v>1305</v>
      </c>
      <c r="K552" s="9" t="s">
        <v>1306</v>
      </c>
      <c r="L552" s="83">
        <v>45200</v>
      </c>
      <c r="M552" s="83">
        <v>45230</v>
      </c>
    </row>
    <row r="553" spans="1:13" ht="18.75" customHeight="1" x14ac:dyDescent="0.25">
      <c r="A553" s="9" t="s">
        <v>19</v>
      </c>
      <c r="B553" s="81">
        <v>113264</v>
      </c>
      <c r="C553" s="81">
        <v>10750</v>
      </c>
      <c r="D553" s="9" t="s">
        <v>676</v>
      </c>
      <c r="E553" s="81">
        <v>14563151</v>
      </c>
      <c r="F553" s="81">
        <v>30963</v>
      </c>
      <c r="G553" s="81">
        <v>25</v>
      </c>
      <c r="H553" s="82">
        <v>26.3</v>
      </c>
      <c r="I553" s="251">
        <v>657.5</v>
      </c>
      <c r="J553" s="9" t="s">
        <v>1305</v>
      </c>
      <c r="K553" s="9" t="s">
        <v>1306</v>
      </c>
      <c r="L553" s="83">
        <v>45200</v>
      </c>
      <c r="M553" s="83">
        <v>45230</v>
      </c>
    </row>
    <row r="554" spans="1:13" ht="18.75" customHeight="1" x14ac:dyDescent="0.25">
      <c r="A554" s="9" t="s">
        <v>8</v>
      </c>
      <c r="B554" s="81">
        <v>113268</v>
      </c>
      <c r="C554" s="81">
        <v>10766</v>
      </c>
      <c r="D554" s="9" t="s">
        <v>677</v>
      </c>
      <c r="E554" s="81">
        <v>14563151</v>
      </c>
      <c r="F554" s="81">
        <v>30971</v>
      </c>
      <c r="G554" s="81">
        <v>25</v>
      </c>
      <c r="H554" s="82">
        <v>26.3</v>
      </c>
      <c r="I554" s="251">
        <v>657.5</v>
      </c>
      <c r="J554" s="9" t="s">
        <v>1305</v>
      </c>
      <c r="K554" s="9" t="s">
        <v>1306</v>
      </c>
      <c r="L554" s="83">
        <v>45200</v>
      </c>
      <c r="M554" s="83">
        <v>45230</v>
      </c>
    </row>
    <row r="555" spans="1:13" ht="18.75" customHeight="1" x14ac:dyDescent="0.25">
      <c r="A555" s="9" t="s">
        <v>0</v>
      </c>
      <c r="B555" s="81">
        <v>113272</v>
      </c>
      <c r="C555" s="81">
        <v>10750</v>
      </c>
      <c r="D555" s="9" t="s">
        <v>679</v>
      </c>
      <c r="E555" s="81">
        <v>14563151</v>
      </c>
      <c r="F555" s="81">
        <v>30979</v>
      </c>
      <c r="G555" s="81">
        <v>25</v>
      </c>
      <c r="H555" s="82">
        <v>26.3</v>
      </c>
      <c r="I555" s="251">
        <v>657.5</v>
      </c>
      <c r="J555" s="9" t="s">
        <v>1305</v>
      </c>
      <c r="K555" s="9" t="s">
        <v>1306</v>
      </c>
      <c r="L555" s="83">
        <v>45200</v>
      </c>
      <c r="M555" s="83">
        <v>45230</v>
      </c>
    </row>
    <row r="556" spans="1:13" ht="18.75" customHeight="1" x14ac:dyDescent="0.25">
      <c r="A556" s="9" t="s">
        <v>8</v>
      </c>
      <c r="B556" s="81">
        <v>113274</v>
      </c>
      <c r="C556" s="81">
        <v>10750</v>
      </c>
      <c r="D556" s="9" t="s">
        <v>681</v>
      </c>
      <c r="E556" s="81">
        <v>14563151</v>
      </c>
      <c r="F556" s="81">
        <v>30983</v>
      </c>
      <c r="G556" s="81">
        <v>25</v>
      </c>
      <c r="H556" s="82">
        <v>26.3</v>
      </c>
      <c r="I556" s="251">
        <v>657.5</v>
      </c>
      <c r="J556" s="9" t="s">
        <v>1305</v>
      </c>
      <c r="K556" s="9" t="s">
        <v>1306</v>
      </c>
      <c r="L556" s="83">
        <v>45200</v>
      </c>
      <c r="M556" s="83">
        <v>45230</v>
      </c>
    </row>
    <row r="557" spans="1:13" ht="18.75" customHeight="1" x14ac:dyDescent="0.25">
      <c r="A557" s="9" t="s">
        <v>10</v>
      </c>
      <c r="B557" s="81">
        <v>113278</v>
      </c>
      <c r="C557" s="81">
        <v>10763</v>
      </c>
      <c r="D557" s="9" t="s">
        <v>683</v>
      </c>
      <c r="E557" s="81">
        <v>14563151</v>
      </c>
      <c r="F557" s="81">
        <v>30991</v>
      </c>
      <c r="G557" s="81">
        <v>25</v>
      </c>
      <c r="H557" s="82">
        <v>26.3</v>
      </c>
      <c r="I557" s="251">
        <v>657.5</v>
      </c>
      <c r="J557" s="9" t="s">
        <v>1305</v>
      </c>
      <c r="K557" s="9" t="s">
        <v>1306</v>
      </c>
      <c r="L557" s="83">
        <v>45200</v>
      </c>
      <c r="M557" s="83">
        <v>45230</v>
      </c>
    </row>
    <row r="558" spans="1:13" ht="18.75" customHeight="1" x14ac:dyDescent="0.25">
      <c r="A558" s="9" t="s">
        <v>19</v>
      </c>
      <c r="B558" s="81">
        <v>113280</v>
      </c>
      <c r="C558" s="81">
        <v>10757</v>
      </c>
      <c r="D558" s="9" t="s">
        <v>685</v>
      </c>
      <c r="E558" s="81">
        <v>14563151</v>
      </c>
      <c r="F558" s="81">
        <v>30995</v>
      </c>
      <c r="G558" s="81">
        <v>25</v>
      </c>
      <c r="H558" s="82">
        <v>26.3</v>
      </c>
      <c r="I558" s="251">
        <v>657.5</v>
      </c>
      <c r="J558" s="9" t="s">
        <v>1305</v>
      </c>
      <c r="K558" s="9" t="s">
        <v>1306</v>
      </c>
      <c r="L558" s="83">
        <v>45200</v>
      </c>
      <c r="M558" s="83">
        <v>45230</v>
      </c>
    </row>
    <row r="559" spans="1:13" ht="18.75" customHeight="1" x14ac:dyDescent="0.25">
      <c r="A559" s="9" t="s">
        <v>8</v>
      </c>
      <c r="B559" s="81">
        <v>113287</v>
      </c>
      <c r="C559" s="81">
        <v>10750</v>
      </c>
      <c r="D559" s="9" t="s">
        <v>688</v>
      </c>
      <c r="E559" s="81">
        <v>14563151</v>
      </c>
      <c r="F559" s="81">
        <v>31009</v>
      </c>
      <c r="G559" s="81">
        <v>25</v>
      </c>
      <c r="H559" s="82">
        <v>26.3</v>
      </c>
      <c r="I559" s="251">
        <v>657.5</v>
      </c>
      <c r="J559" s="9" t="s">
        <v>1305</v>
      </c>
      <c r="K559" s="9" t="s">
        <v>1306</v>
      </c>
      <c r="L559" s="83">
        <v>45200</v>
      </c>
      <c r="M559" s="83">
        <v>45230</v>
      </c>
    </row>
    <row r="560" spans="1:13" ht="18.75" customHeight="1" x14ac:dyDescent="0.25">
      <c r="A560" s="9" t="s">
        <v>1578</v>
      </c>
      <c r="B560" s="81">
        <v>122570</v>
      </c>
      <c r="C560" s="81">
        <v>10761</v>
      </c>
      <c r="D560" s="9" t="s">
        <v>1683</v>
      </c>
      <c r="E560" s="81">
        <v>14563151</v>
      </c>
      <c r="F560" s="81">
        <v>56532</v>
      </c>
      <c r="G560" s="81">
        <v>25</v>
      </c>
      <c r="H560" s="82">
        <v>26.3</v>
      </c>
      <c r="I560" s="251">
        <v>657.5</v>
      </c>
      <c r="J560" s="9" t="s">
        <v>1305</v>
      </c>
      <c r="K560" s="9" t="s">
        <v>1306</v>
      </c>
      <c r="L560" s="83">
        <v>45200</v>
      </c>
      <c r="M560" s="83">
        <v>45230</v>
      </c>
    </row>
    <row r="561" spans="1:13" ht="18.75" customHeight="1" x14ac:dyDescent="0.25">
      <c r="A561" s="9" t="s">
        <v>10</v>
      </c>
      <c r="B561" s="81">
        <v>113289</v>
      </c>
      <c r="C561" s="81">
        <v>10750</v>
      </c>
      <c r="D561" s="9" t="s">
        <v>690</v>
      </c>
      <c r="E561" s="81">
        <v>14563151</v>
      </c>
      <c r="F561" s="81">
        <v>31013</v>
      </c>
      <c r="G561" s="81">
        <v>25</v>
      </c>
      <c r="H561" s="82">
        <v>26.3</v>
      </c>
      <c r="I561" s="251">
        <v>657.5</v>
      </c>
      <c r="J561" s="9" t="s">
        <v>1305</v>
      </c>
      <c r="K561" s="9" t="s">
        <v>1306</v>
      </c>
      <c r="L561" s="83">
        <v>45200</v>
      </c>
      <c r="M561" s="83">
        <v>45230</v>
      </c>
    </row>
    <row r="562" spans="1:13" ht="18.75" customHeight="1" x14ac:dyDescent="0.25">
      <c r="A562" s="9" t="s">
        <v>8</v>
      </c>
      <c r="B562" s="81">
        <v>122079</v>
      </c>
      <c r="C562" s="81">
        <v>10766</v>
      </c>
      <c r="D562" s="9" t="s">
        <v>1628</v>
      </c>
      <c r="E562" s="81">
        <v>14563151</v>
      </c>
      <c r="F562" s="81">
        <v>55275</v>
      </c>
      <c r="G562" s="81">
        <v>25</v>
      </c>
      <c r="H562" s="82">
        <v>26.3</v>
      </c>
      <c r="I562" s="251">
        <v>657.5</v>
      </c>
      <c r="J562" s="9" t="s">
        <v>1305</v>
      </c>
      <c r="K562" s="9" t="s">
        <v>1306</v>
      </c>
      <c r="L562" s="83">
        <v>45200</v>
      </c>
      <c r="M562" s="83">
        <v>45230</v>
      </c>
    </row>
    <row r="563" spans="1:13" ht="18.75" customHeight="1" x14ac:dyDescent="0.25">
      <c r="A563" s="9" t="s">
        <v>1578</v>
      </c>
      <c r="B563" s="81">
        <v>113298</v>
      </c>
      <c r="C563" s="81">
        <v>10768</v>
      </c>
      <c r="D563" s="9" t="s">
        <v>693</v>
      </c>
      <c r="E563" s="81">
        <v>14563151</v>
      </c>
      <c r="F563" s="81">
        <v>31031</v>
      </c>
      <c r="G563" s="81">
        <v>25</v>
      </c>
      <c r="H563" s="82">
        <v>26.3</v>
      </c>
      <c r="I563" s="251">
        <v>657.5</v>
      </c>
      <c r="J563" s="9" t="s">
        <v>1305</v>
      </c>
      <c r="K563" s="9" t="s">
        <v>1306</v>
      </c>
      <c r="L563" s="83">
        <v>45200</v>
      </c>
      <c r="M563" s="83">
        <v>45230</v>
      </c>
    </row>
    <row r="564" spans="1:13" ht="18.75" customHeight="1" x14ac:dyDescent="0.25">
      <c r="A564" s="9" t="s">
        <v>1578</v>
      </c>
      <c r="B564" s="81">
        <v>113308</v>
      </c>
      <c r="C564" s="81">
        <v>10743</v>
      </c>
      <c r="D564" s="9" t="s">
        <v>697</v>
      </c>
      <c r="E564" s="81">
        <v>14563151</v>
      </c>
      <c r="F564" s="81">
        <v>31051</v>
      </c>
      <c r="G564" s="81">
        <v>25</v>
      </c>
      <c r="H564" s="82">
        <v>26.3</v>
      </c>
      <c r="I564" s="251">
        <v>657.5</v>
      </c>
      <c r="J564" s="9" t="s">
        <v>1305</v>
      </c>
      <c r="K564" s="9" t="s">
        <v>1306</v>
      </c>
      <c r="L564" s="83">
        <v>45200</v>
      </c>
      <c r="M564" s="83">
        <v>45230</v>
      </c>
    </row>
    <row r="565" spans="1:13" ht="18.75" customHeight="1" x14ac:dyDescent="0.25">
      <c r="A565" s="9" t="s">
        <v>0</v>
      </c>
      <c r="B565" s="81">
        <v>113317</v>
      </c>
      <c r="C565" s="81">
        <v>10750</v>
      </c>
      <c r="D565" s="9" t="s">
        <v>702</v>
      </c>
      <c r="E565" s="81">
        <v>14563151</v>
      </c>
      <c r="F565" s="81">
        <v>31069</v>
      </c>
      <c r="G565" s="81">
        <v>25</v>
      </c>
      <c r="H565" s="82">
        <v>26.3</v>
      </c>
      <c r="I565" s="251">
        <v>657.5</v>
      </c>
      <c r="J565" s="9" t="s">
        <v>1305</v>
      </c>
      <c r="K565" s="9" t="s">
        <v>1306</v>
      </c>
      <c r="L565" s="83">
        <v>45200</v>
      </c>
      <c r="M565" s="83">
        <v>45230</v>
      </c>
    </row>
    <row r="566" spans="1:13" ht="18.75" customHeight="1" x14ac:dyDescent="0.25">
      <c r="A566" s="9" t="s">
        <v>10</v>
      </c>
      <c r="B566" s="81">
        <v>113323</v>
      </c>
      <c r="C566" s="81">
        <v>10766</v>
      </c>
      <c r="D566" s="9" t="s">
        <v>705</v>
      </c>
      <c r="E566" s="81">
        <v>14563151</v>
      </c>
      <c r="F566" s="81">
        <v>31081</v>
      </c>
      <c r="G566" s="81">
        <v>25</v>
      </c>
      <c r="H566" s="82">
        <v>26.3</v>
      </c>
      <c r="I566" s="251">
        <v>657.5</v>
      </c>
      <c r="J566" s="9" t="s">
        <v>1305</v>
      </c>
      <c r="K566" s="9" t="s">
        <v>1306</v>
      </c>
      <c r="L566" s="83">
        <v>45200</v>
      </c>
      <c r="M566" s="83">
        <v>45230</v>
      </c>
    </row>
    <row r="567" spans="1:13" ht="18.75" customHeight="1" x14ac:dyDescent="0.25">
      <c r="A567" s="9" t="s">
        <v>8</v>
      </c>
      <c r="B567" s="81">
        <v>113328</v>
      </c>
      <c r="C567" s="81">
        <v>10750</v>
      </c>
      <c r="D567" s="9" t="s">
        <v>709</v>
      </c>
      <c r="E567" s="81">
        <v>14563151</v>
      </c>
      <c r="F567" s="81">
        <v>31091</v>
      </c>
      <c r="G567" s="81">
        <v>25</v>
      </c>
      <c r="H567" s="82">
        <v>26.3</v>
      </c>
      <c r="I567" s="251">
        <v>657.5</v>
      </c>
      <c r="J567" s="9" t="s">
        <v>1305</v>
      </c>
      <c r="K567" s="9" t="s">
        <v>1306</v>
      </c>
      <c r="L567" s="83">
        <v>45200</v>
      </c>
      <c r="M567" s="83">
        <v>45230</v>
      </c>
    </row>
    <row r="568" spans="1:13" ht="18.75" customHeight="1" x14ac:dyDescent="0.25">
      <c r="A568" s="9" t="s">
        <v>1578</v>
      </c>
      <c r="B568" s="81">
        <v>113353</v>
      </c>
      <c r="C568" s="81">
        <v>10755</v>
      </c>
      <c r="D568" s="9" t="s">
        <v>721</v>
      </c>
      <c r="E568" s="81">
        <v>14563151</v>
      </c>
      <c r="F568" s="81">
        <v>31141</v>
      </c>
      <c r="G568" s="81">
        <v>25</v>
      </c>
      <c r="H568" s="82">
        <v>26.3</v>
      </c>
      <c r="I568" s="251">
        <v>657.5</v>
      </c>
      <c r="J568" s="9" t="s">
        <v>1305</v>
      </c>
      <c r="K568" s="9" t="s">
        <v>1306</v>
      </c>
      <c r="L568" s="83">
        <v>45200</v>
      </c>
      <c r="M568" s="83">
        <v>45230</v>
      </c>
    </row>
    <row r="569" spans="1:13" ht="18.75" customHeight="1" x14ac:dyDescent="0.25">
      <c r="A569" s="9" t="s">
        <v>0</v>
      </c>
      <c r="B569" s="81">
        <v>117235</v>
      </c>
      <c r="C569" s="81">
        <v>10748</v>
      </c>
      <c r="D569" s="9" t="s">
        <v>1252</v>
      </c>
      <c r="E569" s="81">
        <v>14563151</v>
      </c>
      <c r="F569" s="81">
        <v>44087</v>
      </c>
      <c r="G569" s="81">
        <v>23</v>
      </c>
      <c r="H569" s="82">
        <v>26.3</v>
      </c>
      <c r="I569" s="251">
        <v>604.9</v>
      </c>
      <c r="J569" s="9" t="s">
        <v>1305</v>
      </c>
      <c r="K569" s="9" t="s">
        <v>1306</v>
      </c>
      <c r="L569" s="83">
        <v>45200</v>
      </c>
      <c r="M569" s="83">
        <v>45230</v>
      </c>
    </row>
    <row r="570" spans="1:13" ht="18.75" customHeight="1" x14ac:dyDescent="0.25">
      <c r="A570" s="9" t="s">
        <v>32</v>
      </c>
      <c r="B570" s="81">
        <v>113357</v>
      </c>
      <c r="C570" s="81">
        <v>10750</v>
      </c>
      <c r="D570" s="9" t="s">
        <v>724</v>
      </c>
      <c r="E570" s="81">
        <v>14563151</v>
      </c>
      <c r="F570" s="81">
        <v>31149</v>
      </c>
      <c r="G570" s="81">
        <v>25</v>
      </c>
      <c r="H570" s="82">
        <v>26.3</v>
      </c>
      <c r="I570" s="251">
        <v>657.5</v>
      </c>
      <c r="J570" s="9" t="s">
        <v>1305</v>
      </c>
      <c r="K570" s="9" t="s">
        <v>1306</v>
      </c>
      <c r="L570" s="83">
        <v>45200</v>
      </c>
      <c r="M570" s="83">
        <v>45230</v>
      </c>
    </row>
    <row r="571" spans="1:13" ht="18.75" customHeight="1" x14ac:dyDescent="0.25">
      <c r="A571" s="9" t="s">
        <v>1578</v>
      </c>
      <c r="B571" s="81">
        <v>113367</v>
      </c>
      <c r="C571" s="81">
        <v>10768</v>
      </c>
      <c r="D571" s="9" t="s">
        <v>732</v>
      </c>
      <c r="E571" s="81">
        <v>14563151</v>
      </c>
      <c r="F571" s="81">
        <v>31169</v>
      </c>
      <c r="G571" s="81">
        <v>25</v>
      </c>
      <c r="H571" s="82">
        <v>26.3</v>
      </c>
      <c r="I571" s="251">
        <v>657.5</v>
      </c>
      <c r="J571" s="9" t="s">
        <v>1305</v>
      </c>
      <c r="K571" s="9" t="s">
        <v>1306</v>
      </c>
      <c r="L571" s="83">
        <v>45200</v>
      </c>
      <c r="M571" s="83">
        <v>45230</v>
      </c>
    </row>
    <row r="572" spans="1:13" ht="18.75" customHeight="1" x14ac:dyDescent="0.25">
      <c r="A572" s="9" t="s">
        <v>8</v>
      </c>
      <c r="B572" s="81">
        <v>114547</v>
      </c>
      <c r="C572" s="81">
        <v>10750</v>
      </c>
      <c r="D572" s="9" t="s">
        <v>1054</v>
      </c>
      <c r="E572" s="81">
        <v>14563151</v>
      </c>
      <c r="F572" s="81">
        <v>36372</v>
      </c>
      <c r="G572" s="81">
        <v>25</v>
      </c>
      <c r="H572" s="82">
        <v>26.3</v>
      </c>
      <c r="I572" s="251">
        <v>657.5</v>
      </c>
      <c r="J572" s="9" t="s">
        <v>1305</v>
      </c>
      <c r="K572" s="9" t="s">
        <v>1306</v>
      </c>
      <c r="L572" s="83">
        <v>45200</v>
      </c>
      <c r="M572" s="83">
        <v>45230</v>
      </c>
    </row>
    <row r="573" spans="1:13" ht="18.75" customHeight="1" x14ac:dyDescent="0.25">
      <c r="A573" s="9" t="s">
        <v>19</v>
      </c>
      <c r="B573" s="81">
        <v>113376</v>
      </c>
      <c r="C573" s="81">
        <v>10751</v>
      </c>
      <c r="D573" s="9" t="s">
        <v>738</v>
      </c>
      <c r="E573" s="81">
        <v>14563151</v>
      </c>
      <c r="F573" s="81">
        <v>31187</v>
      </c>
      <c r="G573" s="81">
        <v>25</v>
      </c>
      <c r="H573" s="82">
        <v>26.3</v>
      </c>
      <c r="I573" s="251">
        <v>657.5</v>
      </c>
      <c r="J573" s="9" t="s">
        <v>1305</v>
      </c>
      <c r="K573" s="9" t="s">
        <v>1306</v>
      </c>
      <c r="L573" s="83">
        <v>45200</v>
      </c>
      <c r="M573" s="83">
        <v>45230</v>
      </c>
    </row>
    <row r="574" spans="1:13" ht="18.75" customHeight="1" x14ac:dyDescent="0.25">
      <c r="A574" s="9" t="s">
        <v>19</v>
      </c>
      <c r="B574" s="81">
        <v>114107</v>
      </c>
      <c r="C574" s="81">
        <v>10750</v>
      </c>
      <c r="D574" s="9" t="s">
        <v>1007</v>
      </c>
      <c r="E574" s="81">
        <v>14563151</v>
      </c>
      <c r="F574" s="81">
        <v>34364</v>
      </c>
      <c r="G574" s="81">
        <v>25</v>
      </c>
      <c r="H574" s="82">
        <v>26.3</v>
      </c>
      <c r="I574" s="251">
        <v>657.5</v>
      </c>
      <c r="J574" s="9" t="s">
        <v>1305</v>
      </c>
      <c r="K574" s="9" t="s">
        <v>1306</v>
      </c>
      <c r="L574" s="83">
        <v>45200</v>
      </c>
      <c r="M574" s="83">
        <v>45230</v>
      </c>
    </row>
    <row r="575" spans="1:13" ht="18.75" customHeight="1" x14ac:dyDescent="0.25">
      <c r="A575" s="9" t="s">
        <v>10</v>
      </c>
      <c r="B575" s="81">
        <v>116316</v>
      </c>
      <c r="C575" s="81">
        <v>10757</v>
      </c>
      <c r="D575" s="9" t="s">
        <v>1200</v>
      </c>
      <c r="E575" s="81">
        <v>14563151</v>
      </c>
      <c r="F575" s="81">
        <v>41847</v>
      </c>
      <c r="G575" s="81">
        <v>25</v>
      </c>
      <c r="H575" s="82">
        <v>26.3</v>
      </c>
      <c r="I575" s="251">
        <v>657.5</v>
      </c>
      <c r="J575" s="9" t="s">
        <v>1305</v>
      </c>
      <c r="K575" s="9" t="s">
        <v>1306</v>
      </c>
      <c r="L575" s="83">
        <v>45200</v>
      </c>
      <c r="M575" s="83">
        <v>45230</v>
      </c>
    </row>
    <row r="576" spans="1:13" ht="18.75" customHeight="1" x14ac:dyDescent="0.25">
      <c r="A576" s="9" t="s">
        <v>10</v>
      </c>
      <c r="B576" s="81">
        <v>120357</v>
      </c>
      <c r="C576" s="81">
        <v>10757</v>
      </c>
      <c r="D576" s="9" t="s">
        <v>1504</v>
      </c>
      <c r="E576" s="81">
        <v>14563151</v>
      </c>
      <c r="F576" s="81">
        <v>51396</v>
      </c>
      <c r="G576" s="81">
        <v>25</v>
      </c>
      <c r="H576" s="82">
        <v>26.3</v>
      </c>
      <c r="I576" s="251">
        <v>657.5</v>
      </c>
      <c r="J576" s="9" t="s">
        <v>1305</v>
      </c>
      <c r="K576" s="9" t="s">
        <v>1309</v>
      </c>
      <c r="L576" s="83">
        <v>45200</v>
      </c>
      <c r="M576" s="83">
        <v>45230</v>
      </c>
    </row>
    <row r="577" spans="1:13" ht="18.75" customHeight="1" x14ac:dyDescent="0.25">
      <c r="A577" s="9" t="s">
        <v>0</v>
      </c>
      <c r="B577" s="81">
        <v>116728</v>
      </c>
      <c r="C577" s="81">
        <v>10745</v>
      </c>
      <c r="D577" s="9" t="s">
        <v>1219</v>
      </c>
      <c r="E577" s="81">
        <v>14563151</v>
      </c>
      <c r="F577" s="81">
        <v>42844</v>
      </c>
      <c r="G577" s="81">
        <v>25</v>
      </c>
      <c r="H577" s="82">
        <v>26.3</v>
      </c>
      <c r="I577" s="251">
        <v>657.5</v>
      </c>
      <c r="J577" s="9" t="s">
        <v>1305</v>
      </c>
      <c r="K577" s="9" t="s">
        <v>1306</v>
      </c>
      <c r="L577" s="83">
        <v>45200</v>
      </c>
      <c r="M577" s="83">
        <v>45230</v>
      </c>
    </row>
    <row r="578" spans="1:13" ht="18.75" customHeight="1" x14ac:dyDescent="0.25">
      <c r="A578" s="9" t="s">
        <v>19</v>
      </c>
      <c r="B578" s="81">
        <v>113391</v>
      </c>
      <c r="C578" s="81">
        <v>10754</v>
      </c>
      <c r="D578" s="9" t="s">
        <v>749</v>
      </c>
      <c r="E578" s="81">
        <v>14563151</v>
      </c>
      <c r="F578" s="81">
        <v>31217</v>
      </c>
      <c r="G578" s="81">
        <v>25</v>
      </c>
      <c r="H578" s="82">
        <v>26.3</v>
      </c>
      <c r="I578" s="251">
        <v>657.5</v>
      </c>
      <c r="J578" s="9" t="s">
        <v>1305</v>
      </c>
      <c r="K578" s="9" t="s">
        <v>1306</v>
      </c>
      <c r="L578" s="83">
        <v>45200</v>
      </c>
      <c r="M578" s="83">
        <v>45230</v>
      </c>
    </row>
    <row r="579" spans="1:13" ht="18.75" customHeight="1" x14ac:dyDescent="0.25">
      <c r="A579" s="9" t="s">
        <v>1578</v>
      </c>
      <c r="B579" s="81">
        <v>117245</v>
      </c>
      <c r="C579" s="81">
        <v>10748</v>
      </c>
      <c r="D579" s="9" t="s">
        <v>1076</v>
      </c>
      <c r="E579" s="81">
        <v>14563151</v>
      </c>
      <c r="F579" s="81">
        <v>44107</v>
      </c>
      <c r="G579" s="81">
        <v>25</v>
      </c>
      <c r="H579" s="82">
        <v>26.3</v>
      </c>
      <c r="I579" s="251">
        <v>657.5</v>
      </c>
      <c r="J579" s="9" t="s">
        <v>1305</v>
      </c>
      <c r="K579" s="9" t="s">
        <v>1306</v>
      </c>
      <c r="L579" s="83">
        <v>45200</v>
      </c>
      <c r="M579" s="83">
        <v>45230</v>
      </c>
    </row>
    <row r="580" spans="1:13" ht="18.75" customHeight="1" x14ac:dyDescent="0.25">
      <c r="A580" s="9" t="s">
        <v>8</v>
      </c>
      <c r="B580" s="81">
        <v>113394</v>
      </c>
      <c r="C580" s="81">
        <v>10756</v>
      </c>
      <c r="D580" s="9" t="s">
        <v>751</v>
      </c>
      <c r="E580" s="81">
        <v>14563151</v>
      </c>
      <c r="F580" s="81">
        <v>31223</v>
      </c>
      <c r="G580" s="81">
        <v>25</v>
      </c>
      <c r="H580" s="82">
        <v>26.3</v>
      </c>
      <c r="I580" s="251">
        <v>657.5</v>
      </c>
      <c r="J580" s="9" t="s">
        <v>1305</v>
      </c>
      <c r="K580" s="9" t="s">
        <v>1306</v>
      </c>
      <c r="L580" s="83">
        <v>45200</v>
      </c>
      <c r="M580" s="83">
        <v>45230</v>
      </c>
    </row>
    <row r="581" spans="1:13" ht="18.75" customHeight="1" x14ac:dyDescent="0.25">
      <c r="A581" s="9" t="s">
        <v>19</v>
      </c>
      <c r="B581" s="81">
        <v>121024</v>
      </c>
      <c r="C581" s="81">
        <v>10750</v>
      </c>
      <c r="D581" s="9" t="s">
        <v>1514</v>
      </c>
      <c r="E581" s="81">
        <v>14563151</v>
      </c>
      <c r="F581" s="81">
        <v>52798</v>
      </c>
      <c r="G581" s="81">
        <v>25</v>
      </c>
      <c r="H581" s="82">
        <v>26.3</v>
      </c>
      <c r="I581" s="251">
        <v>657.5</v>
      </c>
      <c r="J581" s="9" t="s">
        <v>1305</v>
      </c>
      <c r="K581" s="9" t="s">
        <v>1306</v>
      </c>
      <c r="L581" s="83">
        <v>45200</v>
      </c>
      <c r="M581" s="83">
        <v>45230</v>
      </c>
    </row>
    <row r="582" spans="1:13" ht="18.75" customHeight="1" x14ac:dyDescent="0.25">
      <c r="A582" s="9" t="s">
        <v>1246</v>
      </c>
      <c r="B582" s="81">
        <v>116652</v>
      </c>
      <c r="C582" s="81">
        <v>10773</v>
      </c>
      <c r="D582" s="9" t="s">
        <v>952</v>
      </c>
      <c r="E582" s="81">
        <v>14563151</v>
      </c>
      <c r="F582" s="81">
        <v>42632</v>
      </c>
      <c r="G582" s="81">
        <v>25</v>
      </c>
      <c r="H582" s="82">
        <v>26.3</v>
      </c>
      <c r="I582" s="251">
        <v>657.5</v>
      </c>
      <c r="J582" s="9" t="s">
        <v>1305</v>
      </c>
      <c r="K582" s="9" t="s">
        <v>1309</v>
      </c>
      <c r="L582" s="83">
        <v>45200</v>
      </c>
      <c r="M582" s="83">
        <v>45230</v>
      </c>
    </row>
    <row r="583" spans="1:13" ht="18.75" customHeight="1" x14ac:dyDescent="0.25">
      <c r="A583" s="9" t="s">
        <v>8</v>
      </c>
      <c r="B583" s="81">
        <v>113405</v>
      </c>
      <c r="C583" s="81">
        <v>10750</v>
      </c>
      <c r="D583" s="9" t="s">
        <v>757</v>
      </c>
      <c r="E583" s="81">
        <v>14563151</v>
      </c>
      <c r="F583" s="81">
        <v>31245</v>
      </c>
      <c r="G583" s="81">
        <v>25</v>
      </c>
      <c r="H583" s="82">
        <v>26.3</v>
      </c>
      <c r="I583" s="251">
        <v>657.5</v>
      </c>
      <c r="J583" s="9" t="s">
        <v>1305</v>
      </c>
      <c r="K583" s="9" t="s">
        <v>1306</v>
      </c>
      <c r="L583" s="83">
        <v>45200</v>
      </c>
      <c r="M583" s="83">
        <v>45230</v>
      </c>
    </row>
    <row r="584" spans="1:13" ht="18.75" customHeight="1" x14ac:dyDescent="0.25">
      <c r="A584" s="9" t="s">
        <v>0</v>
      </c>
      <c r="B584" s="81">
        <v>113413</v>
      </c>
      <c r="C584" s="81">
        <v>10750</v>
      </c>
      <c r="D584" s="9" t="s">
        <v>762</v>
      </c>
      <c r="E584" s="81">
        <v>14563151</v>
      </c>
      <c r="F584" s="81">
        <v>31261</v>
      </c>
      <c r="G584" s="81">
        <v>25</v>
      </c>
      <c r="H584" s="82">
        <v>26.3</v>
      </c>
      <c r="I584" s="251">
        <v>657.5</v>
      </c>
      <c r="J584" s="9" t="s">
        <v>1305</v>
      </c>
      <c r="K584" s="9" t="s">
        <v>1306</v>
      </c>
      <c r="L584" s="83">
        <v>45200</v>
      </c>
      <c r="M584" s="83">
        <v>45230</v>
      </c>
    </row>
    <row r="585" spans="1:13" ht="18.75" customHeight="1" x14ac:dyDescent="0.25">
      <c r="A585" s="9" t="s">
        <v>1578</v>
      </c>
      <c r="B585" s="81">
        <v>114948</v>
      </c>
      <c r="C585" s="81">
        <v>10757</v>
      </c>
      <c r="D585" s="9" t="s">
        <v>1097</v>
      </c>
      <c r="E585" s="81">
        <v>14563151</v>
      </c>
      <c r="F585" s="81">
        <v>37673</v>
      </c>
      <c r="G585" s="81">
        <v>25</v>
      </c>
      <c r="H585" s="82">
        <v>26.3</v>
      </c>
      <c r="I585" s="251">
        <v>657.5</v>
      </c>
      <c r="J585" s="9" t="s">
        <v>1305</v>
      </c>
      <c r="K585" s="9" t="s">
        <v>1306</v>
      </c>
      <c r="L585" s="83">
        <v>45200</v>
      </c>
      <c r="M585" s="83">
        <v>45230</v>
      </c>
    </row>
    <row r="586" spans="1:13" ht="18.75" customHeight="1" x14ac:dyDescent="0.25">
      <c r="A586" s="9" t="s">
        <v>8</v>
      </c>
      <c r="B586" s="81">
        <v>113418</v>
      </c>
      <c r="C586" s="81">
        <v>10751</v>
      </c>
      <c r="D586" s="9" t="s">
        <v>767</v>
      </c>
      <c r="E586" s="81">
        <v>14563151</v>
      </c>
      <c r="F586" s="81">
        <v>31271</v>
      </c>
      <c r="G586" s="81">
        <v>25</v>
      </c>
      <c r="H586" s="82">
        <v>26.3</v>
      </c>
      <c r="I586" s="251">
        <v>657.5</v>
      </c>
      <c r="J586" s="9" t="s">
        <v>1305</v>
      </c>
      <c r="K586" s="9" t="s">
        <v>1306</v>
      </c>
      <c r="L586" s="83">
        <v>45200</v>
      </c>
      <c r="M586" s="83">
        <v>45230</v>
      </c>
    </row>
    <row r="587" spans="1:13" ht="18.75" customHeight="1" x14ac:dyDescent="0.25">
      <c r="A587" s="9" t="s">
        <v>1578</v>
      </c>
      <c r="B587" s="81">
        <v>113421</v>
      </c>
      <c r="C587" s="81">
        <v>10761</v>
      </c>
      <c r="D587" s="9" t="s">
        <v>770</v>
      </c>
      <c r="E587" s="81">
        <v>14563151</v>
      </c>
      <c r="F587" s="81">
        <v>31277</v>
      </c>
      <c r="G587" s="81">
        <v>25</v>
      </c>
      <c r="H587" s="82">
        <v>26.3</v>
      </c>
      <c r="I587" s="251">
        <v>657.5</v>
      </c>
      <c r="J587" s="9" t="s">
        <v>1305</v>
      </c>
      <c r="K587" s="9" t="s">
        <v>1306</v>
      </c>
      <c r="L587" s="83">
        <v>45200</v>
      </c>
      <c r="M587" s="83">
        <v>45230</v>
      </c>
    </row>
    <row r="588" spans="1:13" ht="18.75" customHeight="1" x14ac:dyDescent="0.25">
      <c r="A588" s="9" t="s">
        <v>1578</v>
      </c>
      <c r="B588" s="81">
        <v>113433</v>
      </c>
      <c r="C588" s="81">
        <v>10771</v>
      </c>
      <c r="D588" s="9" t="s">
        <v>1346</v>
      </c>
      <c r="E588" s="81">
        <v>14563151</v>
      </c>
      <c r="F588" s="81">
        <v>31301</v>
      </c>
      <c r="G588" s="81">
        <v>25</v>
      </c>
      <c r="H588" s="82">
        <v>26.3</v>
      </c>
      <c r="I588" s="251">
        <v>657.5</v>
      </c>
      <c r="J588" s="9" t="s">
        <v>1305</v>
      </c>
      <c r="K588" s="9" t="s">
        <v>1306</v>
      </c>
      <c r="L588" s="83">
        <v>45200</v>
      </c>
      <c r="M588" s="83">
        <v>45230</v>
      </c>
    </row>
    <row r="589" spans="1:13" ht="18.75" customHeight="1" x14ac:dyDescent="0.25">
      <c r="A589" s="9" t="s">
        <v>1578</v>
      </c>
      <c r="B589" s="81">
        <v>113441</v>
      </c>
      <c r="C589" s="81">
        <v>10761</v>
      </c>
      <c r="D589" s="9" t="s">
        <v>781</v>
      </c>
      <c r="E589" s="81">
        <v>14563151</v>
      </c>
      <c r="F589" s="81">
        <v>31317</v>
      </c>
      <c r="G589" s="81">
        <v>25</v>
      </c>
      <c r="H589" s="82">
        <v>26.3</v>
      </c>
      <c r="I589" s="251">
        <v>657.5</v>
      </c>
      <c r="J589" s="9" t="s">
        <v>1305</v>
      </c>
      <c r="K589" s="9" t="s">
        <v>1306</v>
      </c>
      <c r="L589" s="83">
        <v>45200</v>
      </c>
      <c r="M589" s="83">
        <v>45230</v>
      </c>
    </row>
    <row r="590" spans="1:13" ht="18.75" customHeight="1" x14ac:dyDescent="0.25">
      <c r="A590" s="9" t="s">
        <v>8</v>
      </c>
      <c r="B590" s="81">
        <v>116238</v>
      </c>
      <c r="C590" s="81">
        <v>10754</v>
      </c>
      <c r="D590" s="9" t="s">
        <v>1198</v>
      </c>
      <c r="E590" s="81">
        <v>14563151</v>
      </c>
      <c r="F590" s="81">
        <v>41584</v>
      </c>
      <c r="G590" s="81">
        <v>25</v>
      </c>
      <c r="H590" s="82">
        <v>26.3</v>
      </c>
      <c r="I590" s="251">
        <v>657.5</v>
      </c>
      <c r="J590" s="9" t="s">
        <v>1305</v>
      </c>
      <c r="K590" s="9" t="s">
        <v>1306</v>
      </c>
      <c r="L590" s="83">
        <v>45200</v>
      </c>
      <c r="M590" s="83">
        <v>45230</v>
      </c>
    </row>
    <row r="591" spans="1:13" ht="18.75" customHeight="1" x14ac:dyDescent="0.25">
      <c r="A591" s="9" t="s">
        <v>8</v>
      </c>
      <c r="B591" s="81">
        <v>113455</v>
      </c>
      <c r="C591" s="81">
        <v>10757</v>
      </c>
      <c r="D591" s="9" t="s">
        <v>787</v>
      </c>
      <c r="E591" s="81">
        <v>14563151</v>
      </c>
      <c r="F591" s="81">
        <v>31345</v>
      </c>
      <c r="G591" s="81">
        <v>25</v>
      </c>
      <c r="H591" s="82">
        <v>26.3</v>
      </c>
      <c r="I591" s="251">
        <v>657.5</v>
      </c>
      <c r="J591" s="9" t="s">
        <v>1305</v>
      </c>
      <c r="K591" s="9" t="s">
        <v>1306</v>
      </c>
      <c r="L591" s="83">
        <v>45200</v>
      </c>
      <c r="M591" s="83">
        <v>45230</v>
      </c>
    </row>
    <row r="592" spans="1:13" ht="18.75" customHeight="1" x14ac:dyDescent="0.25">
      <c r="A592" s="9" t="s">
        <v>32</v>
      </c>
      <c r="B592" s="81">
        <v>113459</v>
      </c>
      <c r="C592" s="81">
        <v>10757</v>
      </c>
      <c r="D592" s="9" t="s">
        <v>790</v>
      </c>
      <c r="E592" s="81">
        <v>14563151</v>
      </c>
      <c r="F592" s="81">
        <v>31353</v>
      </c>
      <c r="G592" s="81">
        <v>25</v>
      </c>
      <c r="H592" s="82">
        <v>26.3</v>
      </c>
      <c r="I592" s="251">
        <v>657.5</v>
      </c>
      <c r="J592" s="9" t="s">
        <v>1305</v>
      </c>
      <c r="K592" s="9" t="s">
        <v>1306</v>
      </c>
      <c r="L592" s="83">
        <v>45200</v>
      </c>
      <c r="M592" s="83">
        <v>45230</v>
      </c>
    </row>
    <row r="593" spans="1:13" ht="18.75" customHeight="1" x14ac:dyDescent="0.25">
      <c r="A593" s="9" t="s">
        <v>10</v>
      </c>
      <c r="B593" s="81">
        <v>113464</v>
      </c>
      <c r="C593" s="81">
        <v>10756</v>
      </c>
      <c r="D593" s="9" t="s">
        <v>794</v>
      </c>
      <c r="E593" s="81">
        <v>14563151</v>
      </c>
      <c r="F593" s="81">
        <v>31363</v>
      </c>
      <c r="G593" s="81">
        <v>25</v>
      </c>
      <c r="H593" s="82">
        <v>26.3</v>
      </c>
      <c r="I593" s="251">
        <v>657.5</v>
      </c>
      <c r="J593" s="9" t="s">
        <v>1305</v>
      </c>
      <c r="K593" s="9" t="s">
        <v>1306</v>
      </c>
      <c r="L593" s="83">
        <v>45200</v>
      </c>
      <c r="M593" s="83">
        <v>45230</v>
      </c>
    </row>
    <row r="594" spans="1:13" ht="18.75" customHeight="1" x14ac:dyDescent="0.25">
      <c r="A594" s="9" t="s">
        <v>1578</v>
      </c>
      <c r="B594" s="81">
        <v>122425</v>
      </c>
      <c r="C594" s="81">
        <v>10766</v>
      </c>
      <c r="D594" s="9" t="s">
        <v>1684</v>
      </c>
      <c r="E594" s="81">
        <v>14563151</v>
      </c>
      <c r="F594" s="81">
        <v>56171</v>
      </c>
      <c r="G594" s="81">
        <v>25</v>
      </c>
      <c r="H594" s="82">
        <v>26.3</v>
      </c>
      <c r="I594" s="251">
        <v>657.5</v>
      </c>
      <c r="J594" s="9" t="s">
        <v>1305</v>
      </c>
      <c r="K594" s="9" t="s">
        <v>1306</v>
      </c>
      <c r="L594" s="83">
        <v>45200</v>
      </c>
      <c r="M594" s="83">
        <v>45230</v>
      </c>
    </row>
    <row r="595" spans="1:13" ht="18.75" customHeight="1" x14ac:dyDescent="0.25">
      <c r="A595" s="9" t="s">
        <v>10</v>
      </c>
      <c r="B595" s="81">
        <v>113471</v>
      </c>
      <c r="C595" s="81">
        <v>10766</v>
      </c>
      <c r="D595" s="9" t="s">
        <v>798</v>
      </c>
      <c r="E595" s="81">
        <v>14563151</v>
      </c>
      <c r="F595" s="81">
        <v>31377</v>
      </c>
      <c r="G595" s="81">
        <v>25</v>
      </c>
      <c r="H595" s="82">
        <v>26.3</v>
      </c>
      <c r="I595" s="251">
        <v>657.5</v>
      </c>
      <c r="J595" s="9" t="s">
        <v>1305</v>
      </c>
      <c r="K595" s="9" t="s">
        <v>1306</v>
      </c>
      <c r="L595" s="83">
        <v>45200</v>
      </c>
      <c r="M595" s="83">
        <v>45230</v>
      </c>
    </row>
    <row r="596" spans="1:13" ht="18.75" customHeight="1" x14ac:dyDescent="0.25">
      <c r="A596" s="9" t="s">
        <v>1578</v>
      </c>
      <c r="B596" s="81">
        <v>120191</v>
      </c>
      <c r="C596" s="81">
        <v>10745</v>
      </c>
      <c r="D596" s="9" t="s">
        <v>1493</v>
      </c>
      <c r="E596" s="81">
        <v>14563151</v>
      </c>
      <c r="F596" s="81">
        <v>50934</v>
      </c>
      <c r="G596" s="81">
        <v>24</v>
      </c>
      <c r="H596" s="82">
        <v>26.3</v>
      </c>
      <c r="I596" s="251">
        <v>631.20000000000005</v>
      </c>
      <c r="J596" s="9" t="s">
        <v>1305</v>
      </c>
      <c r="K596" s="9" t="s">
        <v>1306</v>
      </c>
      <c r="L596" s="83">
        <v>45200</v>
      </c>
      <c r="M596" s="83">
        <v>45230</v>
      </c>
    </row>
    <row r="597" spans="1:13" ht="18.75" customHeight="1" x14ac:dyDescent="0.25">
      <c r="A597" s="9" t="s">
        <v>1580</v>
      </c>
      <c r="B597" s="81">
        <v>121950</v>
      </c>
      <c r="C597" s="81">
        <v>10775</v>
      </c>
      <c r="D597" s="9" t="s">
        <v>1608</v>
      </c>
      <c r="E597" s="81">
        <v>14563151</v>
      </c>
      <c r="F597" s="81">
        <v>55024</v>
      </c>
      <c r="G597" s="81">
        <v>25</v>
      </c>
      <c r="H597" s="82">
        <v>26.3</v>
      </c>
      <c r="I597" s="251">
        <v>657.5</v>
      </c>
      <c r="J597" s="9" t="s">
        <v>1305</v>
      </c>
      <c r="K597" s="9" t="s">
        <v>1309</v>
      </c>
      <c r="L597" s="83">
        <v>45200</v>
      </c>
      <c r="M597" s="83">
        <v>45230</v>
      </c>
    </row>
    <row r="598" spans="1:13" ht="18.75" customHeight="1" x14ac:dyDescent="0.25">
      <c r="A598" s="9" t="s">
        <v>1578</v>
      </c>
      <c r="B598" s="81">
        <v>121322</v>
      </c>
      <c r="C598" s="81">
        <v>10760</v>
      </c>
      <c r="D598" s="9" t="s">
        <v>1526</v>
      </c>
      <c r="E598" s="81">
        <v>14563151</v>
      </c>
      <c r="F598" s="81">
        <v>53499</v>
      </c>
      <c r="G598" s="81">
        <v>25</v>
      </c>
      <c r="H598" s="82">
        <v>26.3</v>
      </c>
      <c r="I598" s="251">
        <v>657.5</v>
      </c>
      <c r="J598" s="9" t="s">
        <v>1305</v>
      </c>
      <c r="K598" s="9" t="s">
        <v>1306</v>
      </c>
      <c r="L598" s="83">
        <v>45200</v>
      </c>
      <c r="M598" s="83">
        <v>45230</v>
      </c>
    </row>
    <row r="599" spans="1:13" ht="18.75" customHeight="1" x14ac:dyDescent="0.25">
      <c r="A599" s="9" t="s">
        <v>1578</v>
      </c>
      <c r="B599" s="81">
        <v>119113</v>
      </c>
      <c r="C599" s="81">
        <v>10758</v>
      </c>
      <c r="D599" s="9" t="s">
        <v>1433</v>
      </c>
      <c r="E599" s="81">
        <v>14563151</v>
      </c>
      <c r="F599" s="81">
        <v>48249</v>
      </c>
      <c r="G599" s="81">
        <v>25</v>
      </c>
      <c r="H599" s="82">
        <v>26.3</v>
      </c>
      <c r="I599" s="251">
        <v>657.5</v>
      </c>
      <c r="J599" s="9" t="s">
        <v>1305</v>
      </c>
      <c r="K599" s="9" t="s">
        <v>1306</v>
      </c>
      <c r="L599" s="83">
        <v>45200</v>
      </c>
      <c r="M599" s="83">
        <v>45230</v>
      </c>
    </row>
    <row r="600" spans="1:13" ht="18.75" customHeight="1" x14ac:dyDescent="0.25">
      <c r="A600" s="9" t="s">
        <v>8</v>
      </c>
      <c r="B600" s="81">
        <v>113474</v>
      </c>
      <c r="C600" s="81">
        <v>10757</v>
      </c>
      <c r="D600" s="9" t="s">
        <v>799</v>
      </c>
      <c r="E600" s="81">
        <v>14563151</v>
      </c>
      <c r="F600" s="81">
        <v>31383</v>
      </c>
      <c r="G600" s="81">
        <v>25</v>
      </c>
      <c r="H600" s="82">
        <v>26.3</v>
      </c>
      <c r="I600" s="251">
        <v>657.5</v>
      </c>
      <c r="J600" s="9" t="s">
        <v>1305</v>
      </c>
      <c r="K600" s="9" t="s">
        <v>1306</v>
      </c>
      <c r="L600" s="83">
        <v>45200</v>
      </c>
      <c r="M600" s="83">
        <v>45230</v>
      </c>
    </row>
    <row r="601" spans="1:13" ht="18.75" customHeight="1" x14ac:dyDescent="0.25">
      <c r="A601" s="9" t="s">
        <v>1578</v>
      </c>
      <c r="B601" s="81">
        <v>121323</v>
      </c>
      <c r="C601" s="81">
        <v>10760</v>
      </c>
      <c r="D601" s="9" t="s">
        <v>1527</v>
      </c>
      <c r="E601" s="81">
        <v>14563151</v>
      </c>
      <c r="F601" s="81">
        <v>53501</v>
      </c>
      <c r="G601" s="81">
        <v>25</v>
      </c>
      <c r="H601" s="82">
        <v>26.3</v>
      </c>
      <c r="I601" s="251">
        <v>657.5</v>
      </c>
      <c r="J601" s="9" t="s">
        <v>1305</v>
      </c>
      <c r="K601" s="9" t="s">
        <v>1306</v>
      </c>
      <c r="L601" s="83">
        <v>45200</v>
      </c>
      <c r="M601" s="83">
        <v>45230</v>
      </c>
    </row>
    <row r="602" spans="1:13" ht="18.75" customHeight="1" x14ac:dyDescent="0.25">
      <c r="A602" s="9" t="s">
        <v>1578</v>
      </c>
      <c r="B602" s="81">
        <v>113478</v>
      </c>
      <c r="C602" s="81">
        <v>10762</v>
      </c>
      <c r="D602" s="9" t="s">
        <v>801</v>
      </c>
      <c r="E602" s="81">
        <v>14563151</v>
      </c>
      <c r="F602" s="81">
        <v>31391</v>
      </c>
      <c r="G602" s="81">
        <v>25</v>
      </c>
      <c r="H602" s="82">
        <v>26.3</v>
      </c>
      <c r="I602" s="251">
        <v>657.5</v>
      </c>
      <c r="J602" s="9" t="s">
        <v>1305</v>
      </c>
      <c r="K602" s="9" t="s">
        <v>1306</v>
      </c>
      <c r="L602" s="83">
        <v>45200</v>
      </c>
      <c r="M602" s="83">
        <v>45230</v>
      </c>
    </row>
    <row r="603" spans="1:13" ht="18.75" customHeight="1" x14ac:dyDescent="0.25">
      <c r="A603" s="9" t="s">
        <v>1578</v>
      </c>
      <c r="B603" s="81">
        <v>114942</v>
      </c>
      <c r="C603" s="81">
        <v>10761</v>
      </c>
      <c r="D603" s="9" t="s">
        <v>1121</v>
      </c>
      <c r="E603" s="81">
        <v>14563151</v>
      </c>
      <c r="F603" s="81">
        <v>37661</v>
      </c>
      <c r="G603" s="81">
        <v>25</v>
      </c>
      <c r="H603" s="82">
        <v>26.3</v>
      </c>
      <c r="I603" s="251">
        <v>657.5</v>
      </c>
      <c r="J603" s="9" t="s">
        <v>1305</v>
      </c>
      <c r="K603" s="9" t="s">
        <v>1306</v>
      </c>
      <c r="L603" s="83">
        <v>45200</v>
      </c>
      <c r="M603" s="83">
        <v>45230</v>
      </c>
    </row>
    <row r="604" spans="1:13" ht="18.75" customHeight="1" x14ac:dyDescent="0.25">
      <c r="A604" s="9" t="s">
        <v>10</v>
      </c>
      <c r="B604" s="81">
        <v>113480</v>
      </c>
      <c r="C604" s="81">
        <v>10750</v>
      </c>
      <c r="D604" s="9" t="s">
        <v>802</v>
      </c>
      <c r="E604" s="81">
        <v>14563151</v>
      </c>
      <c r="F604" s="81">
        <v>31395</v>
      </c>
      <c r="G604" s="81">
        <v>25</v>
      </c>
      <c r="H604" s="82">
        <v>26.3</v>
      </c>
      <c r="I604" s="251">
        <v>657.5</v>
      </c>
      <c r="J604" s="9" t="s">
        <v>1305</v>
      </c>
      <c r="K604" s="9" t="s">
        <v>1306</v>
      </c>
      <c r="L604" s="83">
        <v>45200</v>
      </c>
      <c r="M604" s="83">
        <v>45230</v>
      </c>
    </row>
    <row r="605" spans="1:13" ht="18.75" customHeight="1" x14ac:dyDescent="0.25">
      <c r="A605" s="9" t="s">
        <v>1578</v>
      </c>
      <c r="B605" s="81">
        <v>114944</v>
      </c>
      <c r="C605" s="81">
        <v>10757</v>
      </c>
      <c r="D605" s="9" t="s">
        <v>1123</v>
      </c>
      <c r="E605" s="81">
        <v>14563151</v>
      </c>
      <c r="F605" s="81">
        <v>37665</v>
      </c>
      <c r="G605" s="81">
        <v>25</v>
      </c>
      <c r="H605" s="82">
        <v>26.3</v>
      </c>
      <c r="I605" s="251">
        <v>657.5</v>
      </c>
      <c r="J605" s="9" t="s">
        <v>1305</v>
      </c>
      <c r="K605" s="9" t="s">
        <v>1306</v>
      </c>
      <c r="L605" s="83">
        <v>45200</v>
      </c>
      <c r="M605" s="83">
        <v>45230</v>
      </c>
    </row>
    <row r="606" spans="1:13" ht="18.75" customHeight="1" x14ac:dyDescent="0.25">
      <c r="A606" s="9" t="s">
        <v>8</v>
      </c>
      <c r="B606" s="81">
        <v>117234</v>
      </c>
      <c r="C606" s="81">
        <v>10755</v>
      </c>
      <c r="D606" s="9" t="s">
        <v>1251</v>
      </c>
      <c r="E606" s="81">
        <v>14563151</v>
      </c>
      <c r="F606" s="81">
        <v>44085</v>
      </c>
      <c r="G606" s="81">
        <v>25</v>
      </c>
      <c r="H606" s="82">
        <v>26.3</v>
      </c>
      <c r="I606" s="251">
        <v>657.5</v>
      </c>
      <c r="J606" s="9" t="s">
        <v>1305</v>
      </c>
      <c r="K606" s="9" t="s">
        <v>1306</v>
      </c>
      <c r="L606" s="83">
        <v>45200</v>
      </c>
      <c r="M606" s="83">
        <v>45230</v>
      </c>
    </row>
    <row r="607" spans="1:13" ht="18.75" customHeight="1" x14ac:dyDescent="0.25">
      <c r="A607" s="9" t="s">
        <v>0</v>
      </c>
      <c r="B607" s="81">
        <v>121677</v>
      </c>
      <c r="C607" s="81">
        <v>10763</v>
      </c>
      <c r="D607" s="9" t="s">
        <v>1586</v>
      </c>
      <c r="E607" s="81">
        <v>14563151</v>
      </c>
      <c r="F607" s="81">
        <v>54321</v>
      </c>
      <c r="G607" s="81">
        <v>25</v>
      </c>
      <c r="H607" s="82">
        <v>26.3</v>
      </c>
      <c r="I607" s="251">
        <v>657.5</v>
      </c>
      <c r="J607" s="9" t="s">
        <v>1305</v>
      </c>
      <c r="K607" s="9" t="s">
        <v>1306</v>
      </c>
      <c r="L607" s="83">
        <v>45200</v>
      </c>
      <c r="M607" s="83">
        <v>45230</v>
      </c>
    </row>
    <row r="608" spans="1:13" ht="18.75" customHeight="1" x14ac:dyDescent="0.25">
      <c r="A608" s="9" t="s">
        <v>19</v>
      </c>
      <c r="B608" s="81">
        <v>113489</v>
      </c>
      <c r="C608" s="81">
        <v>10750</v>
      </c>
      <c r="D608" s="9" t="s">
        <v>806</v>
      </c>
      <c r="E608" s="81">
        <v>14563151</v>
      </c>
      <c r="F608" s="81">
        <v>31413</v>
      </c>
      <c r="G608" s="81">
        <v>25</v>
      </c>
      <c r="H608" s="82">
        <v>26.3</v>
      </c>
      <c r="I608" s="251">
        <v>657.5</v>
      </c>
      <c r="J608" s="9" t="s">
        <v>1305</v>
      </c>
      <c r="K608" s="9" t="s">
        <v>1306</v>
      </c>
      <c r="L608" s="83">
        <v>45200</v>
      </c>
      <c r="M608" s="83">
        <v>45230</v>
      </c>
    </row>
    <row r="609" spans="1:13" ht="18.75" customHeight="1" x14ac:dyDescent="0.25">
      <c r="A609" s="9" t="s">
        <v>0</v>
      </c>
      <c r="B609" s="81">
        <v>113499</v>
      </c>
      <c r="C609" s="81">
        <v>10750</v>
      </c>
      <c r="D609" s="9" t="s">
        <v>811</v>
      </c>
      <c r="E609" s="81">
        <v>14563151</v>
      </c>
      <c r="F609" s="81">
        <v>31433</v>
      </c>
      <c r="G609" s="81">
        <v>25</v>
      </c>
      <c r="H609" s="82">
        <v>26.3</v>
      </c>
      <c r="I609" s="251">
        <v>657.5</v>
      </c>
      <c r="J609" s="9" t="s">
        <v>1305</v>
      </c>
      <c r="K609" s="9" t="s">
        <v>1306</v>
      </c>
      <c r="L609" s="83">
        <v>45200</v>
      </c>
      <c r="M609" s="83">
        <v>45230</v>
      </c>
    </row>
    <row r="610" spans="1:13" ht="18.75" customHeight="1" x14ac:dyDescent="0.25">
      <c r="A610" s="9" t="s">
        <v>0</v>
      </c>
      <c r="B610" s="81">
        <v>113505</v>
      </c>
      <c r="C610" s="81">
        <v>10750</v>
      </c>
      <c r="D610" s="9" t="s">
        <v>814</v>
      </c>
      <c r="E610" s="81">
        <v>14563151</v>
      </c>
      <c r="F610" s="81">
        <v>31445</v>
      </c>
      <c r="G610" s="81">
        <v>25</v>
      </c>
      <c r="H610" s="82">
        <v>26.3</v>
      </c>
      <c r="I610" s="251">
        <v>657.5</v>
      </c>
      <c r="J610" s="9" t="s">
        <v>1305</v>
      </c>
      <c r="K610" s="9" t="s">
        <v>1306</v>
      </c>
      <c r="L610" s="83">
        <v>45200</v>
      </c>
      <c r="M610" s="83">
        <v>45230</v>
      </c>
    </row>
    <row r="611" spans="1:13" ht="18.75" customHeight="1" x14ac:dyDescent="0.25">
      <c r="A611" s="9" t="s">
        <v>8</v>
      </c>
      <c r="B611" s="81">
        <v>116229</v>
      </c>
      <c r="C611" s="81">
        <v>10761</v>
      </c>
      <c r="D611" s="9" t="s">
        <v>1192</v>
      </c>
      <c r="E611" s="81">
        <v>14563151</v>
      </c>
      <c r="F611" s="81">
        <v>41566</v>
      </c>
      <c r="G611" s="81">
        <v>25</v>
      </c>
      <c r="H611" s="82">
        <v>26.3</v>
      </c>
      <c r="I611" s="251">
        <v>657.5</v>
      </c>
      <c r="J611" s="9" t="s">
        <v>1305</v>
      </c>
      <c r="K611" s="9" t="s">
        <v>1306</v>
      </c>
      <c r="L611" s="83">
        <v>45200</v>
      </c>
      <c r="M611" s="83">
        <v>45230</v>
      </c>
    </row>
    <row r="612" spans="1:13" ht="18.75" customHeight="1" x14ac:dyDescent="0.25">
      <c r="A612" s="9" t="s">
        <v>0</v>
      </c>
      <c r="B612" s="81">
        <v>113519</v>
      </c>
      <c r="C612" s="81">
        <v>10756</v>
      </c>
      <c r="D612" s="9" t="s">
        <v>820</v>
      </c>
      <c r="E612" s="81">
        <v>14563151</v>
      </c>
      <c r="F612" s="81">
        <v>31473</v>
      </c>
      <c r="G612" s="81">
        <v>25</v>
      </c>
      <c r="H612" s="82">
        <v>26.3</v>
      </c>
      <c r="I612" s="251">
        <v>657.5</v>
      </c>
      <c r="J612" s="9" t="s">
        <v>1305</v>
      </c>
      <c r="K612" s="9" t="s">
        <v>1306</v>
      </c>
      <c r="L612" s="83">
        <v>45200</v>
      </c>
      <c r="M612" s="83">
        <v>45230</v>
      </c>
    </row>
    <row r="613" spans="1:13" ht="18.75" customHeight="1" x14ac:dyDescent="0.25">
      <c r="A613" s="9" t="s">
        <v>8</v>
      </c>
      <c r="B613" s="81">
        <v>112529</v>
      </c>
      <c r="C613" s="81">
        <v>10750</v>
      </c>
      <c r="D613" s="9" t="s">
        <v>241</v>
      </c>
      <c r="E613" s="81">
        <v>14563151</v>
      </c>
      <c r="F613" s="81">
        <v>29493</v>
      </c>
      <c r="G613" s="81">
        <v>25</v>
      </c>
      <c r="H613" s="82">
        <v>26.3</v>
      </c>
      <c r="I613" s="251">
        <v>657.5</v>
      </c>
      <c r="J613" s="9" t="s">
        <v>1305</v>
      </c>
      <c r="K613" s="9" t="s">
        <v>1306</v>
      </c>
      <c r="L613" s="83">
        <v>45200</v>
      </c>
      <c r="M613" s="83">
        <v>45230</v>
      </c>
    </row>
    <row r="614" spans="1:13" ht="18.75" customHeight="1" x14ac:dyDescent="0.25">
      <c r="A614" s="9" t="s">
        <v>1578</v>
      </c>
      <c r="B614" s="81">
        <v>114963</v>
      </c>
      <c r="C614" s="81">
        <v>10757</v>
      </c>
      <c r="D614" s="9" t="s">
        <v>1128</v>
      </c>
      <c r="E614" s="81">
        <v>14563151</v>
      </c>
      <c r="F614" s="81">
        <v>37702</v>
      </c>
      <c r="G614" s="81">
        <v>25</v>
      </c>
      <c r="H614" s="82">
        <v>26.3</v>
      </c>
      <c r="I614" s="251">
        <v>657.5</v>
      </c>
      <c r="J614" s="9" t="s">
        <v>1305</v>
      </c>
      <c r="K614" s="9" t="s">
        <v>1306</v>
      </c>
      <c r="L614" s="83">
        <v>45200</v>
      </c>
      <c r="M614" s="83">
        <v>45230</v>
      </c>
    </row>
    <row r="615" spans="1:13" ht="18.75" customHeight="1" x14ac:dyDescent="0.25">
      <c r="A615" s="9" t="s">
        <v>32</v>
      </c>
      <c r="B615" s="81">
        <v>122559</v>
      </c>
      <c r="C615" s="81">
        <v>10757</v>
      </c>
      <c r="D615" s="9" t="s">
        <v>1685</v>
      </c>
      <c r="E615" s="81">
        <v>14563151</v>
      </c>
      <c r="F615" s="81">
        <v>56553</v>
      </c>
      <c r="G615" s="81">
        <v>25</v>
      </c>
      <c r="H615" s="82">
        <v>26.3</v>
      </c>
      <c r="I615" s="251">
        <v>657.5</v>
      </c>
      <c r="J615" s="9" t="s">
        <v>1305</v>
      </c>
      <c r="K615" s="9" t="s">
        <v>1306</v>
      </c>
      <c r="L615" s="83">
        <v>45200</v>
      </c>
      <c r="M615" s="83">
        <v>45230</v>
      </c>
    </row>
    <row r="616" spans="1:13" ht="18.75" customHeight="1" x14ac:dyDescent="0.25">
      <c r="A616" s="9" t="s">
        <v>32</v>
      </c>
      <c r="B616" s="81">
        <v>121689</v>
      </c>
      <c r="C616" s="81">
        <v>10757</v>
      </c>
      <c r="D616" s="9" t="s">
        <v>1587</v>
      </c>
      <c r="E616" s="81">
        <v>14563151</v>
      </c>
      <c r="F616" s="81">
        <v>54456</v>
      </c>
      <c r="G616" s="81">
        <v>23</v>
      </c>
      <c r="H616" s="82">
        <v>26.3</v>
      </c>
      <c r="I616" s="251">
        <v>604.9</v>
      </c>
      <c r="J616" s="9" t="s">
        <v>1305</v>
      </c>
      <c r="K616" s="9" t="s">
        <v>1309</v>
      </c>
      <c r="L616" s="83">
        <v>45200</v>
      </c>
      <c r="M616" s="83">
        <v>45230</v>
      </c>
    </row>
    <row r="617" spans="1:13" ht="18.75" customHeight="1" x14ac:dyDescent="0.25">
      <c r="A617" s="9" t="s">
        <v>8</v>
      </c>
      <c r="B617" s="81">
        <v>121330</v>
      </c>
      <c r="C617" s="81">
        <v>10750</v>
      </c>
      <c r="D617" s="9" t="s">
        <v>1528</v>
      </c>
      <c r="E617" s="81">
        <v>14563151</v>
      </c>
      <c r="F617" s="81">
        <v>53511</v>
      </c>
      <c r="G617" s="81">
        <v>25</v>
      </c>
      <c r="H617" s="82">
        <v>26.3</v>
      </c>
      <c r="I617" s="251">
        <v>657.5</v>
      </c>
      <c r="J617" s="9" t="s">
        <v>1305</v>
      </c>
      <c r="K617" s="9" t="s">
        <v>1306</v>
      </c>
      <c r="L617" s="83">
        <v>45200</v>
      </c>
      <c r="M617" s="83">
        <v>45230</v>
      </c>
    </row>
    <row r="618" spans="1:13" ht="18.75" customHeight="1" x14ac:dyDescent="0.25">
      <c r="A618" s="9" t="s">
        <v>32</v>
      </c>
      <c r="B618" s="81">
        <v>112531</v>
      </c>
      <c r="C618" s="81">
        <v>10750</v>
      </c>
      <c r="D618" s="9" t="s">
        <v>243</v>
      </c>
      <c r="E618" s="81">
        <v>14563151</v>
      </c>
      <c r="F618" s="81">
        <v>29497</v>
      </c>
      <c r="G618" s="81">
        <v>25</v>
      </c>
      <c r="H618" s="82">
        <v>26.3</v>
      </c>
      <c r="I618" s="251">
        <v>657.5</v>
      </c>
      <c r="J618" s="9" t="s">
        <v>1305</v>
      </c>
      <c r="K618" s="9" t="s">
        <v>1306</v>
      </c>
      <c r="L618" s="83">
        <v>45200</v>
      </c>
      <c r="M618" s="83">
        <v>45230</v>
      </c>
    </row>
    <row r="619" spans="1:13" ht="18.75" customHeight="1" x14ac:dyDescent="0.25">
      <c r="A619" s="9" t="s">
        <v>0</v>
      </c>
      <c r="B619" s="81">
        <v>113426</v>
      </c>
      <c r="C619" s="81">
        <v>10750</v>
      </c>
      <c r="D619" s="9" t="s">
        <v>772</v>
      </c>
      <c r="E619" s="81">
        <v>14563151</v>
      </c>
      <c r="F619" s="81">
        <v>31287</v>
      </c>
      <c r="G619" s="81">
        <v>25</v>
      </c>
      <c r="H619" s="82">
        <v>26.3</v>
      </c>
      <c r="I619" s="251">
        <v>657.5</v>
      </c>
      <c r="J619" s="9" t="s">
        <v>1305</v>
      </c>
      <c r="K619" s="9" t="s">
        <v>1306</v>
      </c>
      <c r="L619" s="83">
        <v>45200</v>
      </c>
      <c r="M619" s="83">
        <v>45230</v>
      </c>
    </row>
    <row r="620" spans="1:13" ht="18.75" customHeight="1" x14ac:dyDescent="0.25">
      <c r="A620" s="9" t="s">
        <v>19</v>
      </c>
      <c r="B620" s="81">
        <v>113050</v>
      </c>
      <c r="C620" s="81">
        <v>10751</v>
      </c>
      <c r="D620" s="9" t="s">
        <v>560</v>
      </c>
      <c r="E620" s="81">
        <v>14563151</v>
      </c>
      <c r="F620" s="81">
        <v>30535</v>
      </c>
      <c r="G620" s="81">
        <v>25</v>
      </c>
      <c r="H620" s="82">
        <v>26.3</v>
      </c>
      <c r="I620" s="251">
        <v>657.5</v>
      </c>
      <c r="J620" s="9" t="s">
        <v>1305</v>
      </c>
      <c r="K620" s="9" t="s">
        <v>1306</v>
      </c>
      <c r="L620" s="83">
        <v>45200</v>
      </c>
      <c r="M620" s="83">
        <v>45230</v>
      </c>
    </row>
    <row r="621" spans="1:13" ht="18.75" customHeight="1" x14ac:dyDescent="0.25">
      <c r="A621" s="9" t="s">
        <v>0</v>
      </c>
      <c r="B621" s="81">
        <v>113093</v>
      </c>
      <c r="C621" s="81">
        <v>10757</v>
      </c>
      <c r="D621" s="9" t="s">
        <v>581</v>
      </c>
      <c r="E621" s="81">
        <v>14563151</v>
      </c>
      <c r="F621" s="81">
        <v>30621</v>
      </c>
      <c r="G621" s="81">
        <v>25</v>
      </c>
      <c r="H621" s="82">
        <v>26.3</v>
      </c>
      <c r="I621" s="251">
        <v>657.5</v>
      </c>
      <c r="J621" s="9" t="s">
        <v>1305</v>
      </c>
      <c r="K621" s="9" t="s">
        <v>1306</v>
      </c>
      <c r="L621" s="83">
        <v>45200</v>
      </c>
      <c r="M621" s="83">
        <v>45230</v>
      </c>
    </row>
    <row r="622" spans="1:13" ht="18.75" customHeight="1" x14ac:dyDescent="0.25">
      <c r="A622" s="9" t="s">
        <v>1578</v>
      </c>
      <c r="B622" s="81">
        <v>113094</v>
      </c>
      <c r="C622" s="81">
        <v>10748</v>
      </c>
      <c r="D622" s="9" t="s">
        <v>582</v>
      </c>
      <c r="E622" s="81">
        <v>14563151</v>
      </c>
      <c r="F622" s="81">
        <v>30623</v>
      </c>
      <c r="G622" s="81">
        <v>25</v>
      </c>
      <c r="H622" s="82">
        <v>26.3</v>
      </c>
      <c r="I622" s="251">
        <v>657.5</v>
      </c>
      <c r="J622" s="9" t="s">
        <v>1305</v>
      </c>
      <c r="K622" s="9" t="s">
        <v>1306</v>
      </c>
      <c r="L622" s="83">
        <v>45200</v>
      </c>
      <c r="M622" s="83">
        <v>45230</v>
      </c>
    </row>
    <row r="623" spans="1:13" ht="18.75" customHeight="1" x14ac:dyDescent="0.25">
      <c r="A623" s="9" t="s">
        <v>10</v>
      </c>
      <c r="B623" s="81">
        <v>112178</v>
      </c>
      <c r="C623" s="81">
        <v>10757</v>
      </c>
      <c r="D623" s="9" t="s">
        <v>16</v>
      </c>
      <c r="E623" s="81">
        <v>14563151</v>
      </c>
      <c r="F623" s="81">
        <v>28791</v>
      </c>
      <c r="G623" s="81">
        <v>25</v>
      </c>
      <c r="H623" s="82">
        <v>26.3</v>
      </c>
      <c r="I623" s="251">
        <v>657.5</v>
      </c>
      <c r="J623" s="9" t="s">
        <v>1305</v>
      </c>
      <c r="K623" s="9" t="s">
        <v>1306</v>
      </c>
      <c r="L623" s="83">
        <v>45200</v>
      </c>
      <c r="M623" s="83">
        <v>45230</v>
      </c>
    </row>
    <row r="624" spans="1:13" ht="18.75" customHeight="1" x14ac:dyDescent="0.25">
      <c r="A624" s="9" t="s">
        <v>1578</v>
      </c>
      <c r="B624" s="81">
        <v>113098</v>
      </c>
      <c r="C624" s="81">
        <v>10759</v>
      </c>
      <c r="D624" s="9" t="s">
        <v>584</v>
      </c>
      <c r="E624" s="81">
        <v>14563151</v>
      </c>
      <c r="F624" s="81">
        <v>30631</v>
      </c>
      <c r="G624" s="81">
        <v>25</v>
      </c>
      <c r="H624" s="82">
        <v>26.3</v>
      </c>
      <c r="I624" s="251">
        <v>657.5</v>
      </c>
      <c r="J624" s="9" t="s">
        <v>1305</v>
      </c>
      <c r="K624" s="9" t="s">
        <v>1306</v>
      </c>
      <c r="L624" s="83">
        <v>45200</v>
      </c>
      <c r="M624" s="83">
        <v>45230</v>
      </c>
    </row>
    <row r="625" spans="1:13" ht="18.75" customHeight="1" x14ac:dyDescent="0.25">
      <c r="A625" s="9" t="s">
        <v>8</v>
      </c>
      <c r="B625" s="81">
        <v>116236</v>
      </c>
      <c r="C625" s="81">
        <v>10750</v>
      </c>
      <c r="D625" s="9" t="s">
        <v>1196</v>
      </c>
      <c r="E625" s="81">
        <v>14563151</v>
      </c>
      <c r="F625" s="81">
        <v>41580</v>
      </c>
      <c r="G625" s="81">
        <v>25</v>
      </c>
      <c r="H625" s="82">
        <v>26.3</v>
      </c>
      <c r="I625" s="251">
        <v>657.5</v>
      </c>
      <c r="J625" s="9" t="s">
        <v>1305</v>
      </c>
      <c r="K625" s="9" t="s">
        <v>1306</v>
      </c>
      <c r="L625" s="83">
        <v>45200</v>
      </c>
      <c r="M625" s="83">
        <v>45230</v>
      </c>
    </row>
    <row r="626" spans="1:13" ht="18.75" customHeight="1" x14ac:dyDescent="0.25">
      <c r="A626" s="9" t="s">
        <v>0</v>
      </c>
      <c r="B626" s="81">
        <v>113072</v>
      </c>
      <c r="C626" s="81">
        <v>10757</v>
      </c>
      <c r="D626" s="9" t="s">
        <v>569</v>
      </c>
      <c r="E626" s="81">
        <v>14563151</v>
      </c>
      <c r="F626" s="81">
        <v>30579</v>
      </c>
      <c r="G626" s="81">
        <v>25</v>
      </c>
      <c r="H626" s="82">
        <v>26.3</v>
      </c>
      <c r="I626" s="251">
        <v>657.5</v>
      </c>
      <c r="J626" s="9" t="s">
        <v>1305</v>
      </c>
      <c r="K626" s="9" t="s">
        <v>1306</v>
      </c>
      <c r="L626" s="83">
        <v>45200</v>
      </c>
      <c r="M626" s="83">
        <v>45230</v>
      </c>
    </row>
    <row r="627" spans="1:13" ht="18.75" customHeight="1" x14ac:dyDescent="0.25">
      <c r="A627" s="9" t="s">
        <v>8</v>
      </c>
      <c r="B627" s="81">
        <v>112774</v>
      </c>
      <c r="C627" s="81">
        <v>10754</v>
      </c>
      <c r="D627" s="9" t="s">
        <v>398</v>
      </c>
      <c r="E627" s="81">
        <v>14563151</v>
      </c>
      <c r="F627" s="81">
        <v>29983</v>
      </c>
      <c r="G627" s="81">
        <v>25</v>
      </c>
      <c r="H627" s="82">
        <v>26.3</v>
      </c>
      <c r="I627" s="251">
        <v>657.5</v>
      </c>
      <c r="J627" s="9" t="s">
        <v>1305</v>
      </c>
      <c r="K627" s="9" t="s">
        <v>1306</v>
      </c>
      <c r="L627" s="83">
        <v>45200</v>
      </c>
      <c r="M627" s="83">
        <v>45230</v>
      </c>
    </row>
    <row r="628" spans="1:13" ht="18.75" customHeight="1" x14ac:dyDescent="0.25">
      <c r="A628" s="9" t="s">
        <v>1578</v>
      </c>
      <c r="B628" s="81">
        <v>113164</v>
      </c>
      <c r="C628" s="81">
        <v>10761</v>
      </c>
      <c r="D628" s="9" t="s">
        <v>622</v>
      </c>
      <c r="E628" s="81">
        <v>14563151</v>
      </c>
      <c r="F628" s="81">
        <v>30763</v>
      </c>
      <c r="G628" s="81">
        <v>25</v>
      </c>
      <c r="H628" s="82">
        <v>26.3</v>
      </c>
      <c r="I628" s="251">
        <v>657.5</v>
      </c>
      <c r="J628" s="9" t="s">
        <v>1305</v>
      </c>
      <c r="K628" s="9" t="s">
        <v>1306</v>
      </c>
      <c r="L628" s="83">
        <v>45200</v>
      </c>
      <c r="M628" s="83">
        <v>45230</v>
      </c>
    </row>
    <row r="629" spans="1:13" ht="18.75" customHeight="1" x14ac:dyDescent="0.25">
      <c r="A629" s="9" t="s">
        <v>32</v>
      </c>
      <c r="B629" s="81">
        <v>112967</v>
      </c>
      <c r="C629" s="81">
        <v>10755</v>
      </c>
      <c r="D629" s="9" t="s">
        <v>524</v>
      </c>
      <c r="E629" s="81">
        <v>14563151</v>
      </c>
      <c r="F629" s="81">
        <v>30369</v>
      </c>
      <c r="G629" s="81">
        <v>25</v>
      </c>
      <c r="H629" s="82">
        <v>26.3</v>
      </c>
      <c r="I629" s="251">
        <v>657.5</v>
      </c>
      <c r="J629" s="9" t="s">
        <v>1305</v>
      </c>
      <c r="K629" s="9" t="s">
        <v>1306</v>
      </c>
      <c r="L629" s="83">
        <v>45200</v>
      </c>
      <c r="M629" s="83">
        <v>45230</v>
      </c>
    </row>
    <row r="630" spans="1:13" ht="18.75" customHeight="1" x14ac:dyDescent="0.25">
      <c r="A630" s="9" t="s">
        <v>0</v>
      </c>
      <c r="B630" s="81">
        <v>121953</v>
      </c>
      <c r="C630" s="81">
        <v>10761</v>
      </c>
      <c r="D630" s="9" t="s">
        <v>1609</v>
      </c>
      <c r="E630" s="81">
        <v>14563151</v>
      </c>
      <c r="F630" s="81">
        <v>54962</v>
      </c>
      <c r="G630" s="81">
        <v>25</v>
      </c>
      <c r="H630" s="82">
        <v>26.3</v>
      </c>
      <c r="I630" s="251">
        <v>657.5</v>
      </c>
      <c r="J630" s="9" t="s">
        <v>1305</v>
      </c>
      <c r="K630" s="9" t="s">
        <v>1309</v>
      </c>
      <c r="L630" s="83">
        <v>45200</v>
      </c>
      <c r="M630" s="83">
        <v>45230</v>
      </c>
    </row>
    <row r="631" spans="1:13" ht="18.75" customHeight="1" x14ac:dyDescent="0.25">
      <c r="A631" s="9" t="s">
        <v>0</v>
      </c>
      <c r="B631" s="81">
        <v>116010</v>
      </c>
      <c r="C631" s="81">
        <v>10757</v>
      </c>
      <c r="D631" s="9" t="s">
        <v>1171</v>
      </c>
      <c r="E631" s="81">
        <v>14563151</v>
      </c>
      <c r="F631" s="81">
        <v>40876</v>
      </c>
      <c r="G631" s="81">
        <v>25</v>
      </c>
      <c r="H631" s="82">
        <v>26.3</v>
      </c>
      <c r="I631" s="251">
        <v>657.5</v>
      </c>
      <c r="J631" s="9" t="s">
        <v>1305</v>
      </c>
      <c r="K631" s="9" t="s">
        <v>1306</v>
      </c>
      <c r="L631" s="83">
        <v>45200</v>
      </c>
      <c r="M631" s="83">
        <v>45230</v>
      </c>
    </row>
    <row r="632" spans="1:13" ht="18.75" customHeight="1" x14ac:dyDescent="0.25">
      <c r="A632" s="9" t="s">
        <v>19</v>
      </c>
      <c r="B632" s="81">
        <v>121414</v>
      </c>
      <c r="C632" s="81">
        <v>10755</v>
      </c>
      <c r="D632" s="9" t="s">
        <v>1560</v>
      </c>
      <c r="E632" s="81">
        <v>14563151</v>
      </c>
      <c r="F632" s="81">
        <v>53709</v>
      </c>
      <c r="G632" s="81">
        <v>25</v>
      </c>
      <c r="H632" s="82">
        <v>26.3</v>
      </c>
      <c r="I632" s="251">
        <v>657.5</v>
      </c>
      <c r="J632" s="9" t="s">
        <v>1305</v>
      </c>
      <c r="K632" s="9" t="s">
        <v>1306</v>
      </c>
      <c r="L632" s="83">
        <v>45200</v>
      </c>
      <c r="M632" s="83">
        <v>45230</v>
      </c>
    </row>
    <row r="633" spans="1:13" ht="18.75" customHeight="1" x14ac:dyDescent="0.25">
      <c r="A633" s="9" t="s">
        <v>0</v>
      </c>
      <c r="B633" s="81">
        <v>113406</v>
      </c>
      <c r="C633" s="81">
        <v>10750</v>
      </c>
      <c r="D633" s="9" t="s">
        <v>758</v>
      </c>
      <c r="E633" s="81">
        <v>14563151</v>
      </c>
      <c r="F633" s="81">
        <v>31247</v>
      </c>
      <c r="G633" s="81">
        <v>25</v>
      </c>
      <c r="H633" s="82">
        <v>26.3</v>
      </c>
      <c r="I633" s="251">
        <v>657.5</v>
      </c>
      <c r="J633" s="9" t="s">
        <v>1305</v>
      </c>
      <c r="K633" s="9" t="s">
        <v>1306</v>
      </c>
      <c r="L633" s="83">
        <v>45200</v>
      </c>
      <c r="M633" s="83">
        <v>45230</v>
      </c>
    </row>
    <row r="634" spans="1:13" ht="18.75" customHeight="1" x14ac:dyDescent="0.25">
      <c r="A634" s="9" t="s">
        <v>0</v>
      </c>
      <c r="B634" s="81">
        <v>118059</v>
      </c>
      <c r="C634" s="81">
        <v>10757</v>
      </c>
      <c r="D634" s="9" t="s">
        <v>1424</v>
      </c>
      <c r="E634" s="81">
        <v>14563151</v>
      </c>
      <c r="F634" s="81">
        <v>45907</v>
      </c>
      <c r="G634" s="81">
        <v>24</v>
      </c>
      <c r="H634" s="82">
        <v>26.3</v>
      </c>
      <c r="I634" s="251">
        <v>631.20000000000005</v>
      </c>
      <c r="J634" s="9" t="s">
        <v>1305</v>
      </c>
      <c r="K634" s="9" t="s">
        <v>1306</v>
      </c>
      <c r="L634" s="83">
        <v>45200</v>
      </c>
      <c r="M634" s="83">
        <v>45230</v>
      </c>
    </row>
    <row r="635" spans="1:13" ht="18.75" customHeight="1" x14ac:dyDescent="0.25">
      <c r="A635" s="9" t="s">
        <v>1578</v>
      </c>
      <c r="B635" s="81">
        <v>113599</v>
      </c>
      <c r="C635" s="81">
        <v>10762</v>
      </c>
      <c r="D635" s="9" t="s">
        <v>866</v>
      </c>
      <c r="E635" s="81">
        <v>14563151</v>
      </c>
      <c r="F635" s="81">
        <v>31633</v>
      </c>
      <c r="G635" s="81">
        <v>25</v>
      </c>
      <c r="H635" s="82">
        <v>26.3</v>
      </c>
      <c r="I635" s="251">
        <v>657.5</v>
      </c>
      <c r="J635" s="9" t="s">
        <v>1305</v>
      </c>
      <c r="K635" s="9" t="s">
        <v>1306</v>
      </c>
      <c r="L635" s="83">
        <v>45200</v>
      </c>
      <c r="M635" s="83">
        <v>45230</v>
      </c>
    </row>
    <row r="636" spans="1:13" ht="18.75" customHeight="1" x14ac:dyDescent="0.25">
      <c r="A636" s="9" t="s">
        <v>0</v>
      </c>
      <c r="B636" s="81">
        <v>117409</v>
      </c>
      <c r="C636" s="81">
        <v>10750</v>
      </c>
      <c r="D636" s="9" t="s">
        <v>1271</v>
      </c>
      <c r="E636" s="81">
        <v>14563151</v>
      </c>
      <c r="F636" s="81">
        <v>44521</v>
      </c>
      <c r="G636" s="81">
        <v>25</v>
      </c>
      <c r="H636" s="82">
        <v>26.3</v>
      </c>
      <c r="I636" s="251">
        <v>657.5</v>
      </c>
      <c r="J636" s="9" t="s">
        <v>1305</v>
      </c>
      <c r="K636" s="9" t="s">
        <v>1306</v>
      </c>
      <c r="L636" s="83">
        <v>45200</v>
      </c>
      <c r="M636" s="83">
        <v>45230</v>
      </c>
    </row>
    <row r="637" spans="1:13" ht="18.75" customHeight="1" x14ac:dyDescent="0.25">
      <c r="A637" s="9" t="s">
        <v>32</v>
      </c>
      <c r="B637" s="81">
        <v>122835</v>
      </c>
      <c r="C637" s="81">
        <v>10758</v>
      </c>
      <c r="D637" s="9" t="s">
        <v>1721</v>
      </c>
      <c r="E637" s="81">
        <v>14563151</v>
      </c>
      <c r="F637" s="81">
        <v>57266</v>
      </c>
      <c r="G637" s="81">
        <v>25</v>
      </c>
      <c r="H637" s="82">
        <v>26.3</v>
      </c>
      <c r="I637" s="251">
        <v>657.5</v>
      </c>
      <c r="J637" s="9" t="s">
        <v>1305</v>
      </c>
      <c r="K637" s="9" t="s">
        <v>1309</v>
      </c>
      <c r="L637" s="83">
        <v>45200</v>
      </c>
      <c r="M637" s="83">
        <v>45230</v>
      </c>
    </row>
    <row r="638" spans="1:13" ht="18.75" customHeight="1" x14ac:dyDescent="0.25">
      <c r="A638" s="9" t="s">
        <v>1578</v>
      </c>
      <c r="B638" s="81">
        <v>113132</v>
      </c>
      <c r="C638" s="81">
        <v>10768</v>
      </c>
      <c r="D638" s="9" t="s">
        <v>601</v>
      </c>
      <c r="E638" s="81">
        <v>14563151</v>
      </c>
      <c r="F638" s="81">
        <v>30699</v>
      </c>
      <c r="G638" s="81">
        <v>25</v>
      </c>
      <c r="H638" s="82">
        <v>26.3</v>
      </c>
      <c r="I638" s="251">
        <v>657.5</v>
      </c>
      <c r="J638" s="9" t="s">
        <v>1305</v>
      </c>
      <c r="K638" s="9" t="s">
        <v>1306</v>
      </c>
      <c r="L638" s="83">
        <v>45200</v>
      </c>
      <c r="M638" s="83">
        <v>45230</v>
      </c>
    </row>
    <row r="639" spans="1:13" ht="18.75" customHeight="1" x14ac:dyDescent="0.25">
      <c r="A639" s="9" t="s">
        <v>1578</v>
      </c>
      <c r="B639" s="81">
        <v>112957</v>
      </c>
      <c r="C639" s="81">
        <v>10768</v>
      </c>
      <c r="D639" s="9" t="s">
        <v>1347</v>
      </c>
      <c r="E639" s="81">
        <v>14563151</v>
      </c>
      <c r="F639" s="81">
        <v>30349</v>
      </c>
      <c r="G639" s="81">
        <v>25</v>
      </c>
      <c r="H639" s="82">
        <v>26.3</v>
      </c>
      <c r="I639" s="251">
        <v>657.5</v>
      </c>
      <c r="J639" s="9" t="s">
        <v>1305</v>
      </c>
      <c r="K639" s="9" t="s">
        <v>1306</v>
      </c>
      <c r="L639" s="83">
        <v>45200</v>
      </c>
      <c r="M639" s="83">
        <v>45230</v>
      </c>
    </row>
    <row r="640" spans="1:13" ht="18.75" customHeight="1" x14ac:dyDescent="0.25">
      <c r="A640" s="9" t="s">
        <v>10</v>
      </c>
      <c r="B640" s="81">
        <v>112226</v>
      </c>
      <c r="C640" s="81">
        <v>10750</v>
      </c>
      <c r="D640" s="9" t="s">
        <v>48</v>
      </c>
      <c r="E640" s="81">
        <v>14563151</v>
      </c>
      <c r="F640" s="81">
        <v>28887</v>
      </c>
      <c r="G640" s="81">
        <v>25</v>
      </c>
      <c r="H640" s="82">
        <v>26.3</v>
      </c>
      <c r="I640" s="251">
        <v>657.5</v>
      </c>
      <c r="J640" s="9" t="s">
        <v>1305</v>
      </c>
      <c r="K640" s="9" t="s">
        <v>1306</v>
      </c>
      <c r="L640" s="83">
        <v>45200</v>
      </c>
      <c r="M640" s="83">
        <v>45230</v>
      </c>
    </row>
    <row r="641" spans="1:13" ht="18.75" customHeight="1" x14ac:dyDescent="0.25">
      <c r="A641" s="9" t="s">
        <v>1578</v>
      </c>
      <c r="B641" s="81">
        <v>113166</v>
      </c>
      <c r="C641" s="81">
        <v>10768</v>
      </c>
      <c r="D641" s="9" t="s">
        <v>623</v>
      </c>
      <c r="E641" s="81">
        <v>14563151</v>
      </c>
      <c r="F641" s="81">
        <v>30767</v>
      </c>
      <c r="G641" s="81">
        <v>25</v>
      </c>
      <c r="H641" s="82">
        <v>26.3</v>
      </c>
      <c r="I641" s="251">
        <v>657.5</v>
      </c>
      <c r="J641" s="9" t="s">
        <v>1305</v>
      </c>
      <c r="K641" s="9" t="s">
        <v>1306</v>
      </c>
      <c r="L641" s="83">
        <v>45200</v>
      </c>
      <c r="M641" s="83">
        <v>45230</v>
      </c>
    </row>
    <row r="642" spans="1:13" ht="18.75" customHeight="1" x14ac:dyDescent="0.25">
      <c r="A642" s="9" t="s">
        <v>8</v>
      </c>
      <c r="B642" s="81">
        <v>112789</v>
      </c>
      <c r="C642" s="81">
        <v>10750</v>
      </c>
      <c r="D642" s="9" t="s">
        <v>411</v>
      </c>
      <c r="E642" s="81">
        <v>14563151</v>
      </c>
      <c r="F642" s="81">
        <v>30013</v>
      </c>
      <c r="G642" s="81">
        <v>25</v>
      </c>
      <c r="H642" s="82">
        <v>26.3</v>
      </c>
      <c r="I642" s="251">
        <v>657.5</v>
      </c>
      <c r="J642" s="9" t="s">
        <v>1305</v>
      </c>
      <c r="K642" s="9" t="s">
        <v>1306</v>
      </c>
      <c r="L642" s="83">
        <v>45200</v>
      </c>
      <c r="M642" s="83">
        <v>45230</v>
      </c>
    </row>
    <row r="643" spans="1:13" ht="18.75" customHeight="1" x14ac:dyDescent="0.25">
      <c r="A643" s="9" t="s">
        <v>0</v>
      </c>
      <c r="B643" s="81">
        <v>113410</v>
      </c>
      <c r="C643" s="81">
        <v>10750</v>
      </c>
      <c r="D643" s="9" t="s">
        <v>760</v>
      </c>
      <c r="E643" s="81">
        <v>14563151</v>
      </c>
      <c r="F643" s="81">
        <v>31255</v>
      </c>
      <c r="G643" s="81">
        <v>25</v>
      </c>
      <c r="H643" s="82">
        <v>26.3</v>
      </c>
      <c r="I643" s="251">
        <v>657.5</v>
      </c>
      <c r="J643" s="9" t="s">
        <v>1305</v>
      </c>
      <c r="K643" s="9" t="s">
        <v>1306</v>
      </c>
      <c r="L643" s="83">
        <v>45200</v>
      </c>
      <c r="M643" s="83">
        <v>45230</v>
      </c>
    </row>
    <row r="644" spans="1:13" ht="18.75" customHeight="1" x14ac:dyDescent="0.25">
      <c r="A644" s="9" t="s">
        <v>1578</v>
      </c>
      <c r="B644" s="81">
        <v>114800</v>
      </c>
      <c r="C644" s="81">
        <v>10763</v>
      </c>
      <c r="D644" s="9" t="s">
        <v>1101</v>
      </c>
      <c r="E644" s="81">
        <v>14563151</v>
      </c>
      <c r="F644" s="81">
        <v>37066</v>
      </c>
      <c r="G644" s="81">
        <v>25</v>
      </c>
      <c r="H644" s="82">
        <v>26.3</v>
      </c>
      <c r="I644" s="251">
        <v>657.5</v>
      </c>
      <c r="J644" s="9" t="s">
        <v>1305</v>
      </c>
      <c r="K644" s="9" t="s">
        <v>1306</v>
      </c>
      <c r="L644" s="83">
        <v>45200</v>
      </c>
      <c r="M644" s="83">
        <v>45230</v>
      </c>
    </row>
    <row r="645" spans="1:13" ht="18.75" customHeight="1" x14ac:dyDescent="0.25">
      <c r="A645" s="9" t="s">
        <v>0</v>
      </c>
      <c r="B645" s="81">
        <v>115008</v>
      </c>
      <c r="C645" s="81">
        <v>10758</v>
      </c>
      <c r="D645" s="9" t="s">
        <v>1138</v>
      </c>
      <c r="E645" s="81">
        <v>14563151</v>
      </c>
      <c r="F645" s="81">
        <v>37802</v>
      </c>
      <c r="G645" s="81">
        <v>25</v>
      </c>
      <c r="H645" s="82">
        <v>26.3</v>
      </c>
      <c r="I645" s="251">
        <v>657.5</v>
      </c>
      <c r="J645" s="9" t="s">
        <v>1305</v>
      </c>
      <c r="K645" s="9" t="s">
        <v>1306</v>
      </c>
      <c r="L645" s="83">
        <v>45200</v>
      </c>
      <c r="M645" s="83">
        <v>45230</v>
      </c>
    </row>
    <row r="646" spans="1:13" ht="18.75" customHeight="1" x14ac:dyDescent="0.25">
      <c r="A646" s="9" t="s">
        <v>19</v>
      </c>
      <c r="B646" s="81">
        <v>114263</v>
      </c>
      <c r="C646" s="81">
        <v>10751</v>
      </c>
      <c r="D646" s="9" t="s">
        <v>1025</v>
      </c>
      <c r="E646" s="81">
        <v>14563151</v>
      </c>
      <c r="F646" s="81">
        <v>35806</v>
      </c>
      <c r="G646" s="81">
        <v>25</v>
      </c>
      <c r="H646" s="82">
        <v>26.3</v>
      </c>
      <c r="I646" s="251">
        <v>657.5</v>
      </c>
      <c r="J646" s="9" t="s">
        <v>1305</v>
      </c>
      <c r="K646" s="9" t="s">
        <v>1306</v>
      </c>
      <c r="L646" s="83">
        <v>45200</v>
      </c>
      <c r="M646" s="83">
        <v>45230</v>
      </c>
    </row>
    <row r="647" spans="1:13" ht="18.75" customHeight="1" x14ac:dyDescent="0.25">
      <c r="A647" s="9" t="s">
        <v>0</v>
      </c>
      <c r="B647" s="81">
        <v>116002</v>
      </c>
      <c r="C647" s="81">
        <v>10758</v>
      </c>
      <c r="D647" s="9" t="s">
        <v>1166</v>
      </c>
      <c r="E647" s="81">
        <v>14563151</v>
      </c>
      <c r="F647" s="81">
        <v>40860</v>
      </c>
      <c r="G647" s="81">
        <v>25</v>
      </c>
      <c r="H647" s="82">
        <v>26.3</v>
      </c>
      <c r="I647" s="251">
        <v>657.5</v>
      </c>
      <c r="J647" s="9" t="s">
        <v>1305</v>
      </c>
      <c r="K647" s="9" t="s">
        <v>1306</v>
      </c>
      <c r="L647" s="83">
        <v>45200</v>
      </c>
      <c r="M647" s="83">
        <v>45230</v>
      </c>
    </row>
    <row r="648" spans="1:13" ht="18.75" customHeight="1" x14ac:dyDescent="0.25">
      <c r="A648" s="9" t="s">
        <v>0</v>
      </c>
      <c r="B648" s="81">
        <v>121685</v>
      </c>
      <c r="C648" s="81">
        <v>10757</v>
      </c>
      <c r="D648" s="9" t="s">
        <v>1594</v>
      </c>
      <c r="E648" s="81">
        <v>14563151</v>
      </c>
      <c r="F648" s="81">
        <v>54458</v>
      </c>
      <c r="G648" s="81">
        <v>25</v>
      </c>
      <c r="H648" s="82">
        <v>26.3</v>
      </c>
      <c r="I648" s="251">
        <v>657.5</v>
      </c>
      <c r="J648" s="9" t="s">
        <v>1305</v>
      </c>
      <c r="K648" s="9" t="s">
        <v>1306</v>
      </c>
      <c r="L648" s="83">
        <v>45200</v>
      </c>
      <c r="M648" s="83">
        <v>45230</v>
      </c>
    </row>
    <row r="649" spans="1:13" ht="18.75" customHeight="1" x14ac:dyDescent="0.25">
      <c r="A649" s="9" t="s">
        <v>1578</v>
      </c>
      <c r="B649" s="81">
        <v>113123</v>
      </c>
      <c r="C649" s="81">
        <v>10757</v>
      </c>
      <c r="D649" s="9" t="s">
        <v>597</v>
      </c>
      <c r="E649" s="81">
        <v>14563151</v>
      </c>
      <c r="F649" s="81">
        <v>30681</v>
      </c>
      <c r="G649" s="81">
        <v>25</v>
      </c>
      <c r="H649" s="82">
        <v>26.3</v>
      </c>
      <c r="I649" s="251">
        <v>657.5</v>
      </c>
      <c r="J649" s="9" t="s">
        <v>1305</v>
      </c>
      <c r="K649" s="9" t="s">
        <v>1306</v>
      </c>
      <c r="L649" s="83">
        <v>45200</v>
      </c>
      <c r="M649" s="83">
        <v>45230</v>
      </c>
    </row>
    <row r="650" spans="1:13" ht="18.75" customHeight="1" x14ac:dyDescent="0.25">
      <c r="A650" s="9" t="s">
        <v>32</v>
      </c>
      <c r="B650" s="81">
        <v>121326</v>
      </c>
      <c r="C650" s="81">
        <v>10757</v>
      </c>
      <c r="D650" s="9" t="s">
        <v>1529</v>
      </c>
      <c r="E650" s="81">
        <v>14563151</v>
      </c>
      <c r="F650" s="81">
        <v>53535</v>
      </c>
      <c r="G650" s="81">
        <v>25</v>
      </c>
      <c r="H650" s="82">
        <v>26.3</v>
      </c>
      <c r="I650" s="251">
        <v>657.5</v>
      </c>
      <c r="J650" s="9" t="s">
        <v>1305</v>
      </c>
      <c r="K650" s="9" t="s">
        <v>1306</v>
      </c>
      <c r="L650" s="83">
        <v>45200</v>
      </c>
      <c r="M650" s="83">
        <v>45230</v>
      </c>
    </row>
    <row r="651" spans="1:13" ht="18.75" customHeight="1" x14ac:dyDescent="0.25">
      <c r="A651" s="9" t="s">
        <v>8</v>
      </c>
      <c r="B651" s="81">
        <v>112513</v>
      </c>
      <c r="C651" s="81">
        <v>10771</v>
      </c>
      <c r="D651" s="9" t="s">
        <v>230</v>
      </c>
      <c r="E651" s="81">
        <v>14563151</v>
      </c>
      <c r="F651" s="81">
        <v>29461</v>
      </c>
      <c r="G651" s="81">
        <v>25</v>
      </c>
      <c r="H651" s="82">
        <v>26.3</v>
      </c>
      <c r="I651" s="251">
        <v>657.5</v>
      </c>
      <c r="J651" s="9" t="s">
        <v>1305</v>
      </c>
      <c r="K651" s="9" t="s">
        <v>1306</v>
      </c>
      <c r="L651" s="83">
        <v>45200</v>
      </c>
      <c r="M651" s="83">
        <v>45230</v>
      </c>
    </row>
    <row r="652" spans="1:13" ht="18.75" customHeight="1" x14ac:dyDescent="0.25">
      <c r="A652" s="9" t="s">
        <v>1578</v>
      </c>
      <c r="B652" s="81">
        <v>122439</v>
      </c>
      <c r="C652" s="81">
        <v>10758</v>
      </c>
      <c r="D652" s="9" t="s">
        <v>1686</v>
      </c>
      <c r="E652" s="81">
        <v>14563151</v>
      </c>
      <c r="F652" s="81">
        <v>56199</v>
      </c>
      <c r="G652" s="81">
        <v>25</v>
      </c>
      <c r="H652" s="82">
        <v>26.3</v>
      </c>
      <c r="I652" s="251">
        <v>657.5</v>
      </c>
      <c r="J652" s="9" t="s">
        <v>1305</v>
      </c>
      <c r="K652" s="9" t="s">
        <v>1309</v>
      </c>
      <c r="L652" s="83">
        <v>45200</v>
      </c>
      <c r="M652" s="83">
        <v>45230</v>
      </c>
    </row>
    <row r="653" spans="1:13" ht="18.75" customHeight="1" x14ac:dyDescent="0.25">
      <c r="A653" s="9" t="s">
        <v>19</v>
      </c>
      <c r="B653" s="81">
        <v>121321</v>
      </c>
      <c r="C653" s="81">
        <v>10750</v>
      </c>
      <c r="D653" s="9" t="s">
        <v>1530</v>
      </c>
      <c r="E653" s="81">
        <v>14563151</v>
      </c>
      <c r="F653" s="81">
        <v>53497</v>
      </c>
      <c r="G653" s="81">
        <v>25</v>
      </c>
      <c r="H653" s="82">
        <v>26.3</v>
      </c>
      <c r="I653" s="251">
        <v>657.5</v>
      </c>
      <c r="J653" s="9" t="s">
        <v>1305</v>
      </c>
      <c r="K653" s="9" t="s">
        <v>1306</v>
      </c>
      <c r="L653" s="83">
        <v>45200</v>
      </c>
      <c r="M653" s="83">
        <v>45230</v>
      </c>
    </row>
    <row r="654" spans="1:13" ht="18.75" customHeight="1" x14ac:dyDescent="0.25">
      <c r="A654" s="9" t="s">
        <v>0</v>
      </c>
      <c r="B654" s="81">
        <v>112218</v>
      </c>
      <c r="C654" s="81">
        <v>10763</v>
      </c>
      <c r="D654" s="9" t="s">
        <v>1531</v>
      </c>
      <c r="E654" s="81">
        <v>14563151</v>
      </c>
      <c r="F654" s="81">
        <v>28871</v>
      </c>
      <c r="G654" s="81">
        <v>25</v>
      </c>
      <c r="H654" s="82">
        <v>26.3</v>
      </c>
      <c r="I654" s="251">
        <v>657.5</v>
      </c>
      <c r="J654" s="9" t="s">
        <v>1305</v>
      </c>
      <c r="K654" s="9" t="s">
        <v>1306</v>
      </c>
      <c r="L654" s="83">
        <v>45200</v>
      </c>
      <c r="M654" s="83">
        <v>45230</v>
      </c>
    </row>
    <row r="655" spans="1:13" ht="18.75" customHeight="1" x14ac:dyDescent="0.25">
      <c r="A655" s="9" t="s">
        <v>8</v>
      </c>
      <c r="B655" s="81">
        <v>112451</v>
      </c>
      <c r="C655" s="81">
        <v>10766</v>
      </c>
      <c r="D655" s="9" t="s">
        <v>189</v>
      </c>
      <c r="E655" s="81">
        <v>14563151</v>
      </c>
      <c r="F655" s="81">
        <v>29337</v>
      </c>
      <c r="G655" s="81">
        <v>25</v>
      </c>
      <c r="H655" s="82">
        <v>26.3</v>
      </c>
      <c r="I655" s="251">
        <v>657.5</v>
      </c>
      <c r="J655" s="9" t="s">
        <v>1305</v>
      </c>
      <c r="K655" s="9" t="s">
        <v>1306</v>
      </c>
      <c r="L655" s="83">
        <v>45200</v>
      </c>
      <c r="M655" s="83">
        <v>45230</v>
      </c>
    </row>
    <row r="656" spans="1:13" ht="18.75" customHeight="1" x14ac:dyDescent="0.25">
      <c r="A656" s="9" t="s">
        <v>1578</v>
      </c>
      <c r="B656" s="81">
        <v>113303</v>
      </c>
      <c r="C656" s="81">
        <v>10761</v>
      </c>
      <c r="D656" s="9" t="s">
        <v>695</v>
      </c>
      <c r="E656" s="81">
        <v>14563151</v>
      </c>
      <c r="F656" s="81">
        <v>31041</v>
      </c>
      <c r="G656" s="81">
        <v>25</v>
      </c>
      <c r="H656" s="82">
        <v>26.3</v>
      </c>
      <c r="I656" s="251">
        <v>657.5</v>
      </c>
      <c r="J656" s="9" t="s">
        <v>1305</v>
      </c>
      <c r="K656" s="9" t="s">
        <v>1306</v>
      </c>
      <c r="L656" s="83">
        <v>45200</v>
      </c>
      <c r="M656" s="83">
        <v>45230</v>
      </c>
    </row>
    <row r="657" spans="1:13" ht="18.75" customHeight="1" x14ac:dyDescent="0.25">
      <c r="A657" s="9" t="s">
        <v>1578</v>
      </c>
      <c r="B657" s="81">
        <v>113080</v>
      </c>
      <c r="C657" s="81">
        <v>10761</v>
      </c>
      <c r="D657" s="9" t="s">
        <v>575</v>
      </c>
      <c r="E657" s="81">
        <v>14563151</v>
      </c>
      <c r="F657" s="81">
        <v>30595</v>
      </c>
      <c r="G657" s="81">
        <v>25</v>
      </c>
      <c r="H657" s="82">
        <v>26.3</v>
      </c>
      <c r="I657" s="251">
        <v>657.5</v>
      </c>
      <c r="J657" s="9" t="s">
        <v>1305</v>
      </c>
      <c r="K657" s="9" t="s">
        <v>1306</v>
      </c>
      <c r="L657" s="83">
        <v>45200</v>
      </c>
      <c r="M657" s="83">
        <v>45230</v>
      </c>
    </row>
    <row r="658" spans="1:13" ht="18.75" customHeight="1" x14ac:dyDescent="0.25">
      <c r="A658" s="9" t="s">
        <v>8</v>
      </c>
      <c r="B658" s="81">
        <v>122575</v>
      </c>
      <c r="C658" s="81">
        <v>10758</v>
      </c>
      <c r="D658" s="9" t="s">
        <v>1687</v>
      </c>
      <c r="E658" s="81">
        <v>14563151</v>
      </c>
      <c r="F658" s="81">
        <v>56542</v>
      </c>
      <c r="G658" s="81">
        <v>25</v>
      </c>
      <c r="H658" s="82">
        <v>26.3</v>
      </c>
      <c r="I658" s="251">
        <v>657.5</v>
      </c>
      <c r="J658" s="9" t="s">
        <v>1305</v>
      </c>
      <c r="K658" s="9" t="s">
        <v>1306</v>
      </c>
      <c r="L658" s="83">
        <v>45200</v>
      </c>
      <c r="M658" s="83">
        <v>45230</v>
      </c>
    </row>
    <row r="659" spans="1:13" ht="18.75" customHeight="1" x14ac:dyDescent="0.25">
      <c r="A659" s="9" t="s">
        <v>1578</v>
      </c>
      <c r="B659" s="81">
        <v>113602</v>
      </c>
      <c r="C659" s="81">
        <v>10755</v>
      </c>
      <c r="D659" s="9" t="s">
        <v>867</v>
      </c>
      <c r="E659" s="81">
        <v>14563151</v>
      </c>
      <c r="F659" s="81">
        <v>31639</v>
      </c>
      <c r="G659" s="81">
        <v>25</v>
      </c>
      <c r="H659" s="82">
        <v>26.3</v>
      </c>
      <c r="I659" s="251">
        <v>657.5</v>
      </c>
      <c r="J659" s="9" t="s">
        <v>1305</v>
      </c>
      <c r="K659" s="9" t="s">
        <v>1306</v>
      </c>
      <c r="L659" s="83">
        <v>45200</v>
      </c>
      <c r="M659" s="83">
        <v>45230</v>
      </c>
    </row>
    <row r="660" spans="1:13" ht="18.75" customHeight="1" x14ac:dyDescent="0.25">
      <c r="A660" s="9" t="s">
        <v>0</v>
      </c>
      <c r="B660" s="81">
        <v>113432</v>
      </c>
      <c r="C660" s="81">
        <v>10754</v>
      </c>
      <c r="D660" s="9" t="s">
        <v>775</v>
      </c>
      <c r="E660" s="81">
        <v>14563151</v>
      </c>
      <c r="F660" s="81">
        <v>31299</v>
      </c>
      <c r="G660" s="81">
        <v>25</v>
      </c>
      <c r="H660" s="82">
        <v>26.3</v>
      </c>
      <c r="I660" s="251">
        <v>657.5</v>
      </c>
      <c r="J660" s="9" t="s">
        <v>1305</v>
      </c>
      <c r="K660" s="9" t="s">
        <v>1306</v>
      </c>
      <c r="L660" s="83">
        <v>45200</v>
      </c>
      <c r="M660" s="83">
        <v>45230</v>
      </c>
    </row>
    <row r="661" spans="1:13" ht="18.75" customHeight="1" x14ac:dyDescent="0.25">
      <c r="A661" s="9" t="s">
        <v>10</v>
      </c>
      <c r="B661" s="81">
        <v>112303</v>
      </c>
      <c r="C661" s="81">
        <v>10750</v>
      </c>
      <c r="D661" s="9" t="s">
        <v>99</v>
      </c>
      <c r="E661" s="81">
        <v>14563151</v>
      </c>
      <c r="F661" s="81">
        <v>29041</v>
      </c>
      <c r="G661" s="81">
        <v>24</v>
      </c>
      <c r="H661" s="82">
        <v>26.3</v>
      </c>
      <c r="I661" s="251">
        <v>631.20000000000005</v>
      </c>
      <c r="J661" s="9" t="s">
        <v>1305</v>
      </c>
      <c r="K661" s="9" t="s">
        <v>1306</v>
      </c>
      <c r="L661" s="83">
        <v>45200</v>
      </c>
      <c r="M661" s="83">
        <v>45230</v>
      </c>
    </row>
    <row r="662" spans="1:13" ht="18.75" customHeight="1" x14ac:dyDescent="0.25">
      <c r="A662" s="9" t="s">
        <v>0</v>
      </c>
      <c r="B662" s="81">
        <v>113081</v>
      </c>
      <c r="C662" s="81">
        <v>10757</v>
      </c>
      <c r="D662" s="9" t="s">
        <v>576</v>
      </c>
      <c r="E662" s="81">
        <v>14563151</v>
      </c>
      <c r="F662" s="81">
        <v>30597</v>
      </c>
      <c r="G662" s="81">
        <v>24</v>
      </c>
      <c r="H662" s="82">
        <v>26.3</v>
      </c>
      <c r="I662" s="251">
        <v>631.20000000000005</v>
      </c>
      <c r="J662" s="9" t="s">
        <v>1305</v>
      </c>
      <c r="K662" s="9" t="s">
        <v>1306</v>
      </c>
      <c r="L662" s="83">
        <v>45200</v>
      </c>
      <c r="M662" s="83">
        <v>45230</v>
      </c>
    </row>
    <row r="663" spans="1:13" ht="18.75" customHeight="1" x14ac:dyDescent="0.25">
      <c r="A663" s="9" t="s">
        <v>1578</v>
      </c>
      <c r="B663" s="81">
        <v>114925</v>
      </c>
      <c r="C663" s="81">
        <v>10771</v>
      </c>
      <c r="D663" s="9" t="s">
        <v>1110</v>
      </c>
      <c r="E663" s="81">
        <v>14563151</v>
      </c>
      <c r="F663" s="81">
        <v>37629</v>
      </c>
      <c r="G663" s="81">
        <v>25</v>
      </c>
      <c r="H663" s="82">
        <v>26.3</v>
      </c>
      <c r="I663" s="251">
        <v>657.5</v>
      </c>
      <c r="J663" s="9" t="s">
        <v>1305</v>
      </c>
      <c r="K663" s="9" t="s">
        <v>1306</v>
      </c>
      <c r="L663" s="83">
        <v>45200</v>
      </c>
      <c r="M663" s="83">
        <v>45230</v>
      </c>
    </row>
    <row r="664" spans="1:13" ht="18.75" customHeight="1" x14ac:dyDescent="0.25">
      <c r="A664" s="9" t="s">
        <v>8</v>
      </c>
      <c r="B664" s="81">
        <v>112338</v>
      </c>
      <c r="C664" s="81">
        <v>10757</v>
      </c>
      <c r="D664" s="9" t="s">
        <v>118</v>
      </c>
      <c r="E664" s="81">
        <v>14563151</v>
      </c>
      <c r="F664" s="81">
        <v>29111</v>
      </c>
      <c r="G664" s="81">
        <v>25</v>
      </c>
      <c r="H664" s="82">
        <v>26.3</v>
      </c>
      <c r="I664" s="251">
        <v>657.5</v>
      </c>
      <c r="J664" s="9" t="s">
        <v>1305</v>
      </c>
      <c r="K664" s="9" t="s">
        <v>1306</v>
      </c>
      <c r="L664" s="83">
        <v>45200</v>
      </c>
      <c r="M664" s="83">
        <v>45230</v>
      </c>
    </row>
    <row r="665" spans="1:13" ht="18.75" customHeight="1" x14ac:dyDescent="0.25">
      <c r="A665" s="9" t="s">
        <v>0</v>
      </c>
      <c r="B665" s="81">
        <v>113370</v>
      </c>
      <c r="C665" s="81">
        <v>10750</v>
      </c>
      <c r="D665" s="9" t="s">
        <v>735</v>
      </c>
      <c r="E665" s="81">
        <v>14563151</v>
      </c>
      <c r="F665" s="81">
        <v>31175</v>
      </c>
      <c r="G665" s="81">
        <v>25</v>
      </c>
      <c r="H665" s="82">
        <v>26.3</v>
      </c>
      <c r="I665" s="251">
        <v>657.5</v>
      </c>
      <c r="J665" s="9" t="s">
        <v>1305</v>
      </c>
      <c r="K665" s="9" t="s">
        <v>1306</v>
      </c>
      <c r="L665" s="83">
        <v>45200</v>
      </c>
      <c r="M665" s="83">
        <v>45230</v>
      </c>
    </row>
    <row r="666" spans="1:13" ht="18.75" customHeight="1" x14ac:dyDescent="0.25">
      <c r="A666" s="9" t="s">
        <v>10</v>
      </c>
      <c r="B666" s="81">
        <v>113120</v>
      </c>
      <c r="C666" s="81">
        <v>10756</v>
      </c>
      <c r="D666" s="9" t="s">
        <v>596</v>
      </c>
      <c r="E666" s="81">
        <v>14563151</v>
      </c>
      <c r="F666" s="81">
        <v>30675</v>
      </c>
      <c r="G666" s="81">
        <v>25</v>
      </c>
      <c r="H666" s="82">
        <v>26.3</v>
      </c>
      <c r="I666" s="251">
        <v>657.5</v>
      </c>
      <c r="J666" s="9" t="s">
        <v>1305</v>
      </c>
      <c r="K666" s="9" t="s">
        <v>1306</v>
      </c>
      <c r="L666" s="83">
        <v>45200</v>
      </c>
      <c r="M666" s="83">
        <v>45230</v>
      </c>
    </row>
    <row r="667" spans="1:13" ht="18.75" customHeight="1" x14ac:dyDescent="0.25">
      <c r="A667" s="9" t="s">
        <v>8</v>
      </c>
      <c r="B667" s="81">
        <v>112909</v>
      </c>
      <c r="C667" s="81">
        <v>10750</v>
      </c>
      <c r="D667" s="9" t="s">
        <v>492</v>
      </c>
      <c r="E667" s="81">
        <v>14563151</v>
      </c>
      <c r="F667" s="81">
        <v>30253</v>
      </c>
      <c r="G667" s="81">
        <v>25</v>
      </c>
      <c r="H667" s="82">
        <v>26.3</v>
      </c>
      <c r="I667" s="251">
        <v>657.5</v>
      </c>
      <c r="J667" s="9" t="s">
        <v>1305</v>
      </c>
      <c r="K667" s="9" t="s">
        <v>1306</v>
      </c>
      <c r="L667" s="83">
        <v>45200</v>
      </c>
      <c r="M667" s="83">
        <v>45230</v>
      </c>
    </row>
    <row r="668" spans="1:13" ht="18.75" customHeight="1" x14ac:dyDescent="0.25">
      <c r="A668" s="9" t="s">
        <v>10</v>
      </c>
      <c r="B668" s="81">
        <v>112204</v>
      </c>
      <c r="C668" s="81">
        <v>10745</v>
      </c>
      <c r="D668" s="9" t="s">
        <v>33</v>
      </c>
      <c r="E668" s="81">
        <v>14563151</v>
      </c>
      <c r="F668" s="81">
        <v>28843</v>
      </c>
      <c r="G668" s="81">
        <v>25</v>
      </c>
      <c r="H668" s="82">
        <v>26.3</v>
      </c>
      <c r="I668" s="251">
        <v>657.5</v>
      </c>
      <c r="J668" s="9" t="s">
        <v>1305</v>
      </c>
      <c r="K668" s="9" t="s">
        <v>1306</v>
      </c>
      <c r="L668" s="83">
        <v>45200</v>
      </c>
      <c r="M668" s="83">
        <v>45230</v>
      </c>
    </row>
    <row r="669" spans="1:13" ht="18.75" customHeight="1" x14ac:dyDescent="0.25">
      <c r="A669" s="9" t="s">
        <v>1578</v>
      </c>
      <c r="B669" s="81">
        <v>113715</v>
      </c>
      <c r="C669" s="81">
        <v>10771</v>
      </c>
      <c r="D669" s="9" t="s">
        <v>931</v>
      </c>
      <c r="E669" s="81">
        <v>14563151</v>
      </c>
      <c r="F669" s="81">
        <v>31865</v>
      </c>
      <c r="G669" s="81">
        <v>25</v>
      </c>
      <c r="H669" s="82">
        <v>26.3</v>
      </c>
      <c r="I669" s="251">
        <v>657.5</v>
      </c>
      <c r="J669" s="9" t="s">
        <v>1305</v>
      </c>
      <c r="K669" s="9" t="s">
        <v>1306</v>
      </c>
      <c r="L669" s="83">
        <v>45200</v>
      </c>
      <c r="M669" s="83">
        <v>45230</v>
      </c>
    </row>
    <row r="670" spans="1:13" ht="18.75" customHeight="1" x14ac:dyDescent="0.25">
      <c r="A670" s="9" t="s">
        <v>10</v>
      </c>
      <c r="B670" s="81">
        <v>112232</v>
      </c>
      <c r="C670" s="81">
        <v>10750</v>
      </c>
      <c r="D670" s="9" t="s">
        <v>53</v>
      </c>
      <c r="E670" s="81">
        <v>14563151</v>
      </c>
      <c r="F670" s="81">
        <v>28899</v>
      </c>
      <c r="G670" s="81">
        <v>25</v>
      </c>
      <c r="H670" s="82">
        <v>26.3</v>
      </c>
      <c r="I670" s="251">
        <v>657.5</v>
      </c>
      <c r="J670" s="9" t="s">
        <v>1305</v>
      </c>
      <c r="K670" s="9" t="s">
        <v>1306</v>
      </c>
      <c r="L670" s="83">
        <v>45200</v>
      </c>
      <c r="M670" s="83">
        <v>45230</v>
      </c>
    </row>
    <row r="671" spans="1:13" ht="18.75" customHeight="1" x14ac:dyDescent="0.25">
      <c r="A671" s="9" t="s">
        <v>19</v>
      </c>
      <c r="B671" s="81">
        <v>113021</v>
      </c>
      <c r="C671" s="81">
        <v>10754</v>
      </c>
      <c r="D671" s="9" t="s">
        <v>53</v>
      </c>
      <c r="E671" s="81">
        <v>14563151</v>
      </c>
      <c r="F671" s="81">
        <v>30477</v>
      </c>
      <c r="G671" s="81">
        <v>25</v>
      </c>
      <c r="H671" s="82">
        <v>26.3</v>
      </c>
      <c r="I671" s="251">
        <v>657.5</v>
      </c>
      <c r="J671" s="9" t="s">
        <v>1305</v>
      </c>
      <c r="K671" s="9" t="s">
        <v>1306</v>
      </c>
      <c r="L671" s="83">
        <v>45200</v>
      </c>
      <c r="M671" s="83">
        <v>45230</v>
      </c>
    </row>
    <row r="672" spans="1:13" ht="18.75" customHeight="1" x14ac:dyDescent="0.25">
      <c r="A672" s="9" t="s">
        <v>0</v>
      </c>
      <c r="B672" s="81">
        <v>113373</v>
      </c>
      <c r="C672" s="81">
        <v>10754</v>
      </c>
      <c r="D672" s="9" t="s">
        <v>53</v>
      </c>
      <c r="E672" s="81">
        <v>14563151</v>
      </c>
      <c r="F672" s="81">
        <v>31181</v>
      </c>
      <c r="G672" s="81">
        <v>25</v>
      </c>
      <c r="H672" s="82">
        <v>26.3</v>
      </c>
      <c r="I672" s="251">
        <v>657.5</v>
      </c>
      <c r="J672" s="9" t="s">
        <v>1305</v>
      </c>
      <c r="K672" s="9" t="s">
        <v>1306</v>
      </c>
      <c r="L672" s="83">
        <v>45200</v>
      </c>
      <c r="M672" s="83">
        <v>45230</v>
      </c>
    </row>
    <row r="673" spans="1:13" ht="18.75" customHeight="1" x14ac:dyDescent="0.25">
      <c r="A673" s="9" t="s">
        <v>0</v>
      </c>
      <c r="B673" s="81">
        <v>113420</v>
      </c>
      <c r="C673" s="81">
        <v>10750</v>
      </c>
      <c r="D673" s="9" t="s">
        <v>53</v>
      </c>
      <c r="E673" s="81">
        <v>14563151</v>
      </c>
      <c r="F673" s="81">
        <v>31275</v>
      </c>
      <c r="G673" s="81">
        <v>25</v>
      </c>
      <c r="H673" s="82">
        <v>26.3</v>
      </c>
      <c r="I673" s="251">
        <v>657.5</v>
      </c>
      <c r="J673" s="9" t="s">
        <v>1305</v>
      </c>
      <c r="K673" s="9" t="s">
        <v>1306</v>
      </c>
      <c r="L673" s="83">
        <v>45200</v>
      </c>
      <c r="M673" s="83">
        <v>45230</v>
      </c>
    </row>
    <row r="674" spans="1:13" ht="18.75" customHeight="1" x14ac:dyDescent="0.25">
      <c r="A674" s="9" t="s">
        <v>8</v>
      </c>
      <c r="B674" s="81">
        <v>112917</v>
      </c>
      <c r="C674" s="81">
        <v>10751</v>
      </c>
      <c r="D674" s="9" t="s">
        <v>349</v>
      </c>
      <c r="E674" s="81">
        <v>14563151</v>
      </c>
      <c r="F674" s="81">
        <v>30269</v>
      </c>
      <c r="G674" s="81">
        <v>25</v>
      </c>
      <c r="H674" s="82">
        <v>26.3</v>
      </c>
      <c r="I674" s="251">
        <v>657.5</v>
      </c>
      <c r="J674" s="9" t="s">
        <v>1305</v>
      </c>
      <c r="K674" s="9" t="s">
        <v>1306</v>
      </c>
      <c r="L674" s="83">
        <v>45200</v>
      </c>
      <c r="M674" s="83">
        <v>45230</v>
      </c>
    </row>
    <row r="675" spans="1:13" ht="18.75" customHeight="1" x14ac:dyDescent="0.25">
      <c r="A675" s="9" t="s">
        <v>8</v>
      </c>
      <c r="B675" s="81">
        <v>112341</v>
      </c>
      <c r="C675" s="81">
        <v>10757</v>
      </c>
      <c r="D675" s="9" t="s">
        <v>121</v>
      </c>
      <c r="E675" s="81">
        <v>14563151</v>
      </c>
      <c r="F675" s="81">
        <v>29117</v>
      </c>
      <c r="G675" s="81">
        <v>25</v>
      </c>
      <c r="H675" s="82">
        <v>26.3</v>
      </c>
      <c r="I675" s="251">
        <v>657.5</v>
      </c>
      <c r="J675" s="9" t="s">
        <v>1305</v>
      </c>
      <c r="K675" s="9" t="s">
        <v>1306</v>
      </c>
      <c r="L675" s="83">
        <v>45200</v>
      </c>
      <c r="M675" s="83">
        <v>45230</v>
      </c>
    </row>
    <row r="676" spans="1:13" ht="18.75" customHeight="1" x14ac:dyDescent="0.25">
      <c r="A676" s="9" t="s">
        <v>19</v>
      </c>
      <c r="B676" s="81">
        <v>112236</v>
      </c>
      <c r="C676" s="81">
        <v>10750</v>
      </c>
      <c r="D676" s="9" t="s">
        <v>55</v>
      </c>
      <c r="E676" s="81">
        <v>14563151</v>
      </c>
      <c r="F676" s="81">
        <v>28907</v>
      </c>
      <c r="G676" s="81">
        <v>25</v>
      </c>
      <c r="H676" s="82">
        <v>26.3</v>
      </c>
      <c r="I676" s="251">
        <v>657.5</v>
      </c>
      <c r="J676" s="9" t="s">
        <v>1305</v>
      </c>
      <c r="K676" s="9" t="s">
        <v>1306</v>
      </c>
      <c r="L676" s="83">
        <v>45200</v>
      </c>
      <c r="M676" s="83">
        <v>45230</v>
      </c>
    </row>
    <row r="677" spans="1:13" ht="18.75" customHeight="1" x14ac:dyDescent="0.25">
      <c r="A677" s="9" t="s">
        <v>19</v>
      </c>
      <c r="B677" s="81">
        <v>112991</v>
      </c>
      <c r="C677" s="81">
        <v>10771</v>
      </c>
      <c r="D677" s="9" t="s">
        <v>534</v>
      </c>
      <c r="E677" s="81">
        <v>14563151</v>
      </c>
      <c r="F677" s="81">
        <v>30417</v>
      </c>
      <c r="G677" s="81">
        <v>25</v>
      </c>
      <c r="H677" s="82">
        <v>26.3</v>
      </c>
      <c r="I677" s="251">
        <v>657.5</v>
      </c>
      <c r="J677" s="9" t="s">
        <v>1305</v>
      </c>
      <c r="K677" s="9" t="s">
        <v>1306</v>
      </c>
      <c r="L677" s="83">
        <v>45200</v>
      </c>
      <c r="M677" s="83">
        <v>45230</v>
      </c>
    </row>
    <row r="678" spans="1:13" ht="18.75" customHeight="1" x14ac:dyDescent="0.25">
      <c r="A678" s="9" t="s">
        <v>0</v>
      </c>
      <c r="B678" s="81">
        <v>113422</v>
      </c>
      <c r="C678" s="81">
        <v>10750</v>
      </c>
      <c r="D678" s="9" t="s">
        <v>771</v>
      </c>
      <c r="E678" s="81">
        <v>14563151</v>
      </c>
      <c r="F678" s="81">
        <v>31279</v>
      </c>
      <c r="G678" s="81">
        <v>25</v>
      </c>
      <c r="H678" s="82">
        <v>26.3</v>
      </c>
      <c r="I678" s="251">
        <v>657.5</v>
      </c>
      <c r="J678" s="9" t="s">
        <v>1305</v>
      </c>
      <c r="K678" s="9" t="s">
        <v>1306</v>
      </c>
      <c r="L678" s="83">
        <v>45200</v>
      </c>
      <c r="M678" s="83">
        <v>45230</v>
      </c>
    </row>
    <row r="679" spans="1:13" ht="18.75" customHeight="1" x14ac:dyDescent="0.25">
      <c r="A679" s="9" t="s">
        <v>0</v>
      </c>
      <c r="B679" s="81">
        <v>113375</v>
      </c>
      <c r="C679" s="81">
        <v>10750</v>
      </c>
      <c r="D679" s="9" t="s">
        <v>737</v>
      </c>
      <c r="E679" s="81">
        <v>14563151</v>
      </c>
      <c r="F679" s="81">
        <v>31185</v>
      </c>
      <c r="G679" s="81">
        <v>25</v>
      </c>
      <c r="H679" s="82">
        <v>26.3</v>
      </c>
      <c r="I679" s="251">
        <v>657.5</v>
      </c>
      <c r="J679" s="9" t="s">
        <v>1305</v>
      </c>
      <c r="K679" s="9" t="s">
        <v>1306</v>
      </c>
      <c r="L679" s="83">
        <v>45200</v>
      </c>
      <c r="M679" s="83">
        <v>45230</v>
      </c>
    </row>
    <row r="680" spans="1:13" ht="18.75" customHeight="1" x14ac:dyDescent="0.25">
      <c r="A680" s="9" t="s">
        <v>8</v>
      </c>
      <c r="B680" s="81">
        <v>112346</v>
      </c>
      <c r="C680" s="81">
        <v>10757</v>
      </c>
      <c r="D680" s="9" t="s">
        <v>123</v>
      </c>
      <c r="E680" s="81">
        <v>14563151</v>
      </c>
      <c r="F680" s="81">
        <v>29127</v>
      </c>
      <c r="G680" s="81">
        <v>25</v>
      </c>
      <c r="H680" s="82">
        <v>26.3</v>
      </c>
      <c r="I680" s="251">
        <v>657.5</v>
      </c>
      <c r="J680" s="9" t="s">
        <v>1305</v>
      </c>
      <c r="K680" s="9" t="s">
        <v>1306</v>
      </c>
      <c r="L680" s="83">
        <v>45200</v>
      </c>
      <c r="M680" s="83">
        <v>45230</v>
      </c>
    </row>
    <row r="681" spans="1:13" ht="18.75" customHeight="1" x14ac:dyDescent="0.25">
      <c r="A681" s="9" t="s">
        <v>10</v>
      </c>
      <c r="B681" s="81">
        <v>112208</v>
      </c>
      <c r="C681" s="81">
        <v>10766</v>
      </c>
      <c r="D681" s="9" t="s">
        <v>1348</v>
      </c>
      <c r="E681" s="81">
        <v>14563151</v>
      </c>
      <c r="F681" s="81">
        <v>28851</v>
      </c>
      <c r="G681" s="81">
        <v>25</v>
      </c>
      <c r="H681" s="82">
        <v>26.3</v>
      </c>
      <c r="I681" s="251">
        <v>657.5</v>
      </c>
      <c r="J681" s="9" t="s">
        <v>1305</v>
      </c>
      <c r="K681" s="9" t="s">
        <v>1306</v>
      </c>
      <c r="L681" s="83">
        <v>45200</v>
      </c>
      <c r="M681" s="83">
        <v>45230</v>
      </c>
    </row>
    <row r="682" spans="1:13" ht="18.75" customHeight="1" x14ac:dyDescent="0.25">
      <c r="A682" s="9" t="s">
        <v>10</v>
      </c>
      <c r="B682" s="81">
        <v>114541</v>
      </c>
      <c r="C682" s="81">
        <v>10757</v>
      </c>
      <c r="D682" s="9" t="s">
        <v>1052</v>
      </c>
      <c r="E682" s="81">
        <v>14563151</v>
      </c>
      <c r="F682" s="81">
        <v>36358</v>
      </c>
      <c r="G682" s="81">
        <v>25</v>
      </c>
      <c r="H682" s="82">
        <v>26.3</v>
      </c>
      <c r="I682" s="251">
        <v>657.5</v>
      </c>
      <c r="J682" s="9" t="s">
        <v>1305</v>
      </c>
      <c r="K682" s="9" t="s">
        <v>1306</v>
      </c>
      <c r="L682" s="83">
        <v>45200</v>
      </c>
      <c r="M682" s="83">
        <v>45230</v>
      </c>
    </row>
    <row r="683" spans="1:13" ht="18.75" customHeight="1" x14ac:dyDescent="0.25">
      <c r="A683" s="9" t="s">
        <v>10</v>
      </c>
      <c r="B683" s="81">
        <v>112238</v>
      </c>
      <c r="C683" s="81">
        <v>10751</v>
      </c>
      <c r="D683" s="9" t="s">
        <v>44</v>
      </c>
      <c r="E683" s="81">
        <v>14563151</v>
      </c>
      <c r="F683" s="81">
        <v>28911</v>
      </c>
      <c r="G683" s="81">
        <v>25</v>
      </c>
      <c r="H683" s="82">
        <v>26.3</v>
      </c>
      <c r="I683" s="251">
        <v>657.5</v>
      </c>
      <c r="J683" s="9" t="s">
        <v>1305</v>
      </c>
      <c r="K683" s="9" t="s">
        <v>1306</v>
      </c>
      <c r="L683" s="83">
        <v>45200</v>
      </c>
      <c r="M683" s="83">
        <v>45230</v>
      </c>
    </row>
    <row r="684" spans="1:13" ht="18.75" customHeight="1" x14ac:dyDescent="0.25">
      <c r="A684" s="9" t="s">
        <v>8</v>
      </c>
      <c r="B684" s="81">
        <v>112924</v>
      </c>
      <c r="C684" s="81">
        <v>10750</v>
      </c>
      <c r="D684" s="9" t="s">
        <v>499</v>
      </c>
      <c r="E684" s="81">
        <v>14563151</v>
      </c>
      <c r="F684" s="81">
        <v>30283</v>
      </c>
      <c r="G684" s="81">
        <v>25</v>
      </c>
      <c r="H684" s="82">
        <v>26.3</v>
      </c>
      <c r="I684" s="251">
        <v>657.5</v>
      </c>
      <c r="J684" s="9" t="s">
        <v>1305</v>
      </c>
      <c r="K684" s="9" t="s">
        <v>1306</v>
      </c>
      <c r="L684" s="83">
        <v>45200</v>
      </c>
      <c r="M684" s="83">
        <v>45230</v>
      </c>
    </row>
    <row r="685" spans="1:13" ht="18.75" customHeight="1" x14ac:dyDescent="0.25">
      <c r="A685" s="9" t="s">
        <v>8</v>
      </c>
      <c r="B685" s="81">
        <v>122251</v>
      </c>
      <c r="C685" s="81">
        <v>10758</v>
      </c>
      <c r="D685" s="9" t="s">
        <v>1653</v>
      </c>
      <c r="E685" s="81">
        <v>14563151</v>
      </c>
      <c r="F685" s="81">
        <v>55745</v>
      </c>
      <c r="G685" s="81">
        <v>25</v>
      </c>
      <c r="H685" s="82">
        <v>26.3</v>
      </c>
      <c r="I685" s="251">
        <v>657.5</v>
      </c>
      <c r="J685" s="9" t="s">
        <v>1305</v>
      </c>
      <c r="K685" s="9" t="s">
        <v>1306</v>
      </c>
      <c r="L685" s="83">
        <v>45200</v>
      </c>
      <c r="M685" s="83">
        <v>45230</v>
      </c>
    </row>
    <row r="686" spans="1:13" ht="18.75" customHeight="1" x14ac:dyDescent="0.25">
      <c r="A686" s="9" t="s">
        <v>0</v>
      </c>
      <c r="B686" s="81">
        <v>113363</v>
      </c>
      <c r="C686" s="81">
        <v>10750</v>
      </c>
      <c r="D686" s="9" t="s">
        <v>729</v>
      </c>
      <c r="E686" s="81">
        <v>14563151</v>
      </c>
      <c r="F686" s="81">
        <v>31161</v>
      </c>
      <c r="G686" s="81">
        <v>25</v>
      </c>
      <c r="H686" s="82">
        <v>26.3</v>
      </c>
      <c r="I686" s="251">
        <v>657.5</v>
      </c>
      <c r="J686" s="9" t="s">
        <v>1305</v>
      </c>
      <c r="K686" s="9" t="s">
        <v>1306</v>
      </c>
      <c r="L686" s="83">
        <v>45200</v>
      </c>
      <c r="M686" s="83">
        <v>45230</v>
      </c>
    </row>
    <row r="687" spans="1:13" ht="18.75" customHeight="1" x14ac:dyDescent="0.25">
      <c r="A687" s="9" t="s">
        <v>10</v>
      </c>
      <c r="B687" s="81">
        <v>112245</v>
      </c>
      <c r="C687" s="81">
        <v>10750</v>
      </c>
      <c r="D687" s="9" t="s">
        <v>60</v>
      </c>
      <c r="E687" s="81">
        <v>14563151</v>
      </c>
      <c r="F687" s="81">
        <v>28925</v>
      </c>
      <c r="G687" s="81">
        <v>25</v>
      </c>
      <c r="H687" s="82">
        <v>26.3</v>
      </c>
      <c r="I687" s="251">
        <v>657.5</v>
      </c>
      <c r="J687" s="9" t="s">
        <v>1305</v>
      </c>
      <c r="K687" s="9" t="s">
        <v>1306</v>
      </c>
      <c r="L687" s="83">
        <v>45200</v>
      </c>
      <c r="M687" s="83">
        <v>45230</v>
      </c>
    </row>
    <row r="688" spans="1:13" ht="18.75" customHeight="1" x14ac:dyDescent="0.25">
      <c r="A688" s="9" t="s">
        <v>1246</v>
      </c>
      <c r="B688" s="81">
        <v>116654</v>
      </c>
      <c r="C688" s="81">
        <v>10773</v>
      </c>
      <c r="D688" s="9" t="s">
        <v>956</v>
      </c>
      <c r="E688" s="81">
        <v>14563151</v>
      </c>
      <c r="F688" s="81">
        <v>42636</v>
      </c>
      <c r="G688" s="81">
        <v>25</v>
      </c>
      <c r="H688" s="82">
        <v>26.3</v>
      </c>
      <c r="I688" s="251">
        <v>657.5</v>
      </c>
      <c r="J688" s="9" t="s">
        <v>1305</v>
      </c>
      <c r="K688" s="9" t="s">
        <v>1306</v>
      </c>
      <c r="L688" s="83">
        <v>45200</v>
      </c>
      <c r="M688" s="83">
        <v>45230</v>
      </c>
    </row>
    <row r="689" spans="1:13" ht="18.75" customHeight="1" x14ac:dyDescent="0.25">
      <c r="A689" s="9" t="s">
        <v>8</v>
      </c>
      <c r="B689" s="81">
        <v>112349</v>
      </c>
      <c r="C689" s="81">
        <v>10757</v>
      </c>
      <c r="D689" s="9" t="s">
        <v>125</v>
      </c>
      <c r="E689" s="81">
        <v>14563151</v>
      </c>
      <c r="F689" s="81">
        <v>29133</v>
      </c>
      <c r="G689" s="81">
        <v>25</v>
      </c>
      <c r="H689" s="82">
        <v>26.3</v>
      </c>
      <c r="I689" s="251">
        <v>657.5</v>
      </c>
      <c r="J689" s="9" t="s">
        <v>1305</v>
      </c>
      <c r="K689" s="9" t="s">
        <v>1306</v>
      </c>
      <c r="L689" s="83">
        <v>45200</v>
      </c>
      <c r="M689" s="83">
        <v>45230</v>
      </c>
    </row>
    <row r="690" spans="1:13" ht="18.75" customHeight="1" x14ac:dyDescent="0.25">
      <c r="A690" s="9" t="s">
        <v>8</v>
      </c>
      <c r="B690" s="81">
        <v>112926</v>
      </c>
      <c r="C690" s="81">
        <v>10754</v>
      </c>
      <c r="D690" s="9" t="s">
        <v>500</v>
      </c>
      <c r="E690" s="81">
        <v>14563151</v>
      </c>
      <c r="F690" s="81">
        <v>30287</v>
      </c>
      <c r="G690" s="81">
        <v>25</v>
      </c>
      <c r="H690" s="82">
        <v>26.3</v>
      </c>
      <c r="I690" s="251">
        <v>657.5</v>
      </c>
      <c r="J690" s="9" t="s">
        <v>1305</v>
      </c>
      <c r="K690" s="9" t="s">
        <v>1306</v>
      </c>
      <c r="L690" s="83">
        <v>45200</v>
      </c>
      <c r="M690" s="83">
        <v>45230</v>
      </c>
    </row>
    <row r="691" spans="1:13" ht="18.75" customHeight="1" x14ac:dyDescent="0.25">
      <c r="A691" s="9" t="s">
        <v>1578</v>
      </c>
      <c r="B691" s="81">
        <v>122252</v>
      </c>
      <c r="C691" s="81">
        <v>10757</v>
      </c>
      <c r="D691" s="9" t="s">
        <v>1654</v>
      </c>
      <c r="E691" s="81">
        <v>14563151</v>
      </c>
      <c r="F691" s="81">
        <v>55747</v>
      </c>
      <c r="G691" s="81">
        <v>25</v>
      </c>
      <c r="H691" s="82">
        <v>26.3</v>
      </c>
      <c r="I691" s="251">
        <v>657.5</v>
      </c>
      <c r="J691" s="9" t="s">
        <v>1305</v>
      </c>
      <c r="K691" s="9" t="s">
        <v>1306</v>
      </c>
      <c r="L691" s="83">
        <v>45200</v>
      </c>
      <c r="M691" s="83">
        <v>45230</v>
      </c>
    </row>
    <row r="692" spans="1:13" ht="18.75" customHeight="1" x14ac:dyDescent="0.25">
      <c r="A692" s="9" t="s">
        <v>10</v>
      </c>
      <c r="B692" s="81">
        <v>112248</v>
      </c>
      <c r="C692" s="81">
        <v>10750</v>
      </c>
      <c r="D692" s="9" t="s">
        <v>61</v>
      </c>
      <c r="E692" s="81">
        <v>14563151</v>
      </c>
      <c r="F692" s="81">
        <v>28931</v>
      </c>
      <c r="G692" s="81">
        <v>25</v>
      </c>
      <c r="H692" s="82">
        <v>26.3</v>
      </c>
      <c r="I692" s="251">
        <v>657.5</v>
      </c>
      <c r="J692" s="9" t="s">
        <v>1305</v>
      </c>
      <c r="K692" s="9" t="s">
        <v>1306</v>
      </c>
      <c r="L692" s="83">
        <v>45200</v>
      </c>
      <c r="M692" s="83">
        <v>45230</v>
      </c>
    </row>
    <row r="693" spans="1:13" ht="18.75" customHeight="1" x14ac:dyDescent="0.25">
      <c r="A693" s="9" t="s">
        <v>19</v>
      </c>
      <c r="B693" s="81">
        <v>113056</v>
      </c>
      <c r="C693" s="81">
        <v>10751</v>
      </c>
      <c r="D693" s="9" t="s">
        <v>562</v>
      </c>
      <c r="E693" s="81">
        <v>14563151</v>
      </c>
      <c r="F693" s="81">
        <v>30547</v>
      </c>
      <c r="G693" s="81">
        <v>25</v>
      </c>
      <c r="H693" s="82">
        <v>26.3</v>
      </c>
      <c r="I693" s="251">
        <v>657.5</v>
      </c>
      <c r="J693" s="9" t="s">
        <v>1305</v>
      </c>
      <c r="K693" s="9" t="s">
        <v>1306</v>
      </c>
      <c r="L693" s="83">
        <v>45200</v>
      </c>
      <c r="M693" s="83">
        <v>45230</v>
      </c>
    </row>
    <row r="694" spans="1:13" ht="18.75" customHeight="1" x14ac:dyDescent="0.25">
      <c r="A694" s="9" t="s">
        <v>19</v>
      </c>
      <c r="B694" s="81">
        <v>112973</v>
      </c>
      <c r="C694" s="81">
        <v>10766</v>
      </c>
      <c r="D694" s="9" t="s">
        <v>525</v>
      </c>
      <c r="E694" s="81">
        <v>14563151</v>
      </c>
      <c r="F694" s="81">
        <v>30381</v>
      </c>
      <c r="G694" s="81">
        <v>25</v>
      </c>
      <c r="H694" s="82">
        <v>26.3</v>
      </c>
      <c r="I694" s="251">
        <v>657.5</v>
      </c>
      <c r="J694" s="9" t="s">
        <v>1305</v>
      </c>
      <c r="K694" s="9" t="s">
        <v>1306</v>
      </c>
      <c r="L694" s="83">
        <v>45200</v>
      </c>
      <c r="M694" s="83">
        <v>45230</v>
      </c>
    </row>
    <row r="695" spans="1:13" ht="18.75" customHeight="1" x14ac:dyDescent="0.25">
      <c r="A695" s="9" t="s">
        <v>8</v>
      </c>
      <c r="B695" s="81">
        <v>117239</v>
      </c>
      <c r="C695" s="81">
        <v>10755</v>
      </c>
      <c r="D695" s="9" t="s">
        <v>1255</v>
      </c>
      <c r="E695" s="81">
        <v>14563151</v>
      </c>
      <c r="F695" s="81">
        <v>44095</v>
      </c>
      <c r="G695" s="81">
        <v>25</v>
      </c>
      <c r="H695" s="82">
        <v>26.3</v>
      </c>
      <c r="I695" s="251">
        <v>657.5</v>
      </c>
      <c r="J695" s="9" t="s">
        <v>1305</v>
      </c>
      <c r="K695" s="9" t="s">
        <v>1306</v>
      </c>
      <c r="L695" s="83">
        <v>45200</v>
      </c>
      <c r="M695" s="83">
        <v>45230</v>
      </c>
    </row>
    <row r="696" spans="1:13" ht="18.75" customHeight="1" x14ac:dyDescent="0.25">
      <c r="A696" s="9" t="s">
        <v>1578</v>
      </c>
      <c r="B696" s="81">
        <v>112459</v>
      </c>
      <c r="C696" s="81">
        <v>10743</v>
      </c>
      <c r="D696" s="9" t="s">
        <v>195</v>
      </c>
      <c r="E696" s="81">
        <v>14563151</v>
      </c>
      <c r="F696" s="81">
        <v>29353</v>
      </c>
      <c r="G696" s="81">
        <v>25</v>
      </c>
      <c r="H696" s="82">
        <v>26.3</v>
      </c>
      <c r="I696" s="251">
        <v>657.5</v>
      </c>
      <c r="J696" s="9" t="s">
        <v>1305</v>
      </c>
      <c r="K696" s="9" t="s">
        <v>1306</v>
      </c>
      <c r="L696" s="83">
        <v>45200</v>
      </c>
      <c r="M696" s="83">
        <v>45230</v>
      </c>
    </row>
    <row r="697" spans="1:13" ht="18.75" customHeight="1" x14ac:dyDescent="0.25">
      <c r="A697" s="9" t="s">
        <v>0</v>
      </c>
      <c r="B697" s="81">
        <v>113377</v>
      </c>
      <c r="C697" s="81">
        <v>10754</v>
      </c>
      <c r="D697" s="9" t="s">
        <v>739</v>
      </c>
      <c r="E697" s="81">
        <v>14563151</v>
      </c>
      <c r="F697" s="81">
        <v>31189</v>
      </c>
      <c r="G697" s="81">
        <v>25</v>
      </c>
      <c r="H697" s="82">
        <v>26.3</v>
      </c>
      <c r="I697" s="251">
        <v>657.5</v>
      </c>
      <c r="J697" s="9" t="s">
        <v>1305</v>
      </c>
      <c r="K697" s="9" t="s">
        <v>1306</v>
      </c>
      <c r="L697" s="83">
        <v>45200</v>
      </c>
      <c r="M697" s="83">
        <v>45230</v>
      </c>
    </row>
    <row r="698" spans="1:13" ht="18.75" customHeight="1" x14ac:dyDescent="0.25">
      <c r="A698" s="9" t="s">
        <v>19</v>
      </c>
      <c r="B698" s="81">
        <v>112307</v>
      </c>
      <c r="C698" s="81">
        <v>10750</v>
      </c>
      <c r="D698" s="9" t="s">
        <v>101</v>
      </c>
      <c r="E698" s="81">
        <v>14563151</v>
      </c>
      <c r="F698" s="81">
        <v>29049</v>
      </c>
      <c r="G698" s="81">
        <v>25</v>
      </c>
      <c r="H698" s="82">
        <v>26.3</v>
      </c>
      <c r="I698" s="251">
        <v>657.5</v>
      </c>
      <c r="J698" s="9" t="s">
        <v>1305</v>
      </c>
      <c r="K698" s="9" t="s">
        <v>1306</v>
      </c>
      <c r="L698" s="83">
        <v>45200</v>
      </c>
      <c r="M698" s="83">
        <v>45230</v>
      </c>
    </row>
    <row r="699" spans="1:13" ht="18.75" customHeight="1" x14ac:dyDescent="0.25">
      <c r="A699" s="9" t="s">
        <v>8</v>
      </c>
      <c r="B699" s="81">
        <v>112927</v>
      </c>
      <c r="C699" s="81">
        <v>10750</v>
      </c>
      <c r="D699" s="9" t="s">
        <v>501</v>
      </c>
      <c r="E699" s="81">
        <v>14563151</v>
      </c>
      <c r="F699" s="81">
        <v>30289</v>
      </c>
      <c r="G699" s="81">
        <v>25</v>
      </c>
      <c r="H699" s="82">
        <v>26.3</v>
      </c>
      <c r="I699" s="251">
        <v>657.5</v>
      </c>
      <c r="J699" s="9" t="s">
        <v>1305</v>
      </c>
      <c r="K699" s="9" t="s">
        <v>1306</v>
      </c>
      <c r="L699" s="83">
        <v>45200</v>
      </c>
      <c r="M699" s="83">
        <v>45230</v>
      </c>
    </row>
    <row r="700" spans="1:13" ht="18.75" customHeight="1" x14ac:dyDescent="0.25">
      <c r="A700" s="9" t="s">
        <v>19</v>
      </c>
      <c r="B700" s="81">
        <v>112959</v>
      </c>
      <c r="C700" s="81">
        <v>10766</v>
      </c>
      <c r="D700" s="9" t="s">
        <v>520</v>
      </c>
      <c r="E700" s="81">
        <v>14563151</v>
      </c>
      <c r="F700" s="81">
        <v>30353</v>
      </c>
      <c r="G700" s="81">
        <v>25</v>
      </c>
      <c r="H700" s="82">
        <v>26.3</v>
      </c>
      <c r="I700" s="251">
        <v>657.5</v>
      </c>
      <c r="J700" s="9" t="s">
        <v>1305</v>
      </c>
      <c r="K700" s="9" t="s">
        <v>1306</v>
      </c>
      <c r="L700" s="83">
        <v>45200</v>
      </c>
      <c r="M700" s="83">
        <v>45230</v>
      </c>
    </row>
    <row r="701" spans="1:13" ht="18.75" customHeight="1" x14ac:dyDescent="0.25">
      <c r="A701" s="9" t="s">
        <v>8</v>
      </c>
      <c r="B701" s="81">
        <v>112928</v>
      </c>
      <c r="C701" s="81">
        <v>10750</v>
      </c>
      <c r="D701" s="9" t="s">
        <v>502</v>
      </c>
      <c r="E701" s="81">
        <v>14563151</v>
      </c>
      <c r="F701" s="81">
        <v>30291</v>
      </c>
      <c r="G701" s="81">
        <v>25</v>
      </c>
      <c r="H701" s="82">
        <v>26.3</v>
      </c>
      <c r="I701" s="251">
        <v>657.5</v>
      </c>
      <c r="J701" s="9" t="s">
        <v>1305</v>
      </c>
      <c r="K701" s="9" t="s">
        <v>1306</v>
      </c>
      <c r="L701" s="83">
        <v>45200</v>
      </c>
      <c r="M701" s="83">
        <v>45230</v>
      </c>
    </row>
    <row r="702" spans="1:13" ht="18.75" customHeight="1" x14ac:dyDescent="0.25">
      <c r="A702" s="9" t="s">
        <v>1578</v>
      </c>
      <c r="B702" s="81">
        <v>114922</v>
      </c>
      <c r="C702" s="81">
        <v>10761</v>
      </c>
      <c r="D702" s="9" t="s">
        <v>1108</v>
      </c>
      <c r="E702" s="81">
        <v>14563151</v>
      </c>
      <c r="F702" s="81">
        <v>37759</v>
      </c>
      <c r="G702" s="81">
        <v>25</v>
      </c>
      <c r="H702" s="82">
        <v>26.3</v>
      </c>
      <c r="I702" s="251">
        <v>657.5</v>
      </c>
      <c r="J702" s="9" t="s">
        <v>1305</v>
      </c>
      <c r="K702" s="9" t="s">
        <v>1306</v>
      </c>
      <c r="L702" s="83">
        <v>45200</v>
      </c>
      <c r="M702" s="83">
        <v>45230</v>
      </c>
    </row>
    <row r="703" spans="1:13" ht="18.75" customHeight="1" x14ac:dyDescent="0.25">
      <c r="A703" s="9" t="s">
        <v>10</v>
      </c>
      <c r="B703" s="81">
        <v>112212</v>
      </c>
      <c r="C703" s="81">
        <v>10758</v>
      </c>
      <c r="D703" s="9" t="s">
        <v>37</v>
      </c>
      <c r="E703" s="81">
        <v>14563151</v>
      </c>
      <c r="F703" s="81">
        <v>28859</v>
      </c>
      <c r="G703" s="81">
        <v>25</v>
      </c>
      <c r="H703" s="82">
        <v>26.3</v>
      </c>
      <c r="I703" s="251">
        <v>657.5</v>
      </c>
      <c r="J703" s="9" t="s">
        <v>1305</v>
      </c>
      <c r="K703" s="9" t="s">
        <v>1306</v>
      </c>
      <c r="L703" s="83">
        <v>45200</v>
      </c>
      <c r="M703" s="83">
        <v>45230</v>
      </c>
    </row>
    <row r="704" spans="1:13" ht="18.75" customHeight="1" x14ac:dyDescent="0.25">
      <c r="A704" s="9" t="s">
        <v>0</v>
      </c>
      <c r="B704" s="81">
        <v>118058</v>
      </c>
      <c r="C704" s="81">
        <v>10758</v>
      </c>
      <c r="D704" s="9" t="s">
        <v>1401</v>
      </c>
      <c r="E704" s="81">
        <v>14563151</v>
      </c>
      <c r="F704" s="81">
        <v>45905</v>
      </c>
      <c r="G704" s="81">
        <v>25</v>
      </c>
      <c r="H704" s="82">
        <v>26.3</v>
      </c>
      <c r="I704" s="251">
        <v>657.5</v>
      </c>
      <c r="J704" s="9" t="s">
        <v>1305</v>
      </c>
      <c r="K704" s="9" t="s">
        <v>1306</v>
      </c>
      <c r="L704" s="83">
        <v>45200</v>
      </c>
      <c r="M704" s="83">
        <v>45230</v>
      </c>
    </row>
    <row r="705" spans="1:13" ht="18.75" customHeight="1" x14ac:dyDescent="0.25">
      <c r="A705" s="9" t="s">
        <v>8</v>
      </c>
      <c r="B705" s="81">
        <v>112465</v>
      </c>
      <c r="C705" s="81">
        <v>10750</v>
      </c>
      <c r="D705" s="9" t="s">
        <v>197</v>
      </c>
      <c r="E705" s="81">
        <v>14563151</v>
      </c>
      <c r="F705" s="81">
        <v>29365</v>
      </c>
      <c r="G705" s="81">
        <v>25</v>
      </c>
      <c r="H705" s="82">
        <v>26.3</v>
      </c>
      <c r="I705" s="251">
        <v>657.5</v>
      </c>
      <c r="J705" s="9" t="s">
        <v>1305</v>
      </c>
      <c r="K705" s="9" t="s">
        <v>1306</v>
      </c>
      <c r="L705" s="83">
        <v>45200</v>
      </c>
      <c r="M705" s="83">
        <v>45230</v>
      </c>
    </row>
    <row r="706" spans="1:13" ht="18.75" customHeight="1" x14ac:dyDescent="0.25">
      <c r="A706" s="9" t="s">
        <v>1578</v>
      </c>
      <c r="B706" s="81">
        <v>113729</v>
      </c>
      <c r="C706" s="81">
        <v>10743</v>
      </c>
      <c r="D706" s="9" t="s">
        <v>944</v>
      </c>
      <c r="E706" s="81">
        <v>14563151</v>
      </c>
      <c r="F706" s="81">
        <v>31893</v>
      </c>
      <c r="G706" s="81">
        <v>25</v>
      </c>
      <c r="H706" s="82">
        <v>26.3</v>
      </c>
      <c r="I706" s="251">
        <v>657.5</v>
      </c>
      <c r="J706" s="9" t="s">
        <v>1305</v>
      </c>
      <c r="K706" s="9" t="s">
        <v>1306</v>
      </c>
      <c r="L706" s="83">
        <v>45200</v>
      </c>
      <c r="M706" s="83">
        <v>45230</v>
      </c>
    </row>
    <row r="707" spans="1:13" ht="18.75" customHeight="1" x14ac:dyDescent="0.25">
      <c r="A707" s="9" t="s">
        <v>1578</v>
      </c>
      <c r="B707" s="81">
        <v>113645</v>
      </c>
      <c r="C707" s="81">
        <v>10757</v>
      </c>
      <c r="D707" s="9" t="s">
        <v>891</v>
      </c>
      <c r="E707" s="81">
        <v>14563151</v>
      </c>
      <c r="F707" s="81">
        <v>31725</v>
      </c>
      <c r="G707" s="81">
        <v>25</v>
      </c>
      <c r="H707" s="82">
        <v>26.3</v>
      </c>
      <c r="I707" s="251">
        <v>657.5</v>
      </c>
      <c r="J707" s="9" t="s">
        <v>1305</v>
      </c>
      <c r="K707" s="9" t="s">
        <v>1306</v>
      </c>
      <c r="L707" s="83">
        <v>45200</v>
      </c>
      <c r="M707" s="83">
        <v>45230</v>
      </c>
    </row>
    <row r="708" spans="1:13" ht="18.75" customHeight="1" x14ac:dyDescent="0.25">
      <c r="A708" s="9" t="s">
        <v>32</v>
      </c>
      <c r="B708" s="81">
        <v>122826</v>
      </c>
      <c r="C708" s="81">
        <v>10757</v>
      </c>
      <c r="D708" s="9" t="s">
        <v>1722</v>
      </c>
      <c r="E708" s="81">
        <v>14563151</v>
      </c>
      <c r="F708" s="81">
        <v>57268</v>
      </c>
      <c r="G708" s="81">
        <v>25</v>
      </c>
      <c r="H708" s="82">
        <v>26.3</v>
      </c>
      <c r="I708" s="251">
        <v>657.5</v>
      </c>
      <c r="J708" s="9" t="s">
        <v>1305</v>
      </c>
      <c r="K708" s="9" t="s">
        <v>1306</v>
      </c>
      <c r="L708" s="83">
        <v>45200</v>
      </c>
      <c r="M708" s="83">
        <v>45230</v>
      </c>
    </row>
    <row r="709" spans="1:13" ht="18.75" customHeight="1" x14ac:dyDescent="0.25">
      <c r="A709" s="9" t="s">
        <v>1578</v>
      </c>
      <c r="B709" s="81">
        <v>113649</v>
      </c>
      <c r="C709" s="81">
        <v>10762</v>
      </c>
      <c r="D709" s="9" t="s">
        <v>894</v>
      </c>
      <c r="E709" s="81">
        <v>14563151</v>
      </c>
      <c r="F709" s="81">
        <v>31733</v>
      </c>
      <c r="G709" s="81">
        <v>25</v>
      </c>
      <c r="H709" s="82">
        <v>26.3</v>
      </c>
      <c r="I709" s="251">
        <v>657.5</v>
      </c>
      <c r="J709" s="9" t="s">
        <v>1305</v>
      </c>
      <c r="K709" s="9" t="s">
        <v>1306</v>
      </c>
      <c r="L709" s="83">
        <v>45200</v>
      </c>
      <c r="M709" s="83">
        <v>45230</v>
      </c>
    </row>
    <row r="710" spans="1:13" ht="18.75" customHeight="1" x14ac:dyDescent="0.25">
      <c r="A710" s="9" t="s">
        <v>1578</v>
      </c>
      <c r="B710" s="81">
        <v>119920</v>
      </c>
      <c r="C710" s="81">
        <v>10761</v>
      </c>
      <c r="D710" s="9" t="s">
        <v>1487</v>
      </c>
      <c r="E710" s="81">
        <v>14563151</v>
      </c>
      <c r="F710" s="81">
        <v>50246</v>
      </c>
      <c r="G710" s="81">
        <v>25</v>
      </c>
      <c r="H710" s="82">
        <v>26.3</v>
      </c>
      <c r="I710" s="251">
        <v>657.5</v>
      </c>
      <c r="J710" s="9" t="s">
        <v>1305</v>
      </c>
      <c r="K710" s="9" t="s">
        <v>1306</v>
      </c>
      <c r="L710" s="83">
        <v>45200</v>
      </c>
      <c r="M710" s="83">
        <v>45230</v>
      </c>
    </row>
    <row r="711" spans="1:13" ht="18.75" customHeight="1" x14ac:dyDescent="0.25">
      <c r="A711" s="9" t="s">
        <v>1578</v>
      </c>
      <c r="B711" s="81">
        <v>113125</v>
      </c>
      <c r="C711" s="81">
        <v>10761</v>
      </c>
      <c r="D711" s="9" t="s">
        <v>599</v>
      </c>
      <c r="E711" s="81">
        <v>14563151</v>
      </c>
      <c r="F711" s="81">
        <v>30685</v>
      </c>
      <c r="G711" s="81">
        <v>25</v>
      </c>
      <c r="H711" s="82">
        <v>26.3</v>
      </c>
      <c r="I711" s="251">
        <v>657.5</v>
      </c>
      <c r="J711" s="9" t="s">
        <v>1305</v>
      </c>
      <c r="K711" s="9" t="s">
        <v>1306</v>
      </c>
      <c r="L711" s="83">
        <v>45200</v>
      </c>
      <c r="M711" s="83">
        <v>45230</v>
      </c>
    </row>
    <row r="712" spans="1:13" ht="18.75" customHeight="1" x14ac:dyDescent="0.25">
      <c r="A712" s="9" t="s">
        <v>1578</v>
      </c>
      <c r="B712" s="81">
        <v>113339</v>
      </c>
      <c r="C712" s="81">
        <v>10771</v>
      </c>
      <c r="D712" s="9" t="s">
        <v>715</v>
      </c>
      <c r="E712" s="81">
        <v>14563151</v>
      </c>
      <c r="F712" s="81">
        <v>31113</v>
      </c>
      <c r="G712" s="81">
        <v>25</v>
      </c>
      <c r="H712" s="82">
        <v>26.3</v>
      </c>
      <c r="I712" s="251">
        <v>657.5</v>
      </c>
      <c r="J712" s="9" t="s">
        <v>1305</v>
      </c>
      <c r="K712" s="9" t="s">
        <v>1306</v>
      </c>
      <c r="L712" s="83">
        <v>45200</v>
      </c>
      <c r="M712" s="83">
        <v>45230</v>
      </c>
    </row>
    <row r="713" spans="1:13" ht="18.75" customHeight="1" x14ac:dyDescent="0.25">
      <c r="A713" s="9" t="s">
        <v>8</v>
      </c>
      <c r="B713" s="81">
        <v>112515</v>
      </c>
      <c r="C713" s="81">
        <v>10771</v>
      </c>
      <c r="D713" s="9" t="s">
        <v>232</v>
      </c>
      <c r="E713" s="81">
        <v>14563151</v>
      </c>
      <c r="F713" s="81">
        <v>29465</v>
      </c>
      <c r="G713" s="81">
        <v>25</v>
      </c>
      <c r="H713" s="82">
        <v>26.3</v>
      </c>
      <c r="I713" s="251">
        <v>657.5</v>
      </c>
      <c r="J713" s="9" t="s">
        <v>1305</v>
      </c>
      <c r="K713" s="9" t="s">
        <v>1306</v>
      </c>
      <c r="L713" s="83">
        <v>45200</v>
      </c>
      <c r="M713" s="83">
        <v>45230</v>
      </c>
    </row>
    <row r="714" spans="1:13" ht="18.75" customHeight="1" x14ac:dyDescent="0.25">
      <c r="A714" s="9" t="s">
        <v>32</v>
      </c>
      <c r="B714" s="81">
        <v>122561</v>
      </c>
      <c r="C714" s="81">
        <v>10757</v>
      </c>
      <c r="D714" s="9" t="s">
        <v>1688</v>
      </c>
      <c r="E714" s="81">
        <v>14563151</v>
      </c>
      <c r="F714" s="81">
        <v>56555</v>
      </c>
      <c r="G714" s="81">
        <v>25</v>
      </c>
      <c r="H714" s="82">
        <v>26.3</v>
      </c>
      <c r="I714" s="251">
        <v>657.5</v>
      </c>
      <c r="J714" s="9" t="s">
        <v>1305</v>
      </c>
      <c r="K714" s="9" t="s">
        <v>1306</v>
      </c>
      <c r="L714" s="83">
        <v>45200</v>
      </c>
      <c r="M714" s="83">
        <v>45230</v>
      </c>
    </row>
    <row r="715" spans="1:13" ht="18.75" customHeight="1" x14ac:dyDescent="0.25">
      <c r="A715" s="9" t="s">
        <v>0</v>
      </c>
      <c r="B715" s="81">
        <v>113435</v>
      </c>
      <c r="C715" s="81">
        <v>10750</v>
      </c>
      <c r="D715" s="9" t="s">
        <v>777</v>
      </c>
      <c r="E715" s="81">
        <v>14563151</v>
      </c>
      <c r="F715" s="81">
        <v>31305</v>
      </c>
      <c r="G715" s="81">
        <v>25</v>
      </c>
      <c r="H715" s="82">
        <v>26.3</v>
      </c>
      <c r="I715" s="251">
        <v>657.5</v>
      </c>
      <c r="J715" s="9" t="s">
        <v>1305</v>
      </c>
      <c r="K715" s="9" t="s">
        <v>1306</v>
      </c>
      <c r="L715" s="83">
        <v>45200</v>
      </c>
      <c r="M715" s="83">
        <v>45230</v>
      </c>
    </row>
    <row r="716" spans="1:13" ht="18.75" customHeight="1" x14ac:dyDescent="0.25">
      <c r="A716" s="9" t="s">
        <v>8</v>
      </c>
      <c r="B716" s="81">
        <v>115408</v>
      </c>
      <c r="C716" s="81">
        <v>10757</v>
      </c>
      <c r="D716" s="9" t="s">
        <v>1156</v>
      </c>
      <c r="E716" s="81">
        <v>14563151</v>
      </c>
      <c r="F716" s="81">
        <v>39023</v>
      </c>
      <c r="G716" s="81">
        <v>25</v>
      </c>
      <c r="H716" s="82">
        <v>26.3</v>
      </c>
      <c r="I716" s="251">
        <v>657.5</v>
      </c>
      <c r="J716" s="9" t="s">
        <v>1305</v>
      </c>
      <c r="K716" s="9" t="s">
        <v>1306</v>
      </c>
      <c r="L716" s="83">
        <v>45200</v>
      </c>
      <c r="M716" s="83">
        <v>45230</v>
      </c>
    </row>
    <row r="717" spans="1:13" ht="18.75" customHeight="1" x14ac:dyDescent="0.25">
      <c r="A717" s="9" t="s">
        <v>0</v>
      </c>
      <c r="B717" s="81">
        <v>114744</v>
      </c>
      <c r="C717" s="81">
        <v>10758</v>
      </c>
      <c r="D717" s="9" t="s">
        <v>1086</v>
      </c>
      <c r="E717" s="81">
        <v>14563151</v>
      </c>
      <c r="F717" s="81">
        <v>36937</v>
      </c>
      <c r="G717" s="81">
        <v>25</v>
      </c>
      <c r="H717" s="82">
        <v>26.3</v>
      </c>
      <c r="I717" s="251">
        <v>657.5</v>
      </c>
      <c r="J717" s="9" t="s">
        <v>1305</v>
      </c>
      <c r="K717" s="9" t="s">
        <v>1306</v>
      </c>
      <c r="L717" s="83">
        <v>45200</v>
      </c>
      <c r="M717" s="83">
        <v>45230</v>
      </c>
    </row>
    <row r="718" spans="1:13" ht="18.75" customHeight="1" x14ac:dyDescent="0.25">
      <c r="A718" s="9" t="s">
        <v>19</v>
      </c>
      <c r="B718" s="81">
        <v>112315</v>
      </c>
      <c r="C718" s="81">
        <v>10750</v>
      </c>
      <c r="D718" s="9" t="s">
        <v>103</v>
      </c>
      <c r="E718" s="81">
        <v>14563151</v>
      </c>
      <c r="F718" s="81">
        <v>29065</v>
      </c>
      <c r="G718" s="81">
        <v>25</v>
      </c>
      <c r="H718" s="82">
        <v>26.3</v>
      </c>
      <c r="I718" s="251">
        <v>657.5</v>
      </c>
      <c r="J718" s="9" t="s">
        <v>1305</v>
      </c>
      <c r="K718" s="9" t="s">
        <v>1306</v>
      </c>
      <c r="L718" s="83">
        <v>45200</v>
      </c>
      <c r="M718" s="83">
        <v>45230</v>
      </c>
    </row>
    <row r="719" spans="1:13" ht="18.75" customHeight="1" x14ac:dyDescent="0.25">
      <c r="A719" s="9" t="s">
        <v>0</v>
      </c>
      <c r="B719" s="81">
        <v>114493</v>
      </c>
      <c r="C719" s="81">
        <v>10750</v>
      </c>
      <c r="D719" s="9" t="s">
        <v>1039</v>
      </c>
      <c r="E719" s="81">
        <v>14563151</v>
      </c>
      <c r="F719" s="81">
        <v>35873</v>
      </c>
      <c r="G719" s="81">
        <v>24</v>
      </c>
      <c r="H719" s="82">
        <v>26.3</v>
      </c>
      <c r="I719" s="251">
        <v>631.20000000000005</v>
      </c>
      <c r="J719" s="9" t="s">
        <v>1305</v>
      </c>
      <c r="K719" s="9" t="s">
        <v>1306</v>
      </c>
      <c r="L719" s="83">
        <v>45200</v>
      </c>
      <c r="M719" s="83">
        <v>45230</v>
      </c>
    </row>
    <row r="720" spans="1:13" ht="18.75" customHeight="1" x14ac:dyDescent="0.25">
      <c r="A720" s="9" t="s">
        <v>8</v>
      </c>
      <c r="B720" s="81">
        <v>122080</v>
      </c>
      <c r="C720" s="81">
        <v>10757</v>
      </c>
      <c r="D720" s="9" t="s">
        <v>1629</v>
      </c>
      <c r="E720" s="81">
        <v>14563151</v>
      </c>
      <c r="F720" s="81">
        <v>55277</v>
      </c>
      <c r="G720" s="81">
        <v>25</v>
      </c>
      <c r="H720" s="82">
        <v>26.3</v>
      </c>
      <c r="I720" s="251">
        <v>657.5</v>
      </c>
      <c r="J720" s="9" t="s">
        <v>1305</v>
      </c>
      <c r="K720" s="9" t="s">
        <v>1306</v>
      </c>
      <c r="L720" s="83">
        <v>45200</v>
      </c>
      <c r="M720" s="83">
        <v>45230</v>
      </c>
    </row>
    <row r="721" spans="1:13" ht="18.75" customHeight="1" x14ac:dyDescent="0.25">
      <c r="A721" s="9" t="s">
        <v>0</v>
      </c>
      <c r="B721" s="81">
        <v>113381</v>
      </c>
      <c r="C721" s="81">
        <v>10750</v>
      </c>
      <c r="D721" s="9" t="s">
        <v>741</v>
      </c>
      <c r="E721" s="81">
        <v>14563151</v>
      </c>
      <c r="F721" s="81">
        <v>31197</v>
      </c>
      <c r="G721" s="81">
        <v>25</v>
      </c>
      <c r="H721" s="82">
        <v>26.3</v>
      </c>
      <c r="I721" s="251">
        <v>657.5</v>
      </c>
      <c r="J721" s="9" t="s">
        <v>1305</v>
      </c>
      <c r="K721" s="9" t="s">
        <v>1306</v>
      </c>
      <c r="L721" s="83">
        <v>45200</v>
      </c>
      <c r="M721" s="83">
        <v>45230</v>
      </c>
    </row>
    <row r="722" spans="1:13" ht="18.75" customHeight="1" x14ac:dyDescent="0.25">
      <c r="A722" s="9" t="s">
        <v>10</v>
      </c>
      <c r="B722" s="81">
        <v>112252</v>
      </c>
      <c r="C722" s="81">
        <v>10750</v>
      </c>
      <c r="D722" s="9" t="s">
        <v>63</v>
      </c>
      <c r="E722" s="81">
        <v>14563151</v>
      </c>
      <c r="F722" s="81">
        <v>28939</v>
      </c>
      <c r="G722" s="81">
        <v>25</v>
      </c>
      <c r="H722" s="82">
        <v>26.3</v>
      </c>
      <c r="I722" s="251">
        <v>657.5</v>
      </c>
      <c r="J722" s="9" t="s">
        <v>1305</v>
      </c>
      <c r="K722" s="9" t="s">
        <v>1306</v>
      </c>
      <c r="L722" s="83">
        <v>45200</v>
      </c>
      <c r="M722" s="83">
        <v>45230</v>
      </c>
    </row>
    <row r="723" spans="1:13" ht="18.75" customHeight="1" x14ac:dyDescent="0.25">
      <c r="A723" s="9" t="s">
        <v>19</v>
      </c>
      <c r="B723" s="81">
        <v>113036</v>
      </c>
      <c r="C723" s="81">
        <v>10751</v>
      </c>
      <c r="D723" s="9" t="s">
        <v>554</v>
      </c>
      <c r="E723" s="81">
        <v>14563151</v>
      </c>
      <c r="F723" s="81">
        <v>30507</v>
      </c>
      <c r="G723" s="81">
        <v>25</v>
      </c>
      <c r="H723" s="82">
        <v>26.3</v>
      </c>
      <c r="I723" s="251">
        <v>657.5</v>
      </c>
      <c r="J723" s="9" t="s">
        <v>1305</v>
      </c>
      <c r="K723" s="9" t="s">
        <v>1306</v>
      </c>
      <c r="L723" s="83">
        <v>45200</v>
      </c>
      <c r="M723" s="83">
        <v>45230</v>
      </c>
    </row>
    <row r="724" spans="1:13" ht="18.75" customHeight="1" x14ac:dyDescent="0.25">
      <c r="A724" s="9" t="s">
        <v>0</v>
      </c>
      <c r="B724" s="81">
        <v>113358</v>
      </c>
      <c r="C724" s="81">
        <v>10750</v>
      </c>
      <c r="D724" s="9" t="s">
        <v>725</v>
      </c>
      <c r="E724" s="81">
        <v>14563151</v>
      </c>
      <c r="F724" s="81">
        <v>31151</v>
      </c>
      <c r="G724" s="81">
        <v>25</v>
      </c>
      <c r="H724" s="82">
        <v>26.3</v>
      </c>
      <c r="I724" s="251">
        <v>657.5</v>
      </c>
      <c r="J724" s="9" t="s">
        <v>1305</v>
      </c>
      <c r="K724" s="9" t="s">
        <v>1306</v>
      </c>
      <c r="L724" s="83">
        <v>45200</v>
      </c>
      <c r="M724" s="83">
        <v>45230</v>
      </c>
    </row>
    <row r="725" spans="1:13" ht="18.75" customHeight="1" x14ac:dyDescent="0.25">
      <c r="A725" s="9" t="s">
        <v>1578</v>
      </c>
      <c r="B725" s="81">
        <v>113614</v>
      </c>
      <c r="C725" s="81">
        <v>10767</v>
      </c>
      <c r="D725" s="9" t="s">
        <v>779</v>
      </c>
      <c r="E725" s="81">
        <v>14563151</v>
      </c>
      <c r="F725" s="81">
        <v>31663</v>
      </c>
      <c r="G725" s="81">
        <v>25</v>
      </c>
      <c r="H725" s="82">
        <v>26.3</v>
      </c>
      <c r="I725" s="251">
        <v>657.5</v>
      </c>
      <c r="J725" s="9" t="s">
        <v>1305</v>
      </c>
      <c r="K725" s="9" t="s">
        <v>1306</v>
      </c>
      <c r="L725" s="83">
        <v>45200</v>
      </c>
      <c r="M725" s="83">
        <v>45230</v>
      </c>
    </row>
    <row r="726" spans="1:13" ht="18.75" customHeight="1" x14ac:dyDescent="0.25">
      <c r="A726" s="9" t="s">
        <v>1578</v>
      </c>
      <c r="B726" s="81">
        <v>113651</v>
      </c>
      <c r="C726" s="81">
        <v>10762</v>
      </c>
      <c r="D726" s="9" t="s">
        <v>779</v>
      </c>
      <c r="E726" s="81">
        <v>14563151</v>
      </c>
      <c r="F726" s="81">
        <v>31737</v>
      </c>
      <c r="G726" s="81">
        <v>25</v>
      </c>
      <c r="H726" s="82">
        <v>26.3</v>
      </c>
      <c r="I726" s="251">
        <v>657.5</v>
      </c>
      <c r="J726" s="9" t="s">
        <v>1305</v>
      </c>
      <c r="K726" s="9" t="s">
        <v>1306</v>
      </c>
      <c r="L726" s="83">
        <v>45200</v>
      </c>
      <c r="M726" s="83">
        <v>45230</v>
      </c>
    </row>
    <row r="727" spans="1:13" ht="18.75" customHeight="1" x14ac:dyDescent="0.25">
      <c r="A727" s="9" t="s">
        <v>0</v>
      </c>
      <c r="B727" s="81">
        <v>113437</v>
      </c>
      <c r="C727" s="81">
        <v>10754</v>
      </c>
      <c r="D727" s="9" t="s">
        <v>779</v>
      </c>
      <c r="E727" s="81">
        <v>14563151</v>
      </c>
      <c r="F727" s="81">
        <v>31309</v>
      </c>
      <c r="G727" s="81">
        <v>25</v>
      </c>
      <c r="H727" s="82">
        <v>26.3</v>
      </c>
      <c r="I727" s="251">
        <v>657.5</v>
      </c>
      <c r="J727" s="9" t="s">
        <v>1305</v>
      </c>
      <c r="K727" s="9" t="s">
        <v>1306</v>
      </c>
      <c r="L727" s="83">
        <v>45200</v>
      </c>
      <c r="M727" s="83">
        <v>45230</v>
      </c>
    </row>
    <row r="728" spans="1:13" ht="18.75" customHeight="1" x14ac:dyDescent="0.25">
      <c r="A728" s="9" t="s">
        <v>1578</v>
      </c>
      <c r="B728" s="81">
        <v>113617</v>
      </c>
      <c r="C728" s="81">
        <v>10761</v>
      </c>
      <c r="D728" s="9" t="s">
        <v>874</v>
      </c>
      <c r="E728" s="81">
        <v>14563151</v>
      </c>
      <c r="F728" s="81">
        <v>31669</v>
      </c>
      <c r="G728" s="81">
        <v>25</v>
      </c>
      <c r="H728" s="82">
        <v>26.3</v>
      </c>
      <c r="I728" s="251">
        <v>657.5</v>
      </c>
      <c r="J728" s="9" t="s">
        <v>1305</v>
      </c>
      <c r="K728" s="9" t="s">
        <v>1306</v>
      </c>
      <c r="L728" s="83">
        <v>45200</v>
      </c>
      <c r="M728" s="83">
        <v>45230</v>
      </c>
    </row>
    <row r="729" spans="1:13" ht="18.75" customHeight="1" x14ac:dyDescent="0.25">
      <c r="A729" s="9" t="s">
        <v>1578</v>
      </c>
      <c r="B729" s="81">
        <v>113134</v>
      </c>
      <c r="C729" s="81">
        <v>10768</v>
      </c>
      <c r="D729" s="9" t="s">
        <v>602</v>
      </c>
      <c r="E729" s="81">
        <v>14563151</v>
      </c>
      <c r="F729" s="81">
        <v>30703</v>
      </c>
      <c r="G729" s="81">
        <v>25</v>
      </c>
      <c r="H729" s="82">
        <v>26.3</v>
      </c>
      <c r="I729" s="251">
        <v>657.5</v>
      </c>
      <c r="J729" s="9" t="s">
        <v>1305</v>
      </c>
      <c r="K729" s="9" t="s">
        <v>1306</v>
      </c>
      <c r="L729" s="83">
        <v>45200</v>
      </c>
      <c r="M729" s="83">
        <v>45230</v>
      </c>
    </row>
    <row r="730" spans="1:13" ht="18.75" customHeight="1" x14ac:dyDescent="0.25">
      <c r="A730" s="9" t="s">
        <v>8</v>
      </c>
      <c r="B730" s="81">
        <v>112508</v>
      </c>
      <c r="C730" s="81">
        <v>10756</v>
      </c>
      <c r="D730" s="9" t="s">
        <v>226</v>
      </c>
      <c r="E730" s="81">
        <v>14563151</v>
      </c>
      <c r="F730" s="81">
        <v>29451</v>
      </c>
      <c r="G730" s="81">
        <v>25</v>
      </c>
      <c r="H730" s="82">
        <v>26.3</v>
      </c>
      <c r="I730" s="251">
        <v>657.5</v>
      </c>
      <c r="J730" s="9" t="s">
        <v>1305</v>
      </c>
      <c r="K730" s="9" t="s">
        <v>1306</v>
      </c>
      <c r="L730" s="83">
        <v>45200</v>
      </c>
      <c r="M730" s="83">
        <v>45230</v>
      </c>
    </row>
    <row r="731" spans="1:13" ht="18.75" customHeight="1" x14ac:dyDescent="0.25">
      <c r="A731" s="9" t="s">
        <v>1578</v>
      </c>
      <c r="B731" s="81">
        <v>113335</v>
      </c>
      <c r="C731" s="81">
        <v>10771</v>
      </c>
      <c r="D731" s="9" t="s">
        <v>713</v>
      </c>
      <c r="E731" s="81">
        <v>14563151</v>
      </c>
      <c r="F731" s="81">
        <v>31105</v>
      </c>
      <c r="G731" s="81">
        <v>25</v>
      </c>
      <c r="H731" s="82">
        <v>26.3</v>
      </c>
      <c r="I731" s="251">
        <v>657.5</v>
      </c>
      <c r="J731" s="9" t="s">
        <v>1305</v>
      </c>
      <c r="K731" s="9" t="s">
        <v>1306</v>
      </c>
      <c r="L731" s="83">
        <v>45200</v>
      </c>
      <c r="M731" s="83">
        <v>45230</v>
      </c>
    </row>
    <row r="732" spans="1:13" ht="18.75" customHeight="1" x14ac:dyDescent="0.25">
      <c r="A732" s="9" t="s">
        <v>1578</v>
      </c>
      <c r="B732" s="81">
        <v>113618</v>
      </c>
      <c r="C732" s="81">
        <v>10762</v>
      </c>
      <c r="D732" s="9" t="s">
        <v>1349</v>
      </c>
      <c r="E732" s="81">
        <v>14563151</v>
      </c>
      <c r="F732" s="81">
        <v>31671</v>
      </c>
      <c r="G732" s="81">
        <v>25</v>
      </c>
      <c r="H732" s="82">
        <v>26.3</v>
      </c>
      <c r="I732" s="251">
        <v>657.5</v>
      </c>
      <c r="J732" s="9" t="s">
        <v>1305</v>
      </c>
      <c r="K732" s="9" t="s">
        <v>1306</v>
      </c>
      <c r="L732" s="83">
        <v>45200</v>
      </c>
      <c r="M732" s="83">
        <v>45230</v>
      </c>
    </row>
    <row r="733" spans="1:13" ht="18.75" customHeight="1" x14ac:dyDescent="0.25">
      <c r="A733" s="9" t="s">
        <v>8</v>
      </c>
      <c r="B733" s="81">
        <v>112935</v>
      </c>
      <c r="C733" s="81">
        <v>10751</v>
      </c>
      <c r="D733" s="9" t="s">
        <v>504</v>
      </c>
      <c r="E733" s="81">
        <v>14563151</v>
      </c>
      <c r="F733" s="81">
        <v>30305</v>
      </c>
      <c r="G733" s="81">
        <v>25</v>
      </c>
      <c r="H733" s="82">
        <v>26.3</v>
      </c>
      <c r="I733" s="251">
        <v>657.5</v>
      </c>
      <c r="J733" s="9" t="s">
        <v>1305</v>
      </c>
      <c r="K733" s="9" t="s">
        <v>1306</v>
      </c>
      <c r="L733" s="83">
        <v>45200</v>
      </c>
      <c r="M733" s="83">
        <v>45230</v>
      </c>
    </row>
    <row r="734" spans="1:13" ht="18.75" customHeight="1" x14ac:dyDescent="0.25">
      <c r="A734" s="9" t="s">
        <v>19</v>
      </c>
      <c r="B734" s="81">
        <v>112979</v>
      </c>
      <c r="C734" s="81">
        <v>10755</v>
      </c>
      <c r="D734" s="9" t="s">
        <v>529</v>
      </c>
      <c r="E734" s="81">
        <v>14563151</v>
      </c>
      <c r="F734" s="81">
        <v>30393</v>
      </c>
      <c r="G734" s="81">
        <v>25</v>
      </c>
      <c r="H734" s="82">
        <v>26.3</v>
      </c>
      <c r="I734" s="251">
        <v>657.5</v>
      </c>
      <c r="J734" s="9" t="s">
        <v>1305</v>
      </c>
      <c r="K734" s="9" t="s">
        <v>1306</v>
      </c>
      <c r="L734" s="83">
        <v>45200</v>
      </c>
      <c r="M734" s="83">
        <v>45230</v>
      </c>
    </row>
    <row r="735" spans="1:13" ht="18.75" customHeight="1" x14ac:dyDescent="0.25">
      <c r="A735" s="9" t="s">
        <v>10</v>
      </c>
      <c r="B735" s="81">
        <v>112255</v>
      </c>
      <c r="C735" s="81">
        <v>10750</v>
      </c>
      <c r="D735" s="9" t="s">
        <v>66</v>
      </c>
      <c r="E735" s="81">
        <v>14563151</v>
      </c>
      <c r="F735" s="81">
        <v>28945</v>
      </c>
      <c r="G735" s="81">
        <v>25</v>
      </c>
      <c r="H735" s="82">
        <v>26.3</v>
      </c>
      <c r="I735" s="251">
        <v>657.5</v>
      </c>
      <c r="J735" s="9" t="s">
        <v>1305</v>
      </c>
      <c r="K735" s="9" t="s">
        <v>1306</v>
      </c>
      <c r="L735" s="83">
        <v>45200</v>
      </c>
      <c r="M735" s="83">
        <v>45230</v>
      </c>
    </row>
    <row r="736" spans="1:13" ht="18.75" customHeight="1" x14ac:dyDescent="0.25">
      <c r="A736" s="9" t="s">
        <v>1578</v>
      </c>
      <c r="B736" s="81">
        <v>119111</v>
      </c>
      <c r="C736" s="81">
        <v>10771</v>
      </c>
      <c r="D736" s="9" t="s">
        <v>1434</v>
      </c>
      <c r="E736" s="81">
        <v>14563151</v>
      </c>
      <c r="F736" s="81">
        <v>48245</v>
      </c>
      <c r="G736" s="81">
        <v>25</v>
      </c>
      <c r="H736" s="82">
        <v>26.3</v>
      </c>
      <c r="I736" s="251">
        <v>657.5</v>
      </c>
      <c r="J736" s="9" t="s">
        <v>1305</v>
      </c>
      <c r="K736" s="9" t="s">
        <v>1306</v>
      </c>
      <c r="L736" s="83">
        <v>45200</v>
      </c>
      <c r="M736" s="83">
        <v>45230</v>
      </c>
    </row>
    <row r="737" spans="1:13" ht="18.75" customHeight="1" x14ac:dyDescent="0.25">
      <c r="A737" s="9" t="s">
        <v>8</v>
      </c>
      <c r="B737" s="81">
        <v>112259</v>
      </c>
      <c r="C737" s="81">
        <v>10750</v>
      </c>
      <c r="D737" s="9" t="s">
        <v>70</v>
      </c>
      <c r="E737" s="81">
        <v>14563151</v>
      </c>
      <c r="F737" s="81">
        <v>28953</v>
      </c>
      <c r="G737" s="81">
        <v>25</v>
      </c>
      <c r="H737" s="82">
        <v>26.3</v>
      </c>
      <c r="I737" s="251">
        <v>657.5</v>
      </c>
      <c r="J737" s="9" t="s">
        <v>1305</v>
      </c>
      <c r="K737" s="9" t="s">
        <v>1306</v>
      </c>
      <c r="L737" s="83">
        <v>45200</v>
      </c>
      <c r="M737" s="83">
        <v>45230</v>
      </c>
    </row>
    <row r="738" spans="1:13" ht="18.75" customHeight="1" x14ac:dyDescent="0.25">
      <c r="A738" s="9" t="s">
        <v>19</v>
      </c>
      <c r="B738" s="81">
        <v>112989</v>
      </c>
      <c r="C738" s="81">
        <v>10756</v>
      </c>
      <c r="D738" s="9" t="s">
        <v>532</v>
      </c>
      <c r="E738" s="81">
        <v>14563151</v>
      </c>
      <c r="F738" s="81">
        <v>30413</v>
      </c>
      <c r="G738" s="81">
        <v>25</v>
      </c>
      <c r="H738" s="82">
        <v>26.3</v>
      </c>
      <c r="I738" s="251">
        <v>657.5</v>
      </c>
      <c r="J738" s="9" t="s">
        <v>1305</v>
      </c>
      <c r="K738" s="9" t="s">
        <v>1306</v>
      </c>
      <c r="L738" s="83">
        <v>45200</v>
      </c>
      <c r="M738" s="83">
        <v>45230</v>
      </c>
    </row>
    <row r="739" spans="1:13" ht="18.75" customHeight="1" x14ac:dyDescent="0.25">
      <c r="A739" s="9" t="s">
        <v>8</v>
      </c>
      <c r="B739" s="81">
        <v>112937</v>
      </c>
      <c r="C739" s="81">
        <v>10754</v>
      </c>
      <c r="D739" s="9" t="s">
        <v>506</v>
      </c>
      <c r="E739" s="81">
        <v>14563151</v>
      </c>
      <c r="F739" s="81">
        <v>30309</v>
      </c>
      <c r="G739" s="81">
        <v>25</v>
      </c>
      <c r="H739" s="82">
        <v>26.3</v>
      </c>
      <c r="I739" s="251">
        <v>657.5</v>
      </c>
      <c r="J739" s="9" t="s">
        <v>1305</v>
      </c>
      <c r="K739" s="9" t="s">
        <v>1306</v>
      </c>
      <c r="L739" s="83">
        <v>45200</v>
      </c>
      <c r="M739" s="83">
        <v>45230</v>
      </c>
    </row>
    <row r="740" spans="1:13" ht="18.75" customHeight="1" x14ac:dyDescent="0.25">
      <c r="A740" s="9" t="s">
        <v>8</v>
      </c>
      <c r="B740" s="81">
        <v>119112</v>
      </c>
      <c r="C740" s="81">
        <v>10758</v>
      </c>
      <c r="D740" s="9" t="s">
        <v>1435</v>
      </c>
      <c r="E740" s="81">
        <v>14563151</v>
      </c>
      <c r="F740" s="81">
        <v>48247</v>
      </c>
      <c r="G740" s="81">
        <v>25</v>
      </c>
      <c r="H740" s="82">
        <v>26.3</v>
      </c>
      <c r="I740" s="251">
        <v>657.5</v>
      </c>
      <c r="J740" s="9" t="s">
        <v>1305</v>
      </c>
      <c r="K740" s="9" t="s">
        <v>1309</v>
      </c>
      <c r="L740" s="83">
        <v>45200</v>
      </c>
      <c r="M740" s="83">
        <v>45230</v>
      </c>
    </row>
    <row r="741" spans="1:13" ht="18.75" customHeight="1" x14ac:dyDescent="0.25">
      <c r="A741" s="9" t="s">
        <v>0</v>
      </c>
      <c r="B741" s="81">
        <v>113384</v>
      </c>
      <c r="C741" s="81">
        <v>10754</v>
      </c>
      <c r="D741" s="9" t="s">
        <v>742</v>
      </c>
      <c r="E741" s="81">
        <v>14563151</v>
      </c>
      <c r="F741" s="81">
        <v>31203</v>
      </c>
      <c r="G741" s="81">
        <v>25</v>
      </c>
      <c r="H741" s="82">
        <v>26.3</v>
      </c>
      <c r="I741" s="251">
        <v>657.5</v>
      </c>
      <c r="J741" s="9" t="s">
        <v>1305</v>
      </c>
      <c r="K741" s="9" t="s">
        <v>1306</v>
      </c>
      <c r="L741" s="83">
        <v>45200</v>
      </c>
      <c r="M741" s="83">
        <v>45230</v>
      </c>
    </row>
    <row r="742" spans="1:13" ht="18.75" customHeight="1" x14ac:dyDescent="0.25">
      <c r="A742" s="9" t="s">
        <v>19</v>
      </c>
      <c r="B742" s="81">
        <v>112983</v>
      </c>
      <c r="C742" s="81">
        <v>10758</v>
      </c>
      <c r="D742" s="9" t="s">
        <v>530</v>
      </c>
      <c r="E742" s="81">
        <v>14563151</v>
      </c>
      <c r="F742" s="81">
        <v>30401</v>
      </c>
      <c r="G742" s="81">
        <v>25</v>
      </c>
      <c r="H742" s="82">
        <v>26.3</v>
      </c>
      <c r="I742" s="251">
        <v>657.5</v>
      </c>
      <c r="J742" s="9" t="s">
        <v>1305</v>
      </c>
      <c r="K742" s="9" t="s">
        <v>1306</v>
      </c>
      <c r="L742" s="83">
        <v>45200</v>
      </c>
      <c r="M742" s="83">
        <v>45230</v>
      </c>
    </row>
    <row r="743" spans="1:13" ht="18.75" customHeight="1" x14ac:dyDescent="0.25">
      <c r="A743" s="9" t="s">
        <v>10</v>
      </c>
      <c r="B743" s="81">
        <v>112320</v>
      </c>
      <c r="C743" s="81">
        <v>10750</v>
      </c>
      <c r="D743" s="9" t="s">
        <v>105</v>
      </c>
      <c r="E743" s="81">
        <v>14563151</v>
      </c>
      <c r="F743" s="81">
        <v>29075</v>
      </c>
      <c r="G743" s="81">
        <v>25</v>
      </c>
      <c r="H743" s="82">
        <v>26.3</v>
      </c>
      <c r="I743" s="251">
        <v>657.5</v>
      </c>
      <c r="J743" s="9" t="s">
        <v>1305</v>
      </c>
      <c r="K743" s="9" t="s">
        <v>1306</v>
      </c>
      <c r="L743" s="83">
        <v>45200</v>
      </c>
      <c r="M743" s="83">
        <v>45230</v>
      </c>
    </row>
    <row r="744" spans="1:13" ht="18.75" customHeight="1" x14ac:dyDescent="0.25">
      <c r="A744" s="9" t="s">
        <v>32</v>
      </c>
      <c r="B744" s="81">
        <v>112499</v>
      </c>
      <c r="C744" s="81">
        <v>10756</v>
      </c>
      <c r="D744" s="9" t="s">
        <v>218</v>
      </c>
      <c r="E744" s="81">
        <v>14563151</v>
      </c>
      <c r="F744" s="81">
        <v>29433</v>
      </c>
      <c r="G744" s="81">
        <v>25</v>
      </c>
      <c r="H744" s="82">
        <v>26.3</v>
      </c>
      <c r="I744" s="251">
        <v>657.5</v>
      </c>
      <c r="J744" s="9" t="s">
        <v>1305</v>
      </c>
      <c r="K744" s="9" t="s">
        <v>1306</v>
      </c>
      <c r="L744" s="83">
        <v>45200</v>
      </c>
      <c r="M744" s="83">
        <v>45230</v>
      </c>
    </row>
    <row r="745" spans="1:13" ht="18.75" customHeight="1" x14ac:dyDescent="0.25">
      <c r="A745" s="9" t="s">
        <v>0</v>
      </c>
      <c r="B745" s="81">
        <v>122834</v>
      </c>
      <c r="C745" s="81">
        <v>10758</v>
      </c>
      <c r="D745" s="9" t="s">
        <v>1723</v>
      </c>
      <c r="E745" s="81">
        <v>14563151</v>
      </c>
      <c r="F745" s="81">
        <v>57236</v>
      </c>
      <c r="G745" s="81">
        <v>25</v>
      </c>
      <c r="H745" s="82">
        <v>26.3</v>
      </c>
      <c r="I745" s="251">
        <v>657.5</v>
      </c>
      <c r="J745" s="9" t="s">
        <v>1305</v>
      </c>
      <c r="K745" s="9" t="s">
        <v>1306</v>
      </c>
      <c r="L745" s="83">
        <v>45200</v>
      </c>
      <c r="M745" s="83">
        <v>45230</v>
      </c>
    </row>
    <row r="746" spans="1:13" ht="18.75" customHeight="1" x14ac:dyDescent="0.25">
      <c r="A746" s="9" t="s">
        <v>19</v>
      </c>
      <c r="B746" s="81">
        <v>113039</v>
      </c>
      <c r="C746" s="81">
        <v>10751</v>
      </c>
      <c r="D746" s="9" t="s">
        <v>108</v>
      </c>
      <c r="E746" s="81">
        <v>14563151</v>
      </c>
      <c r="F746" s="81">
        <v>30513</v>
      </c>
      <c r="G746" s="81">
        <v>25</v>
      </c>
      <c r="H746" s="82">
        <v>26.3</v>
      </c>
      <c r="I746" s="251">
        <v>657.5</v>
      </c>
      <c r="J746" s="9" t="s">
        <v>1305</v>
      </c>
      <c r="K746" s="9" t="s">
        <v>1306</v>
      </c>
      <c r="L746" s="83">
        <v>45200</v>
      </c>
      <c r="M746" s="83">
        <v>45230</v>
      </c>
    </row>
    <row r="747" spans="1:13" ht="18.75" customHeight="1" x14ac:dyDescent="0.25">
      <c r="A747" s="9" t="s">
        <v>1578</v>
      </c>
      <c r="B747" s="81">
        <v>113628</v>
      </c>
      <c r="C747" s="81">
        <v>10756</v>
      </c>
      <c r="D747" s="9" t="s">
        <v>881</v>
      </c>
      <c r="E747" s="81">
        <v>14563151</v>
      </c>
      <c r="F747" s="81">
        <v>31691</v>
      </c>
      <c r="G747" s="81">
        <v>25</v>
      </c>
      <c r="H747" s="82">
        <v>26.3</v>
      </c>
      <c r="I747" s="251">
        <v>657.5</v>
      </c>
      <c r="J747" s="9" t="s">
        <v>1305</v>
      </c>
      <c r="K747" s="9" t="s">
        <v>1306</v>
      </c>
      <c r="L747" s="83">
        <v>45200</v>
      </c>
      <c r="M747" s="83">
        <v>45230</v>
      </c>
    </row>
    <row r="748" spans="1:13" ht="18.75" customHeight="1" x14ac:dyDescent="0.25">
      <c r="A748" s="9" t="s">
        <v>1578</v>
      </c>
      <c r="B748" s="81">
        <v>114923</v>
      </c>
      <c r="C748" s="81">
        <v>10757</v>
      </c>
      <c r="D748" s="9" t="s">
        <v>1109</v>
      </c>
      <c r="E748" s="81">
        <v>14563151</v>
      </c>
      <c r="F748" s="81">
        <v>37627</v>
      </c>
      <c r="G748" s="81">
        <v>25</v>
      </c>
      <c r="H748" s="82">
        <v>26.3</v>
      </c>
      <c r="I748" s="251">
        <v>657.5</v>
      </c>
      <c r="J748" s="9" t="s">
        <v>1305</v>
      </c>
      <c r="K748" s="9" t="s">
        <v>1306</v>
      </c>
      <c r="L748" s="83">
        <v>45200</v>
      </c>
      <c r="M748" s="83">
        <v>45230</v>
      </c>
    </row>
    <row r="749" spans="1:13" ht="18.75" customHeight="1" x14ac:dyDescent="0.25">
      <c r="A749" s="9" t="s">
        <v>8</v>
      </c>
      <c r="B749" s="81">
        <v>112352</v>
      </c>
      <c r="C749" s="81">
        <v>10755</v>
      </c>
      <c r="D749" s="9" t="s">
        <v>126</v>
      </c>
      <c r="E749" s="81">
        <v>14563151</v>
      </c>
      <c r="F749" s="81">
        <v>29139</v>
      </c>
      <c r="G749" s="81">
        <v>25</v>
      </c>
      <c r="H749" s="82">
        <v>26.3</v>
      </c>
      <c r="I749" s="251">
        <v>657.5</v>
      </c>
      <c r="J749" s="9" t="s">
        <v>1305</v>
      </c>
      <c r="K749" s="9" t="s">
        <v>1306</v>
      </c>
      <c r="L749" s="83">
        <v>45200</v>
      </c>
      <c r="M749" s="83">
        <v>45230</v>
      </c>
    </row>
    <row r="750" spans="1:13" ht="18.75" customHeight="1" x14ac:dyDescent="0.25">
      <c r="A750" s="9" t="s">
        <v>32</v>
      </c>
      <c r="B750" s="81">
        <v>112505</v>
      </c>
      <c r="C750" s="81">
        <v>10756</v>
      </c>
      <c r="D750" s="9" t="s">
        <v>223</v>
      </c>
      <c r="E750" s="81">
        <v>14563151</v>
      </c>
      <c r="F750" s="81">
        <v>29445</v>
      </c>
      <c r="G750" s="81">
        <v>25</v>
      </c>
      <c r="H750" s="82">
        <v>26.3</v>
      </c>
      <c r="I750" s="251">
        <v>657.5</v>
      </c>
      <c r="J750" s="9" t="s">
        <v>1305</v>
      </c>
      <c r="K750" s="9" t="s">
        <v>1306</v>
      </c>
      <c r="L750" s="83">
        <v>45200</v>
      </c>
      <c r="M750" s="83">
        <v>45230</v>
      </c>
    </row>
    <row r="751" spans="1:13" ht="18.75" customHeight="1" x14ac:dyDescent="0.25">
      <c r="A751" s="9" t="s">
        <v>10</v>
      </c>
      <c r="B751" s="81">
        <v>112328</v>
      </c>
      <c r="C751" s="81">
        <v>10750</v>
      </c>
      <c r="D751" s="9" t="s">
        <v>110</v>
      </c>
      <c r="E751" s="81">
        <v>14563151</v>
      </c>
      <c r="F751" s="81">
        <v>29091</v>
      </c>
      <c r="G751" s="81">
        <v>25</v>
      </c>
      <c r="H751" s="82">
        <v>26.3</v>
      </c>
      <c r="I751" s="251">
        <v>657.5</v>
      </c>
      <c r="J751" s="9" t="s">
        <v>1305</v>
      </c>
      <c r="K751" s="9" t="s">
        <v>1306</v>
      </c>
      <c r="L751" s="83">
        <v>45200</v>
      </c>
      <c r="M751" s="83">
        <v>45230</v>
      </c>
    </row>
    <row r="752" spans="1:13" ht="18.75" customHeight="1" x14ac:dyDescent="0.25">
      <c r="A752" s="9" t="s">
        <v>0</v>
      </c>
      <c r="B752" s="81">
        <v>113412</v>
      </c>
      <c r="C752" s="81">
        <v>10750</v>
      </c>
      <c r="D752" s="9" t="s">
        <v>761</v>
      </c>
      <c r="E752" s="81">
        <v>14563151</v>
      </c>
      <c r="F752" s="81">
        <v>31259</v>
      </c>
      <c r="G752" s="81">
        <v>25</v>
      </c>
      <c r="H752" s="82">
        <v>26.3</v>
      </c>
      <c r="I752" s="251">
        <v>657.5</v>
      </c>
      <c r="J752" s="9" t="s">
        <v>1305</v>
      </c>
      <c r="K752" s="9" t="s">
        <v>1306</v>
      </c>
      <c r="L752" s="83">
        <v>45200</v>
      </c>
      <c r="M752" s="83">
        <v>45230</v>
      </c>
    </row>
    <row r="753" spans="1:13" ht="18.75" customHeight="1" x14ac:dyDescent="0.25">
      <c r="A753" s="9" t="s">
        <v>1578</v>
      </c>
      <c r="B753" s="81">
        <v>113161</v>
      </c>
      <c r="C753" s="81">
        <v>10767</v>
      </c>
      <c r="D753" s="9" t="s">
        <v>620</v>
      </c>
      <c r="E753" s="81">
        <v>14563151</v>
      </c>
      <c r="F753" s="81">
        <v>30757</v>
      </c>
      <c r="G753" s="81">
        <v>25</v>
      </c>
      <c r="H753" s="82">
        <v>26.3</v>
      </c>
      <c r="I753" s="251">
        <v>657.5</v>
      </c>
      <c r="J753" s="9" t="s">
        <v>1305</v>
      </c>
      <c r="K753" s="9" t="s">
        <v>1306</v>
      </c>
      <c r="L753" s="83">
        <v>45200</v>
      </c>
      <c r="M753" s="83">
        <v>45230</v>
      </c>
    </row>
    <row r="754" spans="1:13" ht="18.75" customHeight="1" x14ac:dyDescent="0.25">
      <c r="A754" s="9" t="s">
        <v>8</v>
      </c>
      <c r="B754" s="81">
        <v>112940</v>
      </c>
      <c r="C754" s="81">
        <v>10750</v>
      </c>
      <c r="D754" s="9" t="s">
        <v>507</v>
      </c>
      <c r="E754" s="81">
        <v>14563151</v>
      </c>
      <c r="F754" s="81">
        <v>30315</v>
      </c>
      <c r="G754" s="81">
        <v>25</v>
      </c>
      <c r="H754" s="82">
        <v>26.3</v>
      </c>
      <c r="I754" s="251">
        <v>657.5</v>
      </c>
      <c r="J754" s="9" t="s">
        <v>1305</v>
      </c>
      <c r="K754" s="9" t="s">
        <v>1306</v>
      </c>
      <c r="L754" s="83">
        <v>45200</v>
      </c>
      <c r="M754" s="83">
        <v>45230</v>
      </c>
    </row>
    <row r="755" spans="1:13" ht="18.75" customHeight="1" x14ac:dyDescent="0.25">
      <c r="A755" s="9" t="s">
        <v>0</v>
      </c>
      <c r="B755" s="81">
        <v>112221</v>
      </c>
      <c r="C755" s="81">
        <v>10758</v>
      </c>
      <c r="D755" s="9" t="s">
        <v>42</v>
      </c>
      <c r="E755" s="81">
        <v>14563151</v>
      </c>
      <c r="F755" s="81">
        <v>28877</v>
      </c>
      <c r="G755" s="81">
        <v>25</v>
      </c>
      <c r="H755" s="82">
        <v>26.3</v>
      </c>
      <c r="I755" s="251">
        <v>657.5</v>
      </c>
      <c r="J755" s="9" t="s">
        <v>1305</v>
      </c>
      <c r="K755" s="9" t="s">
        <v>1306</v>
      </c>
      <c r="L755" s="83">
        <v>45200</v>
      </c>
      <c r="M755" s="83">
        <v>45230</v>
      </c>
    </row>
    <row r="756" spans="1:13" ht="18.75" customHeight="1" x14ac:dyDescent="0.25">
      <c r="A756" s="9" t="s">
        <v>8</v>
      </c>
      <c r="B756" s="81">
        <v>117244</v>
      </c>
      <c r="C756" s="81">
        <v>10755</v>
      </c>
      <c r="D756" s="9" t="s">
        <v>1258</v>
      </c>
      <c r="E756" s="81">
        <v>14563151</v>
      </c>
      <c r="F756" s="81">
        <v>44105</v>
      </c>
      <c r="G756" s="81">
        <v>25</v>
      </c>
      <c r="H756" s="82">
        <v>26.3</v>
      </c>
      <c r="I756" s="251">
        <v>657.5</v>
      </c>
      <c r="J756" s="9" t="s">
        <v>1305</v>
      </c>
      <c r="K756" s="9" t="s">
        <v>1306</v>
      </c>
      <c r="L756" s="83">
        <v>45200</v>
      </c>
      <c r="M756" s="83">
        <v>45230</v>
      </c>
    </row>
    <row r="757" spans="1:13" ht="18.75" customHeight="1" x14ac:dyDescent="0.25">
      <c r="A757" s="9" t="s">
        <v>8</v>
      </c>
      <c r="B757" s="81">
        <v>112517</v>
      </c>
      <c r="C757" s="81">
        <v>10751</v>
      </c>
      <c r="D757" s="9" t="s">
        <v>233</v>
      </c>
      <c r="E757" s="81">
        <v>14563151</v>
      </c>
      <c r="F757" s="81">
        <v>29469</v>
      </c>
      <c r="G757" s="81">
        <v>25</v>
      </c>
      <c r="H757" s="82">
        <v>26.3</v>
      </c>
      <c r="I757" s="251">
        <v>657.5</v>
      </c>
      <c r="J757" s="9" t="s">
        <v>1305</v>
      </c>
      <c r="K757" s="9" t="s">
        <v>1306</v>
      </c>
      <c r="L757" s="83">
        <v>45200</v>
      </c>
      <c r="M757" s="83">
        <v>45230</v>
      </c>
    </row>
    <row r="758" spans="1:13" ht="18.75" customHeight="1" x14ac:dyDescent="0.25">
      <c r="A758" s="9" t="s">
        <v>8</v>
      </c>
      <c r="B758" s="81">
        <v>112941</v>
      </c>
      <c r="C758" s="81">
        <v>10750</v>
      </c>
      <c r="D758" s="9" t="s">
        <v>508</v>
      </c>
      <c r="E758" s="81">
        <v>14563151</v>
      </c>
      <c r="F758" s="81">
        <v>30317</v>
      </c>
      <c r="G758" s="81">
        <v>25</v>
      </c>
      <c r="H758" s="82">
        <v>26.3</v>
      </c>
      <c r="I758" s="251">
        <v>657.5</v>
      </c>
      <c r="J758" s="9" t="s">
        <v>1305</v>
      </c>
      <c r="K758" s="9" t="s">
        <v>1306</v>
      </c>
      <c r="L758" s="83">
        <v>45200</v>
      </c>
      <c r="M758" s="83">
        <v>45230</v>
      </c>
    </row>
    <row r="759" spans="1:13" ht="18.75" customHeight="1" x14ac:dyDescent="0.25">
      <c r="A759" s="9" t="s">
        <v>8</v>
      </c>
      <c r="B759" s="81">
        <v>112943</v>
      </c>
      <c r="C759" s="81">
        <v>10750</v>
      </c>
      <c r="D759" s="9" t="s">
        <v>510</v>
      </c>
      <c r="E759" s="81">
        <v>14563151</v>
      </c>
      <c r="F759" s="81">
        <v>30321</v>
      </c>
      <c r="G759" s="81">
        <v>25</v>
      </c>
      <c r="H759" s="82">
        <v>26.3</v>
      </c>
      <c r="I759" s="251">
        <v>657.5</v>
      </c>
      <c r="J759" s="9" t="s">
        <v>1305</v>
      </c>
      <c r="K759" s="9" t="s">
        <v>1306</v>
      </c>
      <c r="L759" s="83">
        <v>45200</v>
      </c>
      <c r="M759" s="83">
        <v>45230</v>
      </c>
    </row>
    <row r="760" spans="1:13" ht="18.75" customHeight="1" x14ac:dyDescent="0.25">
      <c r="A760" s="9" t="s">
        <v>1578</v>
      </c>
      <c r="B760" s="81">
        <v>114924</v>
      </c>
      <c r="C760" s="81">
        <v>10766</v>
      </c>
      <c r="D760" s="9" t="s">
        <v>591</v>
      </c>
      <c r="E760" s="81">
        <v>14563151</v>
      </c>
      <c r="F760" s="81">
        <v>37761</v>
      </c>
      <c r="G760" s="81">
        <v>25</v>
      </c>
      <c r="H760" s="82">
        <v>26.3</v>
      </c>
      <c r="I760" s="251">
        <v>657.5</v>
      </c>
      <c r="J760" s="9" t="s">
        <v>1305</v>
      </c>
      <c r="K760" s="9" t="s">
        <v>1306</v>
      </c>
      <c r="L760" s="83">
        <v>45200</v>
      </c>
      <c r="M760" s="83">
        <v>45230</v>
      </c>
    </row>
    <row r="761" spans="1:13" ht="18.75" customHeight="1" x14ac:dyDescent="0.25">
      <c r="A761" s="9" t="s">
        <v>0</v>
      </c>
      <c r="B761" s="81">
        <v>113114</v>
      </c>
      <c r="C761" s="81">
        <v>10750</v>
      </c>
      <c r="D761" s="9" t="s">
        <v>591</v>
      </c>
      <c r="E761" s="81">
        <v>14563151</v>
      </c>
      <c r="F761" s="81">
        <v>30663</v>
      </c>
      <c r="G761" s="81">
        <v>25</v>
      </c>
      <c r="H761" s="82">
        <v>26.3</v>
      </c>
      <c r="I761" s="251">
        <v>657.5</v>
      </c>
      <c r="J761" s="9" t="s">
        <v>1305</v>
      </c>
      <c r="K761" s="9" t="s">
        <v>1306</v>
      </c>
      <c r="L761" s="83">
        <v>45200</v>
      </c>
      <c r="M761" s="83">
        <v>45230</v>
      </c>
    </row>
    <row r="762" spans="1:13" ht="18.75" customHeight="1" x14ac:dyDescent="0.25">
      <c r="A762" s="9" t="s">
        <v>1578</v>
      </c>
      <c r="B762" s="81">
        <v>122409</v>
      </c>
      <c r="C762" s="81">
        <v>10755</v>
      </c>
      <c r="D762" s="9" t="s">
        <v>1689</v>
      </c>
      <c r="E762" s="81">
        <v>14563151</v>
      </c>
      <c r="F762" s="81">
        <v>56139</v>
      </c>
      <c r="G762" s="81">
        <v>25</v>
      </c>
      <c r="H762" s="82">
        <v>26.3</v>
      </c>
      <c r="I762" s="251">
        <v>657.5</v>
      </c>
      <c r="J762" s="9" t="s">
        <v>1305</v>
      </c>
      <c r="K762" s="9" t="s">
        <v>1306</v>
      </c>
      <c r="L762" s="83">
        <v>45200</v>
      </c>
      <c r="M762" s="83">
        <v>45230</v>
      </c>
    </row>
    <row r="763" spans="1:13" ht="18.75" customHeight="1" x14ac:dyDescent="0.25">
      <c r="A763" s="9" t="s">
        <v>8</v>
      </c>
      <c r="B763" s="81">
        <v>121316</v>
      </c>
      <c r="C763" s="81">
        <v>10763</v>
      </c>
      <c r="D763" s="9" t="s">
        <v>1532</v>
      </c>
      <c r="E763" s="81">
        <v>14563151</v>
      </c>
      <c r="F763" s="81">
        <v>53487</v>
      </c>
      <c r="G763" s="81">
        <v>25</v>
      </c>
      <c r="H763" s="82">
        <v>26.3</v>
      </c>
      <c r="I763" s="251">
        <v>657.5</v>
      </c>
      <c r="J763" s="9" t="s">
        <v>1305</v>
      </c>
      <c r="K763" s="9" t="s">
        <v>1306</v>
      </c>
      <c r="L763" s="83">
        <v>45200</v>
      </c>
      <c r="M763" s="83">
        <v>45230</v>
      </c>
    </row>
    <row r="764" spans="1:13" ht="18.75" customHeight="1" x14ac:dyDescent="0.25">
      <c r="A764" s="9" t="s">
        <v>1578</v>
      </c>
      <c r="B764" s="81">
        <v>113344</v>
      </c>
      <c r="C764" s="81">
        <v>10762</v>
      </c>
      <c r="D764" s="9" t="s">
        <v>718</v>
      </c>
      <c r="E764" s="81">
        <v>14563151</v>
      </c>
      <c r="F764" s="81">
        <v>31123</v>
      </c>
      <c r="G764" s="81">
        <v>25</v>
      </c>
      <c r="H764" s="82">
        <v>26.3</v>
      </c>
      <c r="I764" s="251">
        <v>657.5</v>
      </c>
      <c r="J764" s="9" t="s">
        <v>1305</v>
      </c>
      <c r="K764" s="9" t="s">
        <v>1306</v>
      </c>
      <c r="L764" s="83">
        <v>45200</v>
      </c>
      <c r="M764" s="83">
        <v>45230</v>
      </c>
    </row>
    <row r="765" spans="1:13" ht="18.75" customHeight="1" x14ac:dyDescent="0.25">
      <c r="A765" s="9" t="s">
        <v>10</v>
      </c>
      <c r="B765" s="81">
        <v>112264</v>
      </c>
      <c r="C765" s="81">
        <v>10750</v>
      </c>
      <c r="D765" s="9" t="s">
        <v>1350</v>
      </c>
      <c r="E765" s="81">
        <v>14563151</v>
      </c>
      <c r="F765" s="81">
        <v>28963</v>
      </c>
      <c r="G765" s="81">
        <v>25</v>
      </c>
      <c r="H765" s="82">
        <v>26.3</v>
      </c>
      <c r="I765" s="251">
        <v>657.5</v>
      </c>
      <c r="J765" s="9" t="s">
        <v>1305</v>
      </c>
      <c r="K765" s="9" t="s">
        <v>1306</v>
      </c>
      <c r="L765" s="83">
        <v>45200</v>
      </c>
      <c r="M765" s="83">
        <v>45230</v>
      </c>
    </row>
    <row r="766" spans="1:13" ht="18.75" customHeight="1" x14ac:dyDescent="0.25">
      <c r="A766" s="9" t="s">
        <v>8</v>
      </c>
      <c r="B766" s="81">
        <v>112944</v>
      </c>
      <c r="C766" s="81">
        <v>10751</v>
      </c>
      <c r="D766" s="9" t="s">
        <v>511</v>
      </c>
      <c r="E766" s="81">
        <v>14563151</v>
      </c>
      <c r="F766" s="81">
        <v>30323</v>
      </c>
      <c r="G766" s="81">
        <v>25</v>
      </c>
      <c r="H766" s="82">
        <v>26.3</v>
      </c>
      <c r="I766" s="251">
        <v>657.5</v>
      </c>
      <c r="J766" s="9" t="s">
        <v>1305</v>
      </c>
      <c r="K766" s="9" t="s">
        <v>1306</v>
      </c>
      <c r="L766" s="83">
        <v>45200</v>
      </c>
      <c r="M766" s="83">
        <v>45230</v>
      </c>
    </row>
    <row r="767" spans="1:13" ht="18.75" customHeight="1" x14ac:dyDescent="0.25">
      <c r="A767" s="9" t="s">
        <v>1578</v>
      </c>
      <c r="B767" s="81">
        <v>113637</v>
      </c>
      <c r="C767" s="81">
        <v>10768</v>
      </c>
      <c r="D767" s="9" t="s">
        <v>888</v>
      </c>
      <c r="E767" s="81">
        <v>14563151</v>
      </c>
      <c r="F767" s="81">
        <v>31709</v>
      </c>
      <c r="G767" s="81">
        <v>25</v>
      </c>
      <c r="H767" s="82">
        <v>26.3</v>
      </c>
      <c r="I767" s="251">
        <v>657.5</v>
      </c>
      <c r="J767" s="9" t="s">
        <v>1305</v>
      </c>
      <c r="K767" s="9" t="s">
        <v>1306</v>
      </c>
      <c r="L767" s="83">
        <v>45200</v>
      </c>
      <c r="M767" s="83">
        <v>45230</v>
      </c>
    </row>
    <row r="768" spans="1:13" ht="18.75" customHeight="1" x14ac:dyDescent="0.25">
      <c r="A768" s="9" t="s">
        <v>0</v>
      </c>
      <c r="B768" s="81">
        <v>113448</v>
      </c>
      <c r="C768" s="81">
        <v>10754</v>
      </c>
      <c r="D768" s="9" t="s">
        <v>785</v>
      </c>
      <c r="E768" s="81">
        <v>14563151</v>
      </c>
      <c r="F768" s="81">
        <v>31331</v>
      </c>
      <c r="G768" s="81">
        <v>25</v>
      </c>
      <c r="H768" s="82">
        <v>26.3</v>
      </c>
      <c r="I768" s="251">
        <v>657.5</v>
      </c>
      <c r="J768" s="9" t="s">
        <v>1305</v>
      </c>
      <c r="K768" s="9" t="s">
        <v>1306</v>
      </c>
      <c r="L768" s="83">
        <v>45200</v>
      </c>
      <c r="M768" s="83">
        <v>45230</v>
      </c>
    </row>
    <row r="769" spans="1:13" ht="18.75" customHeight="1" x14ac:dyDescent="0.25">
      <c r="A769" s="9" t="s">
        <v>1578</v>
      </c>
      <c r="B769" s="81">
        <v>113320</v>
      </c>
      <c r="C769" s="81">
        <v>10768</v>
      </c>
      <c r="D769" s="9" t="s">
        <v>704</v>
      </c>
      <c r="E769" s="81">
        <v>14563151</v>
      </c>
      <c r="F769" s="81">
        <v>31075</v>
      </c>
      <c r="G769" s="81">
        <v>25</v>
      </c>
      <c r="H769" s="82">
        <v>26.3</v>
      </c>
      <c r="I769" s="251">
        <v>657.5</v>
      </c>
      <c r="J769" s="9" t="s">
        <v>1305</v>
      </c>
      <c r="K769" s="9" t="s">
        <v>1306</v>
      </c>
      <c r="L769" s="83">
        <v>45200</v>
      </c>
      <c r="M769" s="83">
        <v>45230</v>
      </c>
    </row>
    <row r="770" spans="1:13" ht="18.75" customHeight="1" x14ac:dyDescent="0.25">
      <c r="A770" s="9" t="s">
        <v>8</v>
      </c>
      <c r="B770" s="81">
        <v>112946</v>
      </c>
      <c r="C770" s="81">
        <v>10750</v>
      </c>
      <c r="D770" s="9" t="s">
        <v>256</v>
      </c>
      <c r="E770" s="81">
        <v>14563151</v>
      </c>
      <c r="F770" s="81">
        <v>30327</v>
      </c>
      <c r="G770" s="81">
        <v>25</v>
      </c>
      <c r="H770" s="82">
        <v>26.3</v>
      </c>
      <c r="I770" s="251">
        <v>657.5</v>
      </c>
      <c r="J770" s="9" t="s">
        <v>1305</v>
      </c>
      <c r="K770" s="9" t="s">
        <v>1306</v>
      </c>
      <c r="L770" s="83">
        <v>45200</v>
      </c>
      <c r="M770" s="83">
        <v>45230</v>
      </c>
    </row>
    <row r="771" spans="1:13" ht="18.75" customHeight="1" x14ac:dyDescent="0.25">
      <c r="A771" s="9" t="s">
        <v>0</v>
      </c>
      <c r="B771" s="81">
        <v>113362</v>
      </c>
      <c r="C771" s="81">
        <v>10754</v>
      </c>
      <c r="D771" s="9" t="s">
        <v>728</v>
      </c>
      <c r="E771" s="81">
        <v>14563151</v>
      </c>
      <c r="F771" s="81">
        <v>31159</v>
      </c>
      <c r="G771" s="81">
        <v>25</v>
      </c>
      <c r="H771" s="82">
        <v>26.3</v>
      </c>
      <c r="I771" s="251">
        <v>657.5</v>
      </c>
      <c r="J771" s="9" t="s">
        <v>1305</v>
      </c>
      <c r="K771" s="9" t="s">
        <v>1306</v>
      </c>
      <c r="L771" s="83">
        <v>45200</v>
      </c>
      <c r="M771" s="83">
        <v>45230</v>
      </c>
    </row>
    <row r="772" spans="1:13" ht="18.75" customHeight="1" x14ac:dyDescent="0.25">
      <c r="A772" s="9" t="s">
        <v>0</v>
      </c>
      <c r="B772" s="81">
        <v>113385</v>
      </c>
      <c r="C772" s="81">
        <v>10750</v>
      </c>
      <c r="D772" s="9" t="s">
        <v>743</v>
      </c>
      <c r="E772" s="81">
        <v>14563151</v>
      </c>
      <c r="F772" s="81">
        <v>31205</v>
      </c>
      <c r="G772" s="81">
        <v>25</v>
      </c>
      <c r="H772" s="82">
        <v>26.3</v>
      </c>
      <c r="I772" s="251">
        <v>657.5</v>
      </c>
      <c r="J772" s="9" t="s">
        <v>1305</v>
      </c>
      <c r="K772" s="9" t="s">
        <v>1306</v>
      </c>
      <c r="L772" s="83">
        <v>45200</v>
      </c>
      <c r="M772" s="83">
        <v>45230</v>
      </c>
    </row>
    <row r="773" spans="1:13" ht="18.75" customHeight="1" x14ac:dyDescent="0.25">
      <c r="A773" s="9" t="s">
        <v>32</v>
      </c>
      <c r="B773" s="81">
        <v>112353</v>
      </c>
      <c r="C773" s="81">
        <v>10750</v>
      </c>
      <c r="D773" s="9" t="s">
        <v>127</v>
      </c>
      <c r="E773" s="81">
        <v>14563151</v>
      </c>
      <c r="F773" s="81">
        <v>29141</v>
      </c>
      <c r="G773" s="81">
        <v>25</v>
      </c>
      <c r="H773" s="82">
        <v>26.3</v>
      </c>
      <c r="I773" s="251">
        <v>657.5</v>
      </c>
      <c r="J773" s="9" t="s">
        <v>1305</v>
      </c>
      <c r="K773" s="9" t="s">
        <v>1306</v>
      </c>
      <c r="L773" s="83">
        <v>45200</v>
      </c>
      <c r="M773" s="83">
        <v>45230</v>
      </c>
    </row>
    <row r="774" spans="1:13" ht="18.75" customHeight="1" x14ac:dyDescent="0.25">
      <c r="A774" s="9" t="s">
        <v>0</v>
      </c>
      <c r="B774" s="81">
        <v>113387</v>
      </c>
      <c r="C774" s="81">
        <v>10750</v>
      </c>
      <c r="D774" s="9" t="s">
        <v>1351</v>
      </c>
      <c r="E774" s="81">
        <v>14563151</v>
      </c>
      <c r="F774" s="81">
        <v>31209</v>
      </c>
      <c r="G774" s="81">
        <v>25</v>
      </c>
      <c r="H774" s="82">
        <v>26.3</v>
      </c>
      <c r="I774" s="251">
        <v>657.5</v>
      </c>
      <c r="J774" s="9" t="s">
        <v>1305</v>
      </c>
      <c r="K774" s="9" t="s">
        <v>1306</v>
      </c>
      <c r="L774" s="83">
        <v>45200</v>
      </c>
      <c r="M774" s="83">
        <v>45230</v>
      </c>
    </row>
    <row r="775" spans="1:13" ht="18.75" customHeight="1" x14ac:dyDescent="0.25">
      <c r="A775" s="9" t="s">
        <v>1578</v>
      </c>
      <c r="B775" s="81">
        <v>113158</v>
      </c>
      <c r="C775" s="81">
        <v>10767</v>
      </c>
      <c r="D775" s="9" t="s">
        <v>617</v>
      </c>
      <c r="E775" s="81">
        <v>14563151</v>
      </c>
      <c r="F775" s="81">
        <v>30751</v>
      </c>
      <c r="G775" s="81">
        <v>25</v>
      </c>
      <c r="H775" s="82">
        <v>26.3</v>
      </c>
      <c r="I775" s="251">
        <v>657.5</v>
      </c>
      <c r="J775" s="9" t="s">
        <v>1305</v>
      </c>
      <c r="K775" s="9" t="s">
        <v>1306</v>
      </c>
      <c r="L775" s="83">
        <v>45200</v>
      </c>
      <c r="M775" s="83">
        <v>45230</v>
      </c>
    </row>
    <row r="776" spans="1:13" ht="18.75" customHeight="1" x14ac:dyDescent="0.25">
      <c r="A776" s="9" t="s">
        <v>8</v>
      </c>
      <c r="B776" s="81">
        <v>112408</v>
      </c>
      <c r="C776" s="81">
        <v>10757</v>
      </c>
      <c r="D776" s="9" t="s">
        <v>161</v>
      </c>
      <c r="E776" s="81">
        <v>14563151</v>
      </c>
      <c r="F776" s="81">
        <v>29251</v>
      </c>
      <c r="G776" s="81">
        <v>25</v>
      </c>
      <c r="H776" s="82">
        <v>26.3</v>
      </c>
      <c r="I776" s="251">
        <v>657.5</v>
      </c>
      <c r="J776" s="9" t="s">
        <v>1305</v>
      </c>
      <c r="K776" s="9" t="s">
        <v>1306</v>
      </c>
      <c r="L776" s="83">
        <v>45200</v>
      </c>
      <c r="M776" s="83">
        <v>45230</v>
      </c>
    </row>
    <row r="777" spans="1:13" ht="18.75" customHeight="1" x14ac:dyDescent="0.25">
      <c r="A777" s="9" t="s">
        <v>0</v>
      </c>
      <c r="B777" s="81">
        <v>113417</v>
      </c>
      <c r="C777" s="81">
        <v>10750</v>
      </c>
      <c r="D777" s="9" t="s">
        <v>766</v>
      </c>
      <c r="E777" s="81">
        <v>14563151</v>
      </c>
      <c r="F777" s="81">
        <v>31269</v>
      </c>
      <c r="G777" s="81">
        <v>25</v>
      </c>
      <c r="H777" s="82">
        <v>26.3</v>
      </c>
      <c r="I777" s="251">
        <v>657.5</v>
      </c>
      <c r="J777" s="9" t="s">
        <v>1305</v>
      </c>
      <c r="K777" s="9" t="s">
        <v>1306</v>
      </c>
      <c r="L777" s="83">
        <v>45200</v>
      </c>
      <c r="M777" s="83">
        <v>45230</v>
      </c>
    </row>
    <row r="778" spans="1:13" ht="18.75" customHeight="1" x14ac:dyDescent="0.25">
      <c r="A778" s="9" t="s">
        <v>1578</v>
      </c>
      <c r="B778" s="81">
        <v>122405</v>
      </c>
      <c r="C778" s="81">
        <v>10768</v>
      </c>
      <c r="D778" s="9" t="s">
        <v>1690</v>
      </c>
      <c r="E778" s="81">
        <v>14563151</v>
      </c>
      <c r="F778" s="81">
        <v>56129</v>
      </c>
      <c r="G778" s="81">
        <v>25</v>
      </c>
      <c r="H778" s="82">
        <v>26.3</v>
      </c>
      <c r="I778" s="251">
        <v>657.5</v>
      </c>
      <c r="J778" s="9" t="s">
        <v>1305</v>
      </c>
      <c r="K778" s="9" t="s">
        <v>1309</v>
      </c>
      <c r="L778" s="83">
        <v>45200</v>
      </c>
      <c r="M778" s="83">
        <v>45230</v>
      </c>
    </row>
    <row r="779" spans="1:13" ht="18.75" customHeight="1" x14ac:dyDescent="0.25">
      <c r="A779" s="9" t="s">
        <v>0</v>
      </c>
      <c r="B779" s="81">
        <v>113366</v>
      </c>
      <c r="C779" s="81">
        <v>10750</v>
      </c>
      <c r="D779" s="9" t="s">
        <v>731</v>
      </c>
      <c r="E779" s="81">
        <v>14563151</v>
      </c>
      <c r="F779" s="81">
        <v>31167</v>
      </c>
      <c r="G779" s="81">
        <v>25</v>
      </c>
      <c r="H779" s="82">
        <v>26.3</v>
      </c>
      <c r="I779" s="251">
        <v>657.5</v>
      </c>
      <c r="J779" s="9" t="s">
        <v>1305</v>
      </c>
      <c r="K779" s="9" t="s">
        <v>1306</v>
      </c>
      <c r="L779" s="83">
        <v>45200</v>
      </c>
      <c r="M779" s="83">
        <v>45230</v>
      </c>
    </row>
    <row r="780" spans="1:13" ht="18.75" customHeight="1" x14ac:dyDescent="0.25">
      <c r="A780" s="9" t="s">
        <v>8</v>
      </c>
      <c r="B780" s="81">
        <v>119641</v>
      </c>
      <c r="C780" s="81">
        <v>10763</v>
      </c>
      <c r="D780" s="9" t="s">
        <v>1465</v>
      </c>
      <c r="E780" s="81">
        <v>14563151</v>
      </c>
      <c r="F780" s="81">
        <v>49598</v>
      </c>
      <c r="G780" s="81">
        <v>25</v>
      </c>
      <c r="H780" s="82">
        <v>26.3</v>
      </c>
      <c r="I780" s="251">
        <v>657.5</v>
      </c>
      <c r="J780" s="9" t="s">
        <v>1305</v>
      </c>
      <c r="K780" s="9" t="s">
        <v>1306</v>
      </c>
      <c r="L780" s="83">
        <v>45200</v>
      </c>
      <c r="M780" s="83">
        <v>45230</v>
      </c>
    </row>
    <row r="781" spans="1:13" ht="18.75" customHeight="1" x14ac:dyDescent="0.25">
      <c r="A781" s="9" t="s">
        <v>1578</v>
      </c>
      <c r="B781" s="81">
        <v>113162</v>
      </c>
      <c r="C781" s="81">
        <v>10761</v>
      </c>
      <c r="D781" s="9" t="s">
        <v>512</v>
      </c>
      <c r="E781" s="81">
        <v>14563151</v>
      </c>
      <c r="F781" s="81">
        <v>30759</v>
      </c>
      <c r="G781" s="81">
        <v>25</v>
      </c>
      <c r="H781" s="82">
        <v>26.3</v>
      </c>
      <c r="I781" s="251">
        <v>657.5</v>
      </c>
      <c r="J781" s="9" t="s">
        <v>1305</v>
      </c>
      <c r="K781" s="9" t="s">
        <v>1306</v>
      </c>
      <c r="L781" s="83">
        <v>45200</v>
      </c>
      <c r="M781" s="83">
        <v>45230</v>
      </c>
    </row>
    <row r="782" spans="1:13" ht="18.75" customHeight="1" x14ac:dyDescent="0.25">
      <c r="A782" s="9" t="s">
        <v>8</v>
      </c>
      <c r="B782" s="81">
        <v>112949</v>
      </c>
      <c r="C782" s="81">
        <v>10750</v>
      </c>
      <c r="D782" s="9" t="s">
        <v>513</v>
      </c>
      <c r="E782" s="81">
        <v>14563151</v>
      </c>
      <c r="F782" s="81">
        <v>30333</v>
      </c>
      <c r="G782" s="81">
        <v>25</v>
      </c>
      <c r="H782" s="82">
        <v>26.3</v>
      </c>
      <c r="I782" s="251">
        <v>657.5</v>
      </c>
      <c r="J782" s="9" t="s">
        <v>1305</v>
      </c>
      <c r="K782" s="9" t="s">
        <v>1306</v>
      </c>
      <c r="L782" s="83">
        <v>45200</v>
      </c>
      <c r="M782" s="83">
        <v>45230</v>
      </c>
    </row>
    <row r="783" spans="1:13" ht="18.75" customHeight="1" x14ac:dyDescent="0.25">
      <c r="A783" s="9" t="s">
        <v>32</v>
      </c>
      <c r="B783" s="81">
        <v>112495</v>
      </c>
      <c r="C783" s="81">
        <v>10766</v>
      </c>
      <c r="D783" s="9" t="s">
        <v>215</v>
      </c>
      <c r="E783" s="81">
        <v>14563151</v>
      </c>
      <c r="F783" s="81">
        <v>29425</v>
      </c>
      <c r="G783" s="81">
        <v>25</v>
      </c>
      <c r="H783" s="82">
        <v>26.3</v>
      </c>
      <c r="I783" s="251">
        <v>657.5</v>
      </c>
      <c r="J783" s="9" t="s">
        <v>1305</v>
      </c>
      <c r="K783" s="9" t="s">
        <v>1306</v>
      </c>
      <c r="L783" s="83">
        <v>45200</v>
      </c>
      <c r="M783" s="83">
        <v>45230</v>
      </c>
    </row>
    <row r="784" spans="1:13" ht="18.75" customHeight="1" x14ac:dyDescent="0.25">
      <c r="A784" s="9" t="s">
        <v>1578</v>
      </c>
      <c r="B784" s="81">
        <v>113118</v>
      </c>
      <c r="C784" s="81">
        <v>10771</v>
      </c>
      <c r="D784" s="9" t="s">
        <v>594</v>
      </c>
      <c r="E784" s="81">
        <v>14563151</v>
      </c>
      <c r="F784" s="81">
        <v>30671</v>
      </c>
      <c r="G784" s="81">
        <v>25</v>
      </c>
      <c r="H784" s="82">
        <v>26.3</v>
      </c>
      <c r="I784" s="251">
        <v>657.5</v>
      </c>
      <c r="J784" s="9" t="s">
        <v>1305</v>
      </c>
      <c r="K784" s="9" t="s">
        <v>1306</v>
      </c>
      <c r="L784" s="83">
        <v>45200</v>
      </c>
      <c r="M784" s="83">
        <v>45230</v>
      </c>
    </row>
    <row r="785" spans="1:13" ht="18.75" customHeight="1" x14ac:dyDescent="0.25">
      <c r="A785" s="9" t="s">
        <v>8</v>
      </c>
      <c r="B785" s="81">
        <v>112409</v>
      </c>
      <c r="C785" s="81">
        <v>10750</v>
      </c>
      <c r="D785" s="9" t="s">
        <v>162</v>
      </c>
      <c r="E785" s="81">
        <v>14563151</v>
      </c>
      <c r="F785" s="81">
        <v>29253</v>
      </c>
      <c r="G785" s="81">
        <v>25</v>
      </c>
      <c r="H785" s="82">
        <v>26.3</v>
      </c>
      <c r="I785" s="251">
        <v>657.5</v>
      </c>
      <c r="J785" s="9" t="s">
        <v>1305</v>
      </c>
      <c r="K785" s="9" t="s">
        <v>1306</v>
      </c>
      <c r="L785" s="83">
        <v>45200</v>
      </c>
      <c r="M785" s="83">
        <v>45230</v>
      </c>
    </row>
    <row r="786" spans="1:13" ht="18.75" customHeight="1" x14ac:dyDescent="0.25">
      <c r="A786" s="9" t="s">
        <v>1578</v>
      </c>
      <c r="B786" s="81">
        <v>113159</v>
      </c>
      <c r="C786" s="81">
        <v>10767</v>
      </c>
      <c r="D786" s="9" t="s">
        <v>618</v>
      </c>
      <c r="E786" s="81">
        <v>14563151</v>
      </c>
      <c r="F786" s="81">
        <v>30753</v>
      </c>
      <c r="G786" s="81">
        <v>25</v>
      </c>
      <c r="H786" s="82">
        <v>26.3</v>
      </c>
      <c r="I786" s="251">
        <v>657.5</v>
      </c>
      <c r="J786" s="9" t="s">
        <v>1305</v>
      </c>
      <c r="K786" s="9" t="s">
        <v>1306</v>
      </c>
      <c r="L786" s="83">
        <v>45200</v>
      </c>
      <c r="M786" s="83">
        <v>45230</v>
      </c>
    </row>
    <row r="787" spans="1:13" ht="18.75" customHeight="1" x14ac:dyDescent="0.25">
      <c r="A787" s="9" t="s">
        <v>0</v>
      </c>
      <c r="B787" s="81">
        <v>119114</v>
      </c>
      <c r="C787" s="81">
        <v>10751</v>
      </c>
      <c r="D787" s="9" t="s">
        <v>1436</v>
      </c>
      <c r="E787" s="81">
        <v>14563151</v>
      </c>
      <c r="F787" s="81">
        <v>48251</v>
      </c>
      <c r="G787" s="81">
        <v>25</v>
      </c>
      <c r="H787" s="82">
        <v>26.3</v>
      </c>
      <c r="I787" s="251">
        <v>657.5</v>
      </c>
      <c r="J787" s="9" t="s">
        <v>1305</v>
      </c>
      <c r="K787" s="9" t="s">
        <v>1306</v>
      </c>
      <c r="L787" s="83">
        <v>45200</v>
      </c>
      <c r="M787" s="83">
        <v>45230</v>
      </c>
    </row>
    <row r="788" spans="1:13" ht="18.75" customHeight="1" x14ac:dyDescent="0.25">
      <c r="A788" s="9" t="s">
        <v>1578</v>
      </c>
      <c r="B788" s="81">
        <v>116388</v>
      </c>
      <c r="C788" s="81">
        <v>10768</v>
      </c>
      <c r="D788" s="9" t="s">
        <v>1211</v>
      </c>
      <c r="E788" s="81">
        <v>14563151</v>
      </c>
      <c r="F788" s="81">
        <v>42045</v>
      </c>
      <c r="G788" s="81">
        <v>25</v>
      </c>
      <c r="H788" s="82">
        <v>26.3</v>
      </c>
      <c r="I788" s="251">
        <v>657.5</v>
      </c>
      <c r="J788" s="9" t="s">
        <v>1305</v>
      </c>
      <c r="K788" s="9" t="s">
        <v>1306</v>
      </c>
      <c r="L788" s="83">
        <v>45200</v>
      </c>
      <c r="M788" s="83">
        <v>45230</v>
      </c>
    </row>
    <row r="789" spans="1:13" ht="18.75" customHeight="1" x14ac:dyDescent="0.25">
      <c r="A789" s="9" t="s">
        <v>1578</v>
      </c>
      <c r="B789" s="81">
        <v>113655</v>
      </c>
      <c r="C789" s="81">
        <v>10768</v>
      </c>
      <c r="D789" s="9" t="s">
        <v>897</v>
      </c>
      <c r="E789" s="81">
        <v>14563151</v>
      </c>
      <c r="F789" s="81">
        <v>31745</v>
      </c>
      <c r="G789" s="81">
        <v>25</v>
      </c>
      <c r="H789" s="82">
        <v>26.3</v>
      </c>
      <c r="I789" s="251">
        <v>657.5</v>
      </c>
      <c r="J789" s="9" t="s">
        <v>1305</v>
      </c>
      <c r="K789" s="9" t="s">
        <v>1306</v>
      </c>
      <c r="L789" s="83">
        <v>45200</v>
      </c>
      <c r="M789" s="83">
        <v>45230</v>
      </c>
    </row>
    <row r="790" spans="1:13" ht="18.75" customHeight="1" x14ac:dyDescent="0.25">
      <c r="A790" s="9" t="s">
        <v>0</v>
      </c>
      <c r="B790" s="81">
        <v>114490</v>
      </c>
      <c r="C790" s="81">
        <v>10766</v>
      </c>
      <c r="D790" s="9" t="s">
        <v>1038</v>
      </c>
      <c r="E790" s="81">
        <v>14563151</v>
      </c>
      <c r="F790" s="81">
        <v>35871</v>
      </c>
      <c r="G790" s="81">
        <v>25</v>
      </c>
      <c r="H790" s="82">
        <v>26.3</v>
      </c>
      <c r="I790" s="251">
        <v>657.5</v>
      </c>
      <c r="J790" s="9" t="s">
        <v>1305</v>
      </c>
      <c r="K790" s="9" t="s">
        <v>1306</v>
      </c>
      <c r="L790" s="83">
        <v>45200</v>
      </c>
      <c r="M790" s="83">
        <v>45230</v>
      </c>
    </row>
    <row r="791" spans="1:13" ht="18.75" customHeight="1" x14ac:dyDescent="0.25">
      <c r="A791" s="9" t="s">
        <v>0</v>
      </c>
      <c r="B791" s="81">
        <v>113395</v>
      </c>
      <c r="C791" s="81">
        <v>10754</v>
      </c>
      <c r="D791" s="9" t="s">
        <v>752</v>
      </c>
      <c r="E791" s="81">
        <v>14563151</v>
      </c>
      <c r="F791" s="81">
        <v>31225</v>
      </c>
      <c r="G791" s="81">
        <v>25</v>
      </c>
      <c r="H791" s="82">
        <v>26.3</v>
      </c>
      <c r="I791" s="251">
        <v>657.5</v>
      </c>
      <c r="J791" s="9" t="s">
        <v>1305</v>
      </c>
      <c r="K791" s="9" t="s">
        <v>1306</v>
      </c>
      <c r="L791" s="83">
        <v>45200</v>
      </c>
      <c r="M791" s="83">
        <v>45230</v>
      </c>
    </row>
    <row r="792" spans="1:13" ht="18.75" customHeight="1" x14ac:dyDescent="0.25">
      <c r="A792" s="9" t="s">
        <v>1578</v>
      </c>
      <c r="B792" s="81">
        <v>119124</v>
      </c>
      <c r="C792" s="81">
        <v>10761</v>
      </c>
      <c r="D792" s="9" t="s">
        <v>1437</v>
      </c>
      <c r="E792" s="81">
        <v>14563151</v>
      </c>
      <c r="F792" s="81">
        <v>48275</v>
      </c>
      <c r="G792" s="81">
        <v>25</v>
      </c>
      <c r="H792" s="82">
        <v>26.3</v>
      </c>
      <c r="I792" s="251">
        <v>657.5</v>
      </c>
      <c r="J792" s="9" t="s">
        <v>1305</v>
      </c>
      <c r="K792" s="9" t="s">
        <v>1309</v>
      </c>
      <c r="L792" s="83">
        <v>45200</v>
      </c>
      <c r="M792" s="83">
        <v>45230</v>
      </c>
    </row>
    <row r="793" spans="1:13" ht="18.75" customHeight="1" x14ac:dyDescent="0.25">
      <c r="A793" s="9" t="s">
        <v>19</v>
      </c>
      <c r="B793" s="81">
        <v>112962</v>
      </c>
      <c r="C793" s="81">
        <v>10761</v>
      </c>
      <c r="D793" s="9" t="s">
        <v>522</v>
      </c>
      <c r="E793" s="81">
        <v>14563151</v>
      </c>
      <c r="F793" s="81">
        <v>30359</v>
      </c>
      <c r="G793" s="81">
        <v>25</v>
      </c>
      <c r="H793" s="82">
        <v>26.3</v>
      </c>
      <c r="I793" s="251">
        <v>657.5</v>
      </c>
      <c r="J793" s="9" t="s">
        <v>1305</v>
      </c>
      <c r="K793" s="9" t="s">
        <v>1306</v>
      </c>
      <c r="L793" s="83">
        <v>45200</v>
      </c>
      <c r="M793" s="83">
        <v>45230</v>
      </c>
    </row>
    <row r="794" spans="1:13" ht="18.75" customHeight="1" x14ac:dyDescent="0.25">
      <c r="A794" s="9" t="s">
        <v>0</v>
      </c>
      <c r="B794" s="81">
        <v>113458</v>
      </c>
      <c r="C794" s="81">
        <v>10750</v>
      </c>
      <c r="D794" s="9" t="s">
        <v>789</v>
      </c>
      <c r="E794" s="81">
        <v>14563151</v>
      </c>
      <c r="F794" s="81">
        <v>31351</v>
      </c>
      <c r="G794" s="81">
        <v>25</v>
      </c>
      <c r="H794" s="82">
        <v>26.3</v>
      </c>
      <c r="I794" s="251">
        <v>657.5</v>
      </c>
      <c r="J794" s="9" t="s">
        <v>1305</v>
      </c>
      <c r="K794" s="9" t="s">
        <v>1306</v>
      </c>
      <c r="L794" s="83">
        <v>45200</v>
      </c>
      <c r="M794" s="83">
        <v>45230</v>
      </c>
    </row>
    <row r="795" spans="1:13" ht="18.75" customHeight="1" x14ac:dyDescent="0.25">
      <c r="A795" s="9" t="s">
        <v>0</v>
      </c>
      <c r="B795" s="81">
        <v>113461</v>
      </c>
      <c r="C795" s="81">
        <v>10754</v>
      </c>
      <c r="D795" s="9" t="s">
        <v>792</v>
      </c>
      <c r="E795" s="81">
        <v>14563151</v>
      </c>
      <c r="F795" s="81">
        <v>31357</v>
      </c>
      <c r="G795" s="81">
        <v>25</v>
      </c>
      <c r="H795" s="82">
        <v>26.3</v>
      </c>
      <c r="I795" s="251">
        <v>657.5</v>
      </c>
      <c r="J795" s="9" t="s">
        <v>1305</v>
      </c>
      <c r="K795" s="9" t="s">
        <v>1306</v>
      </c>
      <c r="L795" s="83">
        <v>45200</v>
      </c>
      <c r="M795" s="83">
        <v>45230</v>
      </c>
    </row>
    <row r="796" spans="1:13" ht="18.75" customHeight="1" x14ac:dyDescent="0.25">
      <c r="A796" s="9" t="s">
        <v>1578</v>
      </c>
      <c r="B796" s="81">
        <v>114991</v>
      </c>
      <c r="C796" s="81">
        <v>10758</v>
      </c>
      <c r="D796" s="9" t="s">
        <v>1137</v>
      </c>
      <c r="E796" s="81">
        <v>14563151</v>
      </c>
      <c r="F796" s="81">
        <v>37757</v>
      </c>
      <c r="G796" s="81">
        <v>25</v>
      </c>
      <c r="H796" s="82">
        <v>26.3</v>
      </c>
      <c r="I796" s="251">
        <v>657.5</v>
      </c>
      <c r="J796" s="9" t="s">
        <v>1305</v>
      </c>
      <c r="K796" s="9" t="s">
        <v>1306</v>
      </c>
      <c r="L796" s="83">
        <v>45200</v>
      </c>
      <c r="M796" s="83">
        <v>45230</v>
      </c>
    </row>
    <row r="797" spans="1:13" ht="18.75" customHeight="1" x14ac:dyDescent="0.25">
      <c r="A797" s="9" t="s">
        <v>1578</v>
      </c>
      <c r="B797" s="81">
        <v>120180</v>
      </c>
      <c r="C797" s="81">
        <v>10771</v>
      </c>
      <c r="D797" s="9" t="s">
        <v>1494</v>
      </c>
      <c r="E797" s="81">
        <v>14563151</v>
      </c>
      <c r="F797" s="81">
        <v>50908</v>
      </c>
      <c r="G797" s="81">
        <v>25</v>
      </c>
      <c r="H797" s="82">
        <v>26.3</v>
      </c>
      <c r="I797" s="251">
        <v>657.5</v>
      </c>
      <c r="J797" s="9" t="s">
        <v>1305</v>
      </c>
      <c r="K797" s="9" t="s">
        <v>1306</v>
      </c>
      <c r="L797" s="83">
        <v>45200</v>
      </c>
      <c r="M797" s="83">
        <v>45230</v>
      </c>
    </row>
    <row r="798" spans="1:13" ht="18.75" customHeight="1" x14ac:dyDescent="0.25">
      <c r="A798" s="9" t="s">
        <v>1578</v>
      </c>
      <c r="B798" s="81">
        <v>113325</v>
      </c>
      <c r="C798" s="81">
        <v>10768</v>
      </c>
      <c r="D798" s="9" t="s">
        <v>707</v>
      </c>
      <c r="E798" s="81">
        <v>14563151</v>
      </c>
      <c r="F798" s="81">
        <v>31085</v>
      </c>
      <c r="G798" s="81">
        <v>25</v>
      </c>
      <c r="H798" s="82">
        <v>26.3</v>
      </c>
      <c r="I798" s="251">
        <v>657.5</v>
      </c>
      <c r="J798" s="9" t="s">
        <v>1305</v>
      </c>
      <c r="K798" s="9" t="s">
        <v>1306</v>
      </c>
      <c r="L798" s="83">
        <v>45200</v>
      </c>
      <c r="M798" s="83">
        <v>45230</v>
      </c>
    </row>
    <row r="799" spans="1:13" ht="18.75" customHeight="1" x14ac:dyDescent="0.25">
      <c r="A799" s="9" t="s">
        <v>1578</v>
      </c>
      <c r="B799" s="81">
        <v>113160</v>
      </c>
      <c r="C799" s="81">
        <v>10761</v>
      </c>
      <c r="D799" s="9" t="s">
        <v>619</v>
      </c>
      <c r="E799" s="81">
        <v>14563151</v>
      </c>
      <c r="F799" s="81">
        <v>30755</v>
      </c>
      <c r="G799" s="81">
        <v>25</v>
      </c>
      <c r="H799" s="82">
        <v>26.3</v>
      </c>
      <c r="I799" s="251">
        <v>657.5</v>
      </c>
      <c r="J799" s="9" t="s">
        <v>1305</v>
      </c>
      <c r="K799" s="9" t="s">
        <v>1306</v>
      </c>
      <c r="L799" s="83">
        <v>45200</v>
      </c>
      <c r="M799" s="83">
        <v>45230</v>
      </c>
    </row>
    <row r="800" spans="1:13" ht="18.75" customHeight="1" x14ac:dyDescent="0.25">
      <c r="A800" s="9" t="s">
        <v>8</v>
      </c>
      <c r="B800" s="81">
        <v>112442</v>
      </c>
      <c r="C800" s="81">
        <v>10757</v>
      </c>
      <c r="D800" s="9" t="s">
        <v>183</v>
      </c>
      <c r="E800" s="81">
        <v>14563151</v>
      </c>
      <c r="F800" s="81">
        <v>29319</v>
      </c>
      <c r="G800" s="81">
        <v>25</v>
      </c>
      <c r="H800" s="82">
        <v>26.3</v>
      </c>
      <c r="I800" s="251">
        <v>657.5</v>
      </c>
      <c r="J800" s="9" t="s">
        <v>1305</v>
      </c>
      <c r="K800" s="9" t="s">
        <v>1306</v>
      </c>
      <c r="L800" s="83">
        <v>45200</v>
      </c>
      <c r="M800" s="83">
        <v>45230</v>
      </c>
    </row>
    <row r="801" spans="1:13" ht="18.75" customHeight="1" x14ac:dyDescent="0.25">
      <c r="A801" s="9" t="s">
        <v>8</v>
      </c>
      <c r="B801" s="81">
        <v>112951</v>
      </c>
      <c r="C801" s="81">
        <v>10751</v>
      </c>
      <c r="D801" s="9" t="s">
        <v>515</v>
      </c>
      <c r="E801" s="81">
        <v>14563151</v>
      </c>
      <c r="F801" s="81">
        <v>30337</v>
      </c>
      <c r="G801" s="81">
        <v>25</v>
      </c>
      <c r="H801" s="82">
        <v>26.3</v>
      </c>
      <c r="I801" s="251">
        <v>657.5</v>
      </c>
      <c r="J801" s="9" t="s">
        <v>1305</v>
      </c>
      <c r="K801" s="9" t="s">
        <v>1306</v>
      </c>
      <c r="L801" s="83">
        <v>45200</v>
      </c>
      <c r="M801" s="83">
        <v>45230</v>
      </c>
    </row>
    <row r="802" spans="1:13" ht="18.75" customHeight="1" x14ac:dyDescent="0.25">
      <c r="A802" s="9" t="s">
        <v>10</v>
      </c>
      <c r="B802" s="81">
        <v>112269</v>
      </c>
      <c r="C802" s="81">
        <v>10751</v>
      </c>
      <c r="D802" s="9" t="s">
        <v>77</v>
      </c>
      <c r="E802" s="81">
        <v>14563151</v>
      </c>
      <c r="F802" s="81">
        <v>28973</v>
      </c>
      <c r="G802" s="81">
        <v>25</v>
      </c>
      <c r="H802" s="82">
        <v>26.3</v>
      </c>
      <c r="I802" s="251">
        <v>657.5</v>
      </c>
      <c r="J802" s="9" t="s">
        <v>1305</v>
      </c>
      <c r="K802" s="9" t="s">
        <v>1306</v>
      </c>
      <c r="L802" s="83">
        <v>45200</v>
      </c>
      <c r="M802" s="83">
        <v>45230</v>
      </c>
    </row>
    <row r="803" spans="1:13" ht="18.75" customHeight="1" x14ac:dyDescent="0.25">
      <c r="A803" s="9" t="s">
        <v>10</v>
      </c>
      <c r="B803" s="81">
        <v>112337</v>
      </c>
      <c r="C803" s="81">
        <v>10754</v>
      </c>
      <c r="D803" s="9" t="s">
        <v>117</v>
      </c>
      <c r="E803" s="81">
        <v>14563151</v>
      </c>
      <c r="F803" s="81">
        <v>29109</v>
      </c>
      <c r="G803" s="81">
        <v>25</v>
      </c>
      <c r="H803" s="82">
        <v>26.3</v>
      </c>
      <c r="I803" s="251">
        <v>657.5</v>
      </c>
      <c r="J803" s="9" t="s">
        <v>1305</v>
      </c>
      <c r="K803" s="9" t="s">
        <v>1306</v>
      </c>
      <c r="L803" s="83">
        <v>45200</v>
      </c>
      <c r="M803" s="83">
        <v>45230</v>
      </c>
    </row>
    <row r="804" spans="1:13" ht="18.75" customHeight="1" x14ac:dyDescent="0.25">
      <c r="A804" s="9" t="s">
        <v>19</v>
      </c>
      <c r="B804" s="81">
        <v>112986</v>
      </c>
      <c r="C804" s="81">
        <v>10755</v>
      </c>
      <c r="D804" s="9" t="s">
        <v>531</v>
      </c>
      <c r="E804" s="81">
        <v>14563151</v>
      </c>
      <c r="F804" s="81">
        <v>30407</v>
      </c>
      <c r="G804" s="81">
        <v>25</v>
      </c>
      <c r="H804" s="82">
        <v>26.3</v>
      </c>
      <c r="I804" s="251">
        <v>657.5</v>
      </c>
      <c r="J804" s="9" t="s">
        <v>1305</v>
      </c>
      <c r="K804" s="9" t="s">
        <v>1306</v>
      </c>
      <c r="L804" s="83">
        <v>45200</v>
      </c>
      <c r="M804" s="83">
        <v>45230</v>
      </c>
    </row>
    <row r="805" spans="1:13" ht="18.75" customHeight="1" x14ac:dyDescent="0.25">
      <c r="A805" s="9" t="s">
        <v>1578</v>
      </c>
      <c r="B805" s="81">
        <v>113327</v>
      </c>
      <c r="C805" s="81">
        <v>10768</v>
      </c>
      <c r="D805" s="9" t="s">
        <v>708</v>
      </c>
      <c r="E805" s="81">
        <v>14563151</v>
      </c>
      <c r="F805" s="81">
        <v>31089</v>
      </c>
      <c r="G805" s="81">
        <v>25</v>
      </c>
      <c r="H805" s="82">
        <v>26.3</v>
      </c>
      <c r="I805" s="251">
        <v>657.5</v>
      </c>
      <c r="J805" s="9" t="s">
        <v>1305</v>
      </c>
      <c r="K805" s="9" t="s">
        <v>1306</v>
      </c>
      <c r="L805" s="83">
        <v>45200</v>
      </c>
      <c r="M805" s="83">
        <v>45230</v>
      </c>
    </row>
    <row r="806" spans="1:13" ht="18.75" customHeight="1" x14ac:dyDescent="0.25">
      <c r="A806" s="9" t="s">
        <v>10</v>
      </c>
      <c r="B806" s="81">
        <v>112283</v>
      </c>
      <c r="C806" s="81">
        <v>10750</v>
      </c>
      <c r="D806" s="9" t="s">
        <v>89</v>
      </c>
      <c r="E806" s="81">
        <v>14563151</v>
      </c>
      <c r="F806" s="81">
        <v>29001</v>
      </c>
      <c r="G806" s="81">
        <v>25</v>
      </c>
      <c r="H806" s="82">
        <v>26.3</v>
      </c>
      <c r="I806" s="251">
        <v>657.5</v>
      </c>
      <c r="J806" s="9" t="s">
        <v>1305</v>
      </c>
      <c r="K806" s="9" t="s">
        <v>1306</v>
      </c>
      <c r="L806" s="83">
        <v>45200</v>
      </c>
      <c r="M806" s="83">
        <v>45230</v>
      </c>
    </row>
    <row r="807" spans="1:13" ht="18.75" customHeight="1" x14ac:dyDescent="0.25">
      <c r="A807" s="9" t="s">
        <v>0</v>
      </c>
      <c r="B807" s="81">
        <v>112223</v>
      </c>
      <c r="C807" s="81">
        <v>10750</v>
      </c>
      <c r="D807" s="9" t="s">
        <v>45</v>
      </c>
      <c r="E807" s="81">
        <v>14563151</v>
      </c>
      <c r="F807" s="81">
        <v>28881</v>
      </c>
      <c r="G807" s="81">
        <v>25</v>
      </c>
      <c r="H807" s="82">
        <v>26.3</v>
      </c>
      <c r="I807" s="251">
        <v>657.5</v>
      </c>
      <c r="J807" s="9" t="s">
        <v>1305</v>
      </c>
      <c r="K807" s="9" t="s">
        <v>1306</v>
      </c>
      <c r="L807" s="83">
        <v>45200</v>
      </c>
      <c r="M807" s="83">
        <v>45230</v>
      </c>
    </row>
    <row r="808" spans="1:13" ht="18.75" customHeight="1" x14ac:dyDescent="0.25">
      <c r="A808" s="9" t="s">
        <v>0</v>
      </c>
      <c r="B808" s="81">
        <v>113467</v>
      </c>
      <c r="C808" s="81">
        <v>10750</v>
      </c>
      <c r="D808" s="9" t="s">
        <v>795</v>
      </c>
      <c r="E808" s="81">
        <v>14563151</v>
      </c>
      <c r="F808" s="81">
        <v>31369</v>
      </c>
      <c r="G808" s="81">
        <v>25</v>
      </c>
      <c r="H808" s="82">
        <v>26.3</v>
      </c>
      <c r="I808" s="251">
        <v>657.5</v>
      </c>
      <c r="J808" s="9" t="s">
        <v>1305</v>
      </c>
      <c r="K808" s="9" t="s">
        <v>1306</v>
      </c>
      <c r="L808" s="83">
        <v>45200</v>
      </c>
      <c r="M808" s="83">
        <v>45230</v>
      </c>
    </row>
    <row r="809" spans="1:13" ht="18.75" customHeight="1" x14ac:dyDescent="0.25">
      <c r="A809" s="9" t="s">
        <v>19</v>
      </c>
      <c r="B809" s="81">
        <v>112964</v>
      </c>
      <c r="C809" s="81">
        <v>10761</v>
      </c>
      <c r="D809" s="9" t="s">
        <v>523</v>
      </c>
      <c r="E809" s="81">
        <v>14563151</v>
      </c>
      <c r="F809" s="81">
        <v>30363</v>
      </c>
      <c r="G809" s="81">
        <v>25</v>
      </c>
      <c r="H809" s="82">
        <v>26.3</v>
      </c>
      <c r="I809" s="251">
        <v>657.5</v>
      </c>
      <c r="J809" s="9" t="s">
        <v>1305</v>
      </c>
      <c r="K809" s="9" t="s">
        <v>1306</v>
      </c>
      <c r="L809" s="83">
        <v>45200</v>
      </c>
      <c r="M809" s="83">
        <v>45230</v>
      </c>
    </row>
    <row r="810" spans="1:13" ht="18.75" customHeight="1" x14ac:dyDescent="0.25">
      <c r="A810" s="9" t="s">
        <v>8</v>
      </c>
      <c r="B810" s="81">
        <v>112952</v>
      </c>
      <c r="C810" s="81">
        <v>10750</v>
      </c>
      <c r="D810" s="9" t="s">
        <v>516</v>
      </c>
      <c r="E810" s="81">
        <v>14563151</v>
      </c>
      <c r="F810" s="81">
        <v>30339</v>
      </c>
      <c r="G810" s="81">
        <v>25</v>
      </c>
      <c r="H810" s="82">
        <v>26.3</v>
      </c>
      <c r="I810" s="251">
        <v>657.5</v>
      </c>
      <c r="J810" s="9" t="s">
        <v>1305</v>
      </c>
      <c r="K810" s="9" t="s">
        <v>1306</v>
      </c>
      <c r="L810" s="83">
        <v>45200</v>
      </c>
      <c r="M810" s="83">
        <v>45230</v>
      </c>
    </row>
    <row r="811" spans="1:13" ht="18.75" customHeight="1" x14ac:dyDescent="0.25">
      <c r="A811" s="9" t="s">
        <v>32</v>
      </c>
      <c r="B811" s="81">
        <v>120176</v>
      </c>
      <c r="C811" s="81">
        <v>10766</v>
      </c>
      <c r="D811" s="9" t="s">
        <v>1495</v>
      </c>
      <c r="E811" s="81">
        <v>14563151</v>
      </c>
      <c r="F811" s="81">
        <v>50951</v>
      </c>
      <c r="G811" s="81">
        <v>25</v>
      </c>
      <c r="H811" s="82">
        <v>26.3</v>
      </c>
      <c r="I811" s="251">
        <v>657.5</v>
      </c>
      <c r="J811" s="9" t="s">
        <v>1305</v>
      </c>
      <c r="K811" s="9" t="s">
        <v>1306</v>
      </c>
      <c r="L811" s="83">
        <v>45200</v>
      </c>
      <c r="M811" s="83">
        <v>45230</v>
      </c>
    </row>
    <row r="812" spans="1:13" ht="18.75" customHeight="1" x14ac:dyDescent="0.25">
      <c r="A812" s="9" t="s">
        <v>10</v>
      </c>
      <c r="B812" s="81">
        <v>112280</v>
      </c>
      <c r="C812" s="81">
        <v>10750</v>
      </c>
      <c r="D812" s="9" t="s">
        <v>86</v>
      </c>
      <c r="E812" s="81">
        <v>14563151</v>
      </c>
      <c r="F812" s="81">
        <v>28995</v>
      </c>
      <c r="G812" s="81">
        <v>25</v>
      </c>
      <c r="H812" s="82">
        <v>26.3</v>
      </c>
      <c r="I812" s="251">
        <v>657.5</v>
      </c>
      <c r="J812" s="9" t="s">
        <v>1305</v>
      </c>
      <c r="K812" s="9" t="s">
        <v>1306</v>
      </c>
      <c r="L812" s="83">
        <v>45200</v>
      </c>
      <c r="M812" s="83">
        <v>45230</v>
      </c>
    </row>
    <row r="813" spans="1:13" ht="18.75" customHeight="1" x14ac:dyDescent="0.25">
      <c r="A813" s="9" t="s">
        <v>1578</v>
      </c>
      <c r="B813" s="81">
        <v>113633</v>
      </c>
      <c r="C813" s="81">
        <v>10755</v>
      </c>
      <c r="D813" s="9" t="s">
        <v>884</v>
      </c>
      <c r="E813" s="81">
        <v>14563151</v>
      </c>
      <c r="F813" s="81">
        <v>31701</v>
      </c>
      <c r="G813" s="81">
        <v>25</v>
      </c>
      <c r="H813" s="82">
        <v>26.3</v>
      </c>
      <c r="I813" s="251">
        <v>657.5</v>
      </c>
      <c r="J813" s="9" t="s">
        <v>1305</v>
      </c>
      <c r="K813" s="9" t="s">
        <v>1306</v>
      </c>
      <c r="L813" s="83">
        <v>45200</v>
      </c>
      <c r="M813" s="83">
        <v>45230</v>
      </c>
    </row>
    <row r="814" spans="1:13" ht="18.75" customHeight="1" x14ac:dyDescent="0.25">
      <c r="A814" s="9" t="s">
        <v>1578</v>
      </c>
      <c r="B814" s="81">
        <v>113163</v>
      </c>
      <c r="C814" s="81">
        <v>10768</v>
      </c>
      <c r="D814" s="9" t="s">
        <v>621</v>
      </c>
      <c r="E814" s="81">
        <v>14563151</v>
      </c>
      <c r="F814" s="81">
        <v>30761</v>
      </c>
      <c r="G814" s="81">
        <v>25</v>
      </c>
      <c r="H814" s="82">
        <v>26.3</v>
      </c>
      <c r="I814" s="251">
        <v>657.5</v>
      </c>
      <c r="J814" s="9" t="s">
        <v>1305</v>
      </c>
      <c r="K814" s="9" t="s">
        <v>1306</v>
      </c>
      <c r="L814" s="83">
        <v>45200</v>
      </c>
      <c r="M814" s="83">
        <v>45230</v>
      </c>
    </row>
    <row r="815" spans="1:13" ht="18.75" customHeight="1" x14ac:dyDescent="0.25">
      <c r="A815" s="9" t="s">
        <v>1578</v>
      </c>
      <c r="B815" s="81">
        <v>114926</v>
      </c>
      <c r="C815" s="81">
        <v>10763</v>
      </c>
      <c r="D815" s="9" t="s">
        <v>1111</v>
      </c>
      <c r="E815" s="81">
        <v>14563151</v>
      </c>
      <c r="F815" s="81">
        <v>37631</v>
      </c>
      <c r="G815" s="81">
        <v>25</v>
      </c>
      <c r="H815" s="82">
        <v>26.3</v>
      </c>
      <c r="I815" s="251">
        <v>657.5</v>
      </c>
      <c r="J815" s="9" t="s">
        <v>1305</v>
      </c>
      <c r="K815" s="9" t="s">
        <v>1306</v>
      </c>
      <c r="L815" s="83">
        <v>45200</v>
      </c>
      <c r="M815" s="83">
        <v>45230</v>
      </c>
    </row>
    <row r="816" spans="1:13" ht="18.75" customHeight="1" x14ac:dyDescent="0.25">
      <c r="A816" s="9" t="s">
        <v>10</v>
      </c>
      <c r="B816" s="81">
        <v>112330</v>
      </c>
      <c r="C816" s="81">
        <v>10750</v>
      </c>
      <c r="D816" s="9" t="s">
        <v>112</v>
      </c>
      <c r="E816" s="81">
        <v>14563151</v>
      </c>
      <c r="F816" s="81">
        <v>29095</v>
      </c>
      <c r="G816" s="81">
        <v>25</v>
      </c>
      <c r="H816" s="82">
        <v>26.3</v>
      </c>
      <c r="I816" s="251">
        <v>657.5</v>
      </c>
      <c r="J816" s="9" t="s">
        <v>1305</v>
      </c>
      <c r="K816" s="9" t="s">
        <v>1306</v>
      </c>
      <c r="L816" s="83">
        <v>45200</v>
      </c>
      <c r="M816" s="83">
        <v>45230</v>
      </c>
    </row>
    <row r="817" spans="1:13" ht="18.75" customHeight="1" x14ac:dyDescent="0.25">
      <c r="A817" s="9" t="s">
        <v>1578</v>
      </c>
      <c r="B817" s="81">
        <v>113635</v>
      </c>
      <c r="C817" s="81">
        <v>10757</v>
      </c>
      <c r="D817" s="9" t="s">
        <v>886</v>
      </c>
      <c r="E817" s="81">
        <v>14563151</v>
      </c>
      <c r="F817" s="81">
        <v>31705</v>
      </c>
      <c r="G817" s="81">
        <v>25</v>
      </c>
      <c r="H817" s="82">
        <v>26.3</v>
      </c>
      <c r="I817" s="251">
        <v>657.5</v>
      </c>
      <c r="J817" s="9" t="s">
        <v>1305</v>
      </c>
      <c r="K817" s="9" t="s">
        <v>1306</v>
      </c>
      <c r="L817" s="83">
        <v>45200</v>
      </c>
      <c r="M817" s="83">
        <v>45230</v>
      </c>
    </row>
    <row r="818" spans="1:13" ht="18.75" customHeight="1" x14ac:dyDescent="0.25">
      <c r="A818" s="9" t="s">
        <v>8</v>
      </c>
      <c r="B818" s="81">
        <v>112526</v>
      </c>
      <c r="C818" s="81">
        <v>10750</v>
      </c>
      <c r="D818" s="9" t="s">
        <v>239</v>
      </c>
      <c r="E818" s="81">
        <v>14563151</v>
      </c>
      <c r="F818" s="81">
        <v>29487</v>
      </c>
      <c r="G818" s="81">
        <v>25</v>
      </c>
      <c r="H818" s="82">
        <v>26.3</v>
      </c>
      <c r="I818" s="251">
        <v>657.5</v>
      </c>
      <c r="J818" s="9" t="s">
        <v>1305</v>
      </c>
      <c r="K818" s="9" t="s">
        <v>1306</v>
      </c>
      <c r="L818" s="83">
        <v>45200</v>
      </c>
      <c r="M818" s="83">
        <v>45230</v>
      </c>
    </row>
    <row r="819" spans="1:13" ht="18.75" customHeight="1" x14ac:dyDescent="0.25">
      <c r="A819" s="9" t="s">
        <v>10</v>
      </c>
      <c r="B819" s="81">
        <v>114712</v>
      </c>
      <c r="C819" s="81">
        <v>10750</v>
      </c>
      <c r="D819" s="9" t="s">
        <v>1078</v>
      </c>
      <c r="E819" s="81">
        <v>14563151</v>
      </c>
      <c r="F819" s="81">
        <v>36873</v>
      </c>
      <c r="G819" s="81">
        <v>25</v>
      </c>
      <c r="H819" s="82">
        <v>26.3</v>
      </c>
      <c r="I819" s="251">
        <v>657.5</v>
      </c>
      <c r="J819" s="9" t="s">
        <v>1305</v>
      </c>
      <c r="K819" s="9" t="s">
        <v>1306</v>
      </c>
      <c r="L819" s="83">
        <v>45200</v>
      </c>
      <c r="M819" s="83">
        <v>45230</v>
      </c>
    </row>
    <row r="820" spans="1:13" ht="18.75" customHeight="1" x14ac:dyDescent="0.25">
      <c r="A820" s="9" t="s">
        <v>8</v>
      </c>
      <c r="B820" s="81">
        <v>114110</v>
      </c>
      <c r="C820" s="81">
        <v>10757</v>
      </c>
      <c r="D820" s="9" t="s">
        <v>1009</v>
      </c>
      <c r="E820" s="81">
        <v>14563151</v>
      </c>
      <c r="F820" s="81">
        <v>34370</v>
      </c>
      <c r="G820" s="81">
        <v>25</v>
      </c>
      <c r="H820" s="82">
        <v>26.3</v>
      </c>
      <c r="I820" s="251">
        <v>657.5</v>
      </c>
      <c r="J820" s="9" t="s">
        <v>1305</v>
      </c>
      <c r="K820" s="9" t="s">
        <v>1306</v>
      </c>
      <c r="L820" s="83">
        <v>45200</v>
      </c>
      <c r="M820" s="83">
        <v>45230</v>
      </c>
    </row>
    <row r="821" spans="1:13" ht="18.75" customHeight="1" x14ac:dyDescent="0.25">
      <c r="A821" s="9" t="s">
        <v>19</v>
      </c>
      <c r="B821" s="81">
        <v>112188</v>
      </c>
      <c r="C821" s="81">
        <v>10756</v>
      </c>
      <c r="D821" s="9" t="s">
        <v>23</v>
      </c>
      <c r="E821" s="81">
        <v>14563151</v>
      </c>
      <c r="F821" s="81">
        <v>28811</v>
      </c>
      <c r="G821" s="81">
        <v>25</v>
      </c>
      <c r="H821" s="82">
        <v>26.3</v>
      </c>
      <c r="I821" s="251">
        <v>657.5</v>
      </c>
      <c r="J821" s="9" t="s">
        <v>1305</v>
      </c>
      <c r="K821" s="9" t="s">
        <v>1306</v>
      </c>
      <c r="L821" s="83">
        <v>45200</v>
      </c>
      <c r="M821" s="83">
        <v>45230</v>
      </c>
    </row>
    <row r="822" spans="1:13" ht="18.75" customHeight="1" x14ac:dyDescent="0.25">
      <c r="A822" s="9" t="s">
        <v>32</v>
      </c>
      <c r="B822" s="81">
        <v>112189</v>
      </c>
      <c r="C822" s="81">
        <v>10750</v>
      </c>
      <c r="D822" s="9" t="s">
        <v>24</v>
      </c>
      <c r="E822" s="81">
        <v>14563151</v>
      </c>
      <c r="F822" s="81">
        <v>28813</v>
      </c>
      <c r="G822" s="81">
        <v>25</v>
      </c>
      <c r="H822" s="82">
        <v>26.3</v>
      </c>
      <c r="I822" s="251">
        <v>657.5</v>
      </c>
      <c r="J822" s="9" t="s">
        <v>1305</v>
      </c>
      <c r="K822" s="9" t="s">
        <v>1306</v>
      </c>
      <c r="L822" s="83">
        <v>45200</v>
      </c>
      <c r="M822" s="83">
        <v>45230</v>
      </c>
    </row>
    <row r="823" spans="1:13" ht="18.75" customHeight="1" x14ac:dyDescent="0.25">
      <c r="A823" s="9" t="s">
        <v>0</v>
      </c>
      <c r="B823" s="81">
        <v>116976</v>
      </c>
      <c r="C823" s="81">
        <v>10757</v>
      </c>
      <c r="D823" s="9" t="s">
        <v>1238</v>
      </c>
      <c r="E823" s="81">
        <v>14563151</v>
      </c>
      <c r="F823" s="81">
        <v>43463</v>
      </c>
      <c r="G823" s="81">
        <v>25</v>
      </c>
      <c r="H823" s="82">
        <v>26.3</v>
      </c>
      <c r="I823" s="251">
        <v>657.5</v>
      </c>
      <c r="J823" s="9" t="s">
        <v>1305</v>
      </c>
      <c r="K823" s="9" t="s">
        <v>1306</v>
      </c>
      <c r="L823" s="83">
        <v>45200</v>
      </c>
      <c r="M823" s="83">
        <v>45230</v>
      </c>
    </row>
    <row r="824" spans="1:13" ht="18.75" customHeight="1" x14ac:dyDescent="0.25">
      <c r="A824" s="9" t="s">
        <v>32</v>
      </c>
      <c r="B824" s="81">
        <v>113921</v>
      </c>
      <c r="C824" s="81">
        <v>10771</v>
      </c>
      <c r="D824" s="9" t="s">
        <v>987</v>
      </c>
      <c r="E824" s="81">
        <v>14563151</v>
      </c>
      <c r="F824" s="81">
        <v>33813</v>
      </c>
      <c r="G824" s="81">
        <v>25</v>
      </c>
      <c r="H824" s="82">
        <v>26.3</v>
      </c>
      <c r="I824" s="251">
        <v>657.5</v>
      </c>
      <c r="J824" s="9" t="s">
        <v>1305</v>
      </c>
      <c r="K824" s="9" t="s">
        <v>1306</v>
      </c>
      <c r="L824" s="83">
        <v>45200</v>
      </c>
      <c r="M824" s="83">
        <v>45230</v>
      </c>
    </row>
    <row r="825" spans="1:13" ht="18.75" customHeight="1" x14ac:dyDescent="0.25">
      <c r="A825" s="9" t="s">
        <v>0</v>
      </c>
      <c r="B825" s="81">
        <v>112205</v>
      </c>
      <c r="C825" s="81">
        <v>10750</v>
      </c>
      <c r="D825" s="9" t="s">
        <v>34</v>
      </c>
      <c r="E825" s="81">
        <v>14563151</v>
      </c>
      <c r="F825" s="81">
        <v>28845</v>
      </c>
      <c r="G825" s="81">
        <v>25</v>
      </c>
      <c r="H825" s="82">
        <v>26.3</v>
      </c>
      <c r="I825" s="251">
        <v>657.5</v>
      </c>
      <c r="J825" s="9" t="s">
        <v>1305</v>
      </c>
      <c r="K825" s="9" t="s">
        <v>1306</v>
      </c>
      <c r="L825" s="83">
        <v>45200</v>
      </c>
      <c r="M825" s="83">
        <v>45230</v>
      </c>
    </row>
    <row r="826" spans="1:13" ht="18.75" customHeight="1" x14ac:dyDescent="0.25">
      <c r="A826" s="9" t="s">
        <v>8</v>
      </c>
      <c r="B826" s="81">
        <v>112209</v>
      </c>
      <c r="C826" s="81">
        <v>10750</v>
      </c>
      <c r="D826" s="9" t="s">
        <v>36</v>
      </c>
      <c r="E826" s="81">
        <v>14563151</v>
      </c>
      <c r="F826" s="81">
        <v>28853</v>
      </c>
      <c r="G826" s="81">
        <v>25</v>
      </c>
      <c r="H826" s="82">
        <v>26.3</v>
      </c>
      <c r="I826" s="251">
        <v>657.5</v>
      </c>
      <c r="J826" s="9" t="s">
        <v>1305</v>
      </c>
      <c r="K826" s="9" t="s">
        <v>1306</v>
      </c>
      <c r="L826" s="83">
        <v>45200</v>
      </c>
      <c r="M826" s="83">
        <v>45230</v>
      </c>
    </row>
    <row r="827" spans="1:13" ht="18.75" customHeight="1" x14ac:dyDescent="0.25">
      <c r="A827" s="9" t="s">
        <v>0</v>
      </c>
      <c r="B827" s="81">
        <v>116004</v>
      </c>
      <c r="C827" s="81">
        <v>10757</v>
      </c>
      <c r="D827" s="9" t="s">
        <v>1168</v>
      </c>
      <c r="E827" s="81">
        <v>14563151</v>
      </c>
      <c r="F827" s="81">
        <v>40864</v>
      </c>
      <c r="G827" s="81">
        <v>22</v>
      </c>
      <c r="H827" s="82">
        <v>26.3</v>
      </c>
      <c r="I827" s="251">
        <v>578.6</v>
      </c>
      <c r="J827" s="9" t="s">
        <v>1305</v>
      </c>
      <c r="K827" s="9" t="s">
        <v>1306</v>
      </c>
      <c r="L827" s="83">
        <v>45200</v>
      </c>
      <c r="M827" s="83">
        <v>45230</v>
      </c>
    </row>
    <row r="828" spans="1:13" ht="18.75" customHeight="1" x14ac:dyDescent="0.25">
      <c r="A828" s="9" t="s">
        <v>19</v>
      </c>
      <c r="B828" s="81">
        <v>112213</v>
      </c>
      <c r="C828" s="81">
        <v>10754</v>
      </c>
      <c r="D828" s="9" t="s">
        <v>38</v>
      </c>
      <c r="E828" s="81">
        <v>14563151</v>
      </c>
      <c r="F828" s="81">
        <v>28861</v>
      </c>
      <c r="G828" s="81">
        <v>25</v>
      </c>
      <c r="H828" s="82">
        <v>26.3</v>
      </c>
      <c r="I828" s="251">
        <v>657.5</v>
      </c>
      <c r="J828" s="9" t="s">
        <v>1305</v>
      </c>
      <c r="K828" s="9" t="s">
        <v>1306</v>
      </c>
      <c r="L828" s="83">
        <v>45200</v>
      </c>
      <c r="M828" s="83">
        <v>45230</v>
      </c>
    </row>
    <row r="829" spans="1:13" ht="18.75" customHeight="1" x14ac:dyDescent="0.25">
      <c r="A829" s="9" t="s">
        <v>8</v>
      </c>
      <c r="B829" s="81">
        <v>112222</v>
      </c>
      <c r="C829" s="81">
        <v>10750</v>
      </c>
      <c r="D829" s="9" t="s">
        <v>43</v>
      </c>
      <c r="E829" s="81">
        <v>14563151</v>
      </c>
      <c r="F829" s="81">
        <v>28879</v>
      </c>
      <c r="G829" s="81">
        <v>25</v>
      </c>
      <c r="H829" s="82">
        <v>26.3</v>
      </c>
      <c r="I829" s="251">
        <v>657.5</v>
      </c>
      <c r="J829" s="9" t="s">
        <v>1305</v>
      </c>
      <c r="K829" s="9" t="s">
        <v>1306</v>
      </c>
      <c r="L829" s="83">
        <v>45200</v>
      </c>
      <c r="M829" s="83">
        <v>45230</v>
      </c>
    </row>
    <row r="830" spans="1:13" ht="18.75" customHeight="1" x14ac:dyDescent="0.25">
      <c r="A830" s="9" t="s">
        <v>0</v>
      </c>
      <c r="B830" s="81">
        <v>112227</v>
      </c>
      <c r="C830" s="81">
        <v>10757</v>
      </c>
      <c r="D830" s="9" t="s">
        <v>49</v>
      </c>
      <c r="E830" s="81">
        <v>14563151</v>
      </c>
      <c r="F830" s="81">
        <v>28889</v>
      </c>
      <c r="G830" s="81">
        <v>25</v>
      </c>
      <c r="H830" s="82">
        <v>26.3</v>
      </c>
      <c r="I830" s="251">
        <v>657.5</v>
      </c>
      <c r="J830" s="9" t="s">
        <v>1305</v>
      </c>
      <c r="K830" s="9" t="s">
        <v>1306</v>
      </c>
      <c r="L830" s="83">
        <v>45200</v>
      </c>
      <c r="M830" s="83">
        <v>45230</v>
      </c>
    </row>
    <row r="831" spans="1:13" ht="18.75" customHeight="1" x14ac:dyDescent="0.25">
      <c r="A831" s="9" t="s">
        <v>1578</v>
      </c>
      <c r="B831" s="81">
        <v>114953</v>
      </c>
      <c r="C831" s="81">
        <v>10768</v>
      </c>
      <c r="D831" s="9" t="s">
        <v>1124</v>
      </c>
      <c r="E831" s="81">
        <v>14563151</v>
      </c>
      <c r="F831" s="81">
        <v>37683</v>
      </c>
      <c r="G831" s="81">
        <v>25</v>
      </c>
      <c r="H831" s="82">
        <v>26.3</v>
      </c>
      <c r="I831" s="251">
        <v>657.5</v>
      </c>
      <c r="J831" s="9" t="s">
        <v>1305</v>
      </c>
      <c r="K831" s="9" t="s">
        <v>1306</v>
      </c>
      <c r="L831" s="83">
        <v>45200</v>
      </c>
      <c r="M831" s="83">
        <v>45230</v>
      </c>
    </row>
    <row r="832" spans="1:13" ht="18.75" customHeight="1" x14ac:dyDescent="0.25">
      <c r="A832" s="9" t="s">
        <v>10</v>
      </c>
      <c r="B832" s="81">
        <v>112239</v>
      </c>
      <c r="C832" s="81">
        <v>10754</v>
      </c>
      <c r="D832" s="9" t="s">
        <v>57</v>
      </c>
      <c r="E832" s="81">
        <v>14563151</v>
      </c>
      <c r="F832" s="81">
        <v>28913</v>
      </c>
      <c r="G832" s="81">
        <v>25</v>
      </c>
      <c r="H832" s="82">
        <v>26.3</v>
      </c>
      <c r="I832" s="251">
        <v>657.5</v>
      </c>
      <c r="J832" s="9" t="s">
        <v>1305</v>
      </c>
      <c r="K832" s="9" t="s">
        <v>1306</v>
      </c>
      <c r="L832" s="83">
        <v>45200</v>
      </c>
      <c r="M832" s="83">
        <v>45230</v>
      </c>
    </row>
    <row r="833" spans="1:13" ht="18.75" customHeight="1" x14ac:dyDescent="0.25">
      <c r="A833" s="9" t="s">
        <v>1578</v>
      </c>
      <c r="B833" s="81">
        <v>112253</v>
      </c>
      <c r="C833" s="81">
        <v>10761</v>
      </c>
      <c r="D833" s="9" t="s">
        <v>64</v>
      </c>
      <c r="E833" s="81">
        <v>14563151</v>
      </c>
      <c r="F833" s="81">
        <v>28941</v>
      </c>
      <c r="G833" s="81">
        <v>25</v>
      </c>
      <c r="H833" s="82">
        <v>26.3</v>
      </c>
      <c r="I833" s="251">
        <v>657.5</v>
      </c>
      <c r="J833" s="9" t="s">
        <v>1305</v>
      </c>
      <c r="K833" s="9" t="s">
        <v>1306</v>
      </c>
      <c r="L833" s="83">
        <v>45200</v>
      </c>
      <c r="M833" s="83">
        <v>45230</v>
      </c>
    </row>
    <row r="834" spans="1:13" ht="18.75" customHeight="1" x14ac:dyDescent="0.25">
      <c r="A834" s="9" t="s">
        <v>1578</v>
      </c>
      <c r="B834" s="81">
        <v>114940</v>
      </c>
      <c r="C834" s="81">
        <v>10757</v>
      </c>
      <c r="D834" s="9" t="s">
        <v>1120</v>
      </c>
      <c r="E834" s="81">
        <v>14563151</v>
      </c>
      <c r="F834" s="81">
        <v>37763</v>
      </c>
      <c r="G834" s="81">
        <v>25</v>
      </c>
      <c r="H834" s="82">
        <v>26.3</v>
      </c>
      <c r="I834" s="251">
        <v>657.5</v>
      </c>
      <c r="J834" s="9" t="s">
        <v>1305</v>
      </c>
      <c r="K834" s="9" t="s">
        <v>1306</v>
      </c>
      <c r="L834" s="83">
        <v>45200</v>
      </c>
      <c r="M834" s="83">
        <v>45230</v>
      </c>
    </row>
    <row r="835" spans="1:13" ht="18.75" customHeight="1" x14ac:dyDescent="0.25">
      <c r="A835" s="9" t="s">
        <v>1578</v>
      </c>
      <c r="B835" s="81">
        <v>112256</v>
      </c>
      <c r="C835" s="81">
        <v>10755</v>
      </c>
      <c r="D835" s="9" t="s">
        <v>67</v>
      </c>
      <c r="E835" s="81">
        <v>14563151</v>
      </c>
      <c r="F835" s="81">
        <v>28947</v>
      </c>
      <c r="G835" s="81">
        <v>25</v>
      </c>
      <c r="H835" s="82">
        <v>26.3</v>
      </c>
      <c r="I835" s="251">
        <v>657.5</v>
      </c>
      <c r="J835" s="9" t="s">
        <v>1305</v>
      </c>
      <c r="K835" s="9" t="s">
        <v>1306</v>
      </c>
      <c r="L835" s="83">
        <v>45200</v>
      </c>
      <c r="M835" s="83">
        <v>45230</v>
      </c>
    </row>
    <row r="836" spans="1:13" ht="18.75" customHeight="1" x14ac:dyDescent="0.25">
      <c r="A836" s="9" t="s">
        <v>10</v>
      </c>
      <c r="B836" s="81">
        <v>112268</v>
      </c>
      <c r="C836" s="81">
        <v>10750</v>
      </c>
      <c r="D836" s="9" t="s">
        <v>76</v>
      </c>
      <c r="E836" s="81">
        <v>14563151</v>
      </c>
      <c r="F836" s="81">
        <v>28971</v>
      </c>
      <c r="G836" s="81">
        <v>25</v>
      </c>
      <c r="H836" s="82">
        <v>26.3</v>
      </c>
      <c r="I836" s="251">
        <v>657.5</v>
      </c>
      <c r="J836" s="9" t="s">
        <v>1305</v>
      </c>
      <c r="K836" s="9" t="s">
        <v>1306</v>
      </c>
      <c r="L836" s="83">
        <v>45200</v>
      </c>
      <c r="M836" s="83">
        <v>45230</v>
      </c>
    </row>
    <row r="837" spans="1:13" ht="18.75" customHeight="1" x14ac:dyDescent="0.25">
      <c r="A837" s="9" t="s">
        <v>32</v>
      </c>
      <c r="B837" s="81">
        <v>112273</v>
      </c>
      <c r="C837" s="81">
        <v>10755</v>
      </c>
      <c r="D837" s="9" t="s">
        <v>79</v>
      </c>
      <c r="E837" s="81">
        <v>14563151</v>
      </c>
      <c r="F837" s="81">
        <v>28981</v>
      </c>
      <c r="G837" s="81">
        <v>25</v>
      </c>
      <c r="H837" s="82">
        <v>26.3</v>
      </c>
      <c r="I837" s="251">
        <v>657.5</v>
      </c>
      <c r="J837" s="9" t="s">
        <v>1305</v>
      </c>
      <c r="K837" s="9" t="s">
        <v>1306</v>
      </c>
      <c r="L837" s="83">
        <v>45200</v>
      </c>
      <c r="M837" s="83">
        <v>45230</v>
      </c>
    </row>
    <row r="838" spans="1:13" ht="18.75" customHeight="1" x14ac:dyDescent="0.25">
      <c r="A838" s="9" t="s">
        <v>1578</v>
      </c>
      <c r="B838" s="81">
        <v>112281</v>
      </c>
      <c r="C838" s="81">
        <v>10761</v>
      </c>
      <c r="D838" s="9" t="s">
        <v>87</v>
      </c>
      <c r="E838" s="81">
        <v>14563151</v>
      </c>
      <c r="F838" s="81">
        <v>28997</v>
      </c>
      <c r="G838" s="81">
        <v>25</v>
      </c>
      <c r="H838" s="82">
        <v>26.3</v>
      </c>
      <c r="I838" s="251">
        <v>657.5</v>
      </c>
      <c r="J838" s="9" t="s">
        <v>1305</v>
      </c>
      <c r="K838" s="9" t="s">
        <v>1306</v>
      </c>
      <c r="L838" s="83">
        <v>45200</v>
      </c>
      <c r="M838" s="83">
        <v>45230</v>
      </c>
    </row>
    <row r="839" spans="1:13" ht="18.75" customHeight="1" x14ac:dyDescent="0.25">
      <c r="A839" s="9" t="s">
        <v>1578</v>
      </c>
      <c r="B839" s="81">
        <v>112292</v>
      </c>
      <c r="C839" s="81">
        <v>10767</v>
      </c>
      <c r="D839" s="9" t="s">
        <v>92</v>
      </c>
      <c r="E839" s="81">
        <v>14563151</v>
      </c>
      <c r="F839" s="81">
        <v>29019</v>
      </c>
      <c r="G839" s="81">
        <v>25</v>
      </c>
      <c r="H839" s="82">
        <v>26.3</v>
      </c>
      <c r="I839" s="251">
        <v>657.5</v>
      </c>
      <c r="J839" s="9" t="s">
        <v>1305</v>
      </c>
      <c r="K839" s="9" t="s">
        <v>1306</v>
      </c>
      <c r="L839" s="83">
        <v>45200</v>
      </c>
      <c r="M839" s="83">
        <v>45230</v>
      </c>
    </row>
    <row r="840" spans="1:13" ht="18.75" customHeight="1" x14ac:dyDescent="0.25">
      <c r="A840" s="9" t="s">
        <v>0</v>
      </c>
      <c r="B840" s="81">
        <v>121957</v>
      </c>
      <c r="C840" s="81">
        <v>10758</v>
      </c>
      <c r="D840" s="9" t="s">
        <v>1610</v>
      </c>
      <c r="E840" s="81">
        <v>14563151</v>
      </c>
      <c r="F840" s="81">
        <v>54970</v>
      </c>
      <c r="G840" s="81">
        <v>25</v>
      </c>
      <c r="H840" s="82">
        <v>26.3</v>
      </c>
      <c r="I840" s="251">
        <v>657.5</v>
      </c>
      <c r="J840" s="9" t="s">
        <v>1305</v>
      </c>
      <c r="K840" s="9" t="s">
        <v>1306</v>
      </c>
      <c r="L840" s="83">
        <v>45200</v>
      </c>
      <c r="M840" s="83">
        <v>45230</v>
      </c>
    </row>
    <row r="841" spans="1:13" ht="18.75" customHeight="1" x14ac:dyDescent="0.25">
      <c r="A841" s="9" t="s">
        <v>0</v>
      </c>
      <c r="B841" s="81">
        <v>112296</v>
      </c>
      <c r="C841" s="81">
        <v>10745</v>
      </c>
      <c r="D841" s="9" t="s">
        <v>94</v>
      </c>
      <c r="E841" s="81">
        <v>14563151</v>
      </c>
      <c r="F841" s="81">
        <v>29027</v>
      </c>
      <c r="G841" s="81">
        <v>25</v>
      </c>
      <c r="H841" s="82">
        <v>26.3</v>
      </c>
      <c r="I841" s="251">
        <v>657.5</v>
      </c>
      <c r="J841" s="9" t="s">
        <v>1305</v>
      </c>
      <c r="K841" s="9" t="s">
        <v>1306</v>
      </c>
      <c r="L841" s="83">
        <v>45200</v>
      </c>
      <c r="M841" s="83">
        <v>45230</v>
      </c>
    </row>
    <row r="842" spans="1:13" ht="18.75" customHeight="1" x14ac:dyDescent="0.25">
      <c r="A842" s="9" t="s">
        <v>19</v>
      </c>
      <c r="B842" s="81">
        <v>112309</v>
      </c>
      <c r="C842" s="81">
        <v>10758</v>
      </c>
      <c r="D842" s="9" t="s">
        <v>102</v>
      </c>
      <c r="E842" s="81">
        <v>14563151</v>
      </c>
      <c r="F842" s="81">
        <v>29053</v>
      </c>
      <c r="G842" s="81">
        <v>25</v>
      </c>
      <c r="H842" s="82">
        <v>26.3</v>
      </c>
      <c r="I842" s="251">
        <v>657.5</v>
      </c>
      <c r="J842" s="9" t="s">
        <v>1305</v>
      </c>
      <c r="K842" s="9" t="s">
        <v>1306</v>
      </c>
      <c r="L842" s="83">
        <v>45200</v>
      </c>
      <c r="M842" s="83">
        <v>45230</v>
      </c>
    </row>
    <row r="843" spans="1:13" ht="18.75" customHeight="1" x14ac:dyDescent="0.25">
      <c r="A843" s="9" t="s">
        <v>0</v>
      </c>
      <c r="B843" s="81">
        <v>112364</v>
      </c>
      <c r="C843" s="81">
        <v>10745</v>
      </c>
      <c r="D843" s="9" t="s">
        <v>132</v>
      </c>
      <c r="E843" s="81">
        <v>14563151</v>
      </c>
      <c r="F843" s="81">
        <v>29163</v>
      </c>
      <c r="G843" s="81">
        <v>25</v>
      </c>
      <c r="H843" s="82">
        <v>26.3</v>
      </c>
      <c r="I843" s="251">
        <v>657.5</v>
      </c>
      <c r="J843" s="9" t="s">
        <v>1305</v>
      </c>
      <c r="K843" s="9" t="s">
        <v>1306</v>
      </c>
      <c r="L843" s="83">
        <v>45200</v>
      </c>
      <c r="M843" s="83">
        <v>45230</v>
      </c>
    </row>
    <row r="844" spans="1:13" ht="18.75" customHeight="1" x14ac:dyDescent="0.25">
      <c r="A844" s="9" t="s">
        <v>8</v>
      </c>
      <c r="B844" s="81">
        <v>112370</v>
      </c>
      <c r="C844" s="81">
        <v>10757</v>
      </c>
      <c r="D844" s="9" t="s">
        <v>135</v>
      </c>
      <c r="E844" s="81">
        <v>14563151</v>
      </c>
      <c r="F844" s="81">
        <v>29175</v>
      </c>
      <c r="G844" s="81">
        <v>25</v>
      </c>
      <c r="H844" s="82">
        <v>26.3</v>
      </c>
      <c r="I844" s="251">
        <v>657.5</v>
      </c>
      <c r="J844" s="9" t="s">
        <v>1305</v>
      </c>
      <c r="K844" s="9" t="s">
        <v>1306</v>
      </c>
      <c r="L844" s="83">
        <v>45200</v>
      </c>
      <c r="M844" s="83">
        <v>45230</v>
      </c>
    </row>
    <row r="845" spans="1:13" ht="18.75" customHeight="1" x14ac:dyDescent="0.25">
      <c r="A845" s="9" t="s">
        <v>1578</v>
      </c>
      <c r="B845" s="81">
        <v>114128</v>
      </c>
      <c r="C845" s="81">
        <v>10768</v>
      </c>
      <c r="D845" s="9" t="s">
        <v>1014</v>
      </c>
      <c r="E845" s="81">
        <v>14563151</v>
      </c>
      <c r="F845" s="81">
        <v>34409</v>
      </c>
      <c r="G845" s="81">
        <v>25</v>
      </c>
      <c r="H845" s="82">
        <v>26.3</v>
      </c>
      <c r="I845" s="251">
        <v>657.5</v>
      </c>
      <c r="J845" s="9" t="s">
        <v>1305</v>
      </c>
      <c r="K845" s="9" t="s">
        <v>1306</v>
      </c>
      <c r="L845" s="83">
        <v>45200</v>
      </c>
      <c r="M845" s="83">
        <v>45230</v>
      </c>
    </row>
    <row r="846" spans="1:13" ht="18.75" customHeight="1" x14ac:dyDescent="0.25">
      <c r="A846" s="9" t="s">
        <v>1578</v>
      </c>
      <c r="B846" s="81">
        <v>112379</v>
      </c>
      <c r="C846" s="81">
        <v>10761</v>
      </c>
      <c r="D846" s="9" t="s">
        <v>142</v>
      </c>
      <c r="E846" s="81">
        <v>14563151</v>
      </c>
      <c r="F846" s="81">
        <v>29193</v>
      </c>
      <c r="G846" s="81">
        <v>25</v>
      </c>
      <c r="H846" s="82">
        <v>26.3</v>
      </c>
      <c r="I846" s="251">
        <v>657.5</v>
      </c>
      <c r="J846" s="9" t="s">
        <v>1305</v>
      </c>
      <c r="K846" s="9" t="s">
        <v>1306</v>
      </c>
      <c r="L846" s="83">
        <v>45200</v>
      </c>
      <c r="M846" s="83">
        <v>45230</v>
      </c>
    </row>
    <row r="847" spans="1:13" ht="18.75" customHeight="1" x14ac:dyDescent="0.25">
      <c r="A847" s="9" t="s">
        <v>1578</v>
      </c>
      <c r="B847" s="81">
        <v>112384</v>
      </c>
      <c r="C847" s="81">
        <v>10761</v>
      </c>
      <c r="D847" s="9" t="s">
        <v>148</v>
      </c>
      <c r="E847" s="81">
        <v>14563151</v>
      </c>
      <c r="F847" s="81">
        <v>29203</v>
      </c>
      <c r="G847" s="81">
        <v>25</v>
      </c>
      <c r="H847" s="82">
        <v>26.3</v>
      </c>
      <c r="I847" s="251">
        <v>657.5</v>
      </c>
      <c r="J847" s="9" t="s">
        <v>1305</v>
      </c>
      <c r="K847" s="9" t="s">
        <v>1306</v>
      </c>
      <c r="L847" s="83">
        <v>45200</v>
      </c>
      <c r="M847" s="83">
        <v>45230</v>
      </c>
    </row>
    <row r="848" spans="1:13" ht="18.75" customHeight="1" x14ac:dyDescent="0.25">
      <c r="A848" s="9" t="s">
        <v>1578</v>
      </c>
      <c r="B848" s="81">
        <v>115796</v>
      </c>
      <c r="C848" s="81">
        <v>10743</v>
      </c>
      <c r="D848" s="9" t="s">
        <v>1352</v>
      </c>
      <c r="E848" s="81">
        <v>14563151</v>
      </c>
      <c r="F848" s="81">
        <v>40251</v>
      </c>
      <c r="G848" s="81">
        <v>25</v>
      </c>
      <c r="H848" s="82">
        <v>26.3</v>
      </c>
      <c r="I848" s="251">
        <v>657.5</v>
      </c>
      <c r="J848" s="9" t="s">
        <v>1305</v>
      </c>
      <c r="K848" s="9" t="s">
        <v>1309</v>
      </c>
      <c r="L848" s="83">
        <v>45200</v>
      </c>
      <c r="M848" s="83">
        <v>45230</v>
      </c>
    </row>
    <row r="849" spans="1:13" ht="18.75" customHeight="1" x14ac:dyDescent="0.25">
      <c r="A849" s="9" t="s">
        <v>0</v>
      </c>
      <c r="B849" s="81">
        <v>112394</v>
      </c>
      <c r="C849" s="81">
        <v>10750</v>
      </c>
      <c r="D849" s="9" t="s">
        <v>152</v>
      </c>
      <c r="E849" s="81">
        <v>14563151</v>
      </c>
      <c r="F849" s="81">
        <v>29223</v>
      </c>
      <c r="G849" s="81">
        <v>25</v>
      </c>
      <c r="H849" s="82">
        <v>26.3</v>
      </c>
      <c r="I849" s="251">
        <v>657.5</v>
      </c>
      <c r="J849" s="9" t="s">
        <v>1305</v>
      </c>
      <c r="K849" s="9" t="s">
        <v>1306</v>
      </c>
      <c r="L849" s="83">
        <v>45200</v>
      </c>
      <c r="M849" s="83">
        <v>45230</v>
      </c>
    </row>
    <row r="850" spans="1:13" ht="18.75" customHeight="1" x14ac:dyDescent="0.25">
      <c r="A850" s="9" t="s">
        <v>0</v>
      </c>
      <c r="B850" s="81">
        <v>113762</v>
      </c>
      <c r="C850" s="81">
        <v>10773</v>
      </c>
      <c r="D850" s="9" t="s">
        <v>964</v>
      </c>
      <c r="E850" s="81">
        <v>14563151</v>
      </c>
      <c r="F850" s="81">
        <v>31966</v>
      </c>
      <c r="G850" s="81">
        <v>25</v>
      </c>
      <c r="H850" s="82">
        <v>26.3</v>
      </c>
      <c r="I850" s="251">
        <v>657.5</v>
      </c>
      <c r="J850" s="9" t="s">
        <v>1305</v>
      </c>
      <c r="K850" s="9" t="s">
        <v>1309</v>
      </c>
      <c r="L850" s="83">
        <v>45200</v>
      </c>
      <c r="M850" s="83">
        <v>45230</v>
      </c>
    </row>
    <row r="851" spans="1:13" ht="18.75" customHeight="1" x14ac:dyDescent="0.25">
      <c r="A851" s="9" t="s">
        <v>8</v>
      </c>
      <c r="B851" s="81">
        <v>116234</v>
      </c>
      <c r="C851" s="81">
        <v>10751</v>
      </c>
      <c r="D851" s="9" t="s">
        <v>1194</v>
      </c>
      <c r="E851" s="81">
        <v>14563151</v>
      </c>
      <c r="F851" s="81">
        <v>41576</v>
      </c>
      <c r="G851" s="81">
        <v>25</v>
      </c>
      <c r="H851" s="82">
        <v>26.3</v>
      </c>
      <c r="I851" s="251">
        <v>657.5</v>
      </c>
      <c r="J851" s="9" t="s">
        <v>1305</v>
      </c>
      <c r="K851" s="9" t="s">
        <v>1306</v>
      </c>
      <c r="L851" s="83">
        <v>45200</v>
      </c>
      <c r="M851" s="83">
        <v>45230</v>
      </c>
    </row>
    <row r="852" spans="1:13" ht="18.75" customHeight="1" x14ac:dyDescent="0.25">
      <c r="A852" s="9" t="s">
        <v>1578</v>
      </c>
      <c r="B852" s="81">
        <v>112401</v>
      </c>
      <c r="C852" s="81">
        <v>10749</v>
      </c>
      <c r="D852" s="9" t="s">
        <v>1353</v>
      </c>
      <c r="E852" s="81">
        <v>14563151</v>
      </c>
      <c r="F852" s="81">
        <v>29237</v>
      </c>
      <c r="G852" s="81">
        <v>25</v>
      </c>
      <c r="H852" s="82">
        <v>26.3</v>
      </c>
      <c r="I852" s="251">
        <v>657.5</v>
      </c>
      <c r="J852" s="9" t="s">
        <v>1305</v>
      </c>
      <c r="K852" s="9" t="s">
        <v>1306</v>
      </c>
      <c r="L852" s="83">
        <v>45200</v>
      </c>
      <c r="M852" s="83">
        <v>45230</v>
      </c>
    </row>
    <row r="853" spans="1:13" ht="18.75" customHeight="1" x14ac:dyDescent="0.25">
      <c r="A853" s="9" t="s">
        <v>0</v>
      </c>
      <c r="B853" s="81">
        <v>117236</v>
      </c>
      <c r="C853" s="81">
        <v>10750</v>
      </c>
      <c r="D853" s="9" t="s">
        <v>1253</v>
      </c>
      <c r="E853" s="81">
        <v>14563151</v>
      </c>
      <c r="F853" s="81">
        <v>44089</v>
      </c>
      <c r="G853" s="81">
        <v>25</v>
      </c>
      <c r="H853" s="82">
        <v>26.3</v>
      </c>
      <c r="I853" s="251">
        <v>657.5</v>
      </c>
      <c r="J853" s="9" t="s">
        <v>1305</v>
      </c>
      <c r="K853" s="9" t="s">
        <v>1306</v>
      </c>
      <c r="L853" s="83">
        <v>45200</v>
      </c>
      <c r="M853" s="83">
        <v>45230</v>
      </c>
    </row>
    <row r="854" spans="1:13" ht="18.75" customHeight="1" x14ac:dyDescent="0.25">
      <c r="A854" s="9" t="s">
        <v>1578</v>
      </c>
      <c r="B854" s="81">
        <v>119647</v>
      </c>
      <c r="C854" s="81">
        <v>10743</v>
      </c>
      <c r="D854" s="9" t="s">
        <v>1466</v>
      </c>
      <c r="E854" s="81">
        <v>14563151</v>
      </c>
      <c r="F854" s="81">
        <v>49610</v>
      </c>
      <c r="G854" s="81">
        <v>25</v>
      </c>
      <c r="H854" s="82">
        <v>26.3</v>
      </c>
      <c r="I854" s="251">
        <v>657.5</v>
      </c>
      <c r="J854" s="9" t="s">
        <v>1305</v>
      </c>
      <c r="K854" s="9" t="s">
        <v>1309</v>
      </c>
      <c r="L854" s="83">
        <v>45200</v>
      </c>
      <c r="M854" s="83">
        <v>45230</v>
      </c>
    </row>
    <row r="855" spans="1:13" ht="18.75" customHeight="1" x14ac:dyDescent="0.25">
      <c r="A855" s="9" t="s">
        <v>1578</v>
      </c>
      <c r="B855" s="81">
        <v>112415</v>
      </c>
      <c r="C855" s="81">
        <v>10761</v>
      </c>
      <c r="D855" s="9" t="s">
        <v>1354</v>
      </c>
      <c r="E855" s="81">
        <v>14563151</v>
      </c>
      <c r="F855" s="81">
        <v>29265</v>
      </c>
      <c r="G855" s="81">
        <v>25</v>
      </c>
      <c r="H855" s="82">
        <v>26.3</v>
      </c>
      <c r="I855" s="251">
        <v>657.5</v>
      </c>
      <c r="J855" s="9" t="s">
        <v>1305</v>
      </c>
      <c r="K855" s="9" t="s">
        <v>1306</v>
      </c>
      <c r="L855" s="83">
        <v>45200</v>
      </c>
      <c r="M855" s="83">
        <v>45230</v>
      </c>
    </row>
    <row r="856" spans="1:13" ht="18.75" customHeight="1" x14ac:dyDescent="0.25">
      <c r="A856" s="9" t="s">
        <v>0</v>
      </c>
      <c r="B856" s="81">
        <v>112418</v>
      </c>
      <c r="C856" s="81">
        <v>10750</v>
      </c>
      <c r="D856" s="9" t="s">
        <v>168</v>
      </c>
      <c r="E856" s="81">
        <v>14563151</v>
      </c>
      <c r="F856" s="81">
        <v>29271</v>
      </c>
      <c r="G856" s="81">
        <v>25</v>
      </c>
      <c r="H856" s="82">
        <v>26.3</v>
      </c>
      <c r="I856" s="251">
        <v>657.5</v>
      </c>
      <c r="J856" s="9" t="s">
        <v>1305</v>
      </c>
      <c r="K856" s="9" t="s">
        <v>1306</v>
      </c>
      <c r="L856" s="83">
        <v>45200</v>
      </c>
      <c r="M856" s="83">
        <v>45230</v>
      </c>
    </row>
    <row r="857" spans="1:13" ht="18.75" customHeight="1" x14ac:dyDescent="0.25">
      <c r="A857" s="9" t="s">
        <v>8</v>
      </c>
      <c r="B857" s="81">
        <v>112421</v>
      </c>
      <c r="C857" s="81">
        <v>10763</v>
      </c>
      <c r="D857" s="9" t="s">
        <v>170</v>
      </c>
      <c r="E857" s="81">
        <v>14563151</v>
      </c>
      <c r="F857" s="81">
        <v>29277</v>
      </c>
      <c r="G857" s="81">
        <v>25</v>
      </c>
      <c r="H857" s="82">
        <v>26.3</v>
      </c>
      <c r="I857" s="251">
        <v>657.5</v>
      </c>
      <c r="J857" s="9" t="s">
        <v>1305</v>
      </c>
      <c r="K857" s="9" t="s">
        <v>1306</v>
      </c>
      <c r="L857" s="83">
        <v>45200</v>
      </c>
      <c r="M857" s="83">
        <v>45230</v>
      </c>
    </row>
    <row r="858" spans="1:13" ht="18.75" customHeight="1" x14ac:dyDescent="0.25">
      <c r="A858" s="9" t="s">
        <v>10</v>
      </c>
      <c r="B858" s="81">
        <v>112431</v>
      </c>
      <c r="C858" s="81">
        <v>10757</v>
      </c>
      <c r="D858" s="9" t="s">
        <v>174</v>
      </c>
      <c r="E858" s="81">
        <v>14563151</v>
      </c>
      <c r="F858" s="81">
        <v>29297</v>
      </c>
      <c r="G858" s="81">
        <v>25</v>
      </c>
      <c r="H858" s="82">
        <v>26.3</v>
      </c>
      <c r="I858" s="251">
        <v>657.5</v>
      </c>
      <c r="J858" s="9" t="s">
        <v>1305</v>
      </c>
      <c r="K858" s="9" t="s">
        <v>1306</v>
      </c>
      <c r="L858" s="83">
        <v>45200</v>
      </c>
      <c r="M858" s="83">
        <v>45230</v>
      </c>
    </row>
    <row r="859" spans="1:13" ht="18.75" customHeight="1" x14ac:dyDescent="0.25">
      <c r="A859" s="9" t="s">
        <v>1578</v>
      </c>
      <c r="B859" s="81">
        <v>112437</v>
      </c>
      <c r="C859" s="81">
        <v>10755</v>
      </c>
      <c r="D859" s="9" t="s">
        <v>179</v>
      </c>
      <c r="E859" s="81">
        <v>14563151</v>
      </c>
      <c r="F859" s="81">
        <v>29309</v>
      </c>
      <c r="G859" s="81">
        <v>25</v>
      </c>
      <c r="H859" s="82">
        <v>26.3</v>
      </c>
      <c r="I859" s="251">
        <v>657.5</v>
      </c>
      <c r="J859" s="9" t="s">
        <v>1305</v>
      </c>
      <c r="K859" s="9" t="s">
        <v>1306</v>
      </c>
      <c r="L859" s="83">
        <v>45200</v>
      </c>
      <c r="M859" s="83">
        <v>45230</v>
      </c>
    </row>
    <row r="860" spans="1:13" ht="18.75" customHeight="1" x14ac:dyDescent="0.25">
      <c r="A860" s="9" t="s">
        <v>0</v>
      </c>
      <c r="B860" s="81">
        <v>112470</v>
      </c>
      <c r="C860" s="81">
        <v>10763</v>
      </c>
      <c r="D860" s="9" t="s">
        <v>199</v>
      </c>
      <c r="E860" s="81">
        <v>14563151</v>
      </c>
      <c r="F860" s="81">
        <v>29375</v>
      </c>
      <c r="G860" s="81">
        <v>25</v>
      </c>
      <c r="H860" s="82">
        <v>26.3</v>
      </c>
      <c r="I860" s="251">
        <v>657.5</v>
      </c>
      <c r="J860" s="9" t="s">
        <v>1305</v>
      </c>
      <c r="K860" s="9" t="s">
        <v>1306</v>
      </c>
      <c r="L860" s="83">
        <v>45200</v>
      </c>
      <c r="M860" s="83">
        <v>45230</v>
      </c>
    </row>
    <row r="861" spans="1:13" ht="18.75" customHeight="1" x14ac:dyDescent="0.25">
      <c r="A861" s="9" t="s">
        <v>1578</v>
      </c>
      <c r="B861" s="81">
        <v>122837</v>
      </c>
      <c r="C861" s="81">
        <v>10755</v>
      </c>
      <c r="D861" s="9" t="s">
        <v>1737</v>
      </c>
      <c r="E861" s="81">
        <v>14563151</v>
      </c>
      <c r="F861" s="81">
        <v>57240</v>
      </c>
      <c r="G861" s="81">
        <v>25</v>
      </c>
      <c r="H861" s="82">
        <v>26.3</v>
      </c>
      <c r="I861" s="251">
        <v>657.5</v>
      </c>
      <c r="J861" s="9" t="s">
        <v>1305</v>
      </c>
      <c r="K861" s="9" t="s">
        <v>1306</v>
      </c>
      <c r="L861" s="83">
        <v>45200</v>
      </c>
      <c r="M861" s="83">
        <v>45230</v>
      </c>
    </row>
    <row r="862" spans="1:13" ht="18.75" customHeight="1" x14ac:dyDescent="0.25">
      <c r="A862" s="9" t="s">
        <v>32</v>
      </c>
      <c r="B862" s="81">
        <v>122560</v>
      </c>
      <c r="C862" s="81">
        <v>10766</v>
      </c>
      <c r="D862" s="9" t="s">
        <v>1691</v>
      </c>
      <c r="E862" s="81">
        <v>14563151</v>
      </c>
      <c r="F862" s="81">
        <v>56557</v>
      </c>
      <c r="G862" s="81">
        <v>25</v>
      </c>
      <c r="H862" s="82">
        <v>26.3</v>
      </c>
      <c r="I862" s="251">
        <v>657.5</v>
      </c>
      <c r="J862" s="9" t="s">
        <v>1305</v>
      </c>
      <c r="K862" s="9" t="s">
        <v>1306</v>
      </c>
      <c r="L862" s="83">
        <v>45200</v>
      </c>
      <c r="M862" s="83">
        <v>45230</v>
      </c>
    </row>
    <row r="863" spans="1:13" ht="18.75" customHeight="1" x14ac:dyDescent="0.25">
      <c r="A863" s="9" t="s">
        <v>1578</v>
      </c>
      <c r="B863" s="81">
        <v>113782</v>
      </c>
      <c r="C863" s="81">
        <v>10743</v>
      </c>
      <c r="D863" s="9" t="s">
        <v>1355</v>
      </c>
      <c r="E863" s="81">
        <v>14563151</v>
      </c>
      <c r="F863" s="81">
        <v>32015</v>
      </c>
      <c r="G863" s="81">
        <v>25</v>
      </c>
      <c r="H863" s="82">
        <v>26.3</v>
      </c>
      <c r="I863" s="251">
        <v>657.5</v>
      </c>
      <c r="J863" s="9" t="s">
        <v>1305</v>
      </c>
      <c r="K863" s="9" t="s">
        <v>1306</v>
      </c>
      <c r="L863" s="83">
        <v>45200</v>
      </c>
      <c r="M863" s="83">
        <v>45230</v>
      </c>
    </row>
    <row r="864" spans="1:13" ht="18.75" customHeight="1" x14ac:dyDescent="0.25">
      <c r="A864" s="9" t="s">
        <v>10</v>
      </c>
      <c r="B864" s="81">
        <v>116978</v>
      </c>
      <c r="C864" s="81">
        <v>10745</v>
      </c>
      <c r="D864" s="9" t="s">
        <v>1240</v>
      </c>
      <c r="E864" s="81">
        <v>14563151</v>
      </c>
      <c r="F864" s="81">
        <v>43467</v>
      </c>
      <c r="G864" s="81">
        <v>25</v>
      </c>
      <c r="H864" s="82">
        <v>26.3</v>
      </c>
      <c r="I864" s="251">
        <v>657.5</v>
      </c>
      <c r="J864" s="9" t="s">
        <v>1305</v>
      </c>
      <c r="K864" s="9" t="s">
        <v>1306</v>
      </c>
      <c r="L864" s="83">
        <v>45200</v>
      </c>
      <c r="M864" s="83">
        <v>45230</v>
      </c>
    </row>
    <row r="865" spans="1:13" ht="18.75" customHeight="1" x14ac:dyDescent="0.25">
      <c r="A865" s="9" t="s">
        <v>1580</v>
      </c>
      <c r="B865" s="81">
        <v>121939</v>
      </c>
      <c r="C865" s="81">
        <v>10775</v>
      </c>
      <c r="D865" s="9" t="s">
        <v>1611</v>
      </c>
      <c r="E865" s="81">
        <v>14563151</v>
      </c>
      <c r="F865" s="81">
        <v>55060</v>
      </c>
      <c r="G865" s="81">
        <v>25</v>
      </c>
      <c r="H865" s="82">
        <v>26.3</v>
      </c>
      <c r="I865" s="251">
        <v>657.5</v>
      </c>
      <c r="J865" s="9" t="s">
        <v>1305</v>
      </c>
      <c r="K865" s="9" t="s">
        <v>1309</v>
      </c>
      <c r="L865" s="83">
        <v>45200</v>
      </c>
      <c r="M865" s="83">
        <v>45230</v>
      </c>
    </row>
    <row r="866" spans="1:13" ht="18.75" customHeight="1" x14ac:dyDescent="0.25">
      <c r="A866" s="9" t="s">
        <v>0</v>
      </c>
      <c r="B866" s="81">
        <v>115371</v>
      </c>
      <c r="C866" s="81">
        <v>10760</v>
      </c>
      <c r="D866" s="9" t="s">
        <v>1148</v>
      </c>
      <c r="E866" s="81">
        <v>14563151</v>
      </c>
      <c r="F866" s="81">
        <v>38935</v>
      </c>
      <c r="G866" s="81">
        <v>25</v>
      </c>
      <c r="H866" s="82">
        <v>26.3</v>
      </c>
      <c r="I866" s="251">
        <v>657.5</v>
      </c>
      <c r="J866" s="9" t="s">
        <v>1305</v>
      </c>
      <c r="K866" s="9" t="s">
        <v>1306</v>
      </c>
      <c r="L866" s="83">
        <v>45200</v>
      </c>
      <c r="M866" s="83">
        <v>45230</v>
      </c>
    </row>
    <row r="867" spans="1:13" ht="18.75" customHeight="1" x14ac:dyDescent="0.25">
      <c r="A867" s="9" t="s">
        <v>1578</v>
      </c>
      <c r="B867" s="81">
        <v>112478</v>
      </c>
      <c r="C867" s="81">
        <v>10768</v>
      </c>
      <c r="D867" s="9" t="s">
        <v>206</v>
      </c>
      <c r="E867" s="81">
        <v>14563151</v>
      </c>
      <c r="F867" s="81">
        <v>29391</v>
      </c>
      <c r="G867" s="81">
        <v>25</v>
      </c>
      <c r="H867" s="82">
        <v>26.3</v>
      </c>
      <c r="I867" s="251">
        <v>657.5</v>
      </c>
      <c r="J867" s="9" t="s">
        <v>1305</v>
      </c>
      <c r="K867" s="9" t="s">
        <v>1306</v>
      </c>
      <c r="L867" s="83">
        <v>45200</v>
      </c>
      <c r="M867" s="83">
        <v>45230</v>
      </c>
    </row>
    <row r="868" spans="1:13" ht="18.75" customHeight="1" x14ac:dyDescent="0.25">
      <c r="A868" s="9" t="s">
        <v>1578</v>
      </c>
      <c r="B868" s="81">
        <v>114927</v>
      </c>
      <c r="C868" s="81">
        <v>10758</v>
      </c>
      <c r="D868" s="9" t="s">
        <v>1356</v>
      </c>
      <c r="E868" s="81">
        <v>14563151</v>
      </c>
      <c r="F868" s="81">
        <v>37633</v>
      </c>
      <c r="G868" s="81">
        <v>25</v>
      </c>
      <c r="H868" s="82">
        <v>26.3</v>
      </c>
      <c r="I868" s="251">
        <v>657.5</v>
      </c>
      <c r="J868" s="9" t="s">
        <v>1305</v>
      </c>
      <c r="K868" s="9" t="s">
        <v>1306</v>
      </c>
      <c r="L868" s="83">
        <v>45200</v>
      </c>
      <c r="M868" s="83">
        <v>45230</v>
      </c>
    </row>
    <row r="869" spans="1:13" ht="18.75" customHeight="1" x14ac:dyDescent="0.25">
      <c r="A869" s="9" t="s">
        <v>8</v>
      </c>
      <c r="B869" s="81">
        <v>112503</v>
      </c>
      <c r="C869" s="81">
        <v>10766</v>
      </c>
      <c r="D869" s="9" t="s">
        <v>221</v>
      </c>
      <c r="E869" s="81">
        <v>14563151</v>
      </c>
      <c r="F869" s="81">
        <v>29441</v>
      </c>
      <c r="G869" s="81">
        <v>25</v>
      </c>
      <c r="H869" s="82">
        <v>26.3</v>
      </c>
      <c r="I869" s="251">
        <v>657.5</v>
      </c>
      <c r="J869" s="9" t="s">
        <v>1305</v>
      </c>
      <c r="K869" s="9" t="s">
        <v>1306</v>
      </c>
      <c r="L869" s="83">
        <v>45200</v>
      </c>
      <c r="M869" s="83">
        <v>45230</v>
      </c>
    </row>
    <row r="870" spans="1:13" ht="18.75" customHeight="1" x14ac:dyDescent="0.25">
      <c r="A870" s="9" t="s">
        <v>32</v>
      </c>
      <c r="B870" s="81">
        <v>116385</v>
      </c>
      <c r="C870" s="81">
        <v>10757</v>
      </c>
      <c r="D870" s="9" t="s">
        <v>1209</v>
      </c>
      <c r="E870" s="81">
        <v>14563151</v>
      </c>
      <c r="F870" s="81">
        <v>42041</v>
      </c>
      <c r="G870" s="81">
        <v>25</v>
      </c>
      <c r="H870" s="82">
        <v>26.3</v>
      </c>
      <c r="I870" s="251">
        <v>657.5</v>
      </c>
      <c r="J870" s="9" t="s">
        <v>1305</v>
      </c>
      <c r="K870" s="9" t="s">
        <v>1306</v>
      </c>
      <c r="L870" s="83">
        <v>45200</v>
      </c>
      <c r="M870" s="83">
        <v>45230</v>
      </c>
    </row>
    <row r="871" spans="1:13" ht="18.75" customHeight="1" x14ac:dyDescent="0.25">
      <c r="A871" s="9" t="s">
        <v>0</v>
      </c>
      <c r="B871" s="81">
        <v>112542</v>
      </c>
      <c r="C871" s="81">
        <v>10763</v>
      </c>
      <c r="D871" s="9" t="s">
        <v>252</v>
      </c>
      <c r="E871" s="81">
        <v>14563151</v>
      </c>
      <c r="F871" s="81">
        <v>29519</v>
      </c>
      <c r="G871" s="81">
        <v>25</v>
      </c>
      <c r="H871" s="82">
        <v>26.3</v>
      </c>
      <c r="I871" s="251">
        <v>657.5</v>
      </c>
      <c r="J871" s="9" t="s">
        <v>1305</v>
      </c>
      <c r="K871" s="9" t="s">
        <v>1306</v>
      </c>
      <c r="L871" s="83">
        <v>45200</v>
      </c>
      <c r="M871" s="83">
        <v>45230</v>
      </c>
    </row>
    <row r="872" spans="1:13" ht="18.75" customHeight="1" x14ac:dyDescent="0.25">
      <c r="A872" s="9" t="s">
        <v>0</v>
      </c>
      <c r="B872" s="81">
        <v>112545</v>
      </c>
      <c r="C872" s="81">
        <v>10750</v>
      </c>
      <c r="D872" s="9" t="s">
        <v>253</v>
      </c>
      <c r="E872" s="81">
        <v>14563151</v>
      </c>
      <c r="F872" s="81">
        <v>29525</v>
      </c>
      <c r="G872" s="81">
        <v>25</v>
      </c>
      <c r="H872" s="82">
        <v>26.3</v>
      </c>
      <c r="I872" s="251">
        <v>657.5</v>
      </c>
      <c r="J872" s="9" t="s">
        <v>1305</v>
      </c>
      <c r="K872" s="9" t="s">
        <v>1306</v>
      </c>
      <c r="L872" s="83">
        <v>45200</v>
      </c>
      <c r="M872" s="83">
        <v>45230</v>
      </c>
    </row>
    <row r="873" spans="1:13" ht="18.75" customHeight="1" x14ac:dyDescent="0.25">
      <c r="A873" s="9" t="s">
        <v>1578</v>
      </c>
      <c r="B873" s="81">
        <v>112546</v>
      </c>
      <c r="C873" s="81">
        <v>10771</v>
      </c>
      <c r="D873" s="9" t="s">
        <v>1357</v>
      </c>
      <c r="E873" s="81">
        <v>14563151</v>
      </c>
      <c r="F873" s="81">
        <v>29527</v>
      </c>
      <c r="G873" s="81">
        <v>25</v>
      </c>
      <c r="H873" s="82">
        <v>26.3</v>
      </c>
      <c r="I873" s="251">
        <v>657.5</v>
      </c>
      <c r="J873" s="9" t="s">
        <v>1305</v>
      </c>
      <c r="K873" s="9" t="s">
        <v>1306</v>
      </c>
      <c r="L873" s="83">
        <v>45200</v>
      </c>
      <c r="M873" s="83">
        <v>45230</v>
      </c>
    </row>
    <row r="874" spans="1:13" ht="18.75" customHeight="1" x14ac:dyDescent="0.25">
      <c r="A874" s="9" t="s">
        <v>1578</v>
      </c>
      <c r="B874" s="81">
        <v>118649</v>
      </c>
      <c r="C874" s="81">
        <v>10761</v>
      </c>
      <c r="D874" s="9" t="s">
        <v>1402</v>
      </c>
      <c r="E874" s="81">
        <v>14563151</v>
      </c>
      <c r="F874" s="81">
        <v>47192</v>
      </c>
      <c r="G874" s="81">
        <v>25</v>
      </c>
      <c r="H874" s="82">
        <v>26.3</v>
      </c>
      <c r="I874" s="251">
        <v>657.5</v>
      </c>
      <c r="J874" s="9" t="s">
        <v>1305</v>
      </c>
      <c r="K874" s="9" t="s">
        <v>1306</v>
      </c>
      <c r="L874" s="83">
        <v>45200</v>
      </c>
      <c r="M874" s="83">
        <v>45230</v>
      </c>
    </row>
    <row r="875" spans="1:13" ht="18.75" customHeight="1" x14ac:dyDescent="0.25">
      <c r="A875" s="9" t="s">
        <v>1578</v>
      </c>
      <c r="B875" s="81">
        <v>122571</v>
      </c>
      <c r="C875" s="81">
        <v>10761</v>
      </c>
      <c r="D875" s="9" t="s">
        <v>1692</v>
      </c>
      <c r="E875" s="81">
        <v>14563151</v>
      </c>
      <c r="F875" s="81">
        <v>56534</v>
      </c>
      <c r="G875" s="81">
        <v>25</v>
      </c>
      <c r="H875" s="82">
        <v>26.3</v>
      </c>
      <c r="I875" s="251">
        <v>657.5</v>
      </c>
      <c r="J875" s="9" t="s">
        <v>1305</v>
      </c>
      <c r="K875" s="9" t="s">
        <v>1306</v>
      </c>
      <c r="L875" s="83">
        <v>45200</v>
      </c>
      <c r="M875" s="83">
        <v>45230</v>
      </c>
    </row>
    <row r="876" spans="1:13" ht="18.75" customHeight="1" x14ac:dyDescent="0.25">
      <c r="A876" s="9" t="s">
        <v>1578</v>
      </c>
      <c r="B876" s="81">
        <v>121476</v>
      </c>
      <c r="C876" s="81">
        <v>10755</v>
      </c>
      <c r="D876" s="9" t="s">
        <v>1574</v>
      </c>
      <c r="E876" s="81">
        <v>14563151</v>
      </c>
      <c r="F876" s="81">
        <v>53833</v>
      </c>
      <c r="G876" s="81">
        <v>25</v>
      </c>
      <c r="H876" s="82">
        <v>26.3</v>
      </c>
      <c r="I876" s="251">
        <v>657.5</v>
      </c>
      <c r="J876" s="9" t="s">
        <v>1305</v>
      </c>
      <c r="K876" s="9" t="s">
        <v>1306</v>
      </c>
      <c r="L876" s="83">
        <v>45200</v>
      </c>
      <c r="M876" s="83">
        <v>45230</v>
      </c>
    </row>
    <row r="877" spans="1:13" ht="18.75" customHeight="1" x14ac:dyDescent="0.25">
      <c r="A877" s="9" t="s">
        <v>0</v>
      </c>
      <c r="B877" s="81">
        <v>112558</v>
      </c>
      <c r="C877" s="81">
        <v>10771</v>
      </c>
      <c r="D877" s="9" t="s">
        <v>264</v>
      </c>
      <c r="E877" s="81">
        <v>14563151</v>
      </c>
      <c r="F877" s="81">
        <v>29551</v>
      </c>
      <c r="G877" s="81">
        <v>25</v>
      </c>
      <c r="H877" s="82">
        <v>26.3</v>
      </c>
      <c r="I877" s="251">
        <v>657.5</v>
      </c>
      <c r="J877" s="9" t="s">
        <v>1305</v>
      </c>
      <c r="K877" s="9" t="s">
        <v>1306</v>
      </c>
      <c r="L877" s="83">
        <v>45200</v>
      </c>
      <c r="M877" s="83">
        <v>45230</v>
      </c>
    </row>
    <row r="878" spans="1:13" ht="18.75" customHeight="1" x14ac:dyDescent="0.25">
      <c r="A878" s="9" t="s">
        <v>0</v>
      </c>
      <c r="B878" s="81">
        <v>112577</v>
      </c>
      <c r="C878" s="81">
        <v>10750</v>
      </c>
      <c r="D878" s="9" t="s">
        <v>274</v>
      </c>
      <c r="E878" s="81">
        <v>14563151</v>
      </c>
      <c r="F878" s="81">
        <v>29589</v>
      </c>
      <c r="G878" s="81">
        <v>25</v>
      </c>
      <c r="H878" s="82">
        <v>26.3</v>
      </c>
      <c r="I878" s="251">
        <v>657.5</v>
      </c>
      <c r="J878" s="9" t="s">
        <v>1305</v>
      </c>
      <c r="K878" s="9" t="s">
        <v>1306</v>
      </c>
      <c r="L878" s="83">
        <v>45200</v>
      </c>
      <c r="M878" s="83">
        <v>45230</v>
      </c>
    </row>
    <row r="879" spans="1:13" ht="18.75" customHeight="1" x14ac:dyDescent="0.25">
      <c r="A879" s="9" t="s">
        <v>1578</v>
      </c>
      <c r="B879" s="81">
        <v>112583</v>
      </c>
      <c r="C879" s="81">
        <v>10762</v>
      </c>
      <c r="D879" s="9" t="s">
        <v>278</v>
      </c>
      <c r="E879" s="81">
        <v>14563151</v>
      </c>
      <c r="F879" s="81">
        <v>29601</v>
      </c>
      <c r="G879" s="81">
        <v>25</v>
      </c>
      <c r="H879" s="82">
        <v>26.3</v>
      </c>
      <c r="I879" s="251">
        <v>657.5</v>
      </c>
      <c r="J879" s="9" t="s">
        <v>1305</v>
      </c>
      <c r="K879" s="9" t="s">
        <v>1306</v>
      </c>
      <c r="L879" s="83">
        <v>45200</v>
      </c>
      <c r="M879" s="83">
        <v>45230</v>
      </c>
    </row>
    <row r="880" spans="1:13" ht="18.75" customHeight="1" x14ac:dyDescent="0.25">
      <c r="A880" s="9" t="s">
        <v>1578</v>
      </c>
      <c r="B880" s="81">
        <v>112589</v>
      </c>
      <c r="C880" s="81">
        <v>10743</v>
      </c>
      <c r="D880" s="9" t="s">
        <v>281</v>
      </c>
      <c r="E880" s="81">
        <v>14563151</v>
      </c>
      <c r="F880" s="81">
        <v>29613</v>
      </c>
      <c r="G880" s="81">
        <v>25</v>
      </c>
      <c r="H880" s="82">
        <v>26.3</v>
      </c>
      <c r="I880" s="251">
        <v>657.5</v>
      </c>
      <c r="J880" s="9" t="s">
        <v>1305</v>
      </c>
      <c r="K880" s="9" t="s">
        <v>1306</v>
      </c>
      <c r="L880" s="83">
        <v>45200</v>
      </c>
      <c r="M880" s="83">
        <v>45230</v>
      </c>
    </row>
    <row r="881" spans="1:13" ht="18.75" customHeight="1" x14ac:dyDescent="0.25">
      <c r="A881" s="9" t="s">
        <v>0</v>
      </c>
      <c r="B881" s="81">
        <v>112596</v>
      </c>
      <c r="C881" s="81">
        <v>10750</v>
      </c>
      <c r="D881" s="9" t="s">
        <v>284</v>
      </c>
      <c r="E881" s="81">
        <v>14563151</v>
      </c>
      <c r="F881" s="81">
        <v>29627</v>
      </c>
      <c r="G881" s="81">
        <v>25</v>
      </c>
      <c r="H881" s="82">
        <v>26.3</v>
      </c>
      <c r="I881" s="251">
        <v>657.5</v>
      </c>
      <c r="J881" s="9" t="s">
        <v>1305</v>
      </c>
      <c r="K881" s="9" t="s">
        <v>1306</v>
      </c>
      <c r="L881" s="83">
        <v>45200</v>
      </c>
      <c r="M881" s="83">
        <v>45230</v>
      </c>
    </row>
    <row r="882" spans="1:13" ht="18.75" customHeight="1" x14ac:dyDescent="0.25">
      <c r="A882" s="9" t="s">
        <v>0</v>
      </c>
      <c r="B882" s="81">
        <v>115404</v>
      </c>
      <c r="C882" s="81">
        <v>10750</v>
      </c>
      <c r="D882" s="9" t="s">
        <v>1154</v>
      </c>
      <c r="E882" s="81">
        <v>14563151</v>
      </c>
      <c r="F882" s="81">
        <v>39015</v>
      </c>
      <c r="G882" s="81">
        <v>25</v>
      </c>
      <c r="H882" s="82">
        <v>26.3</v>
      </c>
      <c r="I882" s="251">
        <v>657.5</v>
      </c>
      <c r="J882" s="9" t="s">
        <v>1305</v>
      </c>
      <c r="K882" s="9" t="s">
        <v>1306</v>
      </c>
      <c r="L882" s="83">
        <v>45200</v>
      </c>
      <c r="M882" s="83">
        <v>45230</v>
      </c>
    </row>
    <row r="883" spans="1:13" ht="18.75" customHeight="1" x14ac:dyDescent="0.25">
      <c r="A883" s="9" t="s">
        <v>1578</v>
      </c>
      <c r="B883" s="81">
        <v>112604</v>
      </c>
      <c r="C883" s="81">
        <v>10767</v>
      </c>
      <c r="D883" s="9" t="s">
        <v>289</v>
      </c>
      <c r="E883" s="81">
        <v>14563151</v>
      </c>
      <c r="F883" s="81">
        <v>29643</v>
      </c>
      <c r="G883" s="81">
        <v>25</v>
      </c>
      <c r="H883" s="82">
        <v>26.3</v>
      </c>
      <c r="I883" s="251">
        <v>657.5</v>
      </c>
      <c r="J883" s="9" t="s">
        <v>1305</v>
      </c>
      <c r="K883" s="9" t="s">
        <v>1306</v>
      </c>
      <c r="L883" s="83">
        <v>45200</v>
      </c>
      <c r="M883" s="83">
        <v>45230</v>
      </c>
    </row>
    <row r="884" spans="1:13" ht="18.75" customHeight="1" x14ac:dyDescent="0.25">
      <c r="A884" s="9" t="s">
        <v>1578</v>
      </c>
      <c r="B884" s="81">
        <v>112611</v>
      </c>
      <c r="C884" s="81">
        <v>10755</v>
      </c>
      <c r="D884" s="9" t="s">
        <v>295</v>
      </c>
      <c r="E884" s="81">
        <v>14563151</v>
      </c>
      <c r="F884" s="81">
        <v>29657</v>
      </c>
      <c r="G884" s="81">
        <v>25</v>
      </c>
      <c r="H884" s="82">
        <v>26.3</v>
      </c>
      <c r="I884" s="251">
        <v>657.5</v>
      </c>
      <c r="J884" s="9" t="s">
        <v>1305</v>
      </c>
      <c r="K884" s="9" t="s">
        <v>1306</v>
      </c>
      <c r="L884" s="83">
        <v>45200</v>
      </c>
      <c r="M884" s="83">
        <v>45230</v>
      </c>
    </row>
    <row r="885" spans="1:13" ht="18.75" customHeight="1" x14ac:dyDescent="0.25">
      <c r="A885" s="9" t="s">
        <v>19</v>
      </c>
      <c r="B885" s="81">
        <v>112617</v>
      </c>
      <c r="C885" s="81">
        <v>10750</v>
      </c>
      <c r="D885" s="9" t="s">
        <v>300</v>
      </c>
      <c r="E885" s="81">
        <v>14563151</v>
      </c>
      <c r="F885" s="81">
        <v>29669</v>
      </c>
      <c r="G885" s="81">
        <v>25</v>
      </c>
      <c r="H885" s="82">
        <v>26.3</v>
      </c>
      <c r="I885" s="251">
        <v>657.5</v>
      </c>
      <c r="J885" s="9" t="s">
        <v>1305</v>
      </c>
      <c r="K885" s="9" t="s">
        <v>1306</v>
      </c>
      <c r="L885" s="83">
        <v>45200</v>
      </c>
      <c r="M885" s="83">
        <v>45230</v>
      </c>
    </row>
    <row r="886" spans="1:13" ht="18.75" customHeight="1" x14ac:dyDescent="0.25">
      <c r="A886" s="9" t="s">
        <v>1578</v>
      </c>
      <c r="B886" s="81">
        <v>112625</v>
      </c>
      <c r="C886" s="81">
        <v>10745</v>
      </c>
      <c r="D886" s="9" t="s">
        <v>305</v>
      </c>
      <c r="E886" s="81">
        <v>14563151</v>
      </c>
      <c r="F886" s="81">
        <v>29685</v>
      </c>
      <c r="G886" s="81">
        <v>25</v>
      </c>
      <c r="H886" s="82">
        <v>26.3</v>
      </c>
      <c r="I886" s="251">
        <v>657.5</v>
      </c>
      <c r="J886" s="9" t="s">
        <v>1305</v>
      </c>
      <c r="K886" s="9" t="s">
        <v>1306</v>
      </c>
      <c r="L886" s="83">
        <v>45200</v>
      </c>
      <c r="M886" s="83">
        <v>45230</v>
      </c>
    </row>
    <row r="887" spans="1:13" ht="18.75" customHeight="1" x14ac:dyDescent="0.25">
      <c r="A887" s="9" t="s">
        <v>0</v>
      </c>
      <c r="B887" s="81">
        <v>112630</v>
      </c>
      <c r="C887" s="81">
        <v>10757</v>
      </c>
      <c r="D887" s="9" t="s">
        <v>309</v>
      </c>
      <c r="E887" s="81">
        <v>14563151</v>
      </c>
      <c r="F887" s="81">
        <v>29695</v>
      </c>
      <c r="G887" s="81">
        <v>25</v>
      </c>
      <c r="H887" s="82">
        <v>26.3</v>
      </c>
      <c r="I887" s="251">
        <v>657.5</v>
      </c>
      <c r="J887" s="9" t="s">
        <v>1305</v>
      </c>
      <c r="K887" s="9" t="s">
        <v>1306</v>
      </c>
      <c r="L887" s="83">
        <v>45200</v>
      </c>
      <c r="M887" s="83">
        <v>45230</v>
      </c>
    </row>
    <row r="888" spans="1:13" ht="18.75" customHeight="1" x14ac:dyDescent="0.25">
      <c r="A888" s="9" t="s">
        <v>32</v>
      </c>
      <c r="B888" s="81">
        <v>114736</v>
      </c>
      <c r="C888" s="81">
        <v>10758</v>
      </c>
      <c r="D888" s="9" t="s">
        <v>1084</v>
      </c>
      <c r="E888" s="81">
        <v>14563151</v>
      </c>
      <c r="F888" s="81">
        <v>36921</v>
      </c>
      <c r="G888" s="81">
        <v>25</v>
      </c>
      <c r="H888" s="82">
        <v>26.3</v>
      </c>
      <c r="I888" s="251">
        <v>657.5</v>
      </c>
      <c r="J888" s="9" t="s">
        <v>1305</v>
      </c>
      <c r="K888" s="9" t="s">
        <v>1309</v>
      </c>
      <c r="L888" s="83">
        <v>45200</v>
      </c>
      <c r="M888" s="83">
        <v>45230</v>
      </c>
    </row>
    <row r="889" spans="1:13" ht="18.75" customHeight="1" x14ac:dyDescent="0.25">
      <c r="A889" s="9" t="s">
        <v>10</v>
      </c>
      <c r="B889" s="81">
        <v>116024</v>
      </c>
      <c r="C889" s="81">
        <v>10760</v>
      </c>
      <c r="D889" s="9" t="s">
        <v>1174</v>
      </c>
      <c r="E889" s="81">
        <v>14563151</v>
      </c>
      <c r="F889" s="81">
        <v>40909</v>
      </c>
      <c r="G889" s="81">
        <v>25</v>
      </c>
      <c r="H889" s="82">
        <v>26.3</v>
      </c>
      <c r="I889" s="251">
        <v>657.5</v>
      </c>
      <c r="J889" s="9" t="s">
        <v>1305</v>
      </c>
      <c r="K889" s="9" t="s">
        <v>1306</v>
      </c>
      <c r="L889" s="83">
        <v>45200</v>
      </c>
      <c r="M889" s="83">
        <v>45230</v>
      </c>
    </row>
    <row r="890" spans="1:13" ht="18.75" customHeight="1" x14ac:dyDescent="0.25">
      <c r="A890" s="9" t="s">
        <v>1578</v>
      </c>
      <c r="B890" s="81">
        <v>112640</v>
      </c>
      <c r="C890" s="81">
        <v>10771</v>
      </c>
      <c r="D890" s="9" t="s">
        <v>314</v>
      </c>
      <c r="E890" s="81">
        <v>14563151</v>
      </c>
      <c r="F890" s="81">
        <v>29715</v>
      </c>
      <c r="G890" s="81">
        <v>25</v>
      </c>
      <c r="H890" s="82">
        <v>26.3</v>
      </c>
      <c r="I890" s="251">
        <v>657.5</v>
      </c>
      <c r="J890" s="9" t="s">
        <v>1305</v>
      </c>
      <c r="K890" s="9" t="s">
        <v>1306</v>
      </c>
      <c r="L890" s="83">
        <v>45200</v>
      </c>
      <c r="M890" s="83">
        <v>45230</v>
      </c>
    </row>
    <row r="891" spans="1:13" ht="18.75" customHeight="1" x14ac:dyDescent="0.25">
      <c r="A891" s="9" t="s">
        <v>8</v>
      </c>
      <c r="B891" s="81">
        <v>112649</v>
      </c>
      <c r="C891" s="81">
        <v>10750</v>
      </c>
      <c r="D891" s="9" t="s">
        <v>318</v>
      </c>
      <c r="E891" s="81">
        <v>14563151</v>
      </c>
      <c r="F891" s="81">
        <v>29733</v>
      </c>
      <c r="G891" s="81">
        <v>25</v>
      </c>
      <c r="H891" s="82">
        <v>26.3</v>
      </c>
      <c r="I891" s="251">
        <v>657.5</v>
      </c>
      <c r="J891" s="9" t="s">
        <v>1305</v>
      </c>
      <c r="K891" s="9" t="s">
        <v>1306</v>
      </c>
      <c r="L891" s="83">
        <v>45200</v>
      </c>
      <c r="M891" s="83">
        <v>45230</v>
      </c>
    </row>
    <row r="892" spans="1:13" ht="18.75" customHeight="1" x14ac:dyDescent="0.25">
      <c r="A892" s="9" t="s">
        <v>1578</v>
      </c>
      <c r="B892" s="81">
        <v>122088</v>
      </c>
      <c r="C892" s="81">
        <v>10760</v>
      </c>
      <c r="D892" s="9" t="s">
        <v>1630</v>
      </c>
      <c r="E892" s="81">
        <v>14563151</v>
      </c>
      <c r="F892" s="81">
        <v>55291</v>
      </c>
      <c r="G892" s="81">
        <v>25</v>
      </c>
      <c r="H892" s="82">
        <v>26.3</v>
      </c>
      <c r="I892" s="251">
        <v>657.5</v>
      </c>
      <c r="J892" s="9" t="s">
        <v>1305</v>
      </c>
      <c r="K892" s="9" t="s">
        <v>1306</v>
      </c>
      <c r="L892" s="83">
        <v>45200</v>
      </c>
      <c r="M892" s="83">
        <v>45230</v>
      </c>
    </row>
    <row r="893" spans="1:13" ht="18.75" customHeight="1" x14ac:dyDescent="0.25">
      <c r="A893" s="9" t="s">
        <v>1580</v>
      </c>
      <c r="B893" s="81">
        <v>119752</v>
      </c>
      <c r="C893" s="81">
        <v>10775</v>
      </c>
      <c r="D893" s="9" t="s">
        <v>1475</v>
      </c>
      <c r="E893" s="81">
        <v>14563151</v>
      </c>
      <c r="F893" s="81">
        <v>49848</v>
      </c>
      <c r="G893" s="81">
        <v>25</v>
      </c>
      <c r="H893" s="82">
        <v>26.3</v>
      </c>
      <c r="I893" s="251">
        <v>657.5</v>
      </c>
      <c r="J893" s="9" t="s">
        <v>1305</v>
      </c>
      <c r="K893" s="9" t="s">
        <v>1309</v>
      </c>
      <c r="L893" s="83">
        <v>45200</v>
      </c>
      <c r="M893" s="83">
        <v>45230</v>
      </c>
    </row>
    <row r="894" spans="1:13" ht="18.75" customHeight="1" x14ac:dyDescent="0.25">
      <c r="A894" s="9" t="s">
        <v>0</v>
      </c>
      <c r="B894" s="81">
        <v>113768</v>
      </c>
      <c r="C894" s="81">
        <v>10771</v>
      </c>
      <c r="D894" s="9" t="s">
        <v>968</v>
      </c>
      <c r="E894" s="81">
        <v>14563151</v>
      </c>
      <c r="F894" s="81">
        <v>31983</v>
      </c>
      <c r="G894" s="81">
        <v>25</v>
      </c>
      <c r="H894" s="82">
        <v>26.3</v>
      </c>
      <c r="I894" s="251">
        <v>657.5</v>
      </c>
      <c r="J894" s="9" t="s">
        <v>1305</v>
      </c>
      <c r="K894" s="9" t="s">
        <v>1306</v>
      </c>
      <c r="L894" s="83">
        <v>45200</v>
      </c>
      <c r="M894" s="83">
        <v>45230</v>
      </c>
    </row>
    <row r="895" spans="1:13" ht="18.75" customHeight="1" x14ac:dyDescent="0.25">
      <c r="A895" s="9" t="s">
        <v>10</v>
      </c>
      <c r="B895" s="81">
        <v>114749</v>
      </c>
      <c r="C895" s="81">
        <v>10758</v>
      </c>
      <c r="D895" s="9" t="s">
        <v>1089</v>
      </c>
      <c r="E895" s="81">
        <v>14563151</v>
      </c>
      <c r="F895" s="81">
        <v>36947</v>
      </c>
      <c r="G895" s="81">
        <v>25</v>
      </c>
      <c r="H895" s="82">
        <v>26.3</v>
      </c>
      <c r="I895" s="251">
        <v>657.5</v>
      </c>
      <c r="J895" s="9" t="s">
        <v>1305</v>
      </c>
      <c r="K895" s="9" t="s">
        <v>1306</v>
      </c>
      <c r="L895" s="83">
        <v>45200</v>
      </c>
      <c r="M895" s="83">
        <v>45230</v>
      </c>
    </row>
    <row r="896" spans="1:13" ht="18.75" customHeight="1" x14ac:dyDescent="0.25">
      <c r="A896" s="9" t="s">
        <v>1578</v>
      </c>
      <c r="B896" s="81">
        <v>112667</v>
      </c>
      <c r="C896" s="81">
        <v>10771</v>
      </c>
      <c r="D896" s="9" t="s">
        <v>328</v>
      </c>
      <c r="E896" s="81">
        <v>14563151</v>
      </c>
      <c r="F896" s="81">
        <v>29769</v>
      </c>
      <c r="G896" s="81">
        <v>25</v>
      </c>
      <c r="H896" s="82">
        <v>26.3</v>
      </c>
      <c r="I896" s="251">
        <v>657.5</v>
      </c>
      <c r="J896" s="9" t="s">
        <v>1305</v>
      </c>
      <c r="K896" s="9" t="s">
        <v>1306</v>
      </c>
      <c r="L896" s="83">
        <v>45200</v>
      </c>
      <c r="M896" s="83">
        <v>45230</v>
      </c>
    </row>
    <row r="897" spans="1:13" ht="18.75" customHeight="1" x14ac:dyDescent="0.25">
      <c r="A897" s="9" t="s">
        <v>1578</v>
      </c>
      <c r="B897" s="81">
        <v>112677</v>
      </c>
      <c r="C897" s="81">
        <v>10759</v>
      </c>
      <c r="D897" s="9" t="s">
        <v>333</v>
      </c>
      <c r="E897" s="81">
        <v>14563151</v>
      </c>
      <c r="F897" s="81">
        <v>29789</v>
      </c>
      <c r="G897" s="81">
        <v>25</v>
      </c>
      <c r="H897" s="82">
        <v>26.3</v>
      </c>
      <c r="I897" s="251">
        <v>657.5</v>
      </c>
      <c r="J897" s="9" t="s">
        <v>1305</v>
      </c>
      <c r="K897" s="9" t="s">
        <v>1306</v>
      </c>
      <c r="L897" s="83">
        <v>45200</v>
      </c>
      <c r="M897" s="83">
        <v>45230</v>
      </c>
    </row>
    <row r="898" spans="1:13" ht="18.75" customHeight="1" x14ac:dyDescent="0.25">
      <c r="A898" s="9" t="s">
        <v>8</v>
      </c>
      <c r="B898" s="81">
        <v>112682</v>
      </c>
      <c r="C898" s="81">
        <v>10766</v>
      </c>
      <c r="D898" s="9" t="s">
        <v>337</v>
      </c>
      <c r="E898" s="81">
        <v>14563151</v>
      </c>
      <c r="F898" s="81">
        <v>29799</v>
      </c>
      <c r="G898" s="81">
        <v>25</v>
      </c>
      <c r="H898" s="82">
        <v>26.3</v>
      </c>
      <c r="I898" s="251">
        <v>657.5</v>
      </c>
      <c r="J898" s="9" t="s">
        <v>1305</v>
      </c>
      <c r="K898" s="9" t="s">
        <v>1306</v>
      </c>
      <c r="L898" s="83">
        <v>45200</v>
      </c>
      <c r="M898" s="83">
        <v>45230</v>
      </c>
    </row>
    <row r="899" spans="1:13" ht="18.75" customHeight="1" x14ac:dyDescent="0.25">
      <c r="A899" s="9" t="s">
        <v>10</v>
      </c>
      <c r="B899" s="81">
        <v>112684</v>
      </c>
      <c r="C899" s="81">
        <v>10750</v>
      </c>
      <c r="D899" s="9" t="s">
        <v>339</v>
      </c>
      <c r="E899" s="81">
        <v>14563151</v>
      </c>
      <c r="F899" s="81">
        <v>29803</v>
      </c>
      <c r="G899" s="81">
        <v>25</v>
      </c>
      <c r="H899" s="82">
        <v>26.3</v>
      </c>
      <c r="I899" s="251">
        <v>657.5</v>
      </c>
      <c r="J899" s="9" t="s">
        <v>1305</v>
      </c>
      <c r="K899" s="9" t="s">
        <v>1306</v>
      </c>
      <c r="L899" s="83">
        <v>45200</v>
      </c>
      <c r="M899" s="83">
        <v>45230</v>
      </c>
    </row>
    <row r="900" spans="1:13" ht="18.75" customHeight="1" x14ac:dyDescent="0.25">
      <c r="A900" s="9" t="s">
        <v>0</v>
      </c>
      <c r="B900" s="81">
        <v>112687</v>
      </c>
      <c r="C900" s="81">
        <v>10750</v>
      </c>
      <c r="D900" s="9" t="s">
        <v>342</v>
      </c>
      <c r="E900" s="81">
        <v>14563151</v>
      </c>
      <c r="F900" s="81">
        <v>29809</v>
      </c>
      <c r="G900" s="81">
        <v>25</v>
      </c>
      <c r="H900" s="82">
        <v>26.3</v>
      </c>
      <c r="I900" s="251">
        <v>657.5</v>
      </c>
      <c r="J900" s="9" t="s">
        <v>1305</v>
      </c>
      <c r="K900" s="9" t="s">
        <v>1306</v>
      </c>
      <c r="L900" s="83">
        <v>45200</v>
      </c>
      <c r="M900" s="83">
        <v>45230</v>
      </c>
    </row>
    <row r="901" spans="1:13" ht="18.75" customHeight="1" x14ac:dyDescent="0.25">
      <c r="A901" s="9" t="s">
        <v>10</v>
      </c>
      <c r="B901" s="81">
        <v>112690</v>
      </c>
      <c r="C901" s="81">
        <v>10757</v>
      </c>
      <c r="D901" s="9" t="s">
        <v>1543</v>
      </c>
      <c r="E901" s="81">
        <v>14563151</v>
      </c>
      <c r="F901" s="81">
        <v>29815</v>
      </c>
      <c r="G901" s="81">
        <v>24</v>
      </c>
      <c r="H901" s="82">
        <v>26.3</v>
      </c>
      <c r="I901" s="251">
        <v>631.20000000000005</v>
      </c>
      <c r="J901" s="9" t="s">
        <v>1305</v>
      </c>
      <c r="K901" s="9" t="s">
        <v>1306</v>
      </c>
      <c r="L901" s="83">
        <v>45200</v>
      </c>
      <c r="M901" s="83">
        <v>45230</v>
      </c>
    </row>
    <row r="902" spans="1:13" ht="18.75" customHeight="1" x14ac:dyDescent="0.25">
      <c r="A902" s="9" t="s">
        <v>8</v>
      </c>
      <c r="B902" s="81">
        <v>114030</v>
      </c>
      <c r="C902" s="81">
        <v>10757</v>
      </c>
      <c r="D902" s="9" t="s">
        <v>995</v>
      </c>
      <c r="E902" s="81">
        <v>14563151</v>
      </c>
      <c r="F902" s="81">
        <v>34125</v>
      </c>
      <c r="G902" s="81">
        <v>25</v>
      </c>
      <c r="H902" s="82">
        <v>26.3</v>
      </c>
      <c r="I902" s="251">
        <v>657.5</v>
      </c>
      <c r="J902" s="9" t="s">
        <v>1305</v>
      </c>
      <c r="K902" s="9" t="s">
        <v>1306</v>
      </c>
      <c r="L902" s="83">
        <v>45200</v>
      </c>
      <c r="M902" s="83">
        <v>45230</v>
      </c>
    </row>
    <row r="903" spans="1:13" ht="18.75" customHeight="1" x14ac:dyDescent="0.25">
      <c r="A903" s="9" t="s">
        <v>0</v>
      </c>
      <c r="B903" s="81">
        <v>119643</v>
      </c>
      <c r="C903" s="81">
        <v>10757</v>
      </c>
      <c r="D903" s="9" t="s">
        <v>1468</v>
      </c>
      <c r="E903" s="81">
        <v>14563151</v>
      </c>
      <c r="F903" s="81">
        <v>49602</v>
      </c>
      <c r="G903" s="81">
        <v>25</v>
      </c>
      <c r="H903" s="82">
        <v>26.3</v>
      </c>
      <c r="I903" s="251">
        <v>657.5</v>
      </c>
      <c r="J903" s="9" t="s">
        <v>1305</v>
      </c>
      <c r="K903" s="9" t="s">
        <v>1306</v>
      </c>
      <c r="L903" s="83">
        <v>45200</v>
      </c>
      <c r="M903" s="83">
        <v>45230</v>
      </c>
    </row>
    <row r="904" spans="1:13" ht="18.75" customHeight="1" x14ac:dyDescent="0.25">
      <c r="A904" s="9" t="s">
        <v>1580</v>
      </c>
      <c r="B904" s="81">
        <v>121949</v>
      </c>
      <c r="C904" s="81">
        <v>10775</v>
      </c>
      <c r="D904" s="9" t="s">
        <v>1612</v>
      </c>
      <c r="E904" s="81">
        <v>14563151</v>
      </c>
      <c r="F904" s="81">
        <v>55025</v>
      </c>
      <c r="G904" s="81">
        <v>25</v>
      </c>
      <c r="H904" s="82">
        <v>26.3</v>
      </c>
      <c r="I904" s="251">
        <v>657.5</v>
      </c>
      <c r="J904" s="9" t="s">
        <v>1305</v>
      </c>
      <c r="K904" s="9" t="s">
        <v>1309</v>
      </c>
      <c r="L904" s="83">
        <v>45200</v>
      </c>
      <c r="M904" s="83">
        <v>45230</v>
      </c>
    </row>
    <row r="905" spans="1:13" ht="18.75" customHeight="1" x14ac:dyDescent="0.25">
      <c r="A905" s="9" t="s">
        <v>1578</v>
      </c>
      <c r="B905" s="81">
        <v>116386</v>
      </c>
      <c r="C905" s="81">
        <v>10766</v>
      </c>
      <c r="D905" s="9" t="s">
        <v>1210</v>
      </c>
      <c r="E905" s="81">
        <v>14563151</v>
      </c>
      <c r="F905" s="81">
        <v>42043</v>
      </c>
      <c r="G905" s="81">
        <v>25</v>
      </c>
      <c r="H905" s="82">
        <v>26.3</v>
      </c>
      <c r="I905" s="251">
        <v>657.5</v>
      </c>
      <c r="J905" s="9" t="s">
        <v>1305</v>
      </c>
      <c r="K905" s="9" t="s">
        <v>1306</v>
      </c>
      <c r="L905" s="83">
        <v>45200</v>
      </c>
      <c r="M905" s="83">
        <v>45230</v>
      </c>
    </row>
    <row r="906" spans="1:13" ht="18.75" customHeight="1" x14ac:dyDescent="0.25">
      <c r="A906" s="9" t="s">
        <v>19</v>
      </c>
      <c r="B906" s="81">
        <v>112693</v>
      </c>
      <c r="C906" s="81">
        <v>10754</v>
      </c>
      <c r="D906" s="9" t="s">
        <v>345</v>
      </c>
      <c r="E906" s="81">
        <v>14563151</v>
      </c>
      <c r="F906" s="81">
        <v>29821</v>
      </c>
      <c r="G906" s="81">
        <v>25</v>
      </c>
      <c r="H906" s="82">
        <v>26.3</v>
      </c>
      <c r="I906" s="251">
        <v>657.5</v>
      </c>
      <c r="J906" s="9" t="s">
        <v>1305</v>
      </c>
      <c r="K906" s="9" t="s">
        <v>1306</v>
      </c>
      <c r="L906" s="83">
        <v>45200</v>
      </c>
      <c r="M906" s="83">
        <v>45230</v>
      </c>
    </row>
    <row r="907" spans="1:13" ht="18.75" customHeight="1" x14ac:dyDescent="0.25">
      <c r="A907" s="9" t="s">
        <v>19</v>
      </c>
      <c r="B907" s="81">
        <v>112694</v>
      </c>
      <c r="C907" s="81">
        <v>10756</v>
      </c>
      <c r="D907" s="9" t="s">
        <v>346</v>
      </c>
      <c r="E907" s="81">
        <v>14563151</v>
      </c>
      <c r="F907" s="81">
        <v>29823</v>
      </c>
      <c r="G907" s="81">
        <v>25</v>
      </c>
      <c r="H907" s="82">
        <v>26.3</v>
      </c>
      <c r="I907" s="251">
        <v>657.5</v>
      </c>
      <c r="J907" s="9" t="s">
        <v>1305</v>
      </c>
      <c r="K907" s="9" t="s">
        <v>1306</v>
      </c>
      <c r="L907" s="83">
        <v>45200</v>
      </c>
      <c r="M907" s="83">
        <v>45230</v>
      </c>
    </row>
    <row r="908" spans="1:13" ht="18.75" customHeight="1" x14ac:dyDescent="0.25">
      <c r="A908" s="9" t="s">
        <v>0</v>
      </c>
      <c r="B908" s="81">
        <v>112699</v>
      </c>
      <c r="C908" s="81">
        <v>10750</v>
      </c>
      <c r="D908" s="9" t="s">
        <v>350</v>
      </c>
      <c r="E908" s="81">
        <v>14563151</v>
      </c>
      <c r="F908" s="81">
        <v>29833</v>
      </c>
      <c r="G908" s="81">
        <v>25</v>
      </c>
      <c r="H908" s="82">
        <v>26.3</v>
      </c>
      <c r="I908" s="251">
        <v>657.5</v>
      </c>
      <c r="J908" s="9" t="s">
        <v>1305</v>
      </c>
      <c r="K908" s="9" t="s">
        <v>1306</v>
      </c>
      <c r="L908" s="83">
        <v>45200</v>
      </c>
      <c r="M908" s="83">
        <v>45230</v>
      </c>
    </row>
    <row r="909" spans="1:13" ht="18.75" customHeight="1" x14ac:dyDescent="0.25">
      <c r="A909" s="9" t="s">
        <v>1578</v>
      </c>
      <c r="B909" s="81">
        <v>119922</v>
      </c>
      <c r="C909" s="81">
        <v>10766</v>
      </c>
      <c r="D909" s="9" t="s">
        <v>1479</v>
      </c>
      <c r="E909" s="81">
        <v>14563151</v>
      </c>
      <c r="F909" s="81">
        <v>50250</v>
      </c>
      <c r="G909" s="81">
        <v>25</v>
      </c>
      <c r="H909" s="82">
        <v>26.3</v>
      </c>
      <c r="I909" s="251">
        <v>657.5</v>
      </c>
      <c r="J909" s="9" t="s">
        <v>1305</v>
      </c>
      <c r="K909" s="9" t="s">
        <v>1306</v>
      </c>
      <c r="L909" s="83">
        <v>45200</v>
      </c>
      <c r="M909" s="83">
        <v>45230</v>
      </c>
    </row>
    <row r="910" spans="1:13" ht="18.75" customHeight="1" x14ac:dyDescent="0.25">
      <c r="A910" s="9" t="s">
        <v>0</v>
      </c>
      <c r="B910" s="81">
        <v>118060</v>
      </c>
      <c r="C910" s="81">
        <v>10757</v>
      </c>
      <c r="D910" s="9" t="s">
        <v>1403</v>
      </c>
      <c r="E910" s="81">
        <v>14563151</v>
      </c>
      <c r="F910" s="81">
        <v>45909</v>
      </c>
      <c r="G910" s="81">
        <v>25</v>
      </c>
      <c r="H910" s="82">
        <v>26.3</v>
      </c>
      <c r="I910" s="251">
        <v>657.5</v>
      </c>
      <c r="J910" s="9" t="s">
        <v>1305</v>
      </c>
      <c r="K910" s="9" t="s">
        <v>1306</v>
      </c>
      <c r="L910" s="83">
        <v>45200</v>
      </c>
      <c r="M910" s="83">
        <v>45230</v>
      </c>
    </row>
    <row r="911" spans="1:13" ht="18.75" customHeight="1" x14ac:dyDescent="0.25">
      <c r="A911" s="9" t="s">
        <v>0</v>
      </c>
      <c r="B911" s="81">
        <v>112732</v>
      </c>
      <c r="C911" s="81">
        <v>10758</v>
      </c>
      <c r="D911" s="9" t="s">
        <v>371</v>
      </c>
      <c r="E911" s="81">
        <v>14563151</v>
      </c>
      <c r="F911" s="81">
        <v>29899</v>
      </c>
      <c r="G911" s="81">
        <v>25</v>
      </c>
      <c r="H911" s="82">
        <v>26.3</v>
      </c>
      <c r="I911" s="251">
        <v>657.5</v>
      </c>
      <c r="J911" s="9" t="s">
        <v>1305</v>
      </c>
      <c r="K911" s="9" t="s">
        <v>1306</v>
      </c>
      <c r="L911" s="83">
        <v>45200</v>
      </c>
      <c r="M911" s="83">
        <v>45230</v>
      </c>
    </row>
    <row r="912" spans="1:13" ht="18.75" customHeight="1" x14ac:dyDescent="0.25">
      <c r="A912" s="9" t="s">
        <v>10</v>
      </c>
      <c r="B912" s="81">
        <v>112748</v>
      </c>
      <c r="C912" s="81">
        <v>10757</v>
      </c>
      <c r="D912" s="9" t="s">
        <v>381</v>
      </c>
      <c r="E912" s="81">
        <v>14563151</v>
      </c>
      <c r="F912" s="81">
        <v>29931</v>
      </c>
      <c r="G912" s="81">
        <v>25</v>
      </c>
      <c r="H912" s="82">
        <v>26.3</v>
      </c>
      <c r="I912" s="251">
        <v>657.5</v>
      </c>
      <c r="J912" s="9" t="s">
        <v>1305</v>
      </c>
      <c r="K912" s="9" t="s">
        <v>1306</v>
      </c>
      <c r="L912" s="83">
        <v>45200</v>
      </c>
      <c r="M912" s="83">
        <v>45230</v>
      </c>
    </row>
    <row r="913" spans="1:13" ht="18.75" customHeight="1" x14ac:dyDescent="0.25">
      <c r="A913" s="9" t="s">
        <v>1578</v>
      </c>
      <c r="B913" s="81">
        <v>112771</v>
      </c>
      <c r="C913" s="81">
        <v>10768</v>
      </c>
      <c r="D913" s="9" t="s">
        <v>396</v>
      </c>
      <c r="E913" s="81">
        <v>14563151</v>
      </c>
      <c r="F913" s="81">
        <v>29977</v>
      </c>
      <c r="G913" s="81">
        <v>25</v>
      </c>
      <c r="H913" s="82">
        <v>26.3</v>
      </c>
      <c r="I913" s="251">
        <v>657.5</v>
      </c>
      <c r="J913" s="9" t="s">
        <v>1305</v>
      </c>
      <c r="K913" s="9" t="s">
        <v>1306</v>
      </c>
      <c r="L913" s="83">
        <v>45200</v>
      </c>
      <c r="M913" s="83">
        <v>45230</v>
      </c>
    </row>
    <row r="914" spans="1:13" ht="18.75" customHeight="1" x14ac:dyDescent="0.25">
      <c r="A914" s="9" t="s">
        <v>0</v>
      </c>
      <c r="B914" s="81">
        <v>112775</v>
      </c>
      <c r="C914" s="81">
        <v>10757</v>
      </c>
      <c r="D914" s="9" t="s">
        <v>1453</v>
      </c>
      <c r="E914" s="81">
        <v>14563151</v>
      </c>
      <c r="F914" s="81">
        <v>29985</v>
      </c>
      <c r="G914" s="81">
        <v>25</v>
      </c>
      <c r="H914" s="82">
        <v>26.3</v>
      </c>
      <c r="I914" s="251">
        <v>657.5</v>
      </c>
      <c r="J914" s="9" t="s">
        <v>1305</v>
      </c>
      <c r="K914" s="9" t="s">
        <v>1306</v>
      </c>
      <c r="L914" s="83">
        <v>45200</v>
      </c>
      <c r="M914" s="83">
        <v>45230</v>
      </c>
    </row>
    <row r="915" spans="1:13" ht="18.75" customHeight="1" x14ac:dyDescent="0.25">
      <c r="A915" s="9" t="s">
        <v>1580</v>
      </c>
      <c r="B915" s="81">
        <v>119242</v>
      </c>
      <c r="C915" s="81">
        <v>10775</v>
      </c>
      <c r="D915" s="9" t="s">
        <v>1448</v>
      </c>
      <c r="E915" s="81">
        <v>14563151</v>
      </c>
      <c r="F915" s="81">
        <v>48555</v>
      </c>
      <c r="G915" s="81">
        <v>25</v>
      </c>
      <c r="H915" s="82">
        <v>26.3</v>
      </c>
      <c r="I915" s="251">
        <v>657.5</v>
      </c>
      <c r="J915" s="9" t="s">
        <v>1305</v>
      </c>
      <c r="K915" s="9" t="s">
        <v>1306</v>
      </c>
      <c r="L915" s="83">
        <v>45200</v>
      </c>
      <c r="M915" s="83">
        <v>45230</v>
      </c>
    </row>
    <row r="916" spans="1:13" ht="18.75" customHeight="1" x14ac:dyDescent="0.25">
      <c r="A916" s="9" t="s">
        <v>0</v>
      </c>
      <c r="B916" s="81">
        <v>112781</v>
      </c>
      <c r="C916" s="81">
        <v>10756</v>
      </c>
      <c r="D916" s="9" t="s">
        <v>404</v>
      </c>
      <c r="E916" s="81">
        <v>14563151</v>
      </c>
      <c r="F916" s="81">
        <v>29997</v>
      </c>
      <c r="G916" s="81">
        <v>25</v>
      </c>
      <c r="H916" s="82">
        <v>26.3</v>
      </c>
      <c r="I916" s="251">
        <v>657.5</v>
      </c>
      <c r="J916" s="9" t="s">
        <v>1305</v>
      </c>
      <c r="K916" s="9" t="s">
        <v>1306</v>
      </c>
      <c r="L916" s="83">
        <v>45200</v>
      </c>
      <c r="M916" s="83">
        <v>45230</v>
      </c>
    </row>
    <row r="917" spans="1:13" ht="18.75" customHeight="1" x14ac:dyDescent="0.25">
      <c r="A917" s="9" t="s">
        <v>1578</v>
      </c>
      <c r="B917" s="81">
        <v>122632</v>
      </c>
      <c r="C917" s="81">
        <v>10757</v>
      </c>
      <c r="D917" s="9" t="s">
        <v>1705</v>
      </c>
      <c r="E917" s="81">
        <v>14563151</v>
      </c>
      <c r="F917" s="81">
        <v>56693</v>
      </c>
      <c r="G917" s="81">
        <v>25</v>
      </c>
      <c r="H917" s="82">
        <v>26.3</v>
      </c>
      <c r="I917" s="251">
        <v>657.5</v>
      </c>
      <c r="J917" s="9" t="s">
        <v>1305</v>
      </c>
      <c r="K917" s="9" t="s">
        <v>1306</v>
      </c>
      <c r="L917" s="83">
        <v>45200</v>
      </c>
      <c r="M917" s="83">
        <v>45230</v>
      </c>
    </row>
    <row r="918" spans="1:13" ht="18.75" customHeight="1" x14ac:dyDescent="0.25">
      <c r="A918" s="9" t="s">
        <v>0</v>
      </c>
      <c r="B918" s="81">
        <v>114527</v>
      </c>
      <c r="C918" s="81">
        <v>10750</v>
      </c>
      <c r="D918" s="9" t="s">
        <v>1048</v>
      </c>
      <c r="E918" s="81">
        <v>14563151</v>
      </c>
      <c r="F918" s="81">
        <v>36335</v>
      </c>
      <c r="G918" s="81">
        <v>25</v>
      </c>
      <c r="H918" s="82">
        <v>26.3</v>
      </c>
      <c r="I918" s="251">
        <v>657.5</v>
      </c>
      <c r="J918" s="9" t="s">
        <v>1305</v>
      </c>
      <c r="K918" s="9" t="s">
        <v>1306</v>
      </c>
      <c r="L918" s="83">
        <v>45200</v>
      </c>
      <c r="M918" s="83">
        <v>45230</v>
      </c>
    </row>
    <row r="919" spans="1:13" ht="18.75" customHeight="1" x14ac:dyDescent="0.25">
      <c r="A919" s="9" t="s">
        <v>0</v>
      </c>
      <c r="B919" s="81">
        <v>112803</v>
      </c>
      <c r="C919" s="81">
        <v>10750</v>
      </c>
      <c r="D919" s="9" t="s">
        <v>421</v>
      </c>
      <c r="E919" s="81">
        <v>14563151</v>
      </c>
      <c r="F919" s="81">
        <v>30041</v>
      </c>
      <c r="G919" s="81">
        <v>25</v>
      </c>
      <c r="H919" s="82">
        <v>26.3</v>
      </c>
      <c r="I919" s="251">
        <v>657.5</v>
      </c>
      <c r="J919" s="9" t="s">
        <v>1305</v>
      </c>
      <c r="K919" s="9" t="s">
        <v>1306</v>
      </c>
      <c r="L919" s="83">
        <v>45200</v>
      </c>
      <c r="M919" s="83">
        <v>45230</v>
      </c>
    </row>
    <row r="920" spans="1:13" ht="18.75" customHeight="1" x14ac:dyDescent="0.25">
      <c r="A920" s="9" t="s">
        <v>8</v>
      </c>
      <c r="B920" s="81">
        <v>112809</v>
      </c>
      <c r="C920" s="81">
        <v>10757</v>
      </c>
      <c r="D920" s="9" t="s">
        <v>425</v>
      </c>
      <c r="E920" s="81">
        <v>14563151</v>
      </c>
      <c r="F920" s="81">
        <v>30053</v>
      </c>
      <c r="G920" s="81">
        <v>25</v>
      </c>
      <c r="H920" s="82">
        <v>26.3</v>
      </c>
      <c r="I920" s="251">
        <v>657.5</v>
      </c>
      <c r="J920" s="9" t="s">
        <v>1305</v>
      </c>
      <c r="K920" s="9" t="s">
        <v>1306</v>
      </c>
      <c r="L920" s="83">
        <v>45200</v>
      </c>
      <c r="M920" s="83">
        <v>45230</v>
      </c>
    </row>
    <row r="921" spans="1:13" ht="18.75" customHeight="1" x14ac:dyDescent="0.25">
      <c r="A921" s="9" t="s">
        <v>1578</v>
      </c>
      <c r="B921" s="81">
        <v>116980</v>
      </c>
      <c r="C921" s="81">
        <v>10757</v>
      </c>
      <c r="D921" s="9" t="s">
        <v>1241</v>
      </c>
      <c r="E921" s="81">
        <v>14563151</v>
      </c>
      <c r="F921" s="81">
        <v>43471</v>
      </c>
      <c r="G921" s="81">
        <v>25</v>
      </c>
      <c r="H921" s="82">
        <v>26.3</v>
      </c>
      <c r="I921" s="251">
        <v>657.5</v>
      </c>
      <c r="J921" s="9" t="s">
        <v>1305</v>
      </c>
      <c r="K921" s="9" t="s">
        <v>1306</v>
      </c>
      <c r="L921" s="83">
        <v>45200</v>
      </c>
      <c r="M921" s="83">
        <v>45230</v>
      </c>
    </row>
    <row r="922" spans="1:13" ht="18.75" customHeight="1" x14ac:dyDescent="0.25">
      <c r="A922" s="9" t="s">
        <v>10</v>
      </c>
      <c r="B922" s="81">
        <v>121317</v>
      </c>
      <c r="C922" s="81">
        <v>10757</v>
      </c>
      <c r="D922" s="9" t="s">
        <v>1533</v>
      </c>
      <c r="E922" s="81">
        <v>14563151</v>
      </c>
      <c r="F922" s="81">
        <v>53489</v>
      </c>
      <c r="G922" s="81">
        <v>24</v>
      </c>
      <c r="H922" s="82">
        <v>26.3</v>
      </c>
      <c r="I922" s="251">
        <v>631.20000000000005</v>
      </c>
      <c r="J922" s="9" t="s">
        <v>1305</v>
      </c>
      <c r="K922" s="9" t="s">
        <v>1306</v>
      </c>
      <c r="L922" s="83">
        <v>45200</v>
      </c>
      <c r="M922" s="83">
        <v>45230</v>
      </c>
    </row>
    <row r="923" spans="1:13" ht="18.75" customHeight="1" x14ac:dyDescent="0.25">
      <c r="A923" s="9" t="s">
        <v>10</v>
      </c>
      <c r="B923" s="81">
        <v>112813</v>
      </c>
      <c r="C923" s="81">
        <v>10763</v>
      </c>
      <c r="D923" s="9" t="s">
        <v>393</v>
      </c>
      <c r="E923" s="81">
        <v>14563151</v>
      </c>
      <c r="F923" s="81">
        <v>30061</v>
      </c>
      <c r="G923" s="81">
        <v>25</v>
      </c>
      <c r="H923" s="82">
        <v>26.3</v>
      </c>
      <c r="I923" s="251">
        <v>657.5</v>
      </c>
      <c r="J923" s="9" t="s">
        <v>1305</v>
      </c>
      <c r="K923" s="9" t="s">
        <v>1306</v>
      </c>
      <c r="L923" s="83">
        <v>45200</v>
      </c>
      <c r="M923" s="83">
        <v>45230</v>
      </c>
    </row>
    <row r="924" spans="1:13" ht="18.75" customHeight="1" x14ac:dyDescent="0.25">
      <c r="A924" s="9" t="s">
        <v>1578</v>
      </c>
      <c r="B924" s="81">
        <v>112837</v>
      </c>
      <c r="C924" s="81">
        <v>10745</v>
      </c>
      <c r="D924" s="9" t="s">
        <v>445</v>
      </c>
      <c r="E924" s="81">
        <v>14563151</v>
      </c>
      <c r="F924" s="81">
        <v>30109</v>
      </c>
      <c r="G924" s="81">
        <v>25</v>
      </c>
      <c r="H924" s="82">
        <v>26.3</v>
      </c>
      <c r="I924" s="251">
        <v>657.5</v>
      </c>
      <c r="J924" s="9" t="s">
        <v>1305</v>
      </c>
      <c r="K924" s="9" t="s">
        <v>1306</v>
      </c>
      <c r="L924" s="83">
        <v>45200</v>
      </c>
      <c r="M924" s="83">
        <v>45230</v>
      </c>
    </row>
    <row r="925" spans="1:13" ht="18.75" customHeight="1" x14ac:dyDescent="0.25">
      <c r="A925" s="9" t="s">
        <v>10</v>
      </c>
      <c r="B925" s="81">
        <v>121687</v>
      </c>
      <c r="C925" s="81">
        <v>10758</v>
      </c>
      <c r="D925" s="9" t="s">
        <v>1589</v>
      </c>
      <c r="E925" s="81">
        <v>14563151</v>
      </c>
      <c r="F925" s="81">
        <v>54338</v>
      </c>
      <c r="G925" s="81">
        <v>25</v>
      </c>
      <c r="H925" s="82">
        <v>26.3</v>
      </c>
      <c r="I925" s="251">
        <v>657.5</v>
      </c>
      <c r="J925" s="9" t="s">
        <v>1305</v>
      </c>
      <c r="K925" s="9" t="s">
        <v>1306</v>
      </c>
      <c r="L925" s="83">
        <v>45200</v>
      </c>
      <c r="M925" s="83">
        <v>45230</v>
      </c>
    </row>
    <row r="926" spans="1:13" ht="18.75" customHeight="1" x14ac:dyDescent="0.25">
      <c r="A926" s="9" t="s">
        <v>1578</v>
      </c>
      <c r="B926" s="81">
        <v>112892</v>
      </c>
      <c r="C926" s="81">
        <v>10771</v>
      </c>
      <c r="D926" s="9" t="s">
        <v>479</v>
      </c>
      <c r="E926" s="81">
        <v>14563151</v>
      </c>
      <c r="F926" s="81">
        <v>30219</v>
      </c>
      <c r="G926" s="81">
        <v>25</v>
      </c>
      <c r="H926" s="82">
        <v>26.3</v>
      </c>
      <c r="I926" s="251">
        <v>657.5</v>
      </c>
      <c r="J926" s="9" t="s">
        <v>1305</v>
      </c>
      <c r="K926" s="9" t="s">
        <v>1306</v>
      </c>
      <c r="L926" s="83">
        <v>45200</v>
      </c>
      <c r="M926" s="83">
        <v>45230</v>
      </c>
    </row>
    <row r="927" spans="1:13" ht="18.75" customHeight="1" x14ac:dyDescent="0.25">
      <c r="A927" s="9" t="s">
        <v>8</v>
      </c>
      <c r="B927" s="81">
        <v>112897</v>
      </c>
      <c r="C927" s="81">
        <v>10750</v>
      </c>
      <c r="D927" s="9" t="s">
        <v>484</v>
      </c>
      <c r="E927" s="81">
        <v>14563151</v>
      </c>
      <c r="F927" s="81">
        <v>30229</v>
      </c>
      <c r="G927" s="81">
        <v>25</v>
      </c>
      <c r="H927" s="82">
        <v>26.3</v>
      </c>
      <c r="I927" s="251">
        <v>657.5</v>
      </c>
      <c r="J927" s="9" t="s">
        <v>1305</v>
      </c>
      <c r="K927" s="9" t="s">
        <v>1306</v>
      </c>
      <c r="L927" s="83">
        <v>45200</v>
      </c>
      <c r="M927" s="83">
        <v>45230</v>
      </c>
    </row>
    <row r="928" spans="1:13" ht="18.75" customHeight="1" x14ac:dyDescent="0.25">
      <c r="A928" s="9" t="s">
        <v>8</v>
      </c>
      <c r="B928" s="81">
        <v>112902</v>
      </c>
      <c r="C928" s="81">
        <v>10757</v>
      </c>
      <c r="D928" s="9" t="s">
        <v>487</v>
      </c>
      <c r="E928" s="81">
        <v>14563151</v>
      </c>
      <c r="F928" s="81">
        <v>30239</v>
      </c>
      <c r="G928" s="81">
        <v>25</v>
      </c>
      <c r="H928" s="82">
        <v>26.3</v>
      </c>
      <c r="I928" s="251">
        <v>657.5</v>
      </c>
      <c r="J928" s="9" t="s">
        <v>1305</v>
      </c>
      <c r="K928" s="9" t="s">
        <v>1306</v>
      </c>
      <c r="L928" s="83">
        <v>45200</v>
      </c>
      <c r="M928" s="83">
        <v>45230</v>
      </c>
    </row>
    <row r="929" spans="1:13" ht="18.75" customHeight="1" x14ac:dyDescent="0.25">
      <c r="A929" s="9" t="s">
        <v>8</v>
      </c>
      <c r="B929" s="81">
        <v>121955</v>
      </c>
      <c r="C929" s="81">
        <v>10758</v>
      </c>
      <c r="D929" s="9" t="s">
        <v>1613</v>
      </c>
      <c r="E929" s="81">
        <v>14563151</v>
      </c>
      <c r="F929" s="81">
        <v>54966</v>
      </c>
      <c r="G929" s="81">
        <v>25</v>
      </c>
      <c r="H929" s="82">
        <v>26.3</v>
      </c>
      <c r="I929" s="251">
        <v>657.5</v>
      </c>
      <c r="J929" s="9" t="s">
        <v>1305</v>
      </c>
      <c r="K929" s="9" t="s">
        <v>1306</v>
      </c>
      <c r="L929" s="83">
        <v>45200</v>
      </c>
      <c r="M929" s="83">
        <v>45230</v>
      </c>
    </row>
    <row r="930" spans="1:13" ht="18.75" customHeight="1" x14ac:dyDescent="0.25">
      <c r="A930" s="9" t="s">
        <v>0</v>
      </c>
      <c r="B930" s="81">
        <v>112906</v>
      </c>
      <c r="C930" s="81">
        <v>10750</v>
      </c>
      <c r="D930" s="9" t="s">
        <v>1564</v>
      </c>
      <c r="E930" s="81">
        <v>14563151</v>
      </c>
      <c r="F930" s="81">
        <v>30247</v>
      </c>
      <c r="G930" s="81">
        <v>25</v>
      </c>
      <c r="H930" s="82">
        <v>26.3</v>
      </c>
      <c r="I930" s="251">
        <v>657.5</v>
      </c>
      <c r="J930" s="9" t="s">
        <v>1305</v>
      </c>
      <c r="K930" s="9" t="s">
        <v>1306</v>
      </c>
      <c r="L930" s="83">
        <v>45200</v>
      </c>
      <c r="M930" s="83">
        <v>45230</v>
      </c>
    </row>
    <row r="931" spans="1:13" ht="18.75" customHeight="1" x14ac:dyDescent="0.25">
      <c r="A931" s="9" t="s">
        <v>1578</v>
      </c>
      <c r="B931" s="81">
        <v>112920</v>
      </c>
      <c r="C931" s="81">
        <v>10761</v>
      </c>
      <c r="D931" s="9" t="s">
        <v>497</v>
      </c>
      <c r="E931" s="81">
        <v>14563151</v>
      </c>
      <c r="F931" s="81">
        <v>30275</v>
      </c>
      <c r="G931" s="81">
        <v>25</v>
      </c>
      <c r="H931" s="82">
        <v>26.3</v>
      </c>
      <c r="I931" s="251">
        <v>657.5</v>
      </c>
      <c r="J931" s="9" t="s">
        <v>1305</v>
      </c>
      <c r="K931" s="9" t="s">
        <v>1306</v>
      </c>
      <c r="L931" s="83">
        <v>45200</v>
      </c>
      <c r="M931" s="83">
        <v>45230</v>
      </c>
    </row>
    <row r="932" spans="1:13" ht="18.75" customHeight="1" x14ac:dyDescent="0.25">
      <c r="A932" s="9" t="s">
        <v>1578</v>
      </c>
      <c r="B932" s="81">
        <v>112975</v>
      </c>
      <c r="C932" s="81">
        <v>10771</v>
      </c>
      <c r="D932" s="9" t="s">
        <v>527</v>
      </c>
      <c r="E932" s="81">
        <v>14563151</v>
      </c>
      <c r="F932" s="81">
        <v>30385</v>
      </c>
      <c r="G932" s="81">
        <v>25</v>
      </c>
      <c r="H932" s="82">
        <v>26.3</v>
      </c>
      <c r="I932" s="251">
        <v>657.5</v>
      </c>
      <c r="J932" s="9" t="s">
        <v>1305</v>
      </c>
      <c r="K932" s="9" t="s">
        <v>1306</v>
      </c>
      <c r="L932" s="83">
        <v>45200</v>
      </c>
      <c r="M932" s="83">
        <v>45230</v>
      </c>
    </row>
    <row r="933" spans="1:13" ht="18.75" customHeight="1" x14ac:dyDescent="0.25">
      <c r="A933" s="9" t="s">
        <v>1578</v>
      </c>
      <c r="B933" s="81">
        <v>122235</v>
      </c>
      <c r="C933" s="81">
        <v>10767</v>
      </c>
      <c r="D933" s="9" t="s">
        <v>1656</v>
      </c>
      <c r="E933" s="81">
        <v>14563151</v>
      </c>
      <c r="F933" s="81">
        <v>55713</v>
      </c>
      <c r="G933" s="81">
        <v>25</v>
      </c>
      <c r="H933" s="82">
        <v>26.3</v>
      </c>
      <c r="I933" s="251">
        <v>657.5</v>
      </c>
      <c r="J933" s="9" t="s">
        <v>1305</v>
      </c>
      <c r="K933" s="9" t="s">
        <v>1306</v>
      </c>
      <c r="L933" s="83">
        <v>45200</v>
      </c>
      <c r="M933" s="83">
        <v>45230</v>
      </c>
    </row>
    <row r="934" spans="1:13" ht="18.75" customHeight="1" x14ac:dyDescent="0.25">
      <c r="A934" s="9" t="s">
        <v>8</v>
      </c>
      <c r="B934" s="81">
        <v>112996</v>
      </c>
      <c r="C934" s="81">
        <v>10750</v>
      </c>
      <c r="D934" s="9" t="s">
        <v>537</v>
      </c>
      <c r="E934" s="81">
        <v>14563151</v>
      </c>
      <c r="F934" s="81">
        <v>30427</v>
      </c>
      <c r="G934" s="81">
        <v>25</v>
      </c>
      <c r="H934" s="82">
        <v>26.3</v>
      </c>
      <c r="I934" s="251">
        <v>657.5</v>
      </c>
      <c r="J934" s="9" t="s">
        <v>1305</v>
      </c>
      <c r="K934" s="9" t="s">
        <v>1306</v>
      </c>
      <c r="L934" s="83">
        <v>45200</v>
      </c>
      <c r="M934" s="83">
        <v>45230</v>
      </c>
    </row>
    <row r="935" spans="1:13" ht="18.75" customHeight="1" x14ac:dyDescent="0.25">
      <c r="A935" s="9" t="s">
        <v>0</v>
      </c>
      <c r="B935" s="81">
        <v>113002</v>
      </c>
      <c r="C935" s="81">
        <v>10750</v>
      </c>
      <c r="D935" s="9" t="s">
        <v>539</v>
      </c>
      <c r="E935" s="81">
        <v>14563151</v>
      </c>
      <c r="F935" s="81">
        <v>30439</v>
      </c>
      <c r="G935" s="81">
        <v>25</v>
      </c>
      <c r="H935" s="82">
        <v>26.3</v>
      </c>
      <c r="I935" s="251">
        <v>657.5</v>
      </c>
      <c r="J935" s="9" t="s">
        <v>1305</v>
      </c>
      <c r="K935" s="9" t="s">
        <v>1306</v>
      </c>
      <c r="L935" s="83">
        <v>45200</v>
      </c>
      <c r="M935" s="83">
        <v>45230</v>
      </c>
    </row>
    <row r="936" spans="1:13" ht="18.75" customHeight="1" x14ac:dyDescent="0.25">
      <c r="A936" s="9" t="s">
        <v>1578</v>
      </c>
      <c r="B936" s="81">
        <v>119924</v>
      </c>
      <c r="C936" s="81">
        <v>10766</v>
      </c>
      <c r="D936" s="9" t="s">
        <v>1480</v>
      </c>
      <c r="E936" s="81">
        <v>14563151</v>
      </c>
      <c r="F936" s="81">
        <v>50253</v>
      </c>
      <c r="G936" s="81">
        <v>25</v>
      </c>
      <c r="H936" s="82">
        <v>26.3</v>
      </c>
      <c r="I936" s="251">
        <v>657.5</v>
      </c>
      <c r="J936" s="9" t="s">
        <v>1305</v>
      </c>
      <c r="K936" s="9" t="s">
        <v>1309</v>
      </c>
      <c r="L936" s="83">
        <v>45200</v>
      </c>
      <c r="M936" s="83">
        <v>45230</v>
      </c>
    </row>
    <row r="937" spans="1:13" ht="18.75" customHeight="1" x14ac:dyDescent="0.25">
      <c r="A937" s="9" t="s">
        <v>0</v>
      </c>
      <c r="B937" s="81">
        <v>113024</v>
      </c>
      <c r="C937" s="81">
        <v>10756</v>
      </c>
      <c r="D937" s="9" t="s">
        <v>546</v>
      </c>
      <c r="E937" s="81">
        <v>14563151</v>
      </c>
      <c r="F937" s="81">
        <v>30483</v>
      </c>
      <c r="G937" s="81">
        <v>25</v>
      </c>
      <c r="H937" s="82">
        <v>26.3</v>
      </c>
      <c r="I937" s="251">
        <v>657.5</v>
      </c>
      <c r="J937" s="9" t="s">
        <v>1305</v>
      </c>
      <c r="K937" s="9" t="s">
        <v>1306</v>
      </c>
      <c r="L937" s="83">
        <v>45200</v>
      </c>
      <c r="M937" s="83">
        <v>45230</v>
      </c>
    </row>
    <row r="938" spans="1:13" ht="18.75" customHeight="1" x14ac:dyDescent="0.25">
      <c r="A938" s="9" t="s">
        <v>1578</v>
      </c>
      <c r="B938" s="81">
        <v>113033</v>
      </c>
      <c r="C938" s="81">
        <v>10757</v>
      </c>
      <c r="D938" s="9" t="s">
        <v>551</v>
      </c>
      <c r="E938" s="81">
        <v>14563151</v>
      </c>
      <c r="F938" s="81">
        <v>30501</v>
      </c>
      <c r="G938" s="81">
        <v>25</v>
      </c>
      <c r="H938" s="82">
        <v>26.3</v>
      </c>
      <c r="I938" s="251">
        <v>657.5</v>
      </c>
      <c r="J938" s="9" t="s">
        <v>1305</v>
      </c>
      <c r="K938" s="9" t="s">
        <v>1306</v>
      </c>
      <c r="L938" s="83">
        <v>45200</v>
      </c>
      <c r="M938" s="83">
        <v>45230</v>
      </c>
    </row>
    <row r="939" spans="1:13" ht="18.75" customHeight="1" x14ac:dyDescent="0.25">
      <c r="A939" s="9" t="s">
        <v>0</v>
      </c>
      <c r="B939" s="81">
        <v>116006</v>
      </c>
      <c r="C939" s="81">
        <v>10758</v>
      </c>
      <c r="D939" s="9" t="s">
        <v>1358</v>
      </c>
      <c r="E939" s="81">
        <v>14563151</v>
      </c>
      <c r="F939" s="81">
        <v>40868</v>
      </c>
      <c r="G939" s="81">
        <v>25</v>
      </c>
      <c r="H939" s="82">
        <v>26.3</v>
      </c>
      <c r="I939" s="251">
        <v>657.5</v>
      </c>
      <c r="J939" s="9" t="s">
        <v>1305</v>
      </c>
      <c r="K939" s="9" t="s">
        <v>1306</v>
      </c>
      <c r="L939" s="83">
        <v>45200</v>
      </c>
      <c r="M939" s="83">
        <v>45230</v>
      </c>
    </row>
    <row r="940" spans="1:13" ht="18.75" customHeight="1" x14ac:dyDescent="0.25">
      <c r="A940" s="9" t="s">
        <v>0</v>
      </c>
      <c r="B940" s="81">
        <v>113042</v>
      </c>
      <c r="C940" s="81">
        <v>10757</v>
      </c>
      <c r="D940" s="9" t="s">
        <v>556</v>
      </c>
      <c r="E940" s="81">
        <v>14563151</v>
      </c>
      <c r="F940" s="81">
        <v>30519</v>
      </c>
      <c r="G940" s="81">
        <v>25</v>
      </c>
      <c r="H940" s="82">
        <v>26.3</v>
      </c>
      <c r="I940" s="251">
        <v>657.5</v>
      </c>
      <c r="J940" s="9" t="s">
        <v>1305</v>
      </c>
      <c r="K940" s="9" t="s">
        <v>1306</v>
      </c>
      <c r="L940" s="83">
        <v>45200</v>
      </c>
      <c r="M940" s="83">
        <v>45230</v>
      </c>
    </row>
    <row r="941" spans="1:13" ht="18.75" customHeight="1" x14ac:dyDescent="0.25">
      <c r="A941" s="9" t="s">
        <v>10</v>
      </c>
      <c r="B941" s="81">
        <v>117247</v>
      </c>
      <c r="C941" s="81">
        <v>10771</v>
      </c>
      <c r="D941" s="9" t="s">
        <v>1259</v>
      </c>
      <c r="E941" s="81">
        <v>14563151</v>
      </c>
      <c r="F941" s="81">
        <v>44111</v>
      </c>
      <c r="G941" s="81">
        <v>25</v>
      </c>
      <c r="H941" s="82">
        <v>26.3</v>
      </c>
      <c r="I941" s="251">
        <v>657.5</v>
      </c>
      <c r="J941" s="9" t="s">
        <v>1305</v>
      </c>
      <c r="K941" s="9" t="s">
        <v>1306</v>
      </c>
      <c r="L941" s="83">
        <v>45200</v>
      </c>
      <c r="M941" s="83">
        <v>45230</v>
      </c>
    </row>
    <row r="942" spans="1:13" ht="18.75" customHeight="1" x14ac:dyDescent="0.25">
      <c r="A942" s="9" t="s">
        <v>0</v>
      </c>
      <c r="B942" s="81">
        <v>116321</v>
      </c>
      <c r="C942" s="81">
        <v>10755</v>
      </c>
      <c r="D942" s="9" t="s">
        <v>1304</v>
      </c>
      <c r="E942" s="81">
        <v>14563151</v>
      </c>
      <c r="F942" s="81">
        <v>41855</v>
      </c>
      <c r="G942" s="81">
        <v>25</v>
      </c>
      <c r="H942" s="82">
        <v>26.3</v>
      </c>
      <c r="I942" s="251">
        <v>657.5</v>
      </c>
      <c r="J942" s="9" t="s">
        <v>1305</v>
      </c>
      <c r="K942" s="9" t="s">
        <v>1306</v>
      </c>
      <c r="L942" s="83">
        <v>45200</v>
      </c>
      <c r="M942" s="83">
        <v>45230</v>
      </c>
    </row>
    <row r="943" spans="1:13" ht="18.75" customHeight="1" x14ac:dyDescent="0.25">
      <c r="A943" s="9" t="s">
        <v>19</v>
      </c>
      <c r="B943" s="81">
        <v>113055</v>
      </c>
      <c r="C943" s="81">
        <v>10750</v>
      </c>
      <c r="D943" s="9" t="s">
        <v>561</v>
      </c>
      <c r="E943" s="81">
        <v>14563151</v>
      </c>
      <c r="F943" s="81">
        <v>30545</v>
      </c>
      <c r="G943" s="81">
        <v>25</v>
      </c>
      <c r="H943" s="82">
        <v>26.3</v>
      </c>
      <c r="I943" s="251">
        <v>657.5</v>
      </c>
      <c r="J943" s="9" t="s">
        <v>1305</v>
      </c>
      <c r="K943" s="9" t="s">
        <v>1306</v>
      </c>
      <c r="L943" s="83">
        <v>45200</v>
      </c>
      <c r="M943" s="83">
        <v>45230</v>
      </c>
    </row>
    <row r="944" spans="1:13" ht="18.75" customHeight="1" x14ac:dyDescent="0.25">
      <c r="A944" s="9" t="s">
        <v>0</v>
      </c>
      <c r="B944" s="81">
        <v>113073</v>
      </c>
      <c r="C944" s="81">
        <v>10750</v>
      </c>
      <c r="D944" s="9" t="s">
        <v>570</v>
      </c>
      <c r="E944" s="81">
        <v>14563151</v>
      </c>
      <c r="F944" s="81">
        <v>30581</v>
      </c>
      <c r="G944" s="81">
        <v>25</v>
      </c>
      <c r="H944" s="82">
        <v>26.3</v>
      </c>
      <c r="I944" s="251">
        <v>657.5</v>
      </c>
      <c r="J944" s="9" t="s">
        <v>1305</v>
      </c>
      <c r="K944" s="9" t="s">
        <v>1306</v>
      </c>
      <c r="L944" s="83">
        <v>45200</v>
      </c>
      <c r="M944" s="83">
        <v>45230</v>
      </c>
    </row>
    <row r="945" spans="1:13" ht="18.75" customHeight="1" x14ac:dyDescent="0.25">
      <c r="A945" s="9" t="s">
        <v>10</v>
      </c>
      <c r="B945" s="81">
        <v>121855</v>
      </c>
      <c r="C945" s="81">
        <v>10766</v>
      </c>
      <c r="D945" s="9" t="s">
        <v>1614</v>
      </c>
      <c r="E945" s="81">
        <v>14563151</v>
      </c>
      <c r="F945" s="81">
        <v>54728</v>
      </c>
      <c r="G945" s="81">
        <v>25</v>
      </c>
      <c r="H945" s="82">
        <v>26.3</v>
      </c>
      <c r="I945" s="251">
        <v>657.5</v>
      </c>
      <c r="J945" s="9" t="s">
        <v>1305</v>
      </c>
      <c r="K945" s="9" t="s">
        <v>1309</v>
      </c>
      <c r="L945" s="83">
        <v>45200</v>
      </c>
      <c r="M945" s="83">
        <v>45230</v>
      </c>
    </row>
    <row r="946" spans="1:13" ht="18.75" customHeight="1" x14ac:dyDescent="0.25">
      <c r="A946" s="9" t="s">
        <v>10</v>
      </c>
      <c r="B946" s="81">
        <v>113095</v>
      </c>
      <c r="C946" s="81">
        <v>10771</v>
      </c>
      <c r="D946" s="9" t="s">
        <v>583</v>
      </c>
      <c r="E946" s="81">
        <v>14563151</v>
      </c>
      <c r="F946" s="81">
        <v>30625</v>
      </c>
      <c r="G946" s="81">
        <v>25</v>
      </c>
      <c r="H946" s="82">
        <v>26.3</v>
      </c>
      <c r="I946" s="251">
        <v>657.5</v>
      </c>
      <c r="J946" s="9" t="s">
        <v>1305</v>
      </c>
      <c r="K946" s="9" t="s">
        <v>1306</v>
      </c>
      <c r="L946" s="83">
        <v>45200</v>
      </c>
      <c r="M946" s="83">
        <v>45230</v>
      </c>
    </row>
    <row r="947" spans="1:13" ht="18.75" customHeight="1" x14ac:dyDescent="0.25">
      <c r="A947" s="9" t="s">
        <v>8</v>
      </c>
      <c r="B947" s="81">
        <v>113101</v>
      </c>
      <c r="C947" s="81">
        <v>10757</v>
      </c>
      <c r="D947" s="9" t="s">
        <v>585</v>
      </c>
      <c r="E947" s="81">
        <v>14563151</v>
      </c>
      <c r="F947" s="81">
        <v>30637</v>
      </c>
      <c r="G947" s="81">
        <v>25</v>
      </c>
      <c r="H947" s="82">
        <v>26.3</v>
      </c>
      <c r="I947" s="251">
        <v>657.5</v>
      </c>
      <c r="J947" s="9" t="s">
        <v>1305</v>
      </c>
      <c r="K947" s="9" t="s">
        <v>1306</v>
      </c>
      <c r="L947" s="83">
        <v>45200</v>
      </c>
      <c r="M947" s="83">
        <v>45230</v>
      </c>
    </row>
    <row r="948" spans="1:13" ht="18.75" customHeight="1" x14ac:dyDescent="0.25">
      <c r="A948" s="9" t="s">
        <v>0</v>
      </c>
      <c r="B948" s="81">
        <v>113106</v>
      </c>
      <c r="C948" s="81">
        <v>10750</v>
      </c>
      <c r="D948" s="9" t="s">
        <v>85</v>
      </c>
      <c r="E948" s="81">
        <v>14563151</v>
      </c>
      <c r="F948" s="81">
        <v>30647</v>
      </c>
      <c r="G948" s="81">
        <v>25</v>
      </c>
      <c r="H948" s="82">
        <v>26.3</v>
      </c>
      <c r="I948" s="251">
        <v>657.5</v>
      </c>
      <c r="J948" s="9" t="s">
        <v>1305</v>
      </c>
      <c r="K948" s="9" t="s">
        <v>1306</v>
      </c>
      <c r="L948" s="83">
        <v>45200</v>
      </c>
      <c r="M948" s="83">
        <v>45230</v>
      </c>
    </row>
    <row r="949" spans="1:13" ht="18.75" customHeight="1" x14ac:dyDescent="0.25">
      <c r="A949" s="9" t="s">
        <v>8</v>
      </c>
      <c r="B949" s="81">
        <v>113110</v>
      </c>
      <c r="C949" s="81">
        <v>10751</v>
      </c>
      <c r="D949" s="9" t="s">
        <v>1359</v>
      </c>
      <c r="E949" s="81">
        <v>14563151</v>
      </c>
      <c r="F949" s="81">
        <v>30655</v>
      </c>
      <c r="G949" s="81">
        <v>25</v>
      </c>
      <c r="H949" s="82">
        <v>26.3</v>
      </c>
      <c r="I949" s="251">
        <v>657.5</v>
      </c>
      <c r="J949" s="9" t="s">
        <v>1305</v>
      </c>
      <c r="K949" s="9" t="s">
        <v>1306</v>
      </c>
      <c r="L949" s="83">
        <v>45200</v>
      </c>
      <c r="M949" s="83">
        <v>45230</v>
      </c>
    </row>
    <row r="950" spans="1:13" ht="18.75" customHeight="1" x14ac:dyDescent="0.25">
      <c r="A950" s="9" t="s">
        <v>10</v>
      </c>
      <c r="B950" s="81">
        <v>113116</v>
      </c>
      <c r="C950" s="81">
        <v>10750</v>
      </c>
      <c r="D950" s="9" t="s">
        <v>592</v>
      </c>
      <c r="E950" s="81">
        <v>14563151</v>
      </c>
      <c r="F950" s="81">
        <v>30667</v>
      </c>
      <c r="G950" s="81">
        <v>25</v>
      </c>
      <c r="H950" s="82">
        <v>26.3</v>
      </c>
      <c r="I950" s="251">
        <v>657.5</v>
      </c>
      <c r="J950" s="9" t="s">
        <v>1305</v>
      </c>
      <c r="K950" s="9" t="s">
        <v>1306</v>
      </c>
      <c r="L950" s="83">
        <v>45200</v>
      </c>
      <c r="M950" s="83">
        <v>45230</v>
      </c>
    </row>
    <row r="951" spans="1:13" ht="18.75" customHeight="1" x14ac:dyDescent="0.25">
      <c r="A951" s="9" t="s">
        <v>0</v>
      </c>
      <c r="B951" s="81">
        <v>113122</v>
      </c>
      <c r="C951" s="81">
        <v>10750</v>
      </c>
      <c r="D951" s="9" t="s">
        <v>1515</v>
      </c>
      <c r="E951" s="81">
        <v>14563151</v>
      </c>
      <c r="F951" s="81">
        <v>30679</v>
      </c>
      <c r="G951" s="81">
        <v>25</v>
      </c>
      <c r="H951" s="82">
        <v>26.3</v>
      </c>
      <c r="I951" s="251">
        <v>657.5</v>
      </c>
      <c r="J951" s="9" t="s">
        <v>1305</v>
      </c>
      <c r="K951" s="9" t="s">
        <v>1306</v>
      </c>
      <c r="L951" s="83">
        <v>45200</v>
      </c>
      <c r="M951" s="83">
        <v>45230</v>
      </c>
    </row>
    <row r="952" spans="1:13" ht="18.75" customHeight="1" x14ac:dyDescent="0.25">
      <c r="A952" s="9" t="s">
        <v>10</v>
      </c>
      <c r="B952" s="81">
        <v>113127</v>
      </c>
      <c r="C952" s="81">
        <v>10750</v>
      </c>
      <c r="D952" s="9" t="s">
        <v>1360</v>
      </c>
      <c r="E952" s="81">
        <v>14563151</v>
      </c>
      <c r="F952" s="81">
        <v>30689</v>
      </c>
      <c r="G952" s="81">
        <v>25</v>
      </c>
      <c r="H952" s="82">
        <v>26.3</v>
      </c>
      <c r="I952" s="251">
        <v>657.5</v>
      </c>
      <c r="J952" s="9" t="s">
        <v>1305</v>
      </c>
      <c r="K952" s="9" t="s">
        <v>1306</v>
      </c>
      <c r="L952" s="83">
        <v>45200</v>
      </c>
      <c r="M952" s="83">
        <v>45230</v>
      </c>
    </row>
    <row r="953" spans="1:13" ht="18.75" customHeight="1" x14ac:dyDescent="0.25">
      <c r="A953" s="9" t="s">
        <v>1578</v>
      </c>
      <c r="B953" s="81">
        <v>113137</v>
      </c>
      <c r="C953" s="81">
        <v>10761</v>
      </c>
      <c r="D953" s="9" t="s">
        <v>1361</v>
      </c>
      <c r="E953" s="81">
        <v>14563151</v>
      </c>
      <c r="F953" s="81">
        <v>30709</v>
      </c>
      <c r="G953" s="81">
        <v>25</v>
      </c>
      <c r="H953" s="82">
        <v>26.3</v>
      </c>
      <c r="I953" s="251">
        <v>657.5</v>
      </c>
      <c r="J953" s="9" t="s">
        <v>1305</v>
      </c>
      <c r="K953" s="9" t="s">
        <v>1306</v>
      </c>
      <c r="L953" s="83">
        <v>45200</v>
      </c>
      <c r="M953" s="83">
        <v>45230</v>
      </c>
    </row>
    <row r="954" spans="1:13" ht="18.75" customHeight="1" x14ac:dyDescent="0.25">
      <c r="A954" s="9" t="s">
        <v>0</v>
      </c>
      <c r="B954" s="81">
        <v>113140</v>
      </c>
      <c r="C954" s="81">
        <v>10750</v>
      </c>
      <c r="D954" s="9" t="s">
        <v>607</v>
      </c>
      <c r="E954" s="81">
        <v>14563151</v>
      </c>
      <c r="F954" s="81">
        <v>30715</v>
      </c>
      <c r="G954" s="81">
        <v>25</v>
      </c>
      <c r="H954" s="82">
        <v>26.3</v>
      </c>
      <c r="I954" s="251">
        <v>657.5</v>
      </c>
      <c r="J954" s="9" t="s">
        <v>1305</v>
      </c>
      <c r="K954" s="9" t="s">
        <v>1306</v>
      </c>
      <c r="L954" s="83">
        <v>45200</v>
      </c>
      <c r="M954" s="83">
        <v>45230</v>
      </c>
    </row>
    <row r="955" spans="1:13" ht="18.75" customHeight="1" x14ac:dyDescent="0.25">
      <c r="A955" s="9" t="s">
        <v>1578</v>
      </c>
      <c r="B955" s="81">
        <v>113142</v>
      </c>
      <c r="C955" s="81">
        <v>10761</v>
      </c>
      <c r="D955" s="9" t="s">
        <v>1362</v>
      </c>
      <c r="E955" s="81">
        <v>14563151</v>
      </c>
      <c r="F955" s="81">
        <v>30719</v>
      </c>
      <c r="G955" s="81">
        <v>25</v>
      </c>
      <c r="H955" s="82">
        <v>26.3</v>
      </c>
      <c r="I955" s="251">
        <v>657.5</v>
      </c>
      <c r="J955" s="9" t="s">
        <v>1305</v>
      </c>
      <c r="K955" s="9" t="s">
        <v>1306</v>
      </c>
      <c r="L955" s="83">
        <v>45200</v>
      </c>
      <c r="M955" s="83">
        <v>45230</v>
      </c>
    </row>
    <row r="956" spans="1:13" ht="18.75" customHeight="1" x14ac:dyDescent="0.25">
      <c r="A956" s="9" t="s">
        <v>10</v>
      </c>
      <c r="B956" s="81">
        <v>113146</v>
      </c>
      <c r="C956" s="81">
        <v>10750</v>
      </c>
      <c r="D956" s="9" t="s">
        <v>610</v>
      </c>
      <c r="E956" s="81">
        <v>14563151</v>
      </c>
      <c r="F956" s="81">
        <v>30727</v>
      </c>
      <c r="G956" s="81">
        <v>25</v>
      </c>
      <c r="H956" s="82">
        <v>26.3</v>
      </c>
      <c r="I956" s="251">
        <v>657.5</v>
      </c>
      <c r="J956" s="9" t="s">
        <v>1305</v>
      </c>
      <c r="K956" s="9" t="s">
        <v>1306</v>
      </c>
      <c r="L956" s="83">
        <v>45200</v>
      </c>
      <c r="M956" s="83">
        <v>45230</v>
      </c>
    </row>
    <row r="957" spans="1:13" ht="18.75" customHeight="1" x14ac:dyDescent="0.25">
      <c r="A957" s="9" t="s">
        <v>19</v>
      </c>
      <c r="B957" s="81">
        <v>113149</v>
      </c>
      <c r="C957" s="81">
        <v>10754</v>
      </c>
      <c r="D957" s="9" t="s">
        <v>611</v>
      </c>
      <c r="E957" s="81">
        <v>14563151</v>
      </c>
      <c r="F957" s="81">
        <v>30733</v>
      </c>
      <c r="G957" s="81">
        <v>25</v>
      </c>
      <c r="H957" s="82">
        <v>26.3</v>
      </c>
      <c r="I957" s="251">
        <v>657.5</v>
      </c>
      <c r="J957" s="9" t="s">
        <v>1305</v>
      </c>
      <c r="K957" s="9" t="s">
        <v>1306</v>
      </c>
      <c r="L957" s="83">
        <v>45200</v>
      </c>
      <c r="M957" s="83">
        <v>45230</v>
      </c>
    </row>
    <row r="958" spans="1:13" ht="18.75" customHeight="1" x14ac:dyDescent="0.25">
      <c r="A958" s="9" t="s">
        <v>1578</v>
      </c>
      <c r="B958" s="81">
        <v>113155</v>
      </c>
      <c r="C958" s="81">
        <v>10767</v>
      </c>
      <c r="D958" s="9" t="s">
        <v>615</v>
      </c>
      <c r="E958" s="81">
        <v>14563151</v>
      </c>
      <c r="F958" s="81">
        <v>30745</v>
      </c>
      <c r="G958" s="81">
        <v>25</v>
      </c>
      <c r="H958" s="82">
        <v>26.3</v>
      </c>
      <c r="I958" s="251">
        <v>657.5</v>
      </c>
      <c r="J958" s="9" t="s">
        <v>1305</v>
      </c>
      <c r="K958" s="9" t="s">
        <v>1306</v>
      </c>
      <c r="L958" s="83">
        <v>45200</v>
      </c>
      <c r="M958" s="83">
        <v>45230</v>
      </c>
    </row>
    <row r="959" spans="1:13" ht="18.75" customHeight="1" x14ac:dyDescent="0.25">
      <c r="A959" s="9" t="s">
        <v>0</v>
      </c>
      <c r="B959" s="81">
        <v>113167</v>
      </c>
      <c r="C959" s="81">
        <v>10750</v>
      </c>
      <c r="D959" s="9" t="s">
        <v>624</v>
      </c>
      <c r="E959" s="81">
        <v>14563151</v>
      </c>
      <c r="F959" s="81">
        <v>30769</v>
      </c>
      <c r="G959" s="81">
        <v>25</v>
      </c>
      <c r="H959" s="82">
        <v>26.3</v>
      </c>
      <c r="I959" s="251">
        <v>657.5</v>
      </c>
      <c r="J959" s="9" t="s">
        <v>1305</v>
      </c>
      <c r="K959" s="9" t="s">
        <v>1306</v>
      </c>
      <c r="L959" s="83">
        <v>45200</v>
      </c>
      <c r="M959" s="83">
        <v>45230</v>
      </c>
    </row>
    <row r="960" spans="1:13" ht="18.75" customHeight="1" x14ac:dyDescent="0.25">
      <c r="A960" s="9" t="s">
        <v>19</v>
      </c>
      <c r="B960" s="81">
        <v>113169</v>
      </c>
      <c r="C960" s="81">
        <v>10751</v>
      </c>
      <c r="D960" s="9" t="s">
        <v>625</v>
      </c>
      <c r="E960" s="81">
        <v>14563151</v>
      </c>
      <c r="F960" s="81">
        <v>30773</v>
      </c>
      <c r="G960" s="81">
        <v>25</v>
      </c>
      <c r="H960" s="82">
        <v>26.3</v>
      </c>
      <c r="I960" s="251">
        <v>657.5</v>
      </c>
      <c r="J960" s="9" t="s">
        <v>1305</v>
      </c>
      <c r="K960" s="9" t="s">
        <v>1306</v>
      </c>
      <c r="L960" s="83">
        <v>45200</v>
      </c>
      <c r="M960" s="83">
        <v>45230</v>
      </c>
    </row>
    <row r="961" spans="1:13" ht="18.75" customHeight="1" x14ac:dyDescent="0.25">
      <c r="A961" s="9" t="s">
        <v>0</v>
      </c>
      <c r="B961" s="81">
        <v>113172</v>
      </c>
      <c r="C961" s="81">
        <v>10750</v>
      </c>
      <c r="D961" s="9" t="s">
        <v>627</v>
      </c>
      <c r="E961" s="81">
        <v>14563151</v>
      </c>
      <c r="F961" s="81">
        <v>30779</v>
      </c>
      <c r="G961" s="81">
        <v>25</v>
      </c>
      <c r="H961" s="82">
        <v>26.3</v>
      </c>
      <c r="I961" s="251">
        <v>657.5</v>
      </c>
      <c r="J961" s="9" t="s">
        <v>1305</v>
      </c>
      <c r="K961" s="9" t="s">
        <v>1306</v>
      </c>
      <c r="L961" s="83">
        <v>45200</v>
      </c>
      <c r="M961" s="83">
        <v>45230</v>
      </c>
    </row>
    <row r="962" spans="1:13" ht="18.75" customHeight="1" x14ac:dyDescent="0.25">
      <c r="A962" s="9" t="s">
        <v>10</v>
      </c>
      <c r="B962" s="81">
        <v>113177</v>
      </c>
      <c r="C962" s="81">
        <v>10750</v>
      </c>
      <c r="D962" s="9" t="s">
        <v>629</v>
      </c>
      <c r="E962" s="81">
        <v>14563151</v>
      </c>
      <c r="F962" s="81">
        <v>30789</v>
      </c>
      <c r="G962" s="81">
        <v>25</v>
      </c>
      <c r="H962" s="82">
        <v>26.3</v>
      </c>
      <c r="I962" s="251">
        <v>657.5</v>
      </c>
      <c r="J962" s="9" t="s">
        <v>1305</v>
      </c>
      <c r="K962" s="9" t="s">
        <v>1306</v>
      </c>
      <c r="L962" s="83">
        <v>45200</v>
      </c>
      <c r="M962" s="83">
        <v>45230</v>
      </c>
    </row>
    <row r="963" spans="1:13" ht="18.75" customHeight="1" x14ac:dyDescent="0.25">
      <c r="A963" s="9" t="s">
        <v>1578</v>
      </c>
      <c r="B963" s="81">
        <v>113185</v>
      </c>
      <c r="C963" s="81">
        <v>10757</v>
      </c>
      <c r="D963" s="9" t="s">
        <v>633</v>
      </c>
      <c r="E963" s="81">
        <v>14563151</v>
      </c>
      <c r="F963" s="81">
        <v>30805</v>
      </c>
      <c r="G963" s="81">
        <v>25</v>
      </c>
      <c r="H963" s="82">
        <v>26.3</v>
      </c>
      <c r="I963" s="251">
        <v>657.5</v>
      </c>
      <c r="J963" s="9" t="s">
        <v>1305</v>
      </c>
      <c r="K963" s="9" t="s">
        <v>1306</v>
      </c>
      <c r="L963" s="83">
        <v>45200</v>
      </c>
      <c r="M963" s="83">
        <v>45230</v>
      </c>
    </row>
    <row r="964" spans="1:13" ht="18.75" customHeight="1" x14ac:dyDescent="0.25">
      <c r="A964" s="9" t="s">
        <v>1578</v>
      </c>
      <c r="B964" s="81">
        <v>113189</v>
      </c>
      <c r="C964" s="81">
        <v>10761</v>
      </c>
      <c r="D964" s="9" t="s">
        <v>636</v>
      </c>
      <c r="E964" s="81">
        <v>14563151</v>
      </c>
      <c r="F964" s="81">
        <v>30813</v>
      </c>
      <c r="G964" s="81">
        <v>25</v>
      </c>
      <c r="H964" s="82">
        <v>26.3</v>
      </c>
      <c r="I964" s="251">
        <v>657.5</v>
      </c>
      <c r="J964" s="9" t="s">
        <v>1305</v>
      </c>
      <c r="K964" s="9" t="s">
        <v>1306</v>
      </c>
      <c r="L964" s="83">
        <v>45200</v>
      </c>
      <c r="M964" s="83">
        <v>45230</v>
      </c>
    </row>
    <row r="965" spans="1:13" ht="18.75" customHeight="1" x14ac:dyDescent="0.25">
      <c r="A965" s="9" t="s">
        <v>1580</v>
      </c>
      <c r="B965" s="81">
        <v>113720</v>
      </c>
      <c r="C965" s="81">
        <v>10775</v>
      </c>
      <c r="D965" s="9" t="s">
        <v>934</v>
      </c>
      <c r="E965" s="81">
        <v>14563151</v>
      </c>
      <c r="F965" s="81">
        <v>31875</v>
      </c>
      <c r="G965" s="81">
        <v>25</v>
      </c>
      <c r="H965" s="82">
        <v>26.3</v>
      </c>
      <c r="I965" s="251">
        <v>657.5</v>
      </c>
      <c r="J965" s="9" t="s">
        <v>1305</v>
      </c>
      <c r="K965" s="9" t="s">
        <v>1306</v>
      </c>
      <c r="L965" s="83">
        <v>45200</v>
      </c>
      <c r="M965" s="83">
        <v>45230</v>
      </c>
    </row>
    <row r="966" spans="1:13" ht="18.75" customHeight="1" x14ac:dyDescent="0.25">
      <c r="A966" s="9" t="s">
        <v>19</v>
      </c>
      <c r="B966" s="81">
        <v>113198</v>
      </c>
      <c r="C966" s="81">
        <v>10771</v>
      </c>
      <c r="D966" s="9" t="s">
        <v>639</v>
      </c>
      <c r="E966" s="81">
        <v>14563151</v>
      </c>
      <c r="F966" s="81">
        <v>30831</v>
      </c>
      <c r="G966" s="81">
        <v>25</v>
      </c>
      <c r="H966" s="82">
        <v>26.3</v>
      </c>
      <c r="I966" s="251">
        <v>657.5</v>
      </c>
      <c r="J966" s="9" t="s">
        <v>1305</v>
      </c>
      <c r="K966" s="9" t="s">
        <v>1306</v>
      </c>
      <c r="L966" s="83">
        <v>45200</v>
      </c>
      <c r="M966" s="83">
        <v>45230</v>
      </c>
    </row>
    <row r="967" spans="1:13" ht="18.75" customHeight="1" x14ac:dyDescent="0.25">
      <c r="A967" s="9" t="s">
        <v>0</v>
      </c>
      <c r="B967" s="81">
        <v>113203</v>
      </c>
      <c r="C967" s="81">
        <v>10745</v>
      </c>
      <c r="D967" s="9" t="s">
        <v>643</v>
      </c>
      <c r="E967" s="81">
        <v>14563151</v>
      </c>
      <c r="F967" s="81">
        <v>30841</v>
      </c>
      <c r="G967" s="81">
        <v>25</v>
      </c>
      <c r="H967" s="82">
        <v>26.3</v>
      </c>
      <c r="I967" s="251">
        <v>657.5</v>
      </c>
      <c r="J967" s="9" t="s">
        <v>1305</v>
      </c>
      <c r="K967" s="9" t="s">
        <v>1306</v>
      </c>
      <c r="L967" s="83">
        <v>45200</v>
      </c>
      <c r="M967" s="83">
        <v>45230</v>
      </c>
    </row>
    <row r="968" spans="1:13" ht="18.75" customHeight="1" x14ac:dyDescent="0.25">
      <c r="A968" s="9" t="s">
        <v>0</v>
      </c>
      <c r="B968" s="81">
        <v>114726</v>
      </c>
      <c r="C968" s="81">
        <v>10758</v>
      </c>
      <c r="D968" s="9" t="s">
        <v>1079</v>
      </c>
      <c r="E968" s="81">
        <v>14563151</v>
      </c>
      <c r="F968" s="81">
        <v>36901</v>
      </c>
      <c r="G968" s="81">
        <v>25</v>
      </c>
      <c r="H968" s="82">
        <v>26.3</v>
      </c>
      <c r="I968" s="251">
        <v>657.5</v>
      </c>
      <c r="J968" s="9" t="s">
        <v>1305</v>
      </c>
      <c r="K968" s="9" t="s">
        <v>1306</v>
      </c>
      <c r="L968" s="83">
        <v>45200</v>
      </c>
      <c r="M968" s="83">
        <v>45230</v>
      </c>
    </row>
    <row r="969" spans="1:13" ht="18.75" customHeight="1" x14ac:dyDescent="0.25">
      <c r="A969" s="9" t="s">
        <v>0</v>
      </c>
      <c r="B969" s="81">
        <v>113205</v>
      </c>
      <c r="C969" s="81">
        <v>10750</v>
      </c>
      <c r="D969" s="9" t="s">
        <v>1363</v>
      </c>
      <c r="E969" s="81">
        <v>14563151</v>
      </c>
      <c r="F969" s="81">
        <v>30845</v>
      </c>
      <c r="G969" s="81">
        <v>25</v>
      </c>
      <c r="H969" s="82">
        <v>26.3</v>
      </c>
      <c r="I969" s="251">
        <v>657.5</v>
      </c>
      <c r="J969" s="9" t="s">
        <v>1305</v>
      </c>
      <c r="K969" s="9" t="s">
        <v>1306</v>
      </c>
      <c r="L969" s="83">
        <v>45200</v>
      </c>
      <c r="M969" s="83">
        <v>45230</v>
      </c>
    </row>
    <row r="970" spans="1:13" ht="18.75" customHeight="1" x14ac:dyDescent="0.25">
      <c r="A970" s="9" t="s">
        <v>0</v>
      </c>
      <c r="B970" s="81">
        <v>115399</v>
      </c>
      <c r="C970" s="81">
        <v>10757</v>
      </c>
      <c r="D970" s="9" t="s">
        <v>1364</v>
      </c>
      <c r="E970" s="81">
        <v>14563151</v>
      </c>
      <c r="F970" s="81">
        <v>39005</v>
      </c>
      <c r="G970" s="81">
        <v>25</v>
      </c>
      <c r="H970" s="82">
        <v>26.3</v>
      </c>
      <c r="I970" s="251">
        <v>657.5</v>
      </c>
      <c r="J970" s="9" t="s">
        <v>1305</v>
      </c>
      <c r="K970" s="9" t="s">
        <v>1306</v>
      </c>
      <c r="L970" s="83">
        <v>45200</v>
      </c>
      <c r="M970" s="83">
        <v>45230</v>
      </c>
    </row>
    <row r="971" spans="1:13" ht="18.75" customHeight="1" x14ac:dyDescent="0.25">
      <c r="A971" s="9" t="s">
        <v>19</v>
      </c>
      <c r="B971" s="81">
        <v>113208</v>
      </c>
      <c r="C971" s="81">
        <v>10750</v>
      </c>
      <c r="D971" s="9" t="s">
        <v>648</v>
      </c>
      <c r="E971" s="81">
        <v>14563151</v>
      </c>
      <c r="F971" s="81">
        <v>30851</v>
      </c>
      <c r="G971" s="81">
        <v>25</v>
      </c>
      <c r="H971" s="82">
        <v>26.3</v>
      </c>
      <c r="I971" s="251">
        <v>657.5</v>
      </c>
      <c r="J971" s="9" t="s">
        <v>1305</v>
      </c>
      <c r="K971" s="9" t="s">
        <v>1306</v>
      </c>
      <c r="L971" s="83">
        <v>45200</v>
      </c>
      <c r="M971" s="83">
        <v>45230</v>
      </c>
    </row>
    <row r="972" spans="1:13" ht="18.75" customHeight="1" x14ac:dyDescent="0.25">
      <c r="A972" s="9" t="s">
        <v>1578</v>
      </c>
      <c r="B972" s="81">
        <v>117362</v>
      </c>
      <c r="C972" s="81">
        <v>10745</v>
      </c>
      <c r="D972" s="9" t="s">
        <v>1264</v>
      </c>
      <c r="E972" s="81">
        <v>14563151</v>
      </c>
      <c r="F972" s="81">
        <v>44398</v>
      </c>
      <c r="G972" s="81">
        <v>25</v>
      </c>
      <c r="H972" s="82">
        <v>26.3</v>
      </c>
      <c r="I972" s="251">
        <v>657.5</v>
      </c>
      <c r="J972" s="9" t="s">
        <v>1305</v>
      </c>
      <c r="K972" s="9" t="s">
        <v>1306</v>
      </c>
      <c r="L972" s="83">
        <v>45200</v>
      </c>
      <c r="M972" s="83">
        <v>45230</v>
      </c>
    </row>
    <row r="973" spans="1:13" ht="18.75" customHeight="1" x14ac:dyDescent="0.25">
      <c r="A973" s="9" t="s">
        <v>10</v>
      </c>
      <c r="B973" s="81">
        <v>113217</v>
      </c>
      <c r="C973" s="81">
        <v>10745</v>
      </c>
      <c r="D973" s="9" t="s">
        <v>651</v>
      </c>
      <c r="E973" s="81">
        <v>14563151</v>
      </c>
      <c r="F973" s="81">
        <v>30869</v>
      </c>
      <c r="G973" s="81">
        <v>25</v>
      </c>
      <c r="H973" s="82">
        <v>26.3</v>
      </c>
      <c r="I973" s="251">
        <v>657.5</v>
      </c>
      <c r="J973" s="9" t="s">
        <v>1305</v>
      </c>
      <c r="K973" s="9" t="s">
        <v>1306</v>
      </c>
      <c r="L973" s="83">
        <v>45200</v>
      </c>
      <c r="M973" s="83">
        <v>45230</v>
      </c>
    </row>
    <row r="974" spans="1:13" ht="18.75" customHeight="1" x14ac:dyDescent="0.25">
      <c r="A974" s="9" t="s">
        <v>1578</v>
      </c>
      <c r="B974" s="81">
        <v>113227</v>
      </c>
      <c r="C974" s="81">
        <v>10745</v>
      </c>
      <c r="D974" s="9" t="s">
        <v>658</v>
      </c>
      <c r="E974" s="81">
        <v>14563151</v>
      </c>
      <c r="F974" s="81">
        <v>30889</v>
      </c>
      <c r="G974" s="81">
        <v>25</v>
      </c>
      <c r="H974" s="82">
        <v>26.3</v>
      </c>
      <c r="I974" s="251">
        <v>657.5</v>
      </c>
      <c r="J974" s="9" t="s">
        <v>1305</v>
      </c>
      <c r="K974" s="9" t="s">
        <v>1306</v>
      </c>
      <c r="L974" s="83">
        <v>45200</v>
      </c>
      <c r="M974" s="83">
        <v>45230</v>
      </c>
    </row>
    <row r="975" spans="1:13" ht="18.75" customHeight="1" x14ac:dyDescent="0.25">
      <c r="A975" s="9" t="s">
        <v>0</v>
      </c>
      <c r="B975" s="81">
        <v>122831</v>
      </c>
      <c r="C975" s="81">
        <v>10757</v>
      </c>
      <c r="D975" s="9" t="s">
        <v>1725</v>
      </c>
      <c r="E975" s="81">
        <v>14563151</v>
      </c>
      <c r="F975" s="81">
        <v>57230</v>
      </c>
      <c r="G975" s="81">
        <v>25</v>
      </c>
      <c r="H975" s="82">
        <v>26.3</v>
      </c>
      <c r="I975" s="251">
        <v>657.5</v>
      </c>
      <c r="J975" s="9" t="s">
        <v>1305</v>
      </c>
      <c r="K975" s="9" t="s">
        <v>1306</v>
      </c>
      <c r="L975" s="83">
        <v>45200</v>
      </c>
      <c r="M975" s="83">
        <v>45230</v>
      </c>
    </row>
    <row r="976" spans="1:13" ht="18.75" customHeight="1" x14ac:dyDescent="0.25">
      <c r="A976" s="9" t="s">
        <v>8</v>
      </c>
      <c r="B976" s="81">
        <v>115220</v>
      </c>
      <c r="C976" s="81">
        <v>10758</v>
      </c>
      <c r="D976" s="9" t="s">
        <v>1143</v>
      </c>
      <c r="E976" s="81">
        <v>14563151</v>
      </c>
      <c r="F976" s="81">
        <v>38489</v>
      </c>
      <c r="G976" s="81">
        <v>25</v>
      </c>
      <c r="H976" s="82">
        <v>26.3</v>
      </c>
      <c r="I976" s="251">
        <v>657.5</v>
      </c>
      <c r="J976" s="9" t="s">
        <v>1305</v>
      </c>
      <c r="K976" s="9" t="s">
        <v>1306</v>
      </c>
      <c r="L976" s="83">
        <v>45200</v>
      </c>
      <c r="M976" s="83">
        <v>45230</v>
      </c>
    </row>
    <row r="977" spans="1:13" ht="18.75" customHeight="1" x14ac:dyDescent="0.25">
      <c r="A977" s="9" t="s">
        <v>0</v>
      </c>
      <c r="B977" s="81">
        <v>118641</v>
      </c>
      <c r="C977" s="81">
        <v>10758</v>
      </c>
      <c r="D977" s="9" t="s">
        <v>1404</v>
      </c>
      <c r="E977" s="81">
        <v>14563151</v>
      </c>
      <c r="F977" s="81">
        <v>47178</v>
      </c>
      <c r="G977" s="81">
        <v>25</v>
      </c>
      <c r="H977" s="82">
        <v>26.3</v>
      </c>
      <c r="I977" s="251">
        <v>657.5</v>
      </c>
      <c r="J977" s="9" t="s">
        <v>1305</v>
      </c>
      <c r="K977" s="9" t="s">
        <v>1306</v>
      </c>
      <c r="L977" s="83">
        <v>45200</v>
      </c>
      <c r="M977" s="83">
        <v>45230</v>
      </c>
    </row>
    <row r="978" spans="1:13" ht="18.75" customHeight="1" x14ac:dyDescent="0.25">
      <c r="A978" s="9" t="s">
        <v>10</v>
      </c>
      <c r="B978" s="81">
        <v>114034</v>
      </c>
      <c r="C978" s="81">
        <v>10771</v>
      </c>
      <c r="D978" s="9" t="s">
        <v>997</v>
      </c>
      <c r="E978" s="81">
        <v>14563151</v>
      </c>
      <c r="F978" s="81">
        <v>34133</v>
      </c>
      <c r="G978" s="81">
        <v>25</v>
      </c>
      <c r="H978" s="82">
        <v>26.3</v>
      </c>
      <c r="I978" s="251">
        <v>657.5</v>
      </c>
      <c r="J978" s="9" t="s">
        <v>1305</v>
      </c>
      <c r="K978" s="9" t="s">
        <v>1306</v>
      </c>
      <c r="L978" s="83">
        <v>45200</v>
      </c>
      <c r="M978" s="83">
        <v>45230</v>
      </c>
    </row>
    <row r="979" spans="1:13" ht="18.75" customHeight="1" x14ac:dyDescent="0.25">
      <c r="A979" s="9" t="s">
        <v>0</v>
      </c>
      <c r="B979" s="81">
        <v>118050</v>
      </c>
      <c r="C979" s="81">
        <v>10758</v>
      </c>
      <c r="D979" s="9" t="s">
        <v>1405</v>
      </c>
      <c r="E979" s="81">
        <v>14563151</v>
      </c>
      <c r="F979" s="81">
        <v>45889</v>
      </c>
      <c r="G979" s="81">
        <v>25</v>
      </c>
      <c r="H979" s="82">
        <v>26.3</v>
      </c>
      <c r="I979" s="251">
        <v>657.5</v>
      </c>
      <c r="J979" s="9" t="s">
        <v>1305</v>
      </c>
      <c r="K979" s="9" t="s">
        <v>1306</v>
      </c>
      <c r="L979" s="83">
        <v>45200</v>
      </c>
      <c r="M979" s="83">
        <v>45230</v>
      </c>
    </row>
    <row r="980" spans="1:13" ht="18.75" customHeight="1" x14ac:dyDescent="0.25">
      <c r="A980" s="9" t="s">
        <v>19</v>
      </c>
      <c r="B980" s="81">
        <v>122082</v>
      </c>
      <c r="C980" s="81">
        <v>10757</v>
      </c>
      <c r="D980" s="9" t="s">
        <v>1632</v>
      </c>
      <c r="E980" s="81">
        <v>14563151</v>
      </c>
      <c r="F980" s="81">
        <v>55281</v>
      </c>
      <c r="G980" s="81">
        <v>25</v>
      </c>
      <c r="H980" s="82">
        <v>26.3</v>
      </c>
      <c r="I980" s="251">
        <v>657.5</v>
      </c>
      <c r="J980" s="9" t="s">
        <v>1305</v>
      </c>
      <c r="K980" s="9" t="s">
        <v>1306</v>
      </c>
      <c r="L980" s="83">
        <v>45200</v>
      </c>
      <c r="M980" s="83">
        <v>45230</v>
      </c>
    </row>
    <row r="981" spans="1:13" ht="18.75" customHeight="1" x14ac:dyDescent="0.25">
      <c r="A981" s="9" t="s">
        <v>10</v>
      </c>
      <c r="B981" s="81">
        <v>113237</v>
      </c>
      <c r="C981" s="81">
        <v>10750</v>
      </c>
      <c r="D981" s="9" t="s">
        <v>663</v>
      </c>
      <c r="E981" s="81">
        <v>14563151</v>
      </c>
      <c r="F981" s="81">
        <v>30909</v>
      </c>
      <c r="G981" s="81">
        <v>25</v>
      </c>
      <c r="H981" s="82">
        <v>26.3</v>
      </c>
      <c r="I981" s="251">
        <v>657.5</v>
      </c>
      <c r="J981" s="9" t="s">
        <v>1305</v>
      </c>
      <c r="K981" s="9" t="s">
        <v>1306</v>
      </c>
      <c r="L981" s="83">
        <v>45200</v>
      </c>
      <c r="M981" s="83">
        <v>45230</v>
      </c>
    </row>
    <row r="982" spans="1:13" ht="18.75" customHeight="1" x14ac:dyDescent="0.25">
      <c r="A982" s="9" t="s">
        <v>19</v>
      </c>
      <c r="B982" s="81">
        <v>113242</v>
      </c>
      <c r="C982" s="81">
        <v>10766</v>
      </c>
      <c r="D982" s="9" t="s">
        <v>664</v>
      </c>
      <c r="E982" s="81">
        <v>14563151</v>
      </c>
      <c r="F982" s="81">
        <v>30919</v>
      </c>
      <c r="G982" s="81">
        <v>25</v>
      </c>
      <c r="H982" s="82">
        <v>26.3</v>
      </c>
      <c r="I982" s="251">
        <v>657.5</v>
      </c>
      <c r="J982" s="9" t="s">
        <v>1305</v>
      </c>
      <c r="K982" s="9" t="s">
        <v>1306</v>
      </c>
      <c r="L982" s="83">
        <v>45200</v>
      </c>
      <c r="M982" s="83">
        <v>45230</v>
      </c>
    </row>
    <row r="983" spans="1:13" ht="18.75" customHeight="1" x14ac:dyDescent="0.25">
      <c r="A983" s="9" t="s">
        <v>0</v>
      </c>
      <c r="B983" s="81">
        <v>113244</v>
      </c>
      <c r="C983" s="81">
        <v>10750</v>
      </c>
      <c r="D983" s="9" t="s">
        <v>665</v>
      </c>
      <c r="E983" s="81">
        <v>14563151</v>
      </c>
      <c r="F983" s="81">
        <v>30923</v>
      </c>
      <c r="G983" s="81">
        <v>25</v>
      </c>
      <c r="H983" s="82">
        <v>26.3</v>
      </c>
      <c r="I983" s="251">
        <v>657.5</v>
      </c>
      <c r="J983" s="9" t="s">
        <v>1305</v>
      </c>
      <c r="K983" s="9" t="s">
        <v>1306</v>
      </c>
      <c r="L983" s="83">
        <v>45200</v>
      </c>
      <c r="M983" s="83">
        <v>45230</v>
      </c>
    </row>
    <row r="984" spans="1:13" ht="18.75" customHeight="1" x14ac:dyDescent="0.25">
      <c r="A984" s="9" t="s">
        <v>19</v>
      </c>
      <c r="B984" s="81">
        <v>116228</v>
      </c>
      <c r="C984" s="81">
        <v>10766</v>
      </c>
      <c r="D984" s="9" t="s">
        <v>1191</v>
      </c>
      <c r="E984" s="81">
        <v>14563151</v>
      </c>
      <c r="F984" s="81">
        <v>41663</v>
      </c>
      <c r="G984" s="81">
        <v>25</v>
      </c>
      <c r="H984" s="82">
        <v>26.3</v>
      </c>
      <c r="I984" s="251">
        <v>657.5</v>
      </c>
      <c r="J984" s="9" t="s">
        <v>1305</v>
      </c>
      <c r="K984" s="9" t="s">
        <v>1306</v>
      </c>
      <c r="L984" s="83">
        <v>45200</v>
      </c>
      <c r="M984" s="83">
        <v>45230</v>
      </c>
    </row>
    <row r="985" spans="1:13" ht="18.75" customHeight="1" x14ac:dyDescent="0.25">
      <c r="A985" s="9" t="s">
        <v>10</v>
      </c>
      <c r="B985" s="81">
        <v>113250</v>
      </c>
      <c r="C985" s="81">
        <v>10760</v>
      </c>
      <c r="D985" s="9" t="s">
        <v>668</v>
      </c>
      <c r="E985" s="81">
        <v>14563151</v>
      </c>
      <c r="F985" s="81">
        <v>30935</v>
      </c>
      <c r="G985" s="81">
        <v>25</v>
      </c>
      <c r="H985" s="82">
        <v>26.3</v>
      </c>
      <c r="I985" s="251">
        <v>657.5</v>
      </c>
      <c r="J985" s="9" t="s">
        <v>1305</v>
      </c>
      <c r="K985" s="9" t="s">
        <v>1306</v>
      </c>
      <c r="L985" s="83">
        <v>45200</v>
      </c>
      <c r="M985" s="83">
        <v>45230</v>
      </c>
    </row>
    <row r="986" spans="1:13" ht="18.75" customHeight="1" x14ac:dyDescent="0.25">
      <c r="A986" s="9" t="s">
        <v>0</v>
      </c>
      <c r="B986" s="81">
        <v>119930</v>
      </c>
      <c r="C986" s="81">
        <v>10763</v>
      </c>
      <c r="D986" s="9" t="s">
        <v>1481</v>
      </c>
      <c r="E986" s="81">
        <v>14563151</v>
      </c>
      <c r="F986" s="81">
        <v>50263</v>
      </c>
      <c r="G986" s="81">
        <v>25</v>
      </c>
      <c r="H986" s="82">
        <v>26.3</v>
      </c>
      <c r="I986" s="251">
        <v>657.5</v>
      </c>
      <c r="J986" s="9" t="s">
        <v>1305</v>
      </c>
      <c r="K986" s="9" t="s">
        <v>1309</v>
      </c>
      <c r="L986" s="83">
        <v>45200</v>
      </c>
      <c r="M986" s="83">
        <v>45230</v>
      </c>
    </row>
    <row r="987" spans="1:13" ht="18.75" customHeight="1" x14ac:dyDescent="0.25">
      <c r="A987" s="9" t="s">
        <v>10</v>
      </c>
      <c r="B987" s="81">
        <v>113263</v>
      </c>
      <c r="C987" s="81">
        <v>10754</v>
      </c>
      <c r="D987" s="9" t="s">
        <v>1365</v>
      </c>
      <c r="E987" s="81">
        <v>14563151</v>
      </c>
      <c r="F987" s="81">
        <v>30961</v>
      </c>
      <c r="G987" s="81">
        <v>25</v>
      </c>
      <c r="H987" s="82">
        <v>26.3</v>
      </c>
      <c r="I987" s="251">
        <v>657.5</v>
      </c>
      <c r="J987" s="9" t="s">
        <v>1305</v>
      </c>
      <c r="K987" s="9" t="s">
        <v>1306</v>
      </c>
      <c r="L987" s="83">
        <v>45200</v>
      </c>
      <c r="M987" s="83">
        <v>45230</v>
      </c>
    </row>
    <row r="988" spans="1:13" ht="18.75" customHeight="1" x14ac:dyDescent="0.25">
      <c r="A988" s="9" t="s">
        <v>1578</v>
      </c>
      <c r="B988" s="81">
        <v>113650</v>
      </c>
      <c r="C988" s="81">
        <v>10761</v>
      </c>
      <c r="D988" s="9" t="s">
        <v>895</v>
      </c>
      <c r="E988" s="81">
        <v>14563151</v>
      </c>
      <c r="F988" s="81">
        <v>31735</v>
      </c>
      <c r="G988" s="81">
        <v>25</v>
      </c>
      <c r="H988" s="82">
        <v>26.3</v>
      </c>
      <c r="I988" s="251">
        <v>657.5</v>
      </c>
      <c r="J988" s="9" t="s">
        <v>1305</v>
      </c>
      <c r="K988" s="9" t="s">
        <v>1306</v>
      </c>
      <c r="L988" s="83">
        <v>45200</v>
      </c>
      <c r="M988" s="83">
        <v>45230</v>
      </c>
    </row>
    <row r="989" spans="1:13" ht="18.75" customHeight="1" x14ac:dyDescent="0.25">
      <c r="A989" s="9" t="s">
        <v>1578</v>
      </c>
      <c r="B989" s="81">
        <v>113273</v>
      </c>
      <c r="C989" s="81">
        <v>10761</v>
      </c>
      <c r="D989" s="9" t="s">
        <v>680</v>
      </c>
      <c r="E989" s="81">
        <v>14563151</v>
      </c>
      <c r="F989" s="81">
        <v>30981</v>
      </c>
      <c r="G989" s="81">
        <v>25</v>
      </c>
      <c r="H989" s="82">
        <v>26.3</v>
      </c>
      <c r="I989" s="251">
        <v>657.5</v>
      </c>
      <c r="J989" s="9" t="s">
        <v>1305</v>
      </c>
      <c r="K989" s="9" t="s">
        <v>1306</v>
      </c>
      <c r="L989" s="83">
        <v>45200</v>
      </c>
      <c r="M989" s="83">
        <v>45230</v>
      </c>
    </row>
    <row r="990" spans="1:13" ht="18.75" customHeight="1" x14ac:dyDescent="0.25">
      <c r="A990" s="9" t="s">
        <v>10</v>
      </c>
      <c r="B990" s="81">
        <v>113276</v>
      </c>
      <c r="C990" s="81">
        <v>10745</v>
      </c>
      <c r="D990" s="9" t="s">
        <v>682</v>
      </c>
      <c r="E990" s="81">
        <v>14563151</v>
      </c>
      <c r="F990" s="81">
        <v>30987</v>
      </c>
      <c r="G990" s="81">
        <v>25</v>
      </c>
      <c r="H990" s="82">
        <v>26.3</v>
      </c>
      <c r="I990" s="251">
        <v>657.5</v>
      </c>
      <c r="J990" s="9" t="s">
        <v>1305</v>
      </c>
      <c r="K990" s="9" t="s">
        <v>1306</v>
      </c>
      <c r="L990" s="83">
        <v>45200</v>
      </c>
      <c r="M990" s="83">
        <v>45230</v>
      </c>
    </row>
    <row r="991" spans="1:13" ht="18.75" customHeight="1" x14ac:dyDescent="0.25">
      <c r="A991" s="9" t="s">
        <v>1578</v>
      </c>
      <c r="B991" s="81">
        <v>113279</v>
      </c>
      <c r="C991" s="81">
        <v>10771</v>
      </c>
      <c r="D991" s="9" t="s">
        <v>1366</v>
      </c>
      <c r="E991" s="81">
        <v>14563151</v>
      </c>
      <c r="F991" s="81">
        <v>30993</v>
      </c>
      <c r="G991" s="81">
        <v>25</v>
      </c>
      <c r="H991" s="82">
        <v>26.3</v>
      </c>
      <c r="I991" s="251">
        <v>657.5</v>
      </c>
      <c r="J991" s="9" t="s">
        <v>1305</v>
      </c>
      <c r="K991" s="9" t="s">
        <v>1306</v>
      </c>
      <c r="L991" s="83">
        <v>45200</v>
      </c>
      <c r="M991" s="83">
        <v>45230</v>
      </c>
    </row>
    <row r="992" spans="1:13" ht="18.75" customHeight="1" x14ac:dyDescent="0.25">
      <c r="A992" s="9" t="s">
        <v>1578</v>
      </c>
      <c r="B992" s="81">
        <v>113282</v>
      </c>
      <c r="C992" s="81">
        <v>10761</v>
      </c>
      <c r="D992" s="9" t="s">
        <v>686</v>
      </c>
      <c r="E992" s="81">
        <v>14563151</v>
      </c>
      <c r="F992" s="81">
        <v>30999</v>
      </c>
      <c r="G992" s="81">
        <v>25</v>
      </c>
      <c r="H992" s="82">
        <v>26.3</v>
      </c>
      <c r="I992" s="251">
        <v>657.5</v>
      </c>
      <c r="J992" s="9" t="s">
        <v>1305</v>
      </c>
      <c r="K992" s="9" t="s">
        <v>1306</v>
      </c>
      <c r="L992" s="83">
        <v>45200</v>
      </c>
      <c r="M992" s="83">
        <v>45230</v>
      </c>
    </row>
    <row r="993" spans="1:13" ht="18.75" customHeight="1" x14ac:dyDescent="0.25">
      <c r="A993" s="9" t="s">
        <v>1578</v>
      </c>
      <c r="B993" s="81">
        <v>114641</v>
      </c>
      <c r="C993" s="81">
        <v>10757</v>
      </c>
      <c r="D993" s="9" t="s">
        <v>1499</v>
      </c>
      <c r="E993" s="81">
        <v>14563151</v>
      </c>
      <c r="F993" s="81">
        <v>36692</v>
      </c>
      <c r="G993" s="81">
        <v>25</v>
      </c>
      <c r="H993" s="82">
        <v>26.3</v>
      </c>
      <c r="I993" s="251">
        <v>657.5</v>
      </c>
      <c r="J993" s="9" t="s">
        <v>1305</v>
      </c>
      <c r="K993" s="9" t="s">
        <v>1306</v>
      </c>
      <c r="L993" s="83">
        <v>45200</v>
      </c>
      <c r="M993" s="83">
        <v>45230</v>
      </c>
    </row>
    <row r="994" spans="1:13" ht="18.75" customHeight="1" x14ac:dyDescent="0.25">
      <c r="A994" s="9" t="s">
        <v>1578</v>
      </c>
      <c r="B994" s="81">
        <v>113286</v>
      </c>
      <c r="C994" s="81">
        <v>10768</v>
      </c>
      <c r="D994" s="9" t="s">
        <v>1367</v>
      </c>
      <c r="E994" s="81">
        <v>14563151</v>
      </c>
      <c r="F994" s="81">
        <v>31007</v>
      </c>
      <c r="G994" s="81">
        <v>25</v>
      </c>
      <c r="H994" s="82">
        <v>26.3</v>
      </c>
      <c r="I994" s="251">
        <v>657.5</v>
      </c>
      <c r="J994" s="9" t="s">
        <v>1305</v>
      </c>
      <c r="K994" s="9" t="s">
        <v>1306</v>
      </c>
      <c r="L994" s="83">
        <v>45200</v>
      </c>
      <c r="M994" s="83">
        <v>45230</v>
      </c>
    </row>
    <row r="995" spans="1:13" ht="18.75" customHeight="1" x14ac:dyDescent="0.25">
      <c r="A995" s="9" t="s">
        <v>32</v>
      </c>
      <c r="B995" s="81">
        <v>121315</v>
      </c>
      <c r="C995" s="81">
        <v>10750</v>
      </c>
      <c r="D995" s="9" t="s">
        <v>1534</v>
      </c>
      <c r="E995" s="81">
        <v>14563151</v>
      </c>
      <c r="F995" s="81">
        <v>53485</v>
      </c>
      <c r="G995" s="81">
        <v>25</v>
      </c>
      <c r="H995" s="82">
        <v>26.3</v>
      </c>
      <c r="I995" s="251">
        <v>657.5</v>
      </c>
      <c r="J995" s="9" t="s">
        <v>1305</v>
      </c>
      <c r="K995" s="9" t="s">
        <v>1306</v>
      </c>
      <c r="L995" s="83">
        <v>45200</v>
      </c>
      <c r="M995" s="83">
        <v>45230</v>
      </c>
    </row>
    <row r="996" spans="1:13" ht="18.75" customHeight="1" x14ac:dyDescent="0.25">
      <c r="A996" s="9" t="s">
        <v>1578</v>
      </c>
      <c r="B996" s="81">
        <v>114757</v>
      </c>
      <c r="C996" s="81">
        <v>10763</v>
      </c>
      <c r="D996" s="9" t="s">
        <v>1092</v>
      </c>
      <c r="E996" s="81">
        <v>14563151</v>
      </c>
      <c r="F996" s="81">
        <v>36963</v>
      </c>
      <c r="G996" s="81">
        <v>25</v>
      </c>
      <c r="H996" s="82">
        <v>26.3</v>
      </c>
      <c r="I996" s="251">
        <v>657.5</v>
      </c>
      <c r="J996" s="9" t="s">
        <v>1305</v>
      </c>
      <c r="K996" s="9" t="s">
        <v>1306</v>
      </c>
      <c r="L996" s="83">
        <v>45200</v>
      </c>
      <c r="M996" s="83">
        <v>45230</v>
      </c>
    </row>
    <row r="997" spans="1:13" ht="18.75" customHeight="1" x14ac:dyDescent="0.25">
      <c r="A997" s="9" t="s">
        <v>0</v>
      </c>
      <c r="B997" s="81">
        <v>114267</v>
      </c>
      <c r="C997" s="81">
        <v>10760</v>
      </c>
      <c r="D997" s="9" t="s">
        <v>1028</v>
      </c>
      <c r="E997" s="81">
        <v>14563151</v>
      </c>
      <c r="F997" s="81">
        <v>35814</v>
      </c>
      <c r="G997" s="81">
        <v>25</v>
      </c>
      <c r="H997" s="82">
        <v>26.3</v>
      </c>
      <c r="I997" s="251">
        <v>657.5</v>
      </c>
      <c r="J997" s="9" t="s">
        <v>1305</v>
      </c>
      <c r="K997" s="9" t="s">
        <v>1306</v>
      </c>
      <c r="L997" s="83">
        <v>45200</v>
      </c>
      <c r="M997" s="83">
        <v>45230</v>
      </c>
    </row>
    <row r="998" spans="1:13" ht="18.75" customHeight="1" x14ac:dyDescent="0.25">
      <c r="A998" s="9" t="s">
        <v>8</v>
      </c>
      <c r="B998" s="81">
        <v>113292</v>
      </c>
      <c r="C998" s="81">
        <v>10750</v>
      </c>
      <c r="D998" s="9" t="s">
        <v>691</v>
      </c>
      <c r="E998" s="81">
        <v>14563151</v>
      </c>
      <c r="F998" s="81">
        <v>31019</v>
      </c>
      <c r="G998" s="81">
        <v>25</v>
      </c>
      <c r="H998" s="82">
        <v>26.3</v>
      </c>
      <c r="I998" s="251">
        <v>657.5</v>
      </c>
      <c r="J998" s="9" t="s">
        <v>1305</v>
      </c>
      <c r="K998" s="9" t="s">
        <v>1306</v>
      </c>
      <c r="L998" s="83">
        <v>45200</v>
      </c>
      <c r="M998" s="83">
        <v>45230</v>
      </c>
    </row>
    <row r="999" spans="1:13" ht="18.75" customHeight="1" x14ac:dyDescent="0.25">
      <c r="A999" s="9" t="s">
        <v>19</v>
      </c>
      <c r="B999" s="81">
        <v>113294</v>
      </c>
      <c r="C999" s="81">
        <v>10754</v>
      </c>
      <c r="D999" s="9" t="s">
        <v>692</v>
      </c>
      <c r="E999" s="81">
        <v>14563151</v>
      </c>
      <c r="F999" s="81">
        <v>31023</v>
      </c>
      <c r="G999" s="81">
        <v>25</v>
      </c>
      <c r="H999" s="82">
        <v>26.3</v>
      </c>
      <c r="I999" s="251">
        <v>657.5</v>
      </c>
      <c r="J999" s="9" t="s">
        <v>1305</v>
      </c>
      <c r="K999" s="9" t="s">
        <v>1306</v>
      </c>
      <c r="L999" s="83">
        <v>45200</v>
      </c>
      <c r="M999" s="83">
        <v>45230</v>
      </c>
    </row>
    <row r="1000" spans="1:13" ht="18.75" customHeight="1" x14ac:dyDescent="0.25">
      <c r="A1000" s="9" t="s">
        <v>0</v>
      </c>
      <c r="B1000" s="81">
        <v>113313</v>
      </c>
      <c r="C1000" s="81">
        <v>10761</v>
      </c>
      <c r="D1000" s="9" t="s">
        <v>701</v>
      </c>
      <c r="E1000" s="81">
        <v>14563151</v>
      </c>
      <c r="F1000" s="81">
        <v>31061</v>
      </c>
      <c r="G1000" s="81">
        <v>25</v>
      </c>
      <c r="H1000" s="82">
        <v>26.3</v>
      </c>
      <c r="I1000" s="251">
        <v>657.5</v>
      </c>
      <c r="J1000" s="9" t="s">
        <v>1305</v>
      </c>
      <c r="K1000" s="9" t="s">
        <v>1306</v>
      </c>
      <c r="L1000" s="83">
        <v>45200</v>
      </c>
      <c r="M1000" s="83">
        <v>45230</v>
      </c>
    </row>
    <row r="1001" spans="1:13" ht="18.75" customHeight="1" x14ac:dyDescent="0.25">
      <c r="A1001" s="9" t="s">
        <v>8</v>
      </c>
      <c r="B1001" s="81">
        <v>122827</v>
      </c>
      <c r="C1001" s="81">
        <v>10757</v>
      </c>
      <c r="D1001" s="9" t="s">
        <v>1738</v>
      </c>
      <c r="E1001" s="81">
        <v>14563151</v>
      </c>
      <c r="F1001" s="81">
        <v>57224</v>
      </c>
      <c r="G1001" s="81">
        <v>25</v>
      </c>
      <c r="H1001" s="82">
        <v>26.3</v>
      </c>
      <c r="I1001" s="251">
        <v>657.5</v>
      </c>
      <c r="J1001" s="9" t="s">
        <v>1305</v>
      </c>
      <c r="K1001" s="9" t="s">
        <v>1309</v>
      </c>
      <c r="L1001" s="83">
        <v>45200</v>
      </c>
      <c r="M1001" s="83">
        <v>45230</v>
      </c>
    </row>
    <row r="1002" spans="1:13" ht="18.75" customHeight="1" x14ac:dyDescent="0.25">
      <c r="A1002" s="9" t="s">
        <v>1578</v>
      </c>
      <c r="B1002" s="81">
        <v>119126</v>
      </c>
      <c r="C1002" s="81">
        <v>10757</v>
      </c>
      <c r="D1002" s="9" t="s">
        <v>1438</v>
      </c>
      <c r="E1002" s="81">
        <v>14563151</v>
      </c>
      <c r="F1002" s="81">
        <v>48279</v>
      </c>
      <c r="G1002" s="81">
        <v>25</v>
      </c>
      <c r="H1002" s="82">
        <v>26.3</v>
      </c>
      <c r="I1002" s="251">
        <v>657.5</v>
      </c>
      <c r="J1002" s="9" t="s">
        <v>1305</v>
      </c>
      <c r="K1002" s="9" t="s">
        <v>1306</v>
      </c>
      <c r="L1002" s="83">
        <v>45200</v>
      </c>
      <c r="M1002" s="83">
        <v>45230</v>
      </c>
    </row>
    <row r="1003" spans="1:13" ht="18.75" customHeight="1" x14ac:dyDescent="0.25">
      <c r="A1003" s="9" t="s">
        <v>1578</v>
      </c>
      <c r="B1003" s="81">
        <v>118993</v>
      </c>
      <c r="C1003" s="81">
        <v>10771</v>
      </c>
      <c r="D1003" s="9" t="s">
        <v>1426</v>
      </c>
      <c r="E1003" s="81">
        <v>14563151</v>
      </c>
      <c r="F1003" s="81">
        <v>47940</v>
      </c>
      <c r="G1003" s="81">
        <v>25</v>
      </c>
      <c r="H1003" s="82">
        <v>26.3</v>
      </c>
      <c r="I1003" s="251">
        <v>657.5</v>
      </c>
      <c r="J1003" s="9" t="s">
        <v>1305</v>
      </c>
      <c r="K1003" s="9" t="s">
        <v>1306</v>
      </c>
      <c r="L1003" s="83">
        <v>45200</v>
      </c>
      <c r="M1003" s="83">
        <v>45230</v>
      </c>
    </row>
    <row r="1004" spans="1:13" ht="18.75" customHeight="1" x14ac:dyDescent="0.25">
      <c r="A1004" s="9" t="s">
        <v>0</v>
      </c>
      <c r="B1004" s="81">
        <v>114254</v>
      </c>
      <c r="C1004" s="81">
        <v>10750</v>
      </c>
      <c r="D1004" s="9" t="s">
        <v>1018</v>
      </c>
      <c r="E1004" s="81">
        <v>14563151</v>
      </c>
      <c r="F1004" s="81">
        <v>35788</v>
      </c>
      <c r="G1004" s="81">
        <v>25</v>
      </c>
      <c r="H1004" s="82">
        <v>26.3</v>
      </c>
      <c r="I1004" s="251">
        <v>657.5</v>
      </c>
      <c r="J1004" s="9" t="s">
        <v>1305</v>
      </c>
      <c r="K1004" s="9" t="s">
        <v>1306</v>
      </c>
      <c r="L1004" s="83">
        <v>45200</v>
      </c>
      <c r="M1004" s="83">
        <v>45230</v>
      </c>
    </row>
    <row r="1005" spans="1:13" ht="18.75" customHeight="1" x14ac:dyDescent="0.25">
      <c r="A1005" s="9" t="s">
        <v>0</v>
      </c>
      <c r="B1005" s="81">
        <v>113324</v>
      </c>
      <c r="C1005" s="81">
        <v>10750</v>
      </c>
      <c r="D1005" s="9" t="s">
        <v>706</v>
      </c>
      <c r="E1005" s="81">
        <v>14563151</v>
      </c>
      <c r="F1005" s="81">
        <v>31083</v>
      </c>
      <c r="G1005" s="81">
        <v>25</v>
      </c>
      <c r="H1005" s="82">
        <v>26.3</v>
      </c>
      <c r="I1005" s="251">
        <v>657.5</v>
      </c>
      <c r="J1005" s="9" t="s">
        <v>1305</v>
      </c>
      <c r="K1005" s="9" t="s">
        <v>1306</v>
      </c>
      <c r="L1005" s="83">
        <v>45200</v>
      </c>
      <c r="M1005" s="83">
        <v>45230</v>
      </c>
    </row>
    <row r="1006" spans="1:13" ht="18.75" customHeight="1" x14ac:dyDescent="0.25">
      <c r="A1006" s="9" t="s">
        <v>1578</v>
      </c>
      <c r="B1006" s="81">
        <v>122418</v>
      </c>
      <c r="C1006" s="81">
        <v>10755</v>
      </c>
      <c r="D1006" s="9" t="s">
        <v>1693</v>
      </c>
      <c r="E1006" s="81">
        <v>14563151</v>
      </c>
      <c r="F1006" s="81">
        <v>56157</v>
      </c>
      <c r="G1006" s="81">
        <v>25</v>
      </c>
      <c r="H1006" s="82">
        <v>26.3</v>
      </c>
      <c r="I1006" s="251">
        <v>657.5</v>
      </c>
      <c r="J1006" s="9" t="s">
        <v>1305</v>
      </c>
      <c r="K1006" s="9" t="s">
        <v>1309</v>
      </c>
      <c r="L1006" s="83">
        <v>45200</v>
      </c>
      <c r="M1006" s="83">
        <v>45230</v>
      </c>
    </row>
    <row r="1007" spans="1:13" ht="18.75" customHeight="1" x14ac:dyDescent="0.25">
      <c r="A1007" s="9" t="s">
        <v>32</v>
      </c>
      <c r="B1007" s="81">
        <v>113329</v>
      </c>
      <c r="C1007" s="81">
        <v>10750</v>
      </c>
      <c r="D1007" s="9" t="s">
        <v>710</v>
      </c>
      <c r="E1007" s="81">
        <v>14563151</v>
      </c>
      <c r="F1007" s="81">
        <v>31093</v>
      </c>
      <c r="G1007" s="81">
        <v>25</v>
      </c>
      <c r="H1007" s="82">
        <v>26.3</v>
      </c>
      <c r="I1007" s="251">
        <v>657.5</v>
      </c>
      <c r="J1007" s="9" t="s">
        <v>1305</v>
      </c>
      <c r="K1007" s="9" t="s">
        <v>1306</v>
      </c>
      <c r="L1007" s="83">
        <v>45200</v>
      </c>
      <c r="M1007" s="83">
        <v>45230</v>
      </c>
    </row>
    <row r="1008" spans="1:13" ht="18.75" customHeight="1" x14ac:dyDescent="0.25">
      <c r="A1008" s="9" t="s">
        <v>1578</v>
      </c>
      <c r="B1008" s="81">
        <v>114934</v>
      </c>
      <c r="C1008" s="81">
        <v>10771</v>
      </c>
      <c r="D1008" s="9" t="s">
        <v>1116</v>
      </c>
      <c r="E1008" s="81">
        <v>14563151</v>
      </c>
      <c r="F1008" s="81">
        <v>37647</v>
      </c>
      <c r="G1008" s="81">
        <v>25</v>
      </c>
      <c r="H1008" s="82">
        <v>26.3</v>
      </c>
      <c r="I1008" s="251">
        <v>657.5</v>
      </c>
      <c r="J1008" s="9" t="s">
        <v>1305</v>
      </c>
      <c r="K1008" s="9" t="s">
        <v>1306</v>
      </c>
      <c r="L1008" s="83">
        <v>45200</v>
      </c>
      <c r="M1008" s="83">
        <v>45230</v>
      </c>
    </row>
    <row r="1009" spans="1:13" ht="18.75" customHeight="1" x14ac:dyDescent="0.25">
      <c r="A1009" s="9" t="s">
        <v>10</v>
      </c>
      <c r="B1009" s="81">
        <v>113337</v>
      </c>
      <c r="C1009" s="81">
        <v>10760</v>
      </c>
      <c r="D1009" s="9" t="s">
        <v>714</v>
      </c>
      <c r="E1009" s="81">
        <v>14563151</v>
      </c>
      <c r="F1009" s="81">
        <v>31109</v>
      </c>
      <c r="G1009" s="81">
        <v>25</v>
      </c>
      <c r="H1009" s="82">
        <v>26.3</v>
      </c>
      <c r="I1009" s="251">
        <v>657.5</v>
      </c>
      <c r="J1009" s="9" t="s">
        <v>1305</v>
      </c>
      <c r="K1009" s="9" t="s">
        <v>1306</v>
      </c>
      <c r="L1009" s="83">
        <v>45200</v>
      </c>
      <c r="M1009" s="83">
        <v>45230</v>
      </c>
    </row>
    <row r="1010" spans="1:13" ht="18.75" customHeight="1" x14ac:dyDescent="0.25">
      <c r="A1010" s="9" t="s">
        <v>10</v>
      </c>
      <c r="B1010" s="81">
        <v>113342</v>
      </c>
      <c r="C1010" s="81">
        <v>10755</v>
      </c>
      <c r="D1010" s="9" t="s">
        <v>717</v>
      </c>
      <c r="E1010" s="81">
        <v>14563151</v>
      </c>
      <c r="F1010" s="81">
        <v>31119</v>
      </c>
      <c r="G1010" s="81">
        <v>25</v>
      </c>
      <c r="H1010" s="82">
        <v>26.3</v>
      </c>
      <c r="I1010" s="251">
        <v>657.5</v>
      </c>
      <c r="J1010" s="9" t="s">
        <v>1305</v>
      </c>
      <c r="K1010" s="9" t="s">
        <v>1306</v>
      </c>
      <c r="L1010" s="83">
        <v>45200</v>
      </c>
      <c r="M1010" s="83">
        <v>45230</v>
      </c>
    </row>
    <row r="1011" spans="1:13" ht="18.75" customHeight="1" x14ac:dyDescent="0.25">
      <c r="A1011" s="9" t="s">
        <v>1578</v>
      </c>
      <c r="B1011" s="81">
        <v>118995</v>
      </c>
      <c r="C1011" s="81">
        <v>10761</v>
      </c>
      <c r="D1011" s="9" t="s">
        <v>1427</v>
      </c>
      <c r="E1011" s="81">
        <v>14563151</v>
      </c>
      <c r="F1011" s="81">
        <v>47944</v>
      </c>
      <c r="G1011" s="81">
        <v>25</v>
      </c>
      <c r="H1011" s="82">
        <v>26.3</v>
      </c>
      <c r="I1011" s="251">
        <v>657.5</v>
      </c>
      <c r="J1011" s="9" t="s">
        <v>1305</v>
      </c>
      <c r="K1011" s="9" t="s">
        <v>1306</v>
      </c>
      <c r="L1011" s="83">
        <v>45200</v>
      </c>
      <c r="M1011" s="83">
        <v>45230</v>
      </c>
    </row>
    <row r="1012" spans="1:13" ht="18.75" customHeight="1" x14ac:dyDescent="0.25">
      <c r="A1012" s="9" t="s">
        <v>8</v>
      </c>
      <c r="B1012" s="81">
        <v>113721</v>
      </c>
      <c r="C1012" s="81">
        <v>10773</v>
      </c>
      <c r="D1012" s="9" t="s">
        <v>935</v>
      </c>
      <c r="E1012" s="81">
        <v>14563151</v>
      </c>
      <c r="F1012" s="81">
        <v>31877</v>
      </c>
      <c r="G1012" s="81">
        <v>25</v>
      </c>
      <c r="H1012" s="82">
        <v>26.3</v>
      </c>
      <c r="I1012" s="251">
        <v>657.5</v>
      </c>
      <c r="J1012" s="9" t="s">
        <v>1305</v>
      </c>
      <c r="K1012" s="9" t="s">
        <v>1306</v>
      </c>
      <c r="L1012" s="83">
        <v>45200</v>
      </c>
      <c r="M1012" s="83">
        <v>45230</v>
      </c>
    </row>
    <row r="1013" spans="1:13" ht="18.75" customHeight="1" x14ac:dyDescent="0.25">
      <c r="A1013" s="9" t="s">
        <v>1578</v>
      </c>
      <c r="B1013" s="81">
        <v>113783</v>
      </c>
      <c r="C1013" s="81">
        <v>10743</v>
      </c>
      <c r="D1013" s="9" t="s">
        <v>1368</v>
      </c>
      <c r="E1013" s="81">
        <v>14563151</v>
      </c>
      <c r="F1013" s="81">
        <v>32016</v>
      </c>
      <c r="G1013" s="81">
        <v>25</v>
      </c>
      <c r="H1013" s="82">
        <v>26.3</v>
      </c>
      <c r="I1013" s="251">
        <v>657.5</v>
      </c>
      <c r="J1013" s="9" t="s">
        <v>1305</v>
      </c>
      <c r="K1013" s="9" t="s">
        <v>1306</v>
      </c>
      <c r="L1013" s="83">
        <v>45200</v>
      </c>
      <c r="M1013" s="83">
        <v>45230</v>
      </c>
    </row>
    <row r="1014" spans="1:13" ht="18.75" customHeight="1" x14ac:dyDescent="0.25">
      <c r="A1014" s="9" t="s">
        <v>10</v>
      </c>
      <c r="B1014" s="81">
        <v>112193</v>
      </c>
      <c r="C1014" s="81">
        <v>10763</v>
      </c>
      <c r="D1014" s="9" t="s">
        <v>25</v>
      </c>
      <c r="E1014" s="81">
        <v>14563151</v>
      </c>
      <c r="F1014" s="81">
        <v>28821</v>
      </c>
      <c r="G1014" s="81">
        <v>25</v>
      </c>
      <c r="H1014" s="82">
        <v>26.3</v>
      </c>
      <c r="I1014" s="251">
        <v>657.5</v>
      </c>
      <c r="J1014" s="9" t="s">
        <v>1305</v>
      </c>
      <c r="K1014" s="9" t="s">
        <v>1306</v>
      </c>
      <c r="L1014" s="83">
        <v>45200</v>
      </c>
      <c r="M1014" s="83">
        <v>45230</v>
      </c>
    </row>
    <row r="1015" spans="1:13" ht="18.75" customHeight="1" x14ac:dyDescent="0.25">
      <c r="A1015" s="9" t="s">
        <v>1578</v>
      </c>
      <c r="B1015" s="81">
        <v>122254</v>
      </c>
      <c r="C1015" s="81">
        <v>10743</v>
      </c>
      <c r="D1015" s="9" t="s">
        <v>1666</v>
      </c>
      <c r="E1015" s="81">
        <v>14563151</v>
      </c>
      <c r="F1015" s="81">
        <v>55752</v>
      </c>
      <c r="G1015" s="81">
        <v>25</v>
      </c>
      <c r="H1015" s="82">
        <v>26.3</v>
      </c>
      <c r="I1015" s="251">
        <v>657.5</v>
      </c>
      <c r="J1015" s="9" t="s">
        <v>1305</v>
      </c>
      <c r="K1015" s="9" t="s">
        <v>1309</v>
      </c>
      <c r="L1015" s="83">
        <v>45200</v>
      </c>
      <c r="M1015" s="83">
        <v>45230</v>
      </c>
    </row>
    <row r="1016" spans="1:13" ht="18.75" customHeight="1" x14ac:dyDescent="0.25">
      <c r="A1016" s="9" t="s">
        <v>10</v>
      </c>
      <c r="B1016" s="81">
        <v>117414</v>
      </c>
      <c r="C1016" s="81">
        <v>10750</v>
      </c>
      <c r="D1016" s="9" t="s">
        <v>1274</v>
      </c>
      <c r="E1016" s="81">
        <v>14563151</v>
      </c>
      <c r="F1016" s="81">
        <v>44529</v>
      </c>
      <c r="G1016" s="81">
        <v>25</v>
      </c>
      <c r="H1016" s="82">
        <v>26.3</v>
      </c>
      <c r="I1016" s="251">
        <v>657.5</v>
      </c>
      <c r="J1016" s="9" t="s">
        <v>1305</v>
      </c>
      <c r="K1016" s="9" t="s">
        <v>1306</v>
      </c>
      <c r="L1016" s="83">
        <v>45200</v>
      </c>
      <c r="M1016" s="83">
        <v>45230</v>
      </c>
    </row>
    <row r="1017" spans="1:13" ht="18.75" customHeight="1" x14ac:dyDescent="0.25">
      <c r="A1017" s="9" t="s">
        <v>10</v>
      </c>
      <c r="B1017" s="81">
        <v>112201</v>
      </c>
      <c r="C1017" s="81">
        <v>10745</v>
      </c>
      <c r="D1017" s="9" t="s">
        <v>1369</v>
      </c>
      <c r="E1017" s="81">
        <v>14563151</v>
      </c>
      <c r="F1017" s="81">
        <v>28837</v>
      </c>
      <c r="G1017" s="81">
        <v>25</v>
      </c>
      <c r="H1017" s="82">
        <v>26.3</v>
      </c>
      <c r="I1017" s="251">
        <v>657.5</v>
      </c>
      <c r="J1017" s="9" t="s">
        <v>1305</v>
      </c>
      <c r="K1017" s="9" t="s">
        <v>1306</v>
      </c>
      <c r="L1017" s="83">
        <v>45200</v>
      </c>
      <c r="M1017" s="83">
        <v>45230</v>
      </c>
    </row>
    <row r="1018" spans="1:13" ht="18.75" customHeight="1" x14ac:dyDescent="0.25">
      <c r="A1018" s="9" t="s">
        <v>0</v>
      </c>
      <c r="B1018" s="81">
        <v>113778</v>
      </c>
      <c r="C1018" s="81">
        <v>10771</v>
      </c>
      <c r="D1018" s="9" t="s">
        <v>1370</v>
      </c>
      <c r="E1018" s="81">
        <v>14563151</v>
      </c>
      <c r="F1018" s="81">
        <v>32004</v>
      </c>
      <c r="G1018" s="81">
        <v>25</v>
      </c>
      <c r="H1018" s="82">
        <v>26.3</v>
      </c>
      <c r="I1018" s="251">
        <v>657.5</v>
      </c>
      <c r="J1018" s="9" t="s">
        <v>1305</v>
      </c>
      <c r="K1018" s="9" t="s">
        <v>1306</v>
      </c>
      <c r="L1018" s="83">
        <v>45200</v>
      </c>
      <c r="M1018" s="83">
        <v>45230</v>
      </c>
    </row>
    <row r="1019" spans="1:13" ht="18.75" customHeight="1" x14ac:dyDescent="0.25">
      <c r="A1019" s="9" t="s">
        <v>0</v>
      </c>
      <c r="B1019" s="81">
        <v>112230</v>
      </c>
      <c r="C1019" s="81">
        <v>10750</v>
      </c>
      <c r="D1019" s="9" t="s">
        <v>1371</v>
      </c>
      <c r="E1019" s="81">
        <v>14563151</v>
      </c>
      <c r="F1019" s="81">
        <v>28895</v>
      </c>
      <c r="G1019" s="81">
        <v>25</v>
      </c>
      <c r="H1019" s="82">
        <v>26.3</v>
      </c>
      <c r="I1019" s="251">
        <v>657.5</v>
      </c>
      <c r="J1019" s="9" t="s">
        <v>1305</v>
      </c>
      <c r="K1019" s="9" t="s">
        <v>1306</v>
      </c>
      <c r="L1019" s="83">
        <v>45200</v>
      </c>
      <c r="M1019" s="83">
        <v>45230</v>
      </c>
    </row>
    <row r="1020" spans="1:13" ht="18.75" customHeight="1" x14ac:dyDescent="0.25">
      <c r="A1020" s="9" t="s">
        <v>10</v>
      </c>
      <c r="B1020" s="81">
        <v>114106</v>
      </c>
      <c r="C1020" s="81">
        <v>10757</v>
      </c>
      <c r="D1020" s="9" t="s">
        <v>1006</v>
      </c>
      <c r="E1020" s="81">
        <v>14563151</v>
      </c>
      <c r="F1020" s="81">
        <v>34362</v>
      </c>
      <c r="G1020" s="81">
        <v>25</v>
      </c>
      <c r="H1020" s="82">
        <v>26.3</v>
      </c>
      <c r="I1020" s="251">
        <v>657.5</v>
      </c>
      <c r="J1020" s="9" t="s">
        <v>1305</v>
      </c>
      <c r="K1020" s="9" t="s">
        <v>1306</v>
      </c>
      <c r="L1020" s="83">
        <v>45200</v>
      </c>
      <c r="M1020" s="83">
        <v>45230</v>
      </c>
    </row>
    <row r="1021" spans="1:13" ht="18.75" customHeight="1" x14ac:dyDescent="0.25">
      <c r="A1021" s="9" t="s">
        <v>0</v>
      </c>
      <c r="B1021" s="81">
        <v>119672</v>
      </c>
      <c r="C1021" s="81">
        <v>10754</v>
      </c>
      <c r="D1021" s="9" t="s">
        <v>1469</v>
      </c>
      <c r="E1021" s="81">
        <v>14563151</v>
      </c>
      <c r="F1021" s="81">
        <v>49673</v>
      </c>
      <c r="G1021" s="81">
        <v>25</v>
      </c>
      <c r="H1021" s="82">
        <v>26.3</v>
      </c>
      <c r="I1021" s="251">
        <v>657.5</v>
      </c>
      <c r="J1021" s="9" t="s">
        <v>1305</v>
      </c>
      <c r="K1021" s="9" t="s">
        <v>1306</v>
      </c>
      <c r="L1021" s="83">
        <v>45200</v>
      </c>
      <c r="M1021" s="83">
        <v>45230</v>
      </c>
    </row>
    <row r="1022" spans="1:13" ht="18.75" customHeight="1" x14ac:dyDescent="0.25">
      <c r="A1022" s="9" t="s">
        <v>0</v>
      </c>
      <c r="B1022" s="81">
        <v>112240</v>
      </c>
      <c r="C1022" s="81">
        <v>10750</v>
      </c>
      <c r="D1022" s="9" t="s">
        <v>58</v>
      </c>
      <c r="E1022" s="81">
        <v>14563151</v>
      </c>
      <c r="F1022" s="81">
        <v>28915</v>
      </c>
      <c r="G1022" s="81">
        <v>25</v>
      </c>
      <c r="H1022" s="82">
        <v>26.3</v>
      </c>
      <c r="I1022" s="251">
        <v>657.5</v>
      </c>
      <c r="J1022" s="9" t="s">
        <v>1305</v>
      </c>
      <c r="K1022" s="9" t="s">
        <v>1306</v>
      </c>
      <c r="L1022" s="83">
        <v>45200</v>
      </c>
      <c r="M1022" s="83">
        <v>45230</v>
      </c>
    </row>
    <row r="1023" spans="1:13" ht="18.75" customHeight="1" x14ac:dyDescent="0.25">
      <c r="A1023" s="9" t="s">
        <v>0</v>
      </c>
      <c r="B1023" s="81">
        <v>112262</v>
      </c>
      <c r="C1023" s="81">
        <v>10745</v>
      </c>
      <c r="D1023" s="9" t="s">
        <v>72</v>
      </c>
      <c r="E1023" s="81">
        <v>14563151</v>
      </c>
      <c r="F1023" s="81">
        <v>28959</v>
      </c>
      <c r="G1023" s="81">
        <v>25</v>
      </c>
      <c r="H1023" s="82">
        <v>26.3</v>
      </c>
      <c r="I1023" s="251">
        <v>657.5</v>
      </c>
      <c r="J1023" s="9" t="s">
        <v>1305</v>
      </c>
      <c r="K1023" s="9" t="s">
        <v>1306</v>
      </c>
      <c r="L1023" s="83">
        <v>45200</v>
      </c>
      <c r="M1023" s="83">
        <v>45230</v>
      </c>
    </row>
    <row r="1024" spans="1:13" ht="18.75" customHeight="1" x14ac:dyDescent="0.25">
      <c r="A1024" s="9" t="s">
        <v>1578</v>
      </c>
      <c r="B1024" s="81">
        <v>119742</v>
      </c>
      <c r="C1024" s="81">
        <v>10771</v>
      </c>
      <c r="D1024" s="9" t="s">
        <v>1161</v>
      </c>
      <c r="E1024" s="81">
        <v>14563151</v>
      </c>
      <c r="F1024" s="81">
        <v>49828</v>
      </c>
      <c r="G1024" s="81">
        <v>25</v>
      </c>
      <c r="H1024" s="82">
        <v>26.3</v>
      </c>
      <c r="I1024" s="251">
        <v>657.5</v>
      </c>
      <c r="J1024" s="9" t="s">
        <v>1305</v>
      </c>
      <c r="K1024" s="9" t="s">
        <v>1309</v>
      </c>
      <c r="L1024" s="83">
        <v>45200</v>
      </c>
      <c r="M1024" s="83">
        <v>45230</v>
      </c>
    </row>
    <row r="1025" spans="1:13" ht="18.75" customHeight="1" x14ac:dyDescent="0.25">
      <c r="A1025" s="9" t="s">
        <v>8</v>
      </c>
      <c r="B1025" s="81">
        <v>112277</v>
      </c>
      <c r="C1025" s="81">
        <v>10757</v>
      </c>
      <c r="D1025" s="9" t="s">
        <v>82</v>
      </c>
      <c r="E1025" s="81">
        <v>14563151</v>
      </c>
      <c r="F1025" s="81">
        <v>28989</v>
      </c>
      <c r="G1025" s="81">
        <v>25</v>
      </c>
      <c r="H1025" s="82">
        <v>26.3</v>
      </c>
      <c r="I1025" s="251">
        <v>657.5</v>
      </c>
      <c r="J1025" s="9" t="s">
        <v>1305</v>
      </c>
      <c r="K1025" s="9" t="s">
        <v>1306</v>
      </c>
      <c r="L1025" s="83">
        <v>45200</v>
      </c>
      <c r="M1025" s="83">
        <v>45230</v>
      </c>
    </row>
    <row r="1026" spans="1:13" ht="18.75" customHeight="1" x14ac:dyDescent="0.25">
      <c r="A1026" s="9" t="s">
        <v>10</v>
      </c>
      <c r="B1026" s="81">
        <v>112306</v>
      </c>
      <c r="C1026" s="81">
        <v>10750</v>
      </c>
      <c r="D1026" s="9" t="s">
        <v>100</v>
      </c>
      <c r="E1026" s="81">
        <v>14563151</v>
      </c>
      <c r="F1026" s="81">
        <v>29047</v>
      </c>
      <c r="G1026" s="81">
        <v>25</v>
      </c>
      <c r="H1026" s="82">
        <v>26.3</v>
      </c>
      <c r="I1026" s="251">
        <v>657.5</v>
      </c>
      <c r="J1026" s="9" t="s">
        <v>1305</v>
      </c>
      <c r="K1026" s="9" t="s">
        <v>1306</v>
      </c>
      <c r="L1026" s="83">
        <v>45200</v>
      </c>
      <c r="M1026" s="83">
        <v>45230</v>
      </c>
    </row>
    <row r="1027" spans="1:13" ht="18.75" customHeight="1" x14ac:dyDescent="0.25">
      <c r="A1027" s="9" t="s">
        <v>19</v>
      </c>
      <c r="B1027" s="81">
        <v>113675</v>
      </c>
      <c r="C1027" s="81">
        <v>10755</v>
      </c>
      <c r="D1027" s="9" t="s">
        <v>909</v>
      </c>
      <c r="E1027" s="81">
        <v>14563151</v>
      </c>
      <c r="F1027" s="81">
        <v>31785</v>
      </c>
      <c r="G1027" s="81">
        <v>25</v>
      </c>
      <c r="H1027" s="82">
        <v>26.3</v>
      </c>
      <c r="I1027" s="251">
        <v>657.5</v>
      </c>
      <c r="J1027" s="9" t="s">
        <v>1305</v>
      </c>
      <c r="K1027" s="9" t="s">
        <v>1306</v>
      </c>
      <c r="L1027" s="83">
        <v>45200</v>
      </c>
      <c r="M1027" s="83">
        <v>45230</v>
      </c>
    </row>
    <row r="1028" spans="1:13" ht="18.75" customHeight="1" x14ac:dyDescent="0.25">
      <c r="A1028" s="9" t="s">
        <v>0</v>
      </c>
      <c r="B1028" s="81">
        <v>112373</v>
      </c>
      <c r="C1028" s="81">
        <v>10757</v>
      </c>
      <c r="D1028" s="9" t="s">
        <v>137</v>
      </c>
      <c r="E1028" s="81">
        <v>14563151</v>
      </c>
      <c r="F1028" s="81">
        <v>29181</v>
      </c>
      <c r="G1028" s="81">
        <v>25</v>
      </c>
      <c r="H1028" s="82">
        <v>26.3</v>
      </c>
      <c r="I1028" s="251">
        <v>657.5</v>
      </c>
      <c r="J1028" s="9" t="s">
        <v>1305</v>
      </c>
      <c r="K1028" s="9" t="s">
        <v>1306</v>
      </c>
      <c r="L1028" s="83">
        <v>45200</v>
      </c>
      <c r="M1028" s="83">
        <v>45230</v>
      </c>
    </row>
    <row r="1029" spans="1:13" ht="18.75" customHeight="1" x14ac:dyDescent="0.25">
      <c r="A1029" s="9" t="s">
        <v>0</v>
      </c>
      <c r="B1029" s="81">
        <v>112380</v>
      </c>
      <c r="C1029" s="81">
        <v>10750</v>
      </c>
      <c r="D1029" s="9" t="s">
        <v>143</v>
      </c>
      <c r="E1029" s="81">
        <v>14563151</v>
      </c>
      <c r="F1029" s="81">
        <v>29195</v>
      </c>
      <c r="G1029" s="81">
        <v>25</v>
      </c>
      <c r="H1029" s="82">
        <v>26.3</v>
      </c>
      <c r="I1029" s="251">
        <v>657.5</v>
      </c>
      <c r="J1029" s="9" t="s">
        <v>1305</v>
      </c>
      <c r="K1029" s="9" t="s">
        <v>1306</v>
      </c>
      <c r="L1029" s="83">
        <v>45200</v>
      </c>
      <c r="M1029" s="83">
        <v>45230</v>
      </c>
    </row>
    <row r="1030" spans="1:13" ht="18.75" customHeight="1" x14ac:dyDescent="0.25">
      <c r="A1030" s="9" t="s">
        <v>0</v>
      </c>
      <c r="B1030" s="81">
        <v>112392</v>
      </c>
      <c r="C1030" s="81">
        <v>10750</v>
      </c>
      <c r="D1030" s="9" t="s">
        <v>150</v>
      </c>
      <c r="E1030" s="81">
        <v>14563151</v>
      </c>
      <c r="F1030" s="81">
        <v>29219</v>
      </c>
      <c r="G1030" s="81">
        <v>25</v>
      </c>
      <c r="H1030" s="82">
        <v>26.3</v>
      </c>
      <c r="I1030" s="251">
        <v>657.5</v>
      </c>
      <c r="J1030" s="9" t="s">
        <v>1305</v>
      </c>
      <c r="K1030" s="9" t="s">
        <v>1306</v>
      </c>
      <c r="L1030" s="83">
        <v>45200</v>
      </c>
      <c r="M1030" s="83">
        <v>45230</v>
      </c>
    </row>
    <row r="1031" spans="1:13" ht="18.75" customHeight="1" x14ac:dyDescent="0.25">
      <c r="A1031" s="9" t="s">
        <v>8</v>
      </c>
      <c r="B1031" s="81">
        <v>116719</v>
      </c>
      <c r="C1031" s="81">
        <v>10750</v>
      </c>
      <c r="D1031" s="9" t="s">
        <v>1217</v>
      </c>
      <c r="E1031" s="81">
        <v>14563151</v>
      </c>
      <c r="F1031" s="81">
        <v>42824</v>
      </c>
      <c r="G1031" s="81">
        <v>25</v>
      </c>
      <c r="H1031" s="82">
        <v>26.3</v>
      </c>
      <c r="I1031" s="251">
        <v>657.5</v>
      </c>
      <c r="J1031" s="9" t="s">
        <v>1305</v>
      </c>
      <c r="K1031" s="9" t="s">
        <v>1306</v>
      </c>
      <c r="L1031" s="83">
        <v>45200</v>
      </c>
      <c r="M1031" s="83">
        <v>45230</v>
      </c>
    </row>
    <row r="1032" spans="1:13" ht="18.75" customHeight="1" x14ac:dyDescent="0.25">
      <c r="A1032" s="9" t="s">
        <v>10</v>
      </c>
      <c r="B1032" s="81">
        <v>112397</v>
      </c>
      <c r="C1032" s="81">
        <v>10750</v>
      </c>
      <c r="D1032" s="9" t="s">
        <v>153</v>
      </c>
      <c r="E1032" s="81">
        <v>14563151</v>
      </c>
      <c r="F1032" s="81">
        <v>29229</v>
      </c>
      <c r="G1032" s="81">
        <v>25</v>
      </c>
      <c r="H1032" s="82">
        <v>26.3</v>
      </c>
      <c r="I1032" s="251">
        <v>657.5</v>
      </c>
      <c r="J1032" s="9" t="s">
        <v>1305</v>
      </c>
      <c r="K1032" s="9" t="s">
        <v>1306</v>
      </c>
      <c r="L1032" s="83">
        <v>45200</v>
      </c>
      <c r="M1032" s="83">
        <v>45230</v>
      </c>
    </row>
    <row r="1033" spans="1:13" ht="18.75" customHeight="1" x14ac:dyDescent="0.25">
      <c r="A1033" s="9" t="s">
        <v>0</v>
      </c>
      <c r="B1033" s="81">
        <v>112402</v>
      </c>
      <c r="C1033" s="81">
        <v>10757</v>
      </c>
      <c r="D1033" s="9" t="s">
        <v>158</v>
      </c>
      <c r="E1033" s="81">
        <v>14563151</v>
      </c>
      <c r="F1033" s="81">
        <v>29239</v>
      </c>
      <c r="G1033" s="81">
        <v>25</v>
      </c>
      <c r="H1033" s="82">
        <v>26.3</v>
      </c>
      <c r="I1033" s="251">
        <v>657.5</v>
      </c>
      <c r="J1033" s="9" t="s">
        <v>1305</v>
      </c>
      <c r="K1033" s="9" t="s">
        <v>1306</v>
      </c>
      <c r="L1033" s="83">
        <v>45200</v>
      </c>
      <c r="M1033" s="83">
        <v>45230</v>
      </c>
    </row>
    <row r="1034" spans="1:13" ht="18.75" customHeight="1" x14ac:dyDescent="0.25">
      <c r="A1034" s="9" t="s">
        <v>8</v>
      </c>
      <c r="B1034" s="81">
        <v>112405</v>
      </c>
      <c r="C1034" s="81">
        <v>10750</v>
      </c>
      <c r="D1034" s="9" t="s">
        <v>160</v>
      </c>
      <c r="E1034" s="81">
        <v>14563151</v>
      </c>
      <c r="F1034" s="81">
        <v>29245</v>
      </c>
      <c r="G1034" s="81">
        <v>25</v>
      </c>
      <c r="H1034" s="82">
        <v>26.3</v>
      </c>
      <c r="I1034" s="251">
        <v>657.5</v>
      </c>
      <c r="J1034" s="9" t="s">
        <v>1305</v>
      </c>
      <c r="K1034" s="9" t="s">
        <v>1306</v>
      </c>
      <c r="L1034" s="83">
        <v>45200</v>
      </c>
      <c r="M1034" s="83">
        <v>45230</v>
      </c>
    </row>
    <row r="1035" spans="1:13" ht="18.75" customHeight="1" x14ac:dyDescent="0.25">
      <c r="A1035" s="9" t="s">
        <v>1578</v>
      </c>
      <c r="B1035" s="81">
        <v>114928</v>
      </c>
      <c r="C1035" s="81">
        <v>10757</v>
      </c>
      <c r="D1035" s="9" t="s">
        <v>1113</v>
      </c>
      <c r="E1035" s="81">
        <v>14563151</v>
      </c>
      <c r="F1035" s="81">
        <v>37635</v>
      </c>
      <c r="G1035" s="81">
        <v>25</v>
      </c>
      <c r="H1035" s="82">
        <v>26.3</v>
      </c>
      <c r="I1035" s="251">
        <v>657.5</v>
      </c>
      <c r="J1035" s="9" t="s">
        <v>1305</v>
      </c>
      <c r="K1035" s="9" t="s">
        <v>1306</v>
      </c>
      <c r="L1035" s="83">
        <v>45200</v>
      </c>
      <c r="M1035" s="83">
        <v>45230</v>
      </c>
    </row>
    <row r="1036" spans="1:13" ht="18.75" customHeight="1" x14ac:dyDescent="0.25">
      <c r="A1036" s="9" t="s">
        <v>10</v>
      </c>
      <c r="B1036" s="81">
        <v>112445</v>
      </c>
      <c r="C1036" s="81">
        <v>10754</v>
      </c>
      <c r="D1036" s="9" t="s">
        <v>186</v>
      </c>
      <c r="E1036" s="81">
        <v>14563151</v>
      </c>
      <c r="F1036" s="81">
        <v>29325</v>
      </c>
      <c r="G1036" s="81">
        <v>25</v>
      </c>
      <c r="H1036" s="82">
        <v>26.3</v>
      </c>
      <c r="I1036" s="251">
        <v>657.5</v>
      </c>
      <c r="J1036" s="9" t="s">
        <v>1305</v>
      </c>
      <c r="K1036" s="9" t="s">
        <v>1306</v>
      </c>
      <c r="L1036" s="83">
        <v>45200</v>
      </c>
      <c r="M1036" s="83">
        <v>45230</v>
      </c>
    </row>
    <row r="1037" spans="1:13" ht="18.75" customHeight="1" x14ac:dyDescent="0.25">
      <c r="A1037" s="9" t="s">
        <v>1580</v>
      </c>
      <c r="B1037" s="81">
        <v>121690</v>
      </c>
      <c r="C1037" s="81">
        <v>10773</v>
      </c>
      <c r="D1037" s="9" t="s">
        <v>1590</v>
      </c>
      <c r="E1037" s="81">
        <v>14563151</v>
      </c>
      <c r="F1037" s="81">
        <v>54342</v>
      </c>
      <c r="G1037" s="81">
        <v>25</v>
      </c>
      <c r="H1037" s="82">
        <v>26.3</v>
      </c>
      <c r="I1037" s="251">
        <v>657.5</v>
      </c>
      <c r="J1037" s="9" t="s">
        <v>1305</v>
      </c>
      <c r="K1037" s="9" t="s">
        <v>1309</v>
      </c>
      <c r="L1037" s="83">
        <v>45200</v>
      </c>
      <c r="M1037" s="83">
        <v>45230</v>
      </c>
    </row>
    <row r="1038" spans="1:13" ht="18.75" customHeight="1" x14ac:dyDescent="0.25">
      <c r="A1038" s="9" t="s">
        <v>10</v>
      </c>
      <c r="B1038" s="81">
        <v>114272</v>
      </c>
      <c r="C1038" s="81">
        <v>10750</v>
      </c>
      <c r="D1038" s="9" t="s">
        <v>1029</v>
      </c>
      <c r="E1038" s="81">
        <v>14563151</v>
      </c>
      <c r="F1038" s="81">
        <v>35824</v>
      </c>
      <c r="G1038" s="81">
        <v>25</v>
      </c>
      <c r="H1038" s="82">
        <v>26.3</v>
      </c>
      <c r="I1038" s="251">
        <v>657.5</v>
      </c>
      <c r="J1038" s="9" t="s">
        <v>1305</v>
      </c>
      <c r="K1038" s="9" t="s">
        <v>1306</v>
      </c>
      <c r="L1038" s="83">
        <v>45200</v>
      </c>
      <c r="M1038" s="83">
        <v>45230</v>
      </c>
    </row>
    <row r="1039" spans="1:13" ht="18.75" customHeight="1" x14ac:dyDescent="0.25">
      <c r="A1039" s="9" t="s">
        <v>19</v>
      </c>
      <c r="B1039" s="81">
        <v>116713</v>
      </c>
      <c r="C1039" s="81">
        <v>10750</v>
      </c>
      <c r="D1039" s="9" t="s">
        <v>1214</v>
      </c>
      <c r="E1039" s="81">
        <v>14563151</v>
      </c>
      <c r="F1039" s="81">
        <v>42812</v>
      </c>
      <c r="G1039" s="81">
        <v>25</v>
      </c>
      <c r="H1039" s="82">
        <v>26.3</v>
      </c>
      <c r="I1039" s="251">
        <v>657.5</v>
      </c>
      <c r="J1039" s="9" t="s">
        <v>1305</v>
      </c>
      <c r="K1039" s="9" t="s">
        <v>1306</v>
      </c>
      <c r="L1039" s="83">
        <v>45200</v>
      </c>
      <c r="M1039" s="83">
        <v>45230</v>
      </c>
    </row>
    <row r="1040" spans="1:13" ht="18.75" customHeight="1" x14ac:dyDescent="0.25">
      <c r="A1040" s="9" t="s">
        <v>19</v>
      </c>
      <c r="B1040" s="81">
        <v>112453</v>
      </c>
      <c r="C1040" s="81">
        <v>10750</v>
      </c>
      <c r="D1040" s="9" t="s">
        <v>191</v>
      </c>
      <c r="E1040" s="81">
        <v>14563151</v>
      </c>
      <c r="F1040" s="81">
        <v>29341</v>
      </c>
      <c r="G1040" s="81">
        <v>25</v>
      </c>
      <c r="H1040" s="82">
        <v>26.3</v>
      </c>
      <c r="I1040" s="251">
        <v>657.5</v>
      </c>
      <c r="J1040" s="9" t="s">
        <v>1305</v>
      </c>
      <c r="K1040" s="9" t="s">
        <v>1306</v>
      </c>
      <c r="L1040" s="83">
        <v>45200</v>
      </c>
      <c r="M1040" s="83">
        <v>45230</v>
      </c>
    </row>
    <row r="1041" spans="1:13" ht="18.75" customHeight="1" x14ac:dyDescent="0.25">
      <c r="A1041" s="9" t="s">
        <v>10</v>
      </c>
      <c r="B1041" s="81">
        <v>112469</v>
      </c>
      <c r="C1041" s="81">
        <v>10750</v>
      </c>
      <c r="D1041" s="9" t="s">
        <v>198</v>
      </c>
      <c r="E1041" s="81">
        <v>14563151</v>
      </c>
      <c r="F1041" s="81">
        <v>29373</v>
      </c>
      <c r="G1041" s="81">
        <v>25</v>
      </c>
      <c r="H1041" s="82">
        <v>26.3</v>
      </c>
      <c r="I1041" s="251">
        <v>657.5</v>
      </c>
      <c r="J1041" s="9" t="s">
        <v>1305</v>
      </c>
      <c r="K1041" s="9" t="s">
        <v>1306</v>
      </c>
      <c r="L1041" s="83">
        <v>45200</v>
      </c>
      <c r="M1041" s="83">
        <v>45230</v>
      </c>
    </row>
    <row r="1042" spans="1:13" ht="18.75" customHeight="1" x14ac:dyDescent="0.25">
      <c r="A1042" s="9" t="s">
        <v>1580</v>
      </c>
      <c r="B1042" s="81">
        <v>112476</v>
      </c>
      <c r="C1042" s="81">
        <v>10773</v>
      </c>
      <c r="D1042" s="9" t="s">
        <v>204</v>
      </c>
      <c r="E1042" s="81">
        <v>14563151</v>
      </c>
      <c r="F1042" s="81">
        <v>29387</v>
      </c>
      <c r="G1042" s="81">
        <v>25</v>
      </c>
      <c r="H1042" s="82">
        <v>26.3</v>
      </c>
      <c r="I1042" s="251">
        <v>657.5</v>
      </c>
      <c r="J1042" s="9" t="s">
        <v>1305</v>
      </c>
      <c r="K1042" s="9" t="s">
        <v>1309</v>
      </c>
      <c r="L1042" s="83">
        <v>45200</v>
      </c>
      <c r="M1042" s="83">
        <v>45230</v>
      </c>
    </row>
    <row r="1043" spans="1:13" ht="18.75" customHeight="1" x14ac:dyDescent="0.25">
      <c r="A1043" s="9" t="s">
        <v>1578</v>
      </c>
      <c r="B1043" s="81">
        <v>115012</v>
      </c>
      <c r="C1043" s="81">
        <v>10758</v>
      </c>
      <c r="D1043" s="9" t="s">
        <v>1139</v>
      </c>
      <c r="E1043" s="81">
        <v>14563151</v>
      </c>
      <c r="F1043" s="81">
        <v>37809</v>
      </c>
      <c r="G1043" s="81">
        <v>22</v>
      </c>
      <c r="H1043" s="82">
        <v>26.3</v>
      </c>
      <c r="I1043" s="251">
        <v>578.6</v>
      </c>
      <c r="J1043" s="9" t="s">
        <v>1305</v>
      </c>
      <c r="K1043" s="9" t="s">
        <v>1306</v>
      </c>
      <c r="L1043" s="83">
        <v>45200</v>
      </c>
      <c r="M1043" s="83">
        <v>45230</v>
      </c>
    </row>
    <row r="1044" spans="1:13" ht="18.75" customHeight="1" x14ac:dyDescent="0.25">
      <c r="A1044" s="9" t="s">
        <v>32</v>
      </c>
      <c r="B1044" s="81">
        <v>114733</v>
      </c>
      <c r="C1044" s="81">
        <v>10758</v>
      </c>
      <c r="D1044" s="9" t="s">
        <v>1082</v>
      </c>
      <c r="E1044" s="81">
        <v>14563151</v>
      </c>
      <c r="F1044" s="81">
        <v>36915</v>
      </c>
      <c r="G1044" s="81">
        <v>24</v>
      </c>
      <c r="H1044" s="82">
        <v>26.3</v>
      </c>
      <c r="I1044" s="251">
        <v>631.20000000000005</v>
      </c>
      <c r="J1044" s="9" t="s">
        <v>1305</v>
      </c>
      <c r="K1044" s="9" t="s">
        <v>1306</v>
      </c>
      <c r="L1044" s="83">
        <v>45200</v>
      </c>
      <c r="M1044" s="83">
        <v>45230</v>
      </c>
    </row>
    <row r="1045" spans="1:13" ht="18.75" customHeight="1" x14ac:dyDescent="0.25">
      <c r="A1045" s="9" t="s">
        <v>0</v>
      </c>
      <c r="B1045" s="81">
        <v>116031</v>
      </c>
      <c r="C1045" s="81">
        <v>10763</v>
      </c>
      <c r="D1045" s="9" t="s">
        <v>1177</v>
      </c>
      <c r="E1045" s="81">
        <v>14563151</v>
      </c>
      <c r="F1045" s="81">
        <v>40925</v>
      </c>
      <c r="G1045" s="81">
        <v>25</v>
      </c>
      <c r="H1045" s="82">
        <v>26.3</v>
      </c>
      <c r="I1045" s="251">
        <v>657.5</v>
      </c>
      <c r="J1045" s="9" t="s">
        <v>1305</v>
      </c>
      <c r="K1045" s="9" t="s">
        <v>1306</v>
      </c>
      <c r="L1045" s="83">
        <v>45200</v>
      </c>
      <c r="M1045" s="83">
        <v>45230</v>
      </c>
    </row>
    <row r="1046" spans="1:13" ht="18.75" customHeight="1" x14ac:dyDescent="0.25">
      <c r="A1046" s="9" t="s">
        <v>1578</v>
      </c>
      <c r="B1046" s="81">
        <v>116977</v>
      </c>
      <c r="C1046" s="81">
        <v>10757</v>
      </c>
      <c r="D1046" s="9" t="s">
        <v>1239</v>
      </c>
      <c r="E1046" s="81">
        <v>14563151</v>
      </c>
      <c r="F1046" s="81">
        <v>43465</v>
      </c>
      <c r="G1046" s="81">
        <v>25</v>
      </c>
      <c r="H1046" s="82">
        <v>26.3</v>
      </c>
      <c r="I1046" s="251">
        <v>657.5</v>
      </c>
      <c r="J1046" s="9" t="s">
        <v>1305</v>
      </c>
      <c r="K1046" s="9" t="s">
        <v>1306</v>
      </c>
      <c r="L1046" s="83">
        <v>45200</v>
      </c>
      <c r="M1046" s="83">
        <v>45230</v>
      </c>
    </row>
    <row r="1047" spans="1:13" ht="18.75" customHeight="1" x14ac:dyDescent="0.25">
      <c r="A1047" s="9" t="s">
        <v>8</v>
      </c>
      <c r="B1047" s="81">
        <v>112492</v>
      </c>
      <c r="C1047" s="81">
        <v>10750</v>
      </c>
      <c r="D1047" s="9" t="s">
        <v>213</v>
      </c>
      <c r="E1047" s="81">
        <v>14563151</v>
      </c>
      <c r="F1047" s="81">
        <v>29419</v>
      </c>
      <c r="G1047" s="81">
        <v>25</v>
      </c>
      <c r="H1047" s="82">
        <v>26.3</v>
      </c>
      <c r="I1047" s="251">
        <v>657.5</v>
      </c>
      <c r="J1047" s="9" t="s">
        <v>1305</v>
      </c>
      <c r="K1047" s="9" t="s">
        <v>1306</v>
      </c>
      <c r="L1047" s="83">
        <v>45200</v>
      </c>
      <c r="M1047" s="83">
        <v>45230</v>
      </c>
    </row>
    <row r="1048" spans="1:13" ht="18.75" customHeight="1" x14ac:dyDescent="0.25">
      <c r="A1048" s="9" t="s">
        <v>10</v>
      </c>
      <c r="B1048" s="81">
        <v>112497</v>
      </c>
      <c r="C1048" s="81">
        <v>10763</v>
      </c>
      <c r="D1048" s="9" t="s">
        <v>1372</v>
      </c>
      <c r="E1048" s="81">
        <v>14563151</v>
      </c>
      <c r="F1048" s="81">
        <v>29429</v>
      </c>
      <c r="G1048" s="81">
        <v>25</v>
      </c>
      <c r="H1048" s="82">
        <v>26.3</v>
      </c>
      <c r="I1048" s="251">
        <v>657.5</v>
      </c>
      <c r="J1048" s="9" t="s">
        <v>1305</v>
      </c>
      <c r="K1048" s="9" t="s">
        <v>1306</v>
      </c>
      <c r="L1048" s="83">
        <v>45200</v>
      </c>
      <c r="M1048" s="83">
        <v>45230</v>
      </c>
    </row>
    <row r="1049" spans="1:13" ht="18.75" customHeight="1" x14ac:dyDescent="0.25">
      <c r="A1049" s="9" t="s">
        <v>19</v>
      </c>
      <c r="B1049" s="81">
        <v>112578</v>
      </c>
      <c r="C1049" s="81">
        <v>10758</v>
      </c>
      <c r="D1049" s="9" t="s">
        <v>1373</v>
      </c>
      <c r="E1049" s="81">
        <v>14563151</v>
      </c>
      <c r="F1049" s="81">
        <v>29591</v>
      </c>
      <c r="G1049" s="81">
        <v>25</v>
      </c>
      <c r="H1049" s="82">
        <v>26.3</v>
      </c>
      <c r="I1049" s="251">
        <v>657.5</v>
      </c>
      <c r="J1049" s="9" t="s">
        <v>1305</v>
      </c>
      <c r="K1049" s="9" t="s">
        <v>1306</v>
      </c>
      <c r="L1049" s="83">
        <v>45200</v>
      </c>
      <c r="M1049" s="83">
        <v>45230</v>
      </c>
    </row>
    <row r="1050" spans="1:13" ht="18.75" customHeight="1" x14ac:dyDescent="0.25">
      <c r="A1050" s="9" t="s">
        <v>1578</v>
      </c>
      <c r="B1050" s="81">
        <v>119925</v>
      </c>
      <c r="C1050" s="81">
        <v>10766</v>
      </c>
      <c r="D1050" s="9" t="s">
        <v>1488</v>
      </c>
      <c r="E1050" s="81">
        <v>14563151</v>
      </c>
      <c r="F1050" s="81">
        <v>50255</v>
      </c>
      <c r="G1050" s="81">
        <v>25</v>
      </c>
      <c r="H1050" s="82">
        <v>26.3</v>
      </c>
      <c r="I1050" s="251">
        <v>657.5</v>
      </c>
      <c r="J1050" s="9" t="s">
        <v>1305</v>
      </c>
      <c r="K1050" s="9" t="s">
        <v>1309</v>
      </c>
      <c r="L1050" s="83">
        <v>45200</v>
      </c>
      <c r="M1050" s="83">
        <v>45230</v>
      </c>
    </row>
    <row r="1051" spans="1:13" ht="18.75" customHeight="1" x14ac:dyDescent="0.25">
      <c r="A1051" s="9" t="s">
        <v>1578</v>
      </c>
      <c r="B1051" s="81">
        <v>112608</v>
      </c>
      <c r="C1051" s="81">
        <v>10761</v>
      </c>
      <c r="D1051" s="9" t="s">
        <v>292</v>
      </c>
      <c r="E1051" s="81">
        <v>14563151</v>
      </c>
      <c r="F1051" s="81">
        <v>29651</v>
      </c>
      <c r="G1051" s="81">
        <v>25</v>
      </c>
      <c r="H1051" s="82">
        <v>26.3</v>
      </c>
      <c r="I1051" s="251">
        <v>657.5</v>
      </c>
      <c r="J1051" s="9" t="s">
        <v>1305</v>
      </c>
      <c r="K1051" s="9" t="s">
        <v>1306</v>
      </c>
      <c r="L1051" s="83">
        <v>45200</v>
      </c>
      <c r="M1051" s="83">
        <v>45230</v>
      </c>
    </row>
    <row r="1052" spans="1:13" ht="18.75" customHeight="1" x14ac:dyDescent="0.25">
      <c r="A1052" s="9" t="s">
        <v>0</v>
      </c>
      <c r="B1052" s="81">
        <v>116981</v>
      </c>
      <c r="C1052" s="81">
        <v>10758</v>
      </c>
      <c r="D1052" s="9" t="s">
        <v>1242</v>
      </c>
      <c r="E1052" s="81">
        <v>14563151</v>
      </c>
      <c r="F1052" s="81">
        <v>43473</v>
      </c>
      <c r="G1052" s="81">
        <v>25</v>
      </c>
      <c r="H1052" s="82">
        <v>26.3</v>
      </c>
      <c r="I1052" s="251">
        <v>657.5</v>
      </c>
      <c r="J1052" s="9" t="s">
        <v>1305</v>
      </c>
      <c r="K1052" s="9" t="s">
        <v>1306</v>
      </c>
      <c r="L1052" s="83">
        <v>45200</v>
      </c>
      <c r="M1052" s="83">
        <v>45230</v>
      </c>
    </row>
    <row r="1053" spans="1:13" ht="18.75" customHeight="1" x14ac:dyDescent="0.25">
      <c r="A1053" s="9" t="s">
        <v>8</v>
      </c>
      <c r="B1053" s="81">
        <v>112615</v>
      </c>
      <c r="C1053" s="81">
        <v>10754</v>
      </c>
      <c r="D1053" s="9" t="s">
        <v>299</v>
      </c>
      <c r="E1053" s="81">
        <v>14563151</v>
      </c>
      <c r="F1053" s="81">
        <v>29665</v>
      </c>
      <c r="G1053" s="81">
        <v>25</v>
      </c>
      <c r="H1053" s="82">
        <v>26.3</v>
      </c>
      <c r="I1053" s="251">
        <v>657.5</v>
      </c>
      <c r="J1053" s="9" t="s">
        <v>1305</v>
      </c>
      <c r="K1053" s="9" t="s">
        <v>1306</v>
      </c>
      <c r="L1053" s="83">
        <v>45200</v>
      </c>
      <c r="M1053" s="83">
        <v>45230</v>
      </c>
    </row>
    <row r="1054" spans="1:13" ht="18.75" customHeight="1" x14ac:dyDescent="0.25">
      <c r="A1054" s="9" t="s">
        <v>1578</v>
      </c>
      <c r="B1054" s="81">
        <v>112621</v>
      </c>
      <c r="C1054" s="81">
        <v>10755</v>
      </c>
      <c r="D1054" s="9" t="s">
        <v>304</v>
      </c>
      <c r="E1054" s="81">
        <v>14563151</v>
      </c>
      <c r="F1054" s="81">
        <v>29677</v>
      </c>
      <c r="G1054" s="81">
        <v>25</v>
      </c>
      <c r="H1054" s="82">
        <v>26.3</v>
      </c>
      <c r="I1054" s="251">
        <v>657.5</v>
      </c>
      <c r="J1054" s="9" t="s">
        <v>1305</v>
      </c>
      <c r="K1054" s="9" t="s">
        <v>1306</v>
      </c>
      <c r="L1054" s="83">
        <v>45200</v>
      </c>
      <c r="M1054" s="83">
        <v>45230</v>
      </c>
    </row>
    <row r="1055" spans="1:13" ht="18.75" customHeight="1" x14ac:dyDescent="0.25">
      <c r="A1055" s="9" t="s">
        <v>8</v>
      </c>
      <c r="B1055" s="81">
        <v>112635</v>
      </c>
      <c r="C1055" s="81">
        <v>10750</v>
      </c>
      <c r="D1055" s="9" t="s">
        <v>312</v>
      </c>
      <c r="E1055" s="81">
        <v>14563151</v>
      </c>
      <c r="F1055" s="81">
        <v>29705</v>
      </c>
      <c r="G1055" s="81">
        <v>25</v>
      </c>
      <c r="H1055" s="82">
        <v>26.3</v>
      </c>
      <c r="I1055" s="251">
        <v>657.5</v>
      </c>
      <c r="J1055" s="9" t="s">
        <v>1305</v>
      </c>
      <c r="K1055" s="9" t="s">
        <v>1306</v>
      </c>
      <c r="L1055" s="83">
        <v>45200</v>
      </c>
      <c r="M1055" s="83">
        <v>45230</v>
      </c>
    </row>
    <row r="1056" spans="1:13" ht="18.75" customHeight="1" x14ac:dyDescent="0.25">
      <c r="A1056" s="9" t="s">
        <v>10</v>
      </c>
      <c r="B1056" s="81">
        <v>112659</v>
      </c>
      <c r="C1056" s="81">
        <v>10750</v>
      </c>
      <c r="D1056" s="9" t="s">
        <v>324</v>
      </c>
      <c r="E1056" s="81">
        <v>14563151</v>
      </c>
      <c r="F1056" s="81">
        <v>29753</v>
      </c>
      <c r="G1056" s="81">
        <v>25</v>
      </c>
      <c r="H1056" s="82">
        <v>26.3</v>
      </c>
      <c r="I1056" s="251">
        <v>657.5</v>
      </c>
      <c r="J1056" s="9" t="s">
        <v>1305</v>
      </c>
      <c r="K1056" s="9" t="s">
        <v>1306</v>
      </c>
      <c r="L1056" s="83">
        <v>45200</v>
      </c>
      <c r="M1056" s="83">
        <v>45230</v>
      </c>
    </row>
    <row r="1057" spans="1:13" ht="18.75" customHeight="1" x14ac:dyDescent="0.25">
      <c r="A1057" s="9" t="s">
        <v>0</v>
      </c>
      <c r="B1057" s="81">
        <v>114750</v>
      </c>
      <c r="C1057" s="81">
        <v>10758</v>
      </c>
      <c r="D1057" s="9" t="s">
        <v>1640</v>
      </c>
      <c r="E1057" s="81">
        <v>14563151</v>
      </c>
      <c r="F1057" s="81">
        <v>36949</v>
      </c>
      <c r="G1057" s="81">
        <v>25</v>
      </c>
      <c r="H1057" s="82">
        <v>26.3</v>
      </c>
      <c r="I1057" s="251">
        <v>657.5</v>
      </c>
      <c r="J1057" s="9" t="s">
        <v>1305</v>
      </c>
      <c r="K1057" s="9" t="s">
        <v>1306</v>
      </c>
      <c r="L1057" s="83">
        <v>45200</v>
      </c>
      <c r="M1057" s="83">
        <v>45230</v>
      </c>
    </row>
    <row r="1058" spans="1:13" ht="18.75" customHeight="1" x14ac:dyDescent="0.25">
      <c r="A1058" s="9" t="s">
        <v>0</v>
      </c>
      <c r="B1058" s="81">
        <v>112669</v>
      </c>
      <c r="C1058" s="81">
        <v>10750</v>
      </c>
      <c r="D1058" s="9" t="s">
        <v>1374</v>
      </c>
      <c r="E1058" s="81">
        <v>14563151</v>
      </c>
      <c r="F1058" s="81">
        <v>29773</v>
      </c>
      <c r="G1058" s="81">
        <v>25</v>
      </c>
      <c r="H1058" s="82">
        <v>26.3</v>
      </c>
      <c r="I1058" s="251">
        <v>657.5</v>
      </c>
      <c r="J1058" s="9" t="s">
        <v>1305</v>
      </c>
      <c r="K1058" s="9" t="s">
        <v>1306</v>
      </c>
      <c r="L1058" s="83">
        <v>45200</v>
      </c>
      <c r="M1058" s="83">
        <v>45230</v>
      </c>
    </row>
    <row r="1059" spans="1:13" ht="18.75" customHeight="1" x14ac:dyDescent="0.25">
      <c r="A1059" s="9" t="s">
        <v>10</v>
      </c>
      <c r="B1059" s="81">
        <v>112675</v>
      </c>
      <c r="C1059" s="81">
        <v>10750</v>
      </c>
      <c r="D1059" s="9" t="s">
        <v>332</v>
      </c>
      <c r="E1059" s="81">
        <v>14563151</v>
      </c>
      <c r="F1059" s="81">
        <v>29785</v>
      </c>
      <c r="G1059" s="81">
        <v>25</v>
      </c>
      <c r="H1059" s="82">
        <v>26.3</v>
      </c>
      <c r="I1059" s="251">
        <v>657.5</v>
      </c>
      <c r="J1059" s="9" t="s">
        <v>1305</v>
      </c>
      <c r="K1059" s="9" t="s">
        <v>1306</v>
      </c>
      <c r="L1059" s="83">
        <v>45200</v>
      </c>
      <c r="M1059" s="83">
        <v>45230</v>
      </c>
    </row>
    <row r="1060" spans="1:13" ht="18.75" customHeight="1" x14ac:dyDescent="0.25">
      <c r="A1060" s="9" t="s">
        <v>10</v>
      </c>
      <c r="B1060" s="81">
        <v>112681</v>
      </c>
      <c r="C1060" s="81">
        <v>10750</v>
      </c>
      <c r="D1060" s="9" t="s">
        <v>336</v>
      </c>
      <c r="E1060" s="81">
        <v>14563151</v>
      </c>
      <c r="F1060" s="81">
        <v>29797</v>
      </c>
      <c r="G1060" s="81">
        <v>25</v>
      </c>
      <c r="H1060" s="82">
        <v>26.3</v>
      </c>
      <c r="I1060" s="251">
        <v>657.5</v>
      </c>
      <c r="J1060" s="9" t="s">
        <v>1305</v>
      </c>
      <c r="K1060" s="9" t="s">
        <v>1309</v>
      </c>
      <c r="L1060" s="83">
        <v>45200</v>
      </c>
      <c r="M1060" s="83">
        <v>45230</v>
      </c>
    </row>
    <row r="1061" spans="1:13" ht="18.75" customHeight="1" x14ac:dyDescent="0.25">
      <c r="A1061" s="9" t="s">
        <v>19</v>
      </c>
      <c r="B1061" s="81">
        <v>114231</v>
      </c>
      <c r="C1061" s="81">
        <v>10771</v>
      </c>
      <c r="D1061" s="9" t="s">
        <v>1015</v>
      </c>
      <c r="E1061" s="81">
        <v>14563151</v>
      </c>
      <c r="F1061" s="81">
        <v>35716</v>
      </c>
      <c r="G1061" s="81">
        <v>25</v>
      </c>
      <c r="H1061" s="82">
        <v>26.3</v>
      </c>
      <c r="I1061" s="251">
        <v>657.5</v>
      </c>
      <c r="J1061" s="9" t="s">
        <v>1305</v>
      </c>
      <c r="K1061" s="9" t="s">
        <v>1306</v>
      </c>
      <c r="L1061" s="83">
        <v>45200</v>
      </c>
      <c r="M1061" s="83">
        <v>45230</v>
      </c>
    </row>
    <row r="1062" spans="1:13" ht="18.75" customHeight="1" x14ac:dyDescent="0.25">
      <c r="A1062" s="9" t="s">
        <v>32</v>
      </c>
      <c r="B1062" s="81">
        <v>112692</v>
      </c>
      <c r="C1062" s="81">
        <v>10750</v>
      </c>
      <c r="D1062" s="9" t="s">
        <v>344</v>
      </c>
      <c r="E1062" s="81">
        <v>14563151</v>
      </c>
      <c r="F1062" s="81">
        <v>29819</v>
      </c>
      <c r="G1062" s="81">
        <v>25</v>
      </c>
      <c r="H1062" s="82">
        <v>26.3</v>
      </c>
      <c r="I1062" s="251">
        <v>657.5</v>
      </c>
      <c r="J1062" s="9" t="s">
        <v>1305</v>
      </c>
      <c r="K1062" s="9" t="s">
        <v>1306</v>
      </c>
      <c r="L1062" s="83">
        <v>45200</v>
      </c>
      <c r="M1062" s="83">
        <v>45230</v>
      </c>
    </row>
    <row r="1063" spans="1:13" ht="18.75" customHeight="1" x14ac:dyDescent="0.25">
      <c r="A1063" s="9" t="s">
        <v>1580</v>
      </c>
      <c r="B1063" s="81">
        <v>113741</v>
      </c>
      <c r="C1063" s="81">
        <v>10773</v>
      </c>
      <c r="D1063" s="9" t="s">
        <v>959</v>
      </c>
      <c r="E1063" s="81">
        <v>14563151</v>
      </c>
      <c r="F1063" s="81">
        <v>31917</v>
      </c>
      <c r="G1063" s="81">
        <v>25</v>
      </c>
      <c r="H1063" s="82">
        <v>26.3</v>
      </c>
      <c r="I1063" s="251">
        <v>657.5</v>
      </c>
      <c r="J1063" s="9" t="s">
        <v>1305</v>
      </c>
      <c r="K1063" s="9" t="s">
        <v>1309</v>
      </c>
      <c r="L1063" s="83">
        <v>45200</v>
      </c>
      <c r="M1063" s="83">
        <v>45230</v>
      </c>
    </row>
    <row r="1064" spans="1:13" ht="18.75" customHeight="1" x14ac:dyDescent="0.25">
      <c r="A1064" s="9" t="s">
        <v>0</v>
      </c>
      <c r="B1064" s="81">
        <v>113582</v>
      </c>
      <c r="C1064" s="81">
        <v>10750</v>
      </c>
      <c r="D1064" s="9" t="s">
        <v>856</v>
      </c>
      <c r="E1064" s="81">
        <v>14563151</v>
      </c>
      <c r="F1064" s="81">
        <v>31599</v>
      </c>
      <c r="G1064" s="81">
        <v>25</v>
      </c>
      <c r="H1064" s="82">
        <v>26.3</v>
      </c>
      <c r="I1064" s="251">
        <v>657.5</v>
      </c>
      <c r="J1064" s="9" t="s">
        <v>1305</v>
      </c>
      <c r="K1064" s="9" t="s">
        <v>1306</v>
      </c>
      <c r="L1064" s="83">
        <v>45200</v>
      </c>
      <c r="M1064" s="83">
        <v>45230</v>
      </c>
    </row>
    <row r="1065" spans="1:13" ht="18.75" customHeight="1" x14ac:dyDescent="0.25">
      <c r="A1065" s="9" t="s">
        <v>19</v>
      </c>
      <c r="B1065" s="81">
        <v>116718</v>
      </c>
      <c r="C1065" s="81">
        <v>10750</v>
      </c>
      <c r="D1065" s="9" t="s">
        <v>1216</v>
      </c>
      <c r="E1065" s="81">
        <v>14563151</v>
      </c>
      <c r="F1065" s="81">
        <v>42822</v>
      </c>
      <c r="G1065" s="81">
        <v>25</v>
      </c>
      <c r="H1065" s="82">
        <v>26.3</v>
      </c>
      <c r="I1065" s="251">
        <v>657.5</v>
      </c>
      <c r="J1065" s="9" t="s">
        <v>1305</v>
      </c>
      <c r="K1065" s="9" t="s">
        <v>1306</v>
      </c>
      <c r="L1065" s="83">
        <v>45200</v>
      </c>
      <c r="M1065" s="83">
        <v>45230</v>
      </c>
    </row>
    <row r="1066" spans="1:13" ht="18.75" customHeight="1" x14ac:dyDescent="0.25">
      <c r="A1066" s="9" t="s">
        <v>10</v>
      </c>
      <c r="B1066" s="81">
        <v>112703</v>
      </c>
      <c r="C1066" s="81">
        <v>10750</v>
      </c>
      <c r="D1066" s="9" t="s">
        <v>352</v>
      </c>
      <c r="E1066" s="81">
        <v>14563151</v>
      </c>
      <c r="F1066" s="81">
        <v>29841</v>
      </c>
      <c r="G1066" s="81">
        <v>25</v>
      </c>
      <c r="H1066" s="82">
        <v>26.3</v>
      </c>
      <c r="I1066" s="251">
        <v>657.5</v>
      </c>
      <c r="J1066" s="9" t="s">
        <v>1305</v>
      </c>
      <c r="K1066" s="9" t="s">
        <v>1306</v>
      </c>
      <c r="L1066" s="83">
        <v>45200</v>
      </c>
      <c r="M1066" s="83">
        <v>45230</v>
      </c>
    </row>
    <row r="1067" spans="1:13" ht="18.75" customHeight="1" x14ac:dyDescent="0.25">
      <c r="A1067" s="9" t="s">
        <v>1578</v>
      </c>
      <c r="B1067" s="81">
        <v>114105</v>
      </c>
      <c r="C1067" s="81">
        <v>10757</v>
      </c>
      <c r="D1067" s="9" t="s">
        <v>1005</v>
      </c>
      <c r="E1067" s="81">
        <v>14563151</v>
      </c>
      <c r="F1067" s="81">
        <v>34360</v>
      </c>
      <c r="G1067" s="81">
        <v>25</v>
      </c>
      <c r="H1067" s="82">
        <v>26.3</v>
      </c>
      <c r="I1067" s="251">
        <v>657.5</v>
      </c>
      <c r="J1067" s="9" t="s">
        <v>1305</v>
      </c>
      <c r="K1067" s="9" t="s">
        <v>1309</v>
      </c>
      <c r="L1067" s="83">
        <v>45200</v>
      </c>
      <c r="M1067" s="83">
        <v>45230</v>
      </c>
    </row>
    <row r="1068" spans="1:13" ht="18.75" customHeight="1" x14ac:dyDescent="0.25">
      <c r="A1068" s="9" t="s">
        <v>10</v>
      </c>
      <c r="B1068" s="81">
        <v>114930</v>
      </c>
      <c r="C1068" s="81">
        <v>10757</v>
      </c>
      <c r="D1068" s="9" t="s">
        <v>1375</v>
      </c>
      <c r="E1068" s="81">
        <v>14563151</v>
      </c>
      <c r="F1068" s="81">
        <v>37639</v>
      </c>
      <c r="G1068" s="81">
        <v>25</v>
      </c>
      <c r="H1068" s="82">
        <v>26.3</v>
      </c>
      <c r="I1068" s="251">
        <v>657.5</v>
      </c>
      <c r="J1068" s="9" t="s">
        <v>1305</v>
      </c>
      <c r="K1068" s="9" t="s">
        <v>1306</v>
      </c>
      <c r="L1068" s="83">
        <v>45200</v>
      </c>
      <c r="M1068" s="83">
        <v>45230</v>
      </c>
    </row>
    <row r="1069" spans="1:13" ht="18.75" customHeight="1" x14ac:dyDescent="0.25">
      <c r="A1069" s="9" t="s">
        <v>8</v>
      </c>
      <c r="B1069" s="81">
        <v>112718</v>
      </c>
      <c r="C1069" s="81">
        <v>10750</v>
      </c>
      <c r="D1069" s="9" t="s">
        <v>361</v>
      </c>
      <c r="E1069" s="81">
        <v>14563151</v>
      </c>
      <c r="F1069" s="81">
        <v>29871</v>
      </c>
      <c r="G1069" s="81">
        <v>25</v>
      </c>
      <c r="H1069" s="82">
        <v>26.3</v>
      </c>
      <c r="I1069" s="251">
        <v>657.5</v>
      </c>
      <c r="J1069" s="9" t="s">
        <v>1305</v>
      </c>
      <c r="K1069" s="9" t="s">
        <v>1306</v>
      </c>
      <c r="L1069" s="83">
        <v>45200</v>
      </c>
      <c r="M1069" s="83">
        <v>45230</v>
      </c>
    </row>
    <row r="1070" spans="1:13" ht="18.75" customHeight="1" x14ac:dyDescent="0.25">
      <c r="A1070" s="9" t="s">
        <v>8</v>
      </c>
      <c r="B1070" s="81">
        <v>112731</v>
      </c>
      <c r="C1070" s="81">
        <v>10750</v>
      </c>
      <c r="D1070" s="9" t="s">
        <v>370</v>
      </c>
      <c r="E1070" s="81">
        <v>14563151</v>
      </c>
      <c r="F1070" s="81">
        <v>29897</v>
      </c>
      <c r="G1070" s="81">
        <v>25</v>
      </c>
      <c r="H1070" s="82">
        <v>26.3</v>
      </c>
      <c r="I1070" s="251">
        <v>657.5</v>
      </c>
      <c r="J1070" s="9" t="s">
        <v>1305</v>
      </c>
      <c r="K1070" s="9" t="s">
        <v>1306</v>
      </c>
      <c r="L1070" s="83">
        <v>45200</v>
      </c>
      <c r="M1070" s="83">
        <v>45230</v>
      </c>
    </row>
    <row r="1071" spans="1:13" ht="18.75" customHeight="1" x14ac:dyDescent="0.25">
      <c r="A1071" s="9" t="s">
        <v>19</v>
      </c>
      <c r="B1071" s="81">
        <v>115447</v>
      </c>
      <c r="C1071" s="81">
        <v>10771</v>
      </c>
      <c r="D1071" s="9" t="s">
        <v>1541</v>
      </c>
      <c r="E1071" s="81">
        <v>14563151</v>
      </c>
      <c r="F1071" s="81">
        <v>39175</v>
      </c>
      <c r="G1071" s="81">
        <v>25</v>
      </c>
      <c r="H1071" s="82">
        <v>26.3</v>
      </c>
      <c r="I1071" s="251">
        <v>657.5</v>
      </c>
      <c r="J1071" s="9" t="s">
        <v>1305</v>
      </c>
      <c r="K1071" s="9" t="s">
        <v>1306</v>
      </c>
      <c r="L1071" s="83">
        <v>45200</v>
      </c>
      <c r="M1071" s="83">
        <v>45230</v>
      </c>
    </row>
    <row r="1072" spans="1:13" ht="18.75" customHeight="1" x14ac:dyDescent="0.25">
      <c r="A1072" s="9" t="s">
        <v>10</v>
      </c>
      <c r="B1072" s="81">
        <v>112744</v>
      </c>
      <c r="C1072" s="81">
        <v>10756</v>
      </c>
      <c r="D1072" s="9" t="s">
        <v>1376</v>
      </c>
      <c r="E1072" s="81">
        <v>14563151</v>
      </c>
      <c r="F1072" s="81">
        <v>29923</v>
      </c>
      <c r="G1072" s="81">
        <v>25</v>
      </c>
      <c r="H1072" s="82">
        <v>26.3</v>
      </c>
      <c r="I1072" s="251">
        <v>657.5</v>
      </c>
      <c r="J1072" s="9" t="s">
        <v>1305</v>
      </c>
      <c r="K1072" s="9" t="s">
        <v>1306</v>
      </c>
      <c r="L1072" s="83">
        <v>45200</v>
      </c>
      <c r="M1072" s="83">
        <v>45230</v>
      </c>
    </row>
    <row r="1073" spans="1:13" ht="18.75" customHeight="1" x14ac:dyDescent="0.25">
      <c r="A1073" s="9" t="s">
        <v>1578</v>
      </c>
      <c r="B1073" s="81">
        <v>119928</v>
      </c>
      <c r="C1073" s="81">
        <v>10766</v>
      </c>
      <c r="D1073" s="9" t="s">
        <v>1483</v>
      </c>
      <c r="E1073" s="81">
        <v>14563151</v>
      </c>
      <c r="F1073" s="81">
        <v>50259</v>
      </c>
      <c r="G1073" s="81">
        <v>25</v>
      </c>
      <c r="H1073" s="82">
        <v>26.3</v>
      </c>
      <c r="I1073" s="251">
        <v>657.5</v>
      </c>
      <c r="J1073" s="9" t="s">
        <v>1305</v>
      </c>
      <c r="K1073" s="9" t="s">
        <v>1306</v>
      </c>
      <c r="L1073" s="83">
        <v>45200</v>
      </c>
      <c r="M1073" s="83">
        <v>45230</v>
      </c>
    </row>
    <row r="1074" spans="1:13" ht="18.75" customHeight="1" x14ac:dyDescent="0.25">
      <c r="A1074" s="9" t="s">
        <v>0</v>
      </c>
      <c r="B1074" s="81">
        <v>121319</v>
      </c>
      <c r="C1074" s="81">
        <v>10757</v>
      </c>
      <c r="D1074" s="9" t="s">
        <v>1535</v>
      </c>
      <c r="E1074" s="81">
        <v>14563151</v>
      </c>
      <c r="F1074" s="81">
        <v>53493</v>
      </c>
      <c r="G1074" s="81">
        <v>25</v>
      </c>
      <c r="H1074" s="82">
        <v>26.3</v>
      </c>
      <c r="I1074" s="251">
        <v>657.5</v>
      </c>
      <c r="J1074" s="9" t="s">
        <v>1305</v>
      </c>
      <c r="K1074" s="9" t="s">
        <v>1306</v>
      </c>
      <c r="L1074" s="83">
        <v>45200</v>
      </c>
      <c r="M1074" s="83">
        <v>45230</v>
      </c>
    </row>
    <row r="1075" spans="1:13" ht="18.75" customHeight="1" x14ac:dyDescent="0.25">
      <c r="A1075" s="9" t="s">
        <v>8</v>
      </c>
      <c r="B1075" s="81">
        <v>121025</v>
      </c>
      <c r="C1075" s="81">
        <v>10750</v>
      </c>
      <c r="D1075" s="9" t="s">
        <v>1516</v>
      </c>
      <c r="E1075" s="81">
        <v>14563151</v>
      </c>
      <c r="F1075" s="81">
        <v>52800</v>
      </c>
      <c r="G1075" s="81">
        <v>25</v>
      </c>
      <c r="H1075" s="82">
        <v>26.3</v>
      </c>
      <c r="I1075" s="251">
        <v>657.5</v>
      </c>
      <c r="J1075" s="9" t="s">
        <v>1305</v>
      </c>
      <c r="K1075" s="9" t="s">
        <v>1306</v>
      </c>
      <c r="L1075" s="83">
        <v>45200</v>
      </c>
      <c r="M1075" s="83">
        <v>45230</v>
      </c>
    </row>
    <row r="1076" spans="1:13" ht="18.75" customHeight="1" x14ac:dyDescent="0.25">
      <c r="A1076" s="9" t="s">
        <v>10</v>
      </c>
      <c r="B1076" s="81">
        <v>112761</v>
      </c>
      <c r="C1076" s="81">
        <v>10750</v>
      </c>
      <c r="D1076" s="9" t="s">
        <v>388</v>
      </c>
      <c r="E1076" s="81">
        <v>14563151</v>
      </c>
      <c r="F1076" s="81">
        <v>29957</v>
      </c>
      <c r="G1076" s="81">
        <v>25</v>
      </c>
      <c r="H1076" s="82">
        <v>26.3</v>
      </c>
      <c r="I1076" s="251">
        <v>657.5</v>
      </c>
      <c r="J1076" s="9" t="s">
        <v>1305</v>
      </c>
      <c r="K1076" s="9" t="s">
        <v>1306</v>
      </c>
      <c r="L1076" s="83">
        <v>45200</v>
      </c>
      <c r="M1076" s="83">
        <v>45230</v>
      </c>
    </row>
    <row r="1077" spans="1:13" ht="18.75" customHeight="1" x14ac:dyDescent="0.25">
      <c r="A1077" s="9" t="s">
        <v>0</v>
      </c>
      <c r="B1077" s="81">
        <v>112765</v>
      </c>
      <c r="C1077" s="81">
        <v>10750</v>
      </c>
      <c r="D1077" s="9" t="s">
        <v>391</v>
      </c>
      <c r="E1077" s="81">
        <v>14563151</v>
      </c>
      <c r="F1077" s="81">
        <v>29965</v>
      </c>
      <c r="G1077" s="81">
        <v>25</v>
      </c>
      <c r="H1077" s="82">
        <v>26.3</v>
      </c>
      <c r="I1077" s="251">
        <v>657.5</v>
      </c>
      <c r="J1077" s="9" t="s">
        <v>1305</v>
      </c>
      <c r="K1077" s="9" t="s">
        <v>1306</v>
      </c>
      <c r="L1077" s="83">
        <v>45200</v>
      </c>
      <c r="M1077" s="83">
        <v>45230</v>
      </c>
    </row>
    <row r="1078" spans="1:13" ht="18.75" customHeight="1" x14ac:dyDescent="0.25">
      <c r="A1078" s="9" t="s">
        <v>0</v>
      </c>
      <c r="B1078" s="81">
        <v>112772</v>
      </c>
      <c r="C1078" s="81">
        <v>10750</v>
      </c>
      <c r="D1078" s="9" t="s">
        <v>397</v>
      </c>
      <c r="E1078" s="81">
        <v>14563151</v>
      </c>
      <c r="F1078" s="81">
        <v>29979</v>
      </c>
      <c r="G1078" s="81">
        <v>25</v>
      </c>
      <c r="H1078" s="82">
        <v>26.3</v>
      </c>
      <c r="I1078" s="251">
        <v>657.5</v>
      </c>
      <c r="J1078" s="9" t="s">
        <v>1305</v>
      </c>
      <c r="K1078" s="9" t="s">
        <v>1306</v>
      </c>
      <c r="L1078" s="83">
        <v>45200</v>
      </c>
      <c r="M1078" s="83">
        <v>45230</v>
      </c>
    </row>
    <row r="1079" spans="1:13" ht="18.75" customHeight="1" x14ac:dyDescent="0.25">
      <c r="A1079" s="9" t="s">
        <v>8</v>
      </c>
      <c r="B1079" s="81">
        <v>112780</v>
      </c>
      <c r="C1079" s="81">
        <v>10750</v>
      </c>
      <c r="D1079" s="9" t="s">
        <v>403</v>
      </c>
      <c r="E1079" s="81">
        <v>14563151</v>
      </c>
      <c r="F1079" s="81">
        <v>29995</v>
      </c>
      <c r="G1079" s="81">
        <v>25</v>
      </c>
      <c r="H1079" s="82">
        <v>26.3</v>
      </c>
      <c r="I1079" s="251">
        <v>657.5</v>
      </c>
      <c r="J1079" s="9" t="s">
        <v>1305</v>
      </c>
      <c r="K1079" s="9" t="s">
        <v>1306</v>
      </c>
      <c r="L1079" s="83">
        <v>45200</v>
      </c>
      <c r="M1079" s="83">
        <v>45230</v>
      </c>
    </row>
    <row r="1080" spans="1:13" ht="18.75" customHeight="1" x14ac:dyDescent="0.25">
      <c r="A1080" s="9" t="s">
        <v>10</v>
      </c>
      <c r="B1080" s="81">
        <v>112785</v>
      </c>
      <c r="C1080" s="81">
        <v>10750</v>
      </c>
      <c r="D1080" s="9" t="s">
        <v>407</v>
      </c>
      <c r="E1080" s="81">
        <v>14563151</v>
      </c>
      <c r="F1080" s="81">
        <v>30005</v>
      </c>
      <c r="G1080" s="81">
        <v>25</v>
      </c>
      <c r="H1080" s="82">
        <v>26.3</v>
      </c>
      <c r="I1080" s="251">
        <v>657.5</v>
      </c>
      <c r="J1080" s="9" t="s">
        <v>1305</v>
      </c>
      <c r="K1080" s="9" t="s">
        <v>1306</v>
      </c>
      <c r="L1080" s="83">
        <v>45200</v>
      </c>
      <c r="M1080" s="83">
        <v>45230</v>
      </c>
    </row>
    <row r="1081" spans="1:13" ht="18.75" customHeight="1" x14ac:dyDescent="0.25">
      <c r="A1081" s="9" t="s">
        <v>1578</v>
      </c>
      <c r="B1081" s="81">
        <v>112802</v>
      </c>
      <c r="C1081" s="81">
        <v>10761</v>
      </c>
      <c r="D1081" s="9" t="s">
        <v>420</v>
      </c>
      <c r="E1081" s="81">
        <v>14563151</v>
      </c>
      <c r="F1081" s="81">
        <v>30039</v>
      </c>
      <c r="G1081" s="81">
        <v>25</v>
      </c>
      <c r="H1081" s="82">
        <v>26.3</v>
      </c>
      <c r="I1081" s="251">
        <v>657.5</v>
      </c>
      <c r="J1081" s="9" t="s">
        <v>1305</v>
      </c>
      <c r="K1081" s="9" t="s">
        <v>1306</v>
      </c>
      <c r="L1081" s="83">
        <v>45200</v>
      </c>
      <c r="M1081" s="83">
        <v>45230</v>
      </c>
    </row>
    <row r="1082" spans="1:13" ht="18.75" customHeight="1" x14ac:dyDescent="0.25">
      <c r="A1082" s="9" t="s">
        <v>0</v>
      </c>
      <c r="B1082" s="81">
        <v>112810</v>
      </c>
      <c r="C1082" s="81">
        <v>10750</v>
      </c>
      <c r="D1082" s="9" t="s">
        <v>426</v>
      </c>
      <c r="E1082" s="81">
        <v>14563151</v>
      </c>
      <c r="F1082" s="81">
        <v>30055</v>
      </c>
      <c r="G1082" s="81">
        <v>25</v>
      </c>
      <c r="H1082" s="82">
        <v>26.3</v>
      </c>
      <c r="I1082" s="251">
        <v>657.5</v>
      </c>
      <c r="J1082" s="9" t="s">
        <v>1305</v>
      </c>
      <c r="K1082" s="9" t="s">
        <v>1306</v>
      </c>
      <c r="L1082" s="83">
        <v>45200</v>
      </c>
      <c r="M1082" s="83">
        <v>45230</v>
      </c>
    </row>
    <row r="1083" spans="1:13" ht="18.75" customHeight="1" x14ac:dyDescent="0.25">
      <c r="A1083" s="9" t="s">
        <v>1578</v>
      </c>
      <c r="B1083" s="81">
        <v>112816</v>
      </c>
      <c r="C1083" s="81">
        <v>10767</v>
      </c>
      <c r="D1083" s="9" t="s">
        <v>431</v>
      </c>
      <c r="E1083" s="81">
        <v>14563151</v>
      </c>
      <c r="F1083" s="81">
        <v>30067</v>
      </c>
      <c r="G1083" s="81">
        <v>25</v>
      </c>
      <c r="H1083" s="82">
        <v>26.3</v>
      </c>
      <c r="I1083" s="251">
        <v>657.5</v>
      </c>
      <c r="J1083" s="9" t="s">
        <v>1305</v>
      </c>
      <c r="K1083" s="9" t="s">
        <v>1306</v>
      </c>
      <c r="L1083" s="83">
        <v>45200</v>
      </c>
      <c r="M1083" s="83">
        <v>45230</v>
      </c>
    </row>
    <row r="1084" spans="1:13" ht="18.75" customHeight="1" x14ac:dyDescent="0.25">
      <c r="A1084" s="9" t="s">
        <v>10</v>
      </c>
      <c r="B1084" s="81">
        <v>114711</v>
      </c>
      <c r="C1084" s="81">
        <v>10758</v>
      </c>
      <c r="D1084" s="9" t="s">
        <v>1077</v>
      </c>
      <c r="E1084" s="81">
        <v>14563151</v>
      </c>
      <c r="F1084" s="81">
        <v>36871</v>
      </c>
      <c r="G1084" s="81">
        <v>25</v>
      </c>
      <c r="H1084" s="82">
        <v>26.3</v>
      </c>
      <c r="I1084" s="251">
        <v>657.5</v>
      </c>
      <c r="J1084" s="9" t="s">
        <v>1305</v>
      </c>
      <c r="K1084" s="9" t="s">
        <v>1306</v>
      </c>
      <c r="L1084" s="83">
        <v>45200</v>
      </c>
      <c r="M1084" s="83">
        <v>45230</v>
      </c>
    </row>
    <row r="1085" spans="1:13" ht="18.75" customHeight="1" x14ac:dyDescent="0.25">
      <c r="A1085" s="9" t="s">
        <v>1578</v>
      </c>
      <c r="B1085" s="81">
        <v>114761</v>
      </c>
      <c r="C1085" s="81">
        <v>10763</v>
      </c>
      <c r="D1085" s="9" t="s">
        <v>1094</v>
      </c>
      <c r="E1085" s="81">
        <v>14563151</v>
      </c>
      <c r="F1085" s="81">
        <v>36971</v>
      </c>
      <c r="G1085" s="81">
        <v>25</v>
      </c>
      <c r="H1085" s="82">
        <v>26.3</v>
      </c>
      <c r="I1085" s="251">
        <v>657.5</v>
      </c>
      <c r="J1085" s="9" t="s">
        <v>1305</v>
      </c>
      <c r="K1085" s="9" t="s">
        <v>1306</v>
      </c>
      <c r="L1085" s="83">
        <v>45200</v>
      </c>
      <c r="M1085" s="83">
        <v>45230</v>
      </c>
    </row>
    <row r="1086" spans="1:13" ht="18.75" customHeight="1" x14ac:dyDescent="0.25">
      <c r="A1086" s="9" t="s">
        <v>8</v>
      </c>
      <c r="B1086" s="81">
        <v>112833</v>
      </c>
      <c r="C1086" s="81">
        <v>10750</v>
      </c>
      <c r="D1086" s="9" t="s">
        <v>443</v>
      </c>
      <c r="E1086" s="81">
        <v>14563151</v>
      </c>
      <c r="F1086" s="81">
        <v>30101</v>
      </c>
      <c r="G1086" s="81">
        <v>25</v>
      </c>
      <c r="H1086" s="82">
        <v>26.3</v>
      </c>
      <c r="I1086" s="251">
        <v>657.5</v>
      </c>
      <c r="J1086" s="9" t="s">
        <v>1305</v>
      </c>
      <c r="K1086" s="9" t="s">
        <v>1306</v>
      </c>
      <c r="L1086" s="83">
        <v>45200</v>
      </c>
      <c r="M1086" s="83">
        <v>45230</v>
      </c>
    </row>
    <row r="1087" spans="1:13" ht="18.75" customHeight="1" x14ac:dyDescent="0.25">
      <c r="A1087" s="9" t="s">
        <v>1578</v>
      </c>
      <c r="B1087" s="81">
        <v>112845</v>
      </c>
      <c r="C1087" s="81">
        <v>10761</v>
      </c>
      <c r="D1087" s="9" t="s">
        <v>449</v>
      </c>
      <c r="E1087" s="81">
        <v>14563151</v>
      </c>
      <c r="F1087" s="81">
        <v>30125</v>
      </c>
      <c r="G1087" s="81">
        <v>25</v>
      </c>
      <c r="H1087" s="82">
        <v>26.3</v>
      </c>
      <c r="I1087" s="251">
        <v>657.5</v>
      </c>
      <c r="J1087" s="9" t="s">
        <v>1305</v>
      </c>
      <c r="K1087" s="9" t="s">
        <v>1306</v>
      </c>
      <c r="L1087" s="83">
        <v>45200</v>
      </c>
      <c r="M1087" s="83">
        <v>45230</v>
      </c>
    </row>
    <row r="1088" spans="1:13" ht="18.75" customHeight="1" x14ac:dyDescent="0.25">
      <c r="A1088" s="9" t="s">
        <v>19</v>
      </c>
      <c r="B1088" s="81">
        <v>119107</v>
      </c>
      <c r="C1088" s="81">
        <v>10760</v>
      </c>
      <c r="D1088" s="9" t="s">
        <v>1439</v>
      </c>
      <c r="E1088" s="81">
        <v>14563151</v>
      </c>
      <c r="F1088" s="81">
        <v>48237</v>
      </c>
      <c r="G1088" s="81">
        <v>25</v>
      </c>
      <c r="H1088" s="82">
        <v>26.3</v>
      </c>
      <c r="I1088" s="251">
        <v>657.5</v>
      </c>
      <c r="J1088" s="9" t="s">
        <v>1305</v>
      </c>
      <c r="K1088" s="9" t="s">
        <v>1306</v>
      </c>
      <c r="L1088" s="83">
        <v>45200</v>
      </c>
      <c r="M1088" s="83">
        <v>45230</v>
      </c>
    </row>
    <row r="1089" spans="1:13" ht="18.75" customHeight="1" x14ac:dyDescent="0.25">
      <c r="A1089" s="9" t="s">
        <v>8</v>
      </c>
      <c r="B1089" s="81">
        <v>112871</v>
      </c>
      <c r="C1089" s="81">
        <v>10750</v>
      </c>
      <c r="D1089" s="9" t="s">
        <v>464</v>
      </c>
      <c r="E1089" s="81">
        <v>14563151</v>
      </c>
      <c r="F1089" s="81">
        <v>30177</v>
      </c>
      <c r="G1089" s="81">
        <v>25</v>
      </c>
      <c r="H1089" s="82">
        <v>26.3</v>
      </c>
      <c r="I1089" s="251">
        <v>657.5</v>
      </c>
      <c r="J1089" s="9" t="s">
        <v>1305</v>
      </c>
      <c r="K1089" s="9" t="s">
        <v>1306</v>
      </c>
      <c r="L1089" s="83">
        <v>45200</v>
      </c>
      <c r="M1089" s="83">
        <v>45230</v>
      </c>
    </row>
    <row r="1090" spans="1:13" ht="18.75" customHeight="1" x14ac:dyDescent="0.25">
      <c r="A1090" s="9" t="s">
        <v>32</v>
      </c>
      <c r="B1090" s="81">
        <v>114774</v>
      </c>
      <c r="C1090" s="81">
        <v>10758</v>
      </c>
      <c r="D1090" s="9" t="s">
        <v>1100</v>
      </c>
      <c r="E1090" s="81">
        <v>14563151</v>
      </c>
      <c r="F1090" s="81">
        <v>36997</v>
      </c>
      <c r="G1090" s="81">
        <v>25</v>
      </c>
      <c r="H1090" s="82">
        <v>26.3</v>
      </c>
      <c r="I1090" s="251">
        <v>657.5</v>
      </c>
      <c r="J1090" s="9" t="s">
        <v>1305</v>
      </c>
      <c r="K1090" s="9" t="s">
        <v>1306</v>
      </c>
      <c r="L1090" s="83">
        <v>45200</v>
      </c>
      <c r="M1090" s="83">
        <v>45230</v>
      </c>
    </row>
    <row r="1091" spans="1:13" ht="18.75" customHeight="1" x14ac:dyDescent="0.25">
      <c r="A1091" s="9" t="s">
        <v>19</v>
      </c>
      <c r="B1091" s="81">
        <v>112877</v>
      </c>
      <c r="C1091" s="81">
        <v>10758</v>
      </c>
      <c r="D1091" s="9" t="s">
        <v>470</v>
      </c>
      <c r="E1091" s="81">
        <v>14563151</v>
      </c>
      <c r="F1091" s="81">
        <v>30189</v>
      </c>
      <c r="G1091" s="81">
        <v>25</v>
      </c>
      <c r="H1091" s="82">
        <v>26.3</v>
      </c>
      <c r="I1091" s="251">
        <v>657.5</v>
      </c>
      <c r="J1091" s="9" t="s">
        <v>1305</v>
      </c>
      <c r="K1091" s="9" t="s">
        <v>1306</v>
      </c>
      <c r="L1091" s="83">
        <v>45200</v>
      </c>
      <c r="M1091" s="83">
        <v>45230</v>
      </c>
    </row>
    <row r="1092" spans="1:13" ht="18.75" customHeight="1" x14ac:dyDescent="0.25">
      <c r="A1092" s="9" t="s">
        <v>8</v>
      </c>
      <c r="B1092" s="81">
        <v>112887</v>
      </c>
      <c r="C1092" s="81">
        <v>10750</v>
      </c>
      <c r="D1092" s="9" t="s">
        <v>476</v>
      </c>
      <c r="E1092" s="81">
        <v>14563151</v>
      </c>
      <c r="F1092" s="81">
        <v>30209</v>
      </c>
      <c r="G1092" s="81">
        <v>25</v>
      </c>
      <c r="H1092" s="82">
        <v>26.3</v>
      </c>
      <c r="I1092" s="251">
        <v>657.5</v>
      </c>
      <c r="J1092" s="9" t="s">
        <v>1305</v>
      </c>
      <c r="K1092" s="9" t="s">
        <v>1306</v>
      </c>
      <c r="L1092" s="83">
        <v>45200</v>
      </c>
      <c r="M1092" s="83">
        <v>45230</v>
      </c>
    </row>
    <row r="1093" spans="1:13" ht="18.75" customHeight="1" x14ac:dyDescent="0.25">
      <c r="A1093" s="9" t="s">
        <v>19</v>
      </c>
      <c r="B1093" s="81">
        <v>112894</v>
      </c>
      <c r="C1093" s="81">
        <v>10750</v>
      </c>
      <c r="D1093" s="9" t="s">
        <v>482</v>
      </c>
      <c r="E1093" s="81">
        <v>14563151</v>
      </c>
      <c r="F1093" s="81">
        <v>30223</v>
      </c>
      <c r="G1093" s="81">
        <v>25</v>
      </c>
      <c r="H1093" s="82">
        <v>26.3</v>
      </c>
      <c r="I1093" s="251">
        <v>657.5</v>
      </c>
      <c r="J1093" s="9" t="s">
        <v>1305</v>
      </c>
      <c r="K1093" s="9" t="s">
        <v>1306</v>
      </c>
      <c r="L1093" s="83">
        <v>45200</v>
      </c>
      <c r="M1093" s="83">
        <v>45230</v>
      </c>
    </row>
    <row r="1094" spans="1:13" ht="18.75" customHeight="1" x14ac:dyDescent="0.25">
      <c r="A1094" s="9" t="s">
        <v>10</v>
      </c>
      <c r="B1094" s="81">
        <v>112908</v>
      </c>
      <c r="C1094" s="81">
        <v>10763</v>
      </c>
      <c r="D1094" s="9" t="s">
        <v>491</v>
      </c>
      <c r="E1094" s="81">
        <v>14563151</v>
      </c>
      <c r="F1094" s="81">
        <v>30251</v>
      </c>
      <c r="G1094" s="81">
        <v>25</v>
      </c>
      <c r="H1094" s="82">
        <v>26.3</v>
      </c>
      <c r="I1094" s="251">
        <v>657.5</v>
      </c>
      <c r="J1094" s="9" t="s">
        <v>1305</v>
      </c>
      <c r="K1094" s="9" t="s">
        <v>1306</v>
      </c>
      <c r="L1094" s="83">
        <v>45200</v>
      </c>
      <c r="M1094" s="83">
        <v>45230</v>
      </c>
    </row>
    <row r="1095" spans="1:13" ht="18.75" customHeight="1" x14ac:dyDescent="0.25">
      <c r="A1095" s="9" t="s">
        <v>0</v>
      </c>
      <c r="B1095" s="81">
        <v>113004</v>
      </c>
      <c r="C1095" s="81">
        <v>10758</v>
      </c>
      <c r="D1095" s="9" t="s">
        <v>541</v>
      </c>
      <c r="E1095" s="81">
        <v>14563151</v>
      </c>
      <c r="F1095" s="81">
        <v>30443</v>
      </c>
      <c r="G1095" s="81">
        <v>25</v>
      </c>
      <c r="H1095" s="82">
        <v>26.3</v>
      </c>
      <c r="I1095" s="251">
        <v>657.5</v>
      </c>
      <c r="J1095" s="9" t="s">
        <v>1305</v>
      </c>
      <c r="K1095" s="9" t="s">
        <v>1306</v>
      </c>
      <c r="L1095" s="83">
        <v>45200</v>
      </c>
      <c r="M1095" s="83">
        <v>45230</v>
      </c>
    </row>
    <row r="1096" spans="1:13" ht="18.75" customHeight="1" x14ac:dyDescent="0.25">
      <c r="A1096" s="9" t="s">
        <v>1578</v>
      </c>
      <c r="B1096" s="81">
        <v>115229</v>
      </c>
      <c r="C1096" s="81">
        <v>10743</v>
      </c>
      <c r="D1096" s="9" t="s">
        <v>1146</v>
      </c>
      <c r="E1096" s="81">
        <v>14563151</v>
      </c>
      <c r="F1096" s="81">
        <v>38513</v>
      </c>
      <c r="G1096" s="81">
        <v>25</v>
      </c>
      <c r="H1096" s="82">
        <v>26.3</v>
      </c>
      <c r="I1096" s="251">
        <v>657.5</v>
      </c>
      <c r="J1096" s="9" t="s">
        <v>1305</v>
      </c>
      <c r="K1096" s="9" t="s">
        <v>1306</v>
      </c>
      <c r="L1096" s="83">
        <v>45200</v>
      </c>
      <c r="M1096" s="83">
        <v>45230</v>
      </c>
    </row>
    <row r="1097" spans="1:13" ht="18.75" customHeight="1" x14ac:dyDescent="0.25">
      <c r="A1097" s="9" t="s">
        <v>19</v>
      </c>
      <c r="B1097" s="81">
        <v>113025</v>
      </c>
      <c r="C1097" s="81">
        <v>10750</v>
      </c>
      <c r="D1097" s="9" t="s">
        <v>547</v>
      </c>
      <c r="E1097" s="81">
        <v>14563151</v>
      </c>
      <c r="F1097" s="81">
        <v>30485</v>
      </c>
      <c r="G1097" s="81">
        <v>25</v>
      </c>
      <c r="H1097" s="82">
        <v>26.3</v>
      </c>
      <c r="I1097" s="251">
        <v>657.5</v>
      </c>
      <c r="J1097" s="9" t="s">
        <v>1305</v>
      </c>
      <c r="K1097" s="9" t="s">
        <v>1306</v>
      </c>
      <c r="L1097" s="83">
        <v>45200</v>
      </c>
      <c r="M1097" s="83">
        <v>45230</v>
      </c>
    </row>
    <row r="1098" spans="1:13" ht="18.75" customHeight="1" x14ac:dyDescent="0.25">
      <c r="A1098" s="9" t="s">
        <v>0</v>
      </c>
      <c r="B1098" s="81">
        <v>113032</v>
      </c>
      <c r="C1098" s="81">
        <v>10750</v>
      </c>
      <c r="D1098" s="9" t="s">
        <v>1282</v>
      </c>
      <c r="E1098" s="81">
        <v>14563151</v>
      </c>
      <c r="F1098" s="81">
        <v>30499</v>
      </c>
      <c r="G1098" s="81">
        <v>25</v>
      </c>
      <c r="H1098" s="82">
        <v>26.3</v>
      </c>
      <c r="I1098" s="251">
        <v>657.5</v>
      </c>
      <c r="J1098" s="9" t="s">
        <v>1305</v>
      </c>
      <c r="K1098" s="9" t="s">
        <v>1306</v>
      </c>
      <c r="L1098" s="83">
        <v>45200</v>
      </c>
      <c r="M1098" s="83">
        <v>45230</v>
      </c>
    </row>
    <row r="1099" spans="1:13" ht="18.75" customHeight="1" x14ac:dyDescent="0.25">
      <c r="A1099" s="9" t="s">
        <v>1578</v>
      </c>
      <c r="B1099" s="81">
        <v>113044</v>
      </c>
      <c r="C1099" s="81">
        <v>10768</v>
      </c>
      <c r="D1099" s="9" t="s">
        <v>558</v>
      </c>
      <c r="E1099" s="81">
        <v>14563151</v>
      </c>
      <c r="F1099" s="81">
        <v>30523</v>
      </c>
      <c r="G1099" s="81">
        <v>25</v>
      </c>
      <c r="H1099" s="82">
        <v>26.3</v>
      </c>
      <c r="I1099" s="251">
        <v>657.5</v>
      </c>
      <c r="J1099" s="9" t="s">
        <v>1305</v>
      </c>
      <c r="K1099" s="9" t="s">
        <v>1306</v>
      </c>
      <c r="L1099" s="83">
        <v>45200</v>
      </c>
      <c r="M1099" s="83">
        <v>45230</v>
      </c>
    </row>
    <row r="1100" spans="1:13" ht="18.75" customHeight="1" x14ac:dyDescent="0.25">
      <c r="A1100" s="9" t="s">
        <v>0</v>
      </c>
      <c r="B1100" s="81">
        <v>113083</v>
      </c>
      <c r="C1100" s="81">
        <v>10771</v>
      </c>
      <c r="D1100" s="9" t="s">
        <v>578</v>
      </c>
      <c r="E1100" s="81">
        <v>14563151</v>
      </c>
      <c r="F1100" s="81">
        <v>30601</v>
      </c>
      <c r="G1100" s="81">
        <v>25</v>
      </c>
      <c r="H1100" s="82">
        <v>26.3</v>
      </c>
      <c r="I1100" s="251">
        <v>657.5</v>
      </c>
      <c r="J1100" s="9" t="s">
        <v>1305</v>
      </c>
      <c r="K1100" s="9" t="s">
        <v>1309</v>
      </c>
      <c r="L1100" s="83">
        <v>45200</v>
      </c>
      <c r="M1100" s="83">
        <v>45230</v>
      </c>
    </row>
    <row r="1101" spans="1:13" ht="18.75" customHeight="1" x14ac:dyDescent="0.25">
      <c r="A1101" s="9" t="s">
        <v>10</v>
      </c>
      <c r="B1101" s="81">
        <v>113141</v>
      </c>
      <c r="C1101" s="81">
        <v>10754</v>
      </c>
      <c r="D1101" s="9" t="s">
        <v>608</v>
      </c>
      <c r="E1101" s="81">
        <v>14563151</v>
      </c>
      <c r="F1101" s="81">
        <v>30717</v>
      </c>
      <c r="G1101" s="81">
        <v>25</v>
      </c>
      <c r="H1101" s="82">
        <v>26.3</v>
      </c>
      <c r="I1101" s="251">
        <v>657.5</v>
      </c>
      <c r="J1101" s="9" t="s">
        <v>1305</v>
      </c>
      <c r="K1101" s="9" t="s">
        <v>1306</v>
      </c>
      <c r="L1101" s="83">
        <v>45200</v>
      </c>
      <c r="M1101" s="83">
        <v>45230</v>
      </c>
    </row>
    <row r="1102" spans="1:13" ht="18.75" customHeight="1" x14ac:dyDescent="0.25">
      <c r="A1102" s="9" t="s">
        <v>0</v>
      </c>
      <c r="B1102" s="81">
        <v>113669</v>
      </c>
      <c r="C1102" s="81">
        <v>10750</v>
      </c>
      <c r="D1102" s="9" t="s">
        <v>906</v>
      </c>
      <c r="E1102" s="81">
        <v>14563151</v>
      </c>
      <c r="F1102" s="81">
        <v>31773</v>
      </c>
      <c r="G1102" s="81">
        <v>24</v>
      </c>
      <c r="H1102" s="82">
        <v>26.3</v>
      </c>
      <c r="I1102" s="251">
        <v>631.20000000000005</v>
      </c>
      <c r="J1102" s="9" t="s">
        <v>1305</v>
      </c>
      <c r="K1102" s="9" t="s">
        <v>1306</v>
      </c>
      <c r="L1102" s="83">
        <v>45200</v>
      </c>
      <c r="M1102" s="83">
        <v>45230</v>
      </c>
    </row>
    <row r="1103" spans="1:13" ht="18.75" customHeight="1" x14ac:dyDescent="0.25">
      <c r="A1103" s="9" t="s">
        <v>8</v>
      </c>
      <c r="B1103" s="81">
        <v>113671</v>
      </c>
      <c r="C1103" s="81">
        <v>10766</v>
      </c>
      <c r="D1103" s="9" t="s">
        <v>907</v>
      </c>
      <c r="E1103" s="81">
        <v>14563151</v>
      </c>
      <c r="F1103" s="81">
        <v>31777</v>
      </c>
      <c r="G1103" s="81">
        <v>25</v>
      </c>
      <c r="H1103" s="82">
        <v>26.3</v>
      </c>
      <c r="I1103" s="251">
        <v>657.5</v>
      </c>
      <c r="J1103" s="9" t="s">
        <v>1305</v>
      </c>
      <c r="K1103" s="9" t="s">
        <v>1306</v>
      </c>
      <c r="L1103" s="83">
        <v>45200</v>
      </c>
      <c r="M1103" s="83">
        <v>45230</v>
      </c>
    </row>
    <row r="1104" spans="1:13" ht="18.75" customHeight="1" x14ac:dyDescent="0.25">
      <c r="A1104" s="9" t="s">
        <v>1578</v>
      </c>
      <c r="B1104" s="81">
        <v>113183</v>
      </c>
      <c r="C1104" s="81">
        <v>10768</v>
      </c>
      <c r="D1104" s="9" t="s">
        <v>632</v>
      </c>
      <c r="E1104" s="81">
        <v>14563151</v>
      </c>
      <c r="F1104" s="81">
        <v>30801</v>
      </c>
      <c r="G1104" s="81">
        <v>25</v>
      </c>
      <c r="H1104" s="82">
        <v>26.3</v>
      </c>
      <c r="I1104" s="251">
        <v>657.5</v>
      </c>
      <c r="J1104" s="9" t="s">
        <v>1305</v>
      </c>
      <c r="K1104" s="9" t="s">
        <v>1306</v>
      </c>
      <c r="L1104" s="83">
        <v>45200</v>
      </c>
      <c r="M1104" s="83">
        <v>45230</v>
      </c>
    </row>
    <row r="1105" spans="1:13" ht="18.75" customHeight="1" x14ac:dyDescent="0.25">
      <c r="A1105" s="9" t="s">
        <v>8</v>
      </c>
      <c r="B1105" s="81">
        <v>113188</v>
      </c>
      <c r="C1105" s="81">
        <v>10757</v>
      </c>
      <c r="D1105" s="9" t="s">
        <v>635</v>
      </c>
      <c r="E1105" s="81">
        <v>14563151</v>
      </c>
      <c r="F1105" s="81">
        <v>30811</v>
      </c>
      <c r="G1105" s="81">
        <v>25</v>
      </c>
      <c r="H1105" s="82">
        <v>26.3</v>
      </c>
      <c r="I1105" s="251">
        <v>657.5</v>
      </c>
      <c r="J1105" s="9" t="s">
        <v>1305</v>
      </c>
      <c r="K1105" s="9" t="s">
        <v>1306</v>
      </c>
      <c r="L1105" s="83">
        <v>45200</v>
      </c>
      <c r="M1105" s="83">
        <v>45230</v>
      </c>
    </row>
    <row r="1106" spans="1:13" ht="18.75" customHeight="1" x14ac:dyDescent="0.25">
      <c r="A1106" s="9" t="s">
        <v>1580</v>
      </c>
      <c r="B1106" s="81">
        <v>113743</v>
      </c>
      <c r="C1106" s="81">
        <v>10776</v>
      </c>
      <c r="D1106" s="9" t="s">
        <v>962</v>
      </c>
      <c r="E1106" s="81">
        <v>14563151</v>
      </c>
      <c r="F1106" s="81">
        <v>31921</v>
      </c>
      <c r="G1106" s="81">
        <v>25</v>
      </c>
      <c r="H1106" s="82">
        <v>26.3</v>
      </c>
      <c r="I1106" s="251">
        <v>657.5</v>
      </c>
      <c r="J1106" s="9" t="s">
        <v>1305</v>
      </c>
      <c r="K1106" s="9" t="s">
        <v>1306</v>
      </c>
      <c r="L1106" s="83">
        <v>45200</v>
      </c>
      <c r="M1106" s="83">
        <v>45230</v>
      </c>
    </row>
    <row r="1107" spans="1:13" ht="18.75" customHeight="1" x14ac:dyDescent="0.25">
      <c r="A1107" s="9" t="s">
        <v>19</v>
      </c>
      <c r="B1107" s="81">
        <v>113192</v>
      </c>
      <c r="C1107" s="81">
        <v>10754</v>
      </c>
      <c r="D1107" s="9" t="s">
        <v>637</v>
      </c>
      <c r="E1107" s="81">
        <v>14563151</v>
      </c>
      <c r="F1107" s="81">
        <v>30819</v>
      </c>
      <c r="G1107" s="81">
        <v>25</v>
      </c>
      <c r="H1107" s="82">
        <v>26.3</v>
      </c>
      <c r="I1107" s="251">
        <v>657.5</v>
      </c>
      <c r="J1107" s="9" t="s">
        <v>1305</v>
      </c>
      <c r="K1107" s="9" t="s">
        <v>1306</v>
      </c>
      <c r="L1107" s="83">
        <v>45200</v>
      </c>
      <c r="M1107" s="83">
        <v>45230</v>
      </c>
    </row>
    <row r="1108" spans="1:13" ht="18.75" customHeight="1" x14ac:dyDescent="0.25">
      <c r="A1108" s="9" t="s">
        <v>8</v>
      </c>
      <c r="B1108" s="81">
        <v>122555</v>
      </c>
      <c r="C1108" s="81">
        <v>10758</v>
      </c>
      <c r="D1108" s="9" t="s">
        <v>1694</v>
      </c>
      <c r="E1108" s="81">
        <v>14563151</v>
      </c>
      <c r="F1108" s="81">
        <v>56503</v>
      </c>
      <c r="G1108" s="81">
        <v>25</v>
      </c>
      <c r="H1108" s="82">
        <v>26.3</v>
      </c>
      <c r="I1108" s="251">
        <v>657.5</v>
      </c>
      <c r="J1108" s="9" t="s">
        <v>1305</v>
      </c>
      <c r="K1108" s="9" t="s">
        <v>1306</v>
      </c>
      <c r="L1108" s="83">
        <v>45200</v>
      </c>
      <c r="M1108" s="83">
        <v>45230</v>
      </c>
    </row>
    <row r="1109" spans="1:13" ht="18.75" customHeight="1" x14ac:dyDescent="0.25">
      <c r="A1109" s="9" t="s">
        <v>10</v>
      </c>
      <c r="B1109" s="81">
        <v>118054</v>
      </c>
      <c r="C1109" s="81">
        <v>10758</v>
      </c>
      <c r="D1109" s="9" t="s">
        <v>1423</v>
      </c>
      <c r="E1109" s="81">
        <v>14563151</v>
      </c>
      <c r="F1109" s="81">
        <v>45897</v>
      </c>
      <c r="G1109" s="81">
        <v>25</v>
      </c>
      <c r="H1109" s="82">
        <v>26.3</v>
      </c>
      <c r="I1109" s="251">
        <v>657.5</v>
      </c>
      <c r="J1109" s="9" t="s">
        <v>1305</v>
      </c>
      <c r="K1109" s="9" t="s">
        <v>1306</v>
      </c>
      <c r="L1109" s="83">
        <v>45200</v>
      </c>
      <c r="M1109" s="83">
        <v>45230</v>
      </c>
    </row>
    <row r="1110" spans="1:13" ht="18.75" customHeight="1" x14ac:dyDescent="0.25">
      <c r="A1110" s="9" t="s">
        <v>10</v>
      </c>
      <c r="B1110" s="81">
        <v>113722</v>
      </c>
      <c r="C1110" s="81">
        <v>10763</v>
      </c>
      <c r="D1110" s="9" t="s">
        <v>936</v>
      </c>
      <c r="E1110" s="81">
        <v>14563151</v>
      </c>
      <c r="F1110" s="81">
        <v>31879</v>
      </c>
      <c r="G1110" s="81">
        <v>25</v>
      </c>
      <c r="H1110" s="82">
        <v>26.3</v>
      </c>
      <c r="I1110" s="251">
        <v>657.5</v>
      </c>
      <c r="J1110" s="9" t="s">
        <v>1305</v>
      </c>
      <c r="K1110" s="9" t="s">
        <v>1306</v>
      </c>
      <c r="L1110" s="83">
        <v>45200</v>
      </c>
      <c r="M1110" s="83">
        <v>45230</v>
      </c>
    </row>
    <row r="1111" spans="1:13" ht="18.75" customHeight="1" x14ac:dyDescent="0.25">
      <c r="A1111" s="9" t="s">
        <v>8</v>
      </c>
      <c r="B1111" s="81">
        <v>113201</v>
      </c>
      <c r="C1111" s="81">
        <v>10754</v>
      </c>
      <c r="D1111" s="9" t="s">
        <v>641</v>
      </c>
      <c r="E1111" s="81">
        <v>14563151</v>
      </c>
      <c r="F1111" s="81">
        <v>30837</v>
      </c>
      <c r="G1111" s="81">
        <v>25</v>
      </c>
      <c r="H1111" s="82">
        <v>26.3</v>
      </c>
      <c r="I1111" s="251">
        <v>657.5</v>
      </c>
      <c r="J1111" s="9" t="s">
        <v>1305</v>
      </c>
      <c r="K1111" s="9" t="s">
        <v>1306</v>
      </c>
      <c r="L1111" s="83">
        <v>45200</v>
      </c>
      <c r="M1111" s="83">
        <v>45230</v>
      </c>
    </row>
    <row r="1112" spans="1:13" ht="18.75" customHeight="1" x14ac:dyDescent="0.25">
      <c r="A1112" s="9" t="s">
        <v>1578</v>
      </c>
      <c r="B1112" s="81">
        <v>113803</v>
      </c>
      <c r="C1112" s="81">
        <v>10761</v>
      </c>
      <c r="D1112" s="9" t="s">
        <v>983</v>
      </c>
      <c r="E1112" s="81">
        <v>14563151</v>
      </c>
      <c r="F1112" s="81">
        <v>34117</v>
      </c>
      <c r="G1112" s="81">
        <v>25</v>
      </c>
      <c r="H1112" s="82">
        <v>26.3</v>
      </c>
      <c r="I1112" s="251">
        <v>657.5</v>
      </c>
      <c r="J1112" s="9" t="s">
        <v>1305</v>
      </c>
      <c r="K1112" s="9" t="s">
        <v>1306</v>
      </c>
      <c r="L1112" s="83">
        <v>45200</v>
      </c>
      <c r="M1112" s="83">
        <v>45230</v>
      </c>
    </row>
    <row r="1113" spans="1:13" ht="18.75" customHeight="1" x14ac:dyDescent="0.25">
      <c r="A1113" s="9" t="s">
        <v>1578</v>
      </c>
      <c r="B1113" s="81">
        <v>113218</v>
      </c>
      <c r="C1113" s="81">
        <v>10768</v>
      </c>
      <c r="D1113" s="9" t="s">
        <v>652</v>
      </c>
      <c r="E1113" s="81">
        <v>14563151</v>
      </c>
      <c r="F1113" s="81">
        <v>30871</v>
      </c>
      <c r="G1113" s="81">
        <v>25</v>
      </c>
      <c r="H1113" s="82">
        <v>26.3</v>
      </c>
      <c r="I1113" s="251">
        <v>657.5</v>
      </c>
      <c r="J1113" s="9" t="s">
        <v>1305</v>
      </c>
      <c r="K1113" s="9" t="s">
        <v>1306</v>
      </c>
      <c r="L1113" s="83">
        <v>45200</v>
      </c>
      <c r="M1113" s="83">
        <v>45230</v>
      </c>
    </row>
    <row r="1114" spans="1:13" ht="18.75" customHeight="1" x14ac:dyDescent="0.25">
      <c r="A1114" s="9" t="s">
        <v>0</v>
      </c>
      <c r="B1114" s="81">
        <v>113224</v>
      </c>
      <c r="C1114" s="81">
        <v>10757</v>
      </c>
      <c r="D1114" s="9" t="s">
        <v>655</v>
      </c>
      <c r="E1114" s="81">
        <v>14563151</v>
      </c>
      <c r="F1114" s="81">
        <v>30883</v>
      </c>
      <c r="G1114" s="81">
        <v>25</v>
      </c>
      <c r="H1114" s="82">
        <v>26.3</v>
      </c>
      <c r="I1114" s="251">
        <v>657.5</v>
      </c>
      <c r="J1114" s="9" t="s">
        <v>1305</v>
      </c>
      <c r="K1114" s="9" t="s">
        <v>1306</v>
      </c>
      <c r="L1114" s="83">
        <v>45200</v>
      </c>
      <c r="M1114" s="83">
        <v>45230</v>
      </c>
    </row>
    <row r="1115" spans="1:13" ht="18.75" customHeight="1" x14ac:dyDescent="0.25">
      <c r="A1115" s="9" t="s">
        <v>8</v>
      </c>
      <c r="B1115" s="81">
        <v>114094</v>
      </c>
      <c r="C1115" s="81">
        <v>10757</v>
      </c>
      <c r="D1115" s="9" t="s">
        <v>1002</v>
      </c>
      <c r="E1115" s="81">
        <v>14563151</v>
      </c>
      <c r="F1115" s="81">
        <v>34341</v>
      </c>
      <c r="G1115" s="81">
        <v>25</v>
      </c>
      <c r="H1115" s="82">
        <v>26.3</v>
      </c>
      <c r="I1115" s="251">
        <v>657.5</v>
      </c>
      <c r="J1115" s="9" t="s">
        <v>1305</v>
      </c>
      <c r="K1115" s="9" t="s">
        <v>1306</v>
      </c>
      <c r="L1115" s="83">
        <v>45200</v>
      </c>
      <c r="M1115" s="83">
        <v>45230</v>
      </c>
    </row>
    <row r="1116" spans="1:13" ht="18.75" customHeight="1" x14ac:dyDescent="0.25">
      <c r="A1116" s="9" t="s">
        <v>0</v>
      </c>
      <c r="B1116" s="81">
        <v>113235</v>
      </c>
      <c r="C1116" s="81">
        <v>10757</v>
      </c>
      <c r="D1116" s="9" t="s">
        <v>662</v>
      </c>
      <c r="E1116" s="81">
        <v>14563151</v>
      </c>
      <c r="F1116" s="81">
        <v>30905</v>
      </c>
      <c r="G1116" s="81">
        <v>25</v>
      </c>
      <c r="H1116" s="82">
        <v>26.3</v>
      </c>
      <c r="I1116" s="251">
        <v>657.5</v>
      </c>
      <c r="J1116" s="9" t="s">
        <v>1305</v>
      </c>
      <c r="K1116" s="9" t="s">
        <v>1306</v>
      </c>
      <c r="L1116" s="83">
        <v>45200</v>
      </c>
      <c r="M1116" s="83">
        <v>45230</v>
      </c>
    </row>
    <row r="1117" spans="1:13" ht="18.75" customHeight="1" x14ac:dyDescent="0.25">
      <c r="A1117" s="9" t="s">
        <v>1578</v>
      </c>
      <c r="B1117" s="81">
        <v>119125</v>
      </c>
      <c r="C1117" s="81">
        <v>10761</v>
      </c>
      <c r="D1117" s="9" t="s">
        <v>1440</v>
      </c>
      <c r="E1117" s="81">
        <v>14563151</v>
      </c>
      <c r="F1117" s="81">
        <v>48277</v>
      </c>
      <c r="G1117" s="81">
        <v>25</v>
      </c>
      <c r="H1117" s="82">
        <v>26.3</v>
      </c>
      <c r="I1117" s="251">
        <v>657.5</v>
      </c>
      <c r="J1117" s="9" t="s">
        <v>1305</v>
      </c>
      <c r="K1117" s="9" t="s">
        <v>1309</v>
      </c>
      <c r="L1117" s="83">
        <v>45200</v>
      </c>
      <c r="M1117" s="83">
        <v>45230</v>
      </c>
    </row>
    <row r="1118" spans="1:13" ht="18.75" customHeight="1" x14ac:dyDescent="0.25">
      <c r="A1118" s="9" t="s">
        <v>1578</v>
      </c>
      <c r="B1118" s="81">
        <v>116730</v>
      </c>
      <c r="C1118" s="81">
        <v>10768</v>
      </c>
      <c r="D1118" s="9" t="s">
        <v>1221</v>
      </c>
      <c r="E1118" s="81">
        <v>14563151</v>
      </c>
      <c r="F1118" s="81">
        <v>42848</v>
      </c>
      <c r="G1118" s="81">
        <v>25</v>
      </c>
      <c r="H1118" s="82">
        <v>26.3</v>
      </c>
      <c r="I1118" s="251">
        <v>657.5</v>
      </c>
      <c r="J1118" s="9" t="s">
        <v>1305</v>
      </c>
      <c r="K1118" s="9" t="s">
        <v>1306</v>
      </c>
      <c r="L1118" s="83">
        <v>45200</v>
      </c>
      <c r="M1118" s="83">
        <v>45230</v>
      </c>
    </row>
    <row r="1119" spans="1:13" ht="18.75" customHeight="1" x14ac:dyDescent="0.25">
      <c r="A1119" s="9" t="s">
        <v>0</v>
      </c>
      <c r="B1119" s="81">
        <v>114088</v>
      </c>
      <c r="C1119" s="81">
        <v>10745</v>
      </c>
      <c r="D1119" s="9" t="s">
        <v>999</v>
      </c>
      <c r="E1119" s="81">
        <v>14563151</v>
      </c>
      <c r="F1119" s="81">
        <v>34329</v>
      </c>
      <c r="G1119" s="81">
        <v>25</v>
      </c>
      <c r="H1119" s="82">
        <v>26.3</v>
      </c>
      <c r="I1119" s="251">
        <v>657.5</v>
      </c>
      <c r="J1119" s="9" t="s">
        <v>1305</v>
      </c>
      <c r="K1119" s="9" t="s">
        <v>1306</v>
      </c>
      <c r="L1119" s="83">
        <v>45200</v>
      </c>
      <c r="M1119" s="83">
        <v>45230</v>
      </c>
    </row>
    <row r="1120" spans="1:13" ht="18.75" customHeight="1" x14ac:dyDescent="0.25">
      <c r="A1120" s="9" t="s">
        <v>0</v>
      </c>
      <c r="B1120" s="81">
        <v>122247</v>
      </c>
      <c r="C1120" s="81">
        <v>10757</v>
      </c>
      <c r="D1120" s="9" t="s">
        <v>1659</v>
      </c>
      <c r="E1120" s="81">
        <v>14563151</v>
      </c>
      <c r="F1120" s="81">
        <v>55737</v>
      </c>
      <c r="G1120" s="81">
        <v>25</v>
      </c>
      <c r="H1120" s="82">
        <v>26.3</v>
      </c>
      <c r="I1120" s="251">
        <v>657.5</v>
      </c>
      <c r="J1120" s="9" t="s">
        <v>1305</v>
      </c>
      <c r="K1120" s="9" t="s">
        <v>1309</v>
      </c>
      <c r="L1120" s="83">
        <v>45200</v>
      </c>
      <c r="M1120" s="83">
        <v>45230</v>
      </c>
    </row>
    <row r="1121" spans="1:13" ht="18.75" customHeight="1" x14ac:dyDescent="0.25">
      <c r="A1121" s="9" t="s">
        <v>0</v>
      </c>
      <c r="B1121" s="81">
        <v>114980</v>
      </c>
      <c r="C1121" s="81">
        <v>10757</v>
      </c>
      <c r="D1121" s="9" t="s">
        <v>1134</v>
      </c>
      <c r="E1121" s="81">
        <v>14563151</v>
      </c>
      <c r="F1121" s="81">
        <v>37736</v>
      </c>
      <c r="G1121" s="81">
        <v>23</v>
      </c>
      <c r="H1121" s="82">
        <v>26.3</v>
      </c>
      <c r="I1121" s="251">
        <v>604.9</v>
      </c>
      <c r="J1121" s="9" t="s">
        <v>1305</v>
      </c>
      <c r="K1121" s="9" t="s">
        <v>1306</v>
      </c>
      <c r="L1121" s="83">
        <v>45200</v>
      </c>
      <c r="M1121" s="83">
        <v>45230</v>
      </c>
    </row>
    <row r="1122" spans="1:13" ht="18.75" customHeight="1" x14ac:dyDescent="0.25">
      <c r="A1122" s="9" t="s">
        <v>1578</v>
      </c>
      <c r="B1122" s="81">
        <v>113255</v>
      </c>
      <c r="C1122" s="81">
        <v>10759</v>
      </c>
      <c r="D1122" s="9" t="s">
        <v>671</v>
      </c>
      <c r="E1122" s="81">
        <v>14563151</v>
      </c>
      <c r="F1122" s="81">
        <v>30945</v>
      </c>
      <c r="G1122" s="81">
        <v>25</v>
      </c>
      <c r="H1122" s="82">
        <v>26.3</v>
      </c>
      <c r="I1122" s="251">
        <v>657.5</v>
      </c>
      <c r="J1122" s="9" t="s">
        <v>1305</v>
      </c>
      <c r="K1122" s="9" t="s">
        <v>1306</v>
      </c>
      <c r="L1122" s="83">
        <v>45200</v>
      </c>
      <c r="M1122" s="83">
        <v>45230</v>
      </c>
    </row>
    <row r="1123" spans="1:13" ht="18.75" customHeight="1" x14ac:dyDescent="0.25">
      <c r="A1123" s="9" t="s">
        <v>0</v>
      </c>
      <c r="B1123" s="81">
        <v>116983</v>
      </c>
      <c r="C1123" s="81">
        <v>10757</v>
      </c>
      <c r="D1123" s="9" t="s">
        <v>1243</v>
      </c>
      <c r="E1123" s="81">
        <v>14563151</v>
      </c>
      <c r="F1123" s="81">
        <v>43478</v>
      </c>
      <c r="G1123" s="81">
        <v>25</v>
      </c>
      <c r="H1123" s="82">
        <v>26.3</v>
      </c>
      <c r="I1123" s="251">
        <v>657.5</v>
      </c>
      <c r="J1123" s="9" t="s">
        <v>1305</v>
      </c>
      <c r="K1123" s="9" t="s">
        <v>1306</v>
      </c>
      <c r="L1123" s="83">
        <v>45200</v>
      </c>
      <c r="M1123" s="83">
        <v>45230</v>
      </c>
    </row>
    <row r="1124" spans="1:13" ht="18.75" customHeight="1" x14ac:dyDescent="0.25">
      <c r="A1124" s="9" t="s">
        <v>10</v>
      </c>
      <c r="B1124" s="81">
        <v>113262</v>
      </c>
      <c r="C1124" s="81">
        <v>10750</v>
      </c>
      <c r="D1124" s="9" t="s">
        <v>674</v>
      </c>
      <c r="E1124" s="81">
        <v>14563151</v>
      </c>
      <c r="F1124" s="81">
        <v>30959</v>
      </c>
      <c r="G1124" s="81">
        <v>25</v>
      </c>
      <c r="H1124" s="82">
        <v>26.3</v>
      </c>
      <c r="I1124" s="251">
        <v>657.5</v>
      </c>
      <c r="J1124" s="9" t="s">
        <v>1305</v>
      </c>
      <c r="K1124" s="9" t="s">
        <v>1306</v>
      </c>
      <c r="L1124" s="83">
        <v>45200</v>
      </c>
      <c r="M1124" s="83">
        <v>45230</v>
      </c>
    </row>
    <row r="1125" spans="1:13" ht="18.75" customHeight="1" x14ac:dyDescent="0.25">
      <c r="A1125" s="9" t="s">
        <v>10</v>
      </c>
      <c r="B1125" s="81">
        <v>116720</v>
      </c>
      <c r="C1125" s="81">
        <v>10754</v>
      </c>
      <c r="D1125" s="9" t="s">
        <v>678</v>
      </c>
      <c r="E1125" s="81">
        <v>14563151</v>
      </c>
      <c r="F1125" s="81">
        <v>42826</v>
      </c>
      <c r="G1125" s="81">
        <v>25</v>
      </c>
      <c r="H1125" s="82">
        <v>26.3</v>
      </c>
      <c r="I1125" s="251">
        <v>657.5</v>
      </c>
      <c r="J1125" s="9" t="s">
        <v>1305</v>
      </c>
      <c r="K1125" s="9" t="s">
        <v>1306</v>
      </c>
      <c r="L1125" s="83">
        <v>45200</v>
      </c>
      <c r="M1125" s="83">
        <v>45230</v>
      </c>
    </row>
    <row r="1126" spans="1:13" ht="18.75" customHeight="1" x14ac:dyDescent="0.25">
      <c r="A1126" s="9" t="s">
        <v>0</v>
      </c>
      <c r="B1126" s="81">
        <v>113288</v>
      </c>
      <c r="C1126" s="81">
        <v>10750</v>
      </c>
      <c r="D1126" s="9" t="s">
        <v>689</v>
      </c>
      <c r="E1126" s="81">
        <v>14563151</v>
      </c>
      <c r="F1126" s="81">
        <v>31011</v>
      </c>
      <c r="G1126" s="81">
        <v>25</v>
      </c>
      <c r="H1126" s="82">
        <v>26.3</v>
      </c>
      <c r="I1126" s="251">
        <v>657.5</v>
      </c>
      <c r="J1126" s="9" t="s">
        <v>1305</v>
      </c>
      <c r="K1126" s="9" t="s">
        <v>1306</v>
      </c>
      <c r="L1126" s="83">
        <v>45200</v>
      </c>
      <c r="M1126" s="83">
        <v>45230</v>
      </c>
    </row>
    <row r="1127" spans="1:13" ht="18.75" customHeight="1" x14ac:dyDescent="0.25">
      <c r="A1127" s="9" t="s">
        <v>1578</v>
      </c>
      <c r="B1127" s="81">
        <v>120623</v>
      </c>
      <c r="C1127" s="81">
        <v>10743</v>
      </c>
      <c r="D1127" s="9" t="s">
        <v>1508</v>
      </c>
      <c r="E1127" s="81">
        <v>14563151</v>
      </c>
      <c r="F1127" s="81">
        <v>51613</v>
      </c>
      <c r="G1127" s="81">
        <v>25</v>
      </c>
      <c r="H1127" s="82">
        <v>26.3</v>
      </c>
      <c r="I1127" s="251">
        <v>657.5</v>
      </c>
      <c r="J1127" s="9" t="s">
        <v>1305</v>
      </c>
      <c r="K1127" s="9" t="s">
        <v>1309</v>
      </c>
      <c r="L1127" s="83">
        <v>45200</v>
      </c>
      <c r="M1127" s="83">
        <v>45230</v>
      </c>
    </row>
    <row r="1128" spans="1:13" ht="18.75" customHeight="1" x14ac:dyDescent="0.25">
      <c r="A1128" s="9" t="s">
        <v>0</v>
      </c>
      <c r="B1128" s="81">
        <v>114742</v>
      </c>
      <c r="C1128" s="81">
        <v>10758</v>
      </c>
      <c r="D1128" s="9" t="s">
        <v>1707</v>
      </c>
      <c r="E1128" s="81">
        <v>14563151</v>
      </c>
      <c r="F1128" s="81">
        <v>36933</v>
      </c>
      <c r="G1128" s="81">
        <v>24</v>
      </c>
      <c r="H1128" s="82">
        <v>26.3</v>
      </c>
      <c r="I1128" s="251">
        <v>631.20000000000005</v>
      </c>
      <c r="J1128" s="9" t="s">
        <v>1305</v>
      </c>
      <c r="K1128" s="9" t="s">
        <v>1306</v>
      </c>
      <c r="L1128" s="83">
        <v>45200</v>
      </c>
      <c r="M1128" s="83">
        <v>45230</v>
      </c>
    </row>
    <row r="1129" spans="1:13" ht="18.75" customHeight="1" x14ac:dyDescent="0.25">
      <c r="A1129" s="9" t="s">
        <v>0</v>
      </c>
      <c r="B1129" s="81">
        <v>113350</v>
      </c>
      <c r="C1129" s="81">
        <v>10757</v>
      </c>
      <c r="D1129" s="9" t="s">
        <v>719</v>
      </c>
      <c r="E1129" s="81">
        <v>14563151</v>
      </c>
      <c r="F1129" s="81">
        <v>31135</v>
      </c>
      <c r="G1129" s="81">
        <v>25</v>
      </c>
      <c r="H1129" s="82">
        <v>26.3</v>
      </c>
      <c r="I1129" s="251">
        <v>657.5</v>
      </c>
      <c r="J1129" s="9" t="s">
        <v>1305</v>
      </c>
      <c r="K1129" s="9" t="s">
        <v>1306</v>
      </c>
      <c r="L1129" s="83">
        <v>45200</v>
      </c>
      <c r="M1129" s="83">
        <v>45230</v>
      </c>
    </row>
    <row r="1130" spans="1:13" ht="18.75" customHeight="1" x14ac:dyDescent="0.25">
      <c r="A1130" s="9" t="s">
        <v>8</v>
      </c>
      <c r="B1130" s="81">
        <v>113356</v>
      </c>
      <c r="C1130" s="81">
        <v>10757</v>
      </c>
      <c r="D1130" s="9" t="s">
        <v>646</v>
      </c>
      <c r="E1130" s="81">
        <v>14563151</v>
      </c>
      <c r="F1130" s="81">
        <v>31147</v>
      </c>
      <c r="G1130" s="81">
        <v>25</v>
      </c>
      <c r="H1130" s="82">
        <v>26.3</v>
      </c>
      <c r="I1130" s="251">
        <v>657.5</v>
      </c>
      <c r="J1130" s="9" t="s">
        <v>1305</v>
      </c>
      <c r="K1130" s="9" t="s">
        <v>1306</v>
      </c>
      <c r="L1130" s="83">
        <v>45200</v>
      </c>
      <c r="M1130" s="83">
        <v>45230</v>
      </c>
    </row>
    <row r="1131" spans="1:13" ht="18.75" customHeight="1" x14ac:dyDescent="0.25">
      <c r="A1131" s="9" t="s">
        <v>1578</v>
      </c>
      <c r="B1131" s="81">
        <v>113365</v>
      </c>
      <c r="C1131" s="81">
        <v>10761</v>
      </c>
      <c r="D1131" s="9" t="s">
        <v>646</v>
      </c>
      <c r="E1131" s="81">
        <v>14563151</v>
      </c>
      <c r="F1131" s="81">
        <v>31165</v>
      </c>
      <c r="G1131" s="81">
        <v>25</v>
      </c>
      <c r="H1131" s="82">
        <v>26.3</v>
      </c>
      <c r="I1131" s="251">
        <v>657.5</v>
      </c>
      <c r="J1131" s="9" t="s">
        <v>1305</v>
      </c>
      <c r="K1131" s="9" t="s">
        <v>1306</v>
      </c>
      <c r="L1131" s="83">
        <v>45200</v>
      </c>
      <c r="M1131" s="83">
        <v>45230</v>
      </c>
    </row>
    <row r="1132" spans="1:13" ht="18.75" customHeight="1" x14ac:dyDescent="0.25">
      <c r="A1132" s="9" t="s">
        <v>1578</v>
      </c>
      <c r="B1132" s="81">
        <v>122424</v>
      </c>
      <c r="C1132" s="81">
        <v>10755</v>
      </c>
      <c r="D1132" s="9" t="s">
        <v>1695</v>
      </c>
      <c r="E1132" s="81">
        <v>14563151</v>
      </c>
      <c r="F1132" s="81">
        <v>56169</v>
      </c>
      <c r="G1132" s="81">
        <v>21</v>
      </c>
      <c r="H1132" s="82">
        <v>26.3</v>
      </c>
      <c r="I1132" s="251">
        <v>552.30000000000007</v>
      </c>
      <c r="J1132" s="9" t="s">
        <v>1305</v>
      </c>
      <c r="K1132" s="9" t="s">
        <v>1306</v>
      </c>
      <c r="L1132" s="83">
        <v>45200</v>
      </c>
      <c r="M1132" s="83">
        <v>45230</v>
      </c>
    </row>
    <row r="1133" spans="1:13" ht="18.75" customHeight="1" x14ac:dyDescent="0.25">
      <c r="A1133" s="9" t="s">
        <v>1578</v>
      </c>
      <c r="B1133" s="81">
        <v>113389</v>
      </c>
      <c r="C1133" s="81">
        <v>10768</v>
      </c>
      <c r="D1133" s="9" t="s">
        <v>746</v>
      </c>
      <c r="E1133" s="81">
        <v>14563151</v>
      </c>
      <c r="F1133" s="81">
        <v>31213</v>
      </c>
      <c r="G1133" s="81">
        <v>25</v>
      </c>
      <c r="H1133" s="82">
        <v>26.3</v>
      </c>
      <c r="I1133" s="251">
        <v>657.5</v>
      </c>
      <c r="J1133" s="9" t="s">
        <v>1305</v>
      </c>
      <c r="K1133" s="9" t="s">
        <v>1306</v>
      </c>
      <c r="L1133" s="83">
        <v>45200</v>
      </c>
      <c r="M1133" s="83">
        <v>45230</v>
      </c>
    </row>
    <row r="1134" spans="1:13" ht="18.75" customHeight="1" x14ac:dyDescent="0.25">
      <c r="A1134" s="9" t="s">
        <v>8</v>
      </c>
      <c r="B1134" s="81">
        <v>119646</v>
      </c>
      <c r="C1134" s="81">
        <v>10760</v>
      </c>
      <c r="D1134" s="9" t="s">
        <v>1470</v>
      </c>
      <c r="E1134" s="81">
        <v>14563151</v>
      </c>
      <c r="F1134" s="81">
        <v>49608</v>
      </c>
      <c r="G1134" s="81">
        <v>25</v>
      </c>
      <c r="H1134" s="82">
        <v>26.3</v>
      </c>
      <c r="I1134" s="251">
        <v>657.5</v>
      </c>
      <c r="J1134" s="9" t="s">
        <v>1305</v>
      </c>
      <c r="K1134" s="9" t="s">
        <v>1306</v>
      </c>
      <c r="L1134" s="83">
        <v>45200</v>
      </c>
      <c r="M1134" s="83">
        <v>45230</v>
      </c>
    </row>
    <row r="1135" spans="1:13" ht="18.75" customHeight="1" x14ac:dyDescent="0.25">
      <c r="A1135" s="9" t="s">
        <v>32</v>
      </c>
      <c r="B1135" s="81">
        <v>121028</v>
      </c>
      <c r="C1135" s="81">
        <v>10750</v>
      </c>
      <c r="D1135" s="9" t="s">
        <v>1521</v>
      </c>
      <c r="E1135" s="81">
        <v>14563151</v>
      </c>
      <c r="F1135" s="81">
        <v>53103</v>
      </c>
      <c r="G1135" s="81">
        <v>25</v>
      </c>
      <c r="H1135" s="82">
        <v>26.3</v>
      </c>
      <c r="I1135" s="251">
        <v>657.5</v>
      </c>
      <c r="J1135" s="9" t="s">
        <v>1305</v>
      </c>
      <c r="K1135" s="9" t="s">
        <v>1309</v>
      </c>
      <c r="L1135" s="83">
        <v>45200</v>
      </c>
      <c r="M1135" s="83">
        <v>45230</v>
      </c>
    </row>
    <row r="1136" spans="1:13" ht="18.75" customHeight="1" x14ac:dyDescent="0.25">
      <c r="A1136" s="9" t="s">
        <v>8</v>
      </c>
      <c r="B1136" s="81">
        <v>113399</v>
      </c>
      <c r="C1136" s="81">
        <v>10757</v>
      </c>
      <c r="D1136" s="9" t="s">
        <v>754</v>
      </c>
      <c r="E1136" s="81">
        <v>14563151</v>
      </c>
      <c r="F1136" s="81">
        <v>31233</v>
      </c>
      <c r="G1136" s="81">
        <v>25</v>
      </c>
      <c r="H1136" s="82">
        <v>26.3</v>
      </c>
      <c r="I1136" s="251">
        <v>657.5</v>
      </c>
      <c r="J1136" s="9" t="s">
        <v>1305</v>
      </c>
      <c r="K1136" s="9" t="s">
        <v>1306</v>
      </c>
      <c r="L1136" s="83">
        <v>45200</v>
      </c>
      <c r="M1136" s="83">
        <v>45230</v>
      </c>
    </row>
    <row r="1137" spans="1:13" ht="18.75" customHeight="1" x14ac:dyDescent="0.25">
      <c r="A1137" s="9" t="s">
        <v>1578</v>
      </c>
      <c r="B1137" s="81">
        <v>113407</v>
      </c>
      <c r="C1137" s="81">
        <v>10745</v>
      </c>
      <c r="D1137" s="9" t="s">
        <v>759</v>
      </c>
      <c r="E1137" s="81">
        <v>14563151</v>
      </c>
      <c r="F1137" s="81">
        <v>31249</v>
      </c>
      <c r="G1137" s="81">
        <v>25</v>
      </c>
      <c r="H1137" s="82">
        <v>26.3</v>
      </c>
      <c r="I1137" s="251">
        <v>657.5</v>
      </c>
      <c r="J1137" s="9" t="s">
        <v>1305</v>
      </c>
      <c r="K1137" s="9" t="s">
        <v>1306</v>
      </c>
      <c r="L1137" s="83">
        <v>45200</v>
      </c>
      <c r="M1137" s="83">
        <v>45230</v>
      </c>
    </row>
    <row r="1138" spans="1:13" ht="18.75" customHeight="1" x14ac:dyDescent="0.25">
      <c r="A1138" s="9" t="s">
        <v>0</v>
      </c>
      <c r="B1138" s="81">
        <v>113429</v>
      </c>
      <c r="C1138" s="81">
        <v>10750</v>
      </c>
      <c r="D1138" s="9" t="s">
        <v>773</v>
      </c>
      <c r="E1138" s="81">
        <v>14563151</v>
      </c>
      <c r="F1138" s="81">
        <v>31293</v>
      </c>
      <c r="G1138" s="81">
        <v>25</v>
      </c>
      <c r="H1138" s="82">
        <v>26.3</v>
      </c>
      <c r="I1138" s="251">
        <v>657.5</v>
      </c>
      <c r="J1138" s="9" t="s">
        <v>1305</v>
      </c>
      <c r="K1138" s="9" t="s">
        <v>1306</v>
      </c>
      <c r="L1138" s="83">
        <v>45200</v>
      </c>
      <c r="M1138" s="83">
        <v>45230</v>
      </c>
    </row>
    <row r="1139" spans="1:13" ht="18.75" customHeight="1" x14ac:dyDescent="0.25">
      <c r="A1139" s="9" t="s">
        <v>10</v>
      </c>
      <c r="B1139" s="81">
        <v>113436</v>
      </c>
      <c r="C1139" s="81">
        <v>10750</v>
      </c>
      <c r="D1139" s="9" t="s">
        <v>778</v>
      </c>
      <c r="E1139" s="81">
        <v>14563151</v>
      </c>
      <c r="F1139" s="81">
        <v>31307</v>
      </c>
      <c r="G1139" s="81">
        <v>25</v>
      </c>
      <c r="H1139" s="82">
        <v>26.3</v>
      </c>
      <c r="I1139" s="251">
        <v>657.5</v>
      </c>
      <c r="J1139" s="9" t="s">
        <v>1305</v>
      </c>
      <c r="K1139" s="9" t="s">
        <v>1306</v>
      </c>
      <c r="L1139" s="83">
        <v>45200</v>
      </c>
      <c r="M1139" s="83">
        <v>45230</v>
      </c>
    </row>
    <row r="1140" spans="1:13" ht="18.75" customHeight="1" x14ac:dyDescent="0.25">
      <c r="A1140" s="9" t="s">
        <v>1578</v>
      </c>
      <c r="B1140" s="81">
        <v>122086</v>
      </c>
      <c r="C1140" s="81">
        <v>10755</v>
      </c>
      <c r="D1140" s="9" t="s">
        <v>1633</v>
      </c>
      <c r="E1140" s="81">
        <v>14563151</v>
      </c>
      <c r="F1140" s="81">
        <v>55289</v>
      </c>
      <c r="G1140" s="81">
        <v>25</v>
      </c>
      <c r="H1140" s="82">
        <v>26.3</v>
      </c>
      <c r="I1140" s="251">
        <v>657.5</v>
      </c>
      <c r="J1140" s="9" t="s">
        <v>1305</v>
      </c>
      <c r="K1140" s="9" t="s">
        <v>1306</v>
      </c>
      <c r="L1140" s="83">
        <v>45200</v>
      </c>
      <c r="M1140" s="83">
        <v>45230</v>
      </c>
    </row>
    <row r="1141" spans="1:13" ht="18.75" customHeight="1" x14ac:dyDescent="0.25">
      <c r="A1141" s="9" t="s">
        <v>19</v>
      </c>
      <c r="B1141" s="81">
        <v>113443</v>
      </c>
      <c r="C1141" s="81">
        <v>10754</v>
      </c>
      <c r="D1141" s="9" t="s">
        <v>373</v>
      </c>
      <c r="E1141" s="81">
        <v>14563151</v>
      </c>
      <c r="F1141" s="81">
        <v>31321</v>
      </c>
      <c r="G1141" s="81">
        <v>25</v>
      </c>
      <c r="H1141" s="82">
        <v>26.3</v>
      </c>
      <c r="I1141" s="251">
        <v>657.5</v>
      </c>
      <c r="J1141" s="9" t="s">
        <v>1305</v>
      </c>
      <c r="K1141" s="9" t="s">
        <v>1306</v>
      </c>
      <c r="L1141" s="83">
        <v>45200</v>
      </c>
      <c r="M1141" s="83">
        <v>45230</v>
      </c>
    </row>
    <row r="1142" spans="1:13" ht="18.75" customHeight="1" x14ac:dyDescent="0.25">
      <c r="A1142" s="9" t="s">
        <v>0</v>
      </c>
      <c r="B1142" s="81">
        <v>113449</v>
      </c>
      <c r="C1142" s="81">
        <v>10757</v>
      </c>
      <c r="D1142" s="9" t="s">
        <v>786</v>
      </c>
      <c r="E1142" s="81">
        <v>14563151</v>
      </c>
      <c r="F1142" s="81">
        <v>31333</v>
      </c>
      <c r="G1142" s="81">
        <v>23</v>
      </c>
      <c r="H1142" s="82">
        <v>26.3</v>
      </c>
      <c r="I1142" s="251">
        <v>604.9</v>
      </c>
      <c r="J1142" s="9" t="s">
        <v>1305</v>
      </c>
      <c r="K1142" s="9" t="s">
        <v>1306</v>
      </c>
      <c r="L1142" s="83">
        <v>45200</v>
      </c>
      <c r="M1142" s="83">
        <v>45230</v>
      </c>
    </row>
    <row r="1143" spans="1:13" ht="18.75" customHeight="1" x14ac:dyDescent="0.25">
      <c r="A1143" s="9" t="s">
        <v>0</v>
      </c>
      <c r="B1143" s="81">
        <v>113470</v>
      </c>
      <c r="C1143" s="81">
        <v>10750</v>
      </c>
      <c r="D1143" s="9" t="s">
        <v>797</v>
      </c>
      <c r="E1143" s="81">
        <v>14563151</v>
      </c>
      <c r="F1143" s="81">
        <v>31375</v>
      </c>
      <c r="G1143" s="81">
        <v>25</v>
      </c>
      <c r="H1143" s="82">
        <v>26.3</v>
      </c>
      <c r="I1143" s="251">
        <v>657.5</v>
      </c>
      <c r="J1143" s="9" t="s">
        <v>1305</v>
      </c>
      <c r="K1143" s="9" t="s">
        <v>1306</v>
      </c>
      <c r="L1143" s="83">
        <v>45200</v>
      </c>
      <c r="M1143" s="83">
        <v>45230</v>
      </c>
    </row>
    <row r="1144" spans="1:13" ht="18.75" customHeight="1" x14ac:dyDescent="0.25">
      <c r="A1144" s="9" t="s">
        <v>32</v>
      </c>
      <c r="B1144" s="81">
        <v>113708</v>
      </c>
      <c r="C1144" s="81">
        <v>10757</v>
      </c>
      <c r="D1144" s="9" t="s">
        <v>925</v>
      </c>
      <c r="E1144" s="81">
        <v>14563151</v>
      </c>
      <c r="F1144" s="81">
        <v>31851</v>
      </c>
      <c r="G1144" s="81">
        <v>25</v>
      </c>
      <c r="H1144" s="82">
        <v>26.3</v>
      </c>
      <c r="I1144" s="251">
        <v>657.5</v>
      </c>
      <c r="J1144" s="9" t="s">
        <v>1305</v>
      </c>
      <c r="K1144" s="9" t="s">
        <v>1306</v>
      </c>
      <c r="L1144" s="83">
        <v>45200</v>
      </c>
      <c r="M1144" s="83">
        <v>45230</v>
      </c>
    </row>
    <row r="1145" spans="1:13" ht="18.75" customHeight="1" x14ac:dyDescent="0.25">
      <c r="A1145" s="9" t="s">
        <v>1580</v>
      </c>
      <c r="B1145" s="81">
        <v>113742</v>
      </c>
      <c r="C1145" s="81">
        <v>10776</v>
      </c>
      <c r="D1145" s="9" t="s">
        <v>961</v>
      </c>
      <c r="E1145" s="81">
        <v>14563151</v>
      </c>
      <c r="F1145" s="81">
        <v>31919</v>
      </c>
      <c r="G1145" s="81">
        <v>25</v>
      </c>
      <c r="H1145" s="82">
        <v>26.3</v>
      </c>
      <c r="I1145" s="251">
        <v>657.5</v>
      </c>
      <c r="J1145" s="9" t="s">
        <v>1305</v>
      </c>
      <c r="K1145" s="9" t="s">
        <v>1306</v>
      </c>
      <c r="L1145" s="83">
        <v>45200</v>
      </c>
      <c r="M1145" s="83">
        <v>45230</v>
      </c>
    </row>
    <row r="1146" spans="1:13" ht="18.75" customHeight="1" x14ac:dyDescent="0.25">
      <c r="A1146" s="9" t="s">
        <v>8</v>
      </c>
      <c r="B1146" s="81">
        <v>122348</v>
      </c>
      <c r="C1146" s="81">
        <v>10750</v>
      </c>
      <c r="D1146" s="9" t="s">
        <v>1660</v>
      </c>
      <c r="E1146" s="81">
        <v>14563151</v>
      </c>
      <c r="F1146" s="81">
        <v>56030</v>
      </c>
      <c r="G1146" s="81">
        <v>25</v>
      </c>
      <c r="H1146" s="82">
        <v>26.3</v>
      </c>
      <c r="I1146" s="251">
        <v>657.5</v>
      </c>
      <c r="J1146" s="9" t="s">
        <v>1305</v>
      </c>
      <c r="K1146" s="9" t="s">
        <v>1306</v>
      </c>
      <c r="L1146" s="83">
        <v>45200</v>
      </c>
      <c r="M1146" s="83">
        <v>45230</v>
      </c>
    </row>
    <row r="1147" spans="1:13" ht="18.75" customHeight="1" x14ac:dyDescent="0.25">
      <c r="A1147" s="9" t="s">
        <v>1578</v>
      </c>
      <c r="B1147" s="81">
        <v>113764</v>
      </c>
      <c r="C1147" s="81">
        <v>10743</v>
      </c>
      <c r="D1147" s="9" t="s">
        <v>966</v>
      </c>
      <c r="E1147" s="81">
        <v>14563151</v>
      </c>
      <c r="F1147" s="81">
        <v>31970</v>
      </c>
      <c r="G1147" s="81">
        <v>25</v>
      </c>
      <c r="H1147" s="82">
        <v>26.3</v>
      </c>
      <c r="I1147" s="251">
        <v>657.5</v>
      </c>
      <c r="J1147" s="9" t="s">
        <v>1305</v>
      </c>
      <c r="K1147" s="9" t="s">
        <v>1309</v>
      </c>
      <c r="L1147" s="83">
        <v>45200</v>
      </c>
      <c r="M1147" s="83">
        <v>45230</v>
      </c>
    </row>
    <row r="1148" spans="1:13" ht="18.75" customHeight="1" x14ac:dyDescent="0.25">
      <c r="A1148" s="9" t="s">
        <v>10</v>
      </c>
      <c r="B1148" s="81">
        <v>113477</v>
      </c>
      <c r="C1148" s="81">
        <v>10766</v>
      </c>
      <c r="D1148" s="9" t="s">
        <v>800</v>
      </c>
      <c r="E1148" s="81">
        <v>14563151</v>
      </c>
      <c r="F1148" s="81">
        <v>31389</v>
      </c>
      <c r="G1148" s="81">
        <v>25</v>
      </c>
      <c r="H1148" s="82">
        <v>26.3</v>
      </c>
      <c r="I1148" s="251">
        <v>657.5</v>
      </c>
      <c r="J1148" s="9" t="s">
        <v>1305</v>
      </c>
      <c r="K1148" s="9" t="s">
        <v>1306</v>
      </c>
      <c r="L1148" s="83">
        <v>45200</v>
      </c>
      <c r="M1148" s="83">
        <v>45230</v>
      </c>
    </row>
    <row r="1149" spans="1:13" ht="18.75" customHeight="1" x14ac:dyDescent="0.25">
      <c r="A1149" s="9" t="s">
        <v>10</v>
      </c>
      <c r="B1149" s="81">
        <v>113496</v>
      </c>
      <c r="C1149" s="81">
        <v>10750</v>
      </c>
      <c r="D1149" s="9" t="s">
        <v>809</v>
      </c>
      <c r="E1149" s="81">
        <v>14563151</v>
      </c>
      <c r="F1149" s="81">
        <v>31427</v>
      </c>
      <c r="G1149" s="81">
        <v>25</v>
      </c>
      <c r="H1149" s="82">
        <v>26.3</v>
      </c>
      <c r="I1149" s="251">
        <v>657.5</v>
      </c>
      <c r="J1149" s="9" t="s">
        <v>1305</v>
      </c>
      <c r="K1149" s="9" t="s">
        <v>1306</v>
      </c>
      <c r="L1149" s="83">
        <v>45200</v>
      </c>
      <c r="M1149" s="83">
        <v>45230</v>
      </c>
    </row>
    <row r="1150" spans="1:13" ht="18.75" customHeight="1" x14ac:dyDescent="0.25">
      <c r="A1150" s="9" t="s">
        <v>8</v>
      </c>
      <c r="B1150" s="81">
        <v>114554</v>
      </c>
      <c r="C1150" s="81">
        <v>10757</v>
      </c>
      <c r="D1150" s="9" t="s">
        <v>1057</v>
      </c>
      <c r="E1150" s="81">
        <v>14563151</v>
      </c>
      <c r="F1150" s="81">
        <v>36386</v>
      </c>
      <c r="G1150" s="81">
        <v>25</v>
      </c>
      <c r="H1150" s="82">
        <v>26.3</v>
      </c>
      <c r="I1150" s="251">
        <v>657.5</v>
      </c>
      <c r="J1150" s="9" t="s">
        <v>1305</v>
      </c>
      <c r="K1150" s="9" t="s">
        <v>1306</v>
      </c>
      <c r="L1150" s="83">
        <v>45200</v>
      </c>
      <c r="M1150" s="83">
        <v>45230</v>
      </c>
    </row>
    <row r="1151" spans="1:13" ht="18.75" customHeight="1" x14ac:dyDescent="0.25">
      <c r="A1151" s="9" t="s">
        <v>19</v>
      </c>
      <c r="B1151" s="81">
        <v>113500</v>
      </c>
      <c r="C1151" s="81">
        <v>10755</v>
      </c>
      <c r="D1151" s="9" t="s">
        <v>812</v>
      </c>
      <c r="E1151" s="81">
        <v>14563151</v>
      </c>
      <c r="F1151" s="81">
        <v>31435</v>
      </c>
      <c r="G1151" s="81">
        <v>25</v>
      </c>
      <c r="H1151" s="82">
        <v>26.3</v>
      </c>
      <c r="I1151" s="251">
        <v>657.5</v>
      </c>
      <c r="J1151" s="9" t="s">
        <v>1305</v>
      </c>
      <c r="K1151" s="9" t="s">
        <v>1306</v>
      </c>
      <c r="L1151" s="83">
        <v>45200</v>
      </c>
      <c r="M1151" s="83">
        <v>45230</v>
      </c>
    </row>
    <row r="1152" spans="1:13" ht="18.75" customHeight="1" x14ac:dyDescent="0.25">
      <c r="A1152" s="9" t="s">
        <v>19</v>
      </c>
      <c r="B1152" s="81">
        <v>113504</v>
      </c>
      <c r="C1152" s="81">
        <v>10750</v>
      </c>
      <c r="D1152" s="9" t="s">
        <v>813</v>
      </c>
      <c r="E1152" s="81">
        <v>14563151</v>
      </c>
      <c r="F1152" s="81">
        <v>31443</v>
      </c>
      <c r="G1152" s="81">
        <v>25</v>
      </c>
      <c r="H1152" s="82">
        <v>26.3</v>
      </c>
      <c r="I1152" s="251">
        <v>657.5</v>
      </c>
      <c r="J1152" s="9" t="s">
        <v>1305</v>
      </c>
      <c r="K1152" s="9" t="s">
        <v>1306</v>
      </c>
      <c r="L1152" s="83">
        <v>45200</v>
      </c>
      <c r="M1152" s="83">
        <v>45230</v>
      </c>
    </row>
    <row r="1153" spans="1:13" ht="18.75" customHeight="1" x14ac:dyDescent="0.25">
      <c r="A1153" s="9" t="s">
        <v>0</v>
      </c>
      <c r="B1153" s="81">
        <v>116985</v>
      </c>
      <c r="C1153" s="81">
        <v>10763</v>
      </c>
      <c r="D1153" s="9" t="s">
        <v>1244</v>
      </c>
      <c r="E1153" s="81">
        <v>14563151</v>
      </c>
      <c r="F1153" s="81">
        <v>43482</v>
      </c>
      <c r="G1153" s="81">
        <v>25</v>
      </c>
      <c r="H1153" s="82">
        <v>26.3</v>
      </c>
      <c r="I1153" s="251">
        <v>657.5</v>
      </c>
      <c r="J1153" s="9" t="s">
        <v>1305</v>
      </c>
      <c r="K1153" s="9" t="s">
        <v>1309</v>
      </c>
      <c r="L1153" s="83">
        <v>45200</v>
      </c>
      <c r="M1153" s="83">
        <v>45230</v>
      </c>
    </row>
    <row r="1154" spans="1:13" ht="18.75" customHeight="1" x14ac:dyDescent="0.25">
      <c r="A1154" s="9" t="s">
        <v>32</v>
      </c>
      <c r="B1154" s="81">
        <v>113520</v>
      </c>
      <c r="C1154" s="81">
        <v>10771</v>
      </c>
      <c r="D1154" s="9" t="s">
        <v>821</v>
      </c>
      <c r="E1154" s="81">
        <v>14563151</v>
      </c>
      <c r="F1154" s="81">
        <v>31475</v>
      </c>
      <c r="G1154" s="81">
        <v>25</v>
      </c>
      <c r="H1154" s="82">
        <v>26.3</v>
      </c>
      <c r="I1154" s="251">
        <v>657.5</v>
      </c>
      <c r="J1154" s="9" t="s">
        <v>1305</v>
      </c>
      <c r="K1154" s="9" t="s">
        <v>1306</v>
      </c>
      <c r="L1154" s="83">
        <v>45200</v>
      </c>
      <c r="M1154" s="83">
        <v>45230</v>
      </c>
    </row>
    <row r="1155" spans="1:13" ht="18.75" customHeight="1" x14ac:dyDescent="0.25">
      <c r="A1155" s="9" t="s">
        <v>19</v>
      </c>
      <c r="B1155" s="81">
        <v>113526</v>
      </c>
      <c r="C1155" s="81">
        <v>10766</v>
      </c>
      <c r="D1155" s="9" t="s">
        <v>824</v>
      </c>
      <c r="E1155" s="81">
        <v>14563151</v>
      </c>
      <c r="F1155" s="81">
        <v>31487</v>
      </c>
      <c r="G1155" s="81">
        <v>25</v>
      </c>
      <c r="H1155" s="82">
        <v>26.3</v>
      </c>
      <c r="I1155" s="251">
        <v>657.5</v>
      </c>
      <c r="J1155" s="9" t="s">
        <v>1305</v>
      </c>
      <c r="K1155" s="9" t="s">
        <v>1306</v>
      </c>
      <c r="L1155" s="83">
        <v>45200</v>
      </c>
      <c r="M1155" s="83">
        <v>45230</v>
      </c>
    </row>
    <row r="1156" spans="1:13" ht="18.75" customHeight="1" x14ac:dyDescent="0.25">
      <c r="A1156" s="9" t="s">
        <v>19</v>
      </c>
      <c r="B1156" s="81">
        <v>121325</v>
      </c>
      <c r="C1156" s="81">
        <v>10750</v>
      </c>
      <c r="D1156" s="9" t="s">
        <v>1536</v>
      </c>
      <c r="E1156" s="81">
        <v>14563151</v>
      </c>
      <c r="F1156" s="81">
        <v>53537</v>
      </c>
      <c r="G1156" s="81">
        <v>25</v>
      </c>
      <c r="H1156" s="82">
        <v>26.3</v>
      </c>
      <c r="I1156" s="251">
        <v>657.5</v>
      </c>
      <c r="J1156" s="9" t="s">
        <v>1305</v>
      </c>
      <c r="K1156" s="9" t="s">
        <v>1309</v>
      </c>
      <c r="L1156" s="83">
        <v>45200</v>
      </c>
      <c r="M1156" s="83">
        <v>45230</v>
      </c>
    </row>
    <row r="1157" spans="1:13" ht="18.75" customHeight="1" x14ac:dyDescent="0.25">
      <c r="A1157" s="9" t="s">
        <v>10</v>
      </c>
      <c r="B1157" s="81">
        <v>113531</v>
      </c>
      <c r="C1157" s="81">
        <v>10750</v>
      </c>
      <c r="D1157" s="9" t="s">
        <v>1377</v>
      </c>
      <c r="E1157" s="81">
        <v>14563151</v>
      </c>
      <c r="F1157" s="81">
        <v>31497</v>
      </c>
      <c r="G1157" s="81">
        <v>25</v>
      </c>
      <c r="H1157" s="82">
        <v>26.3</v>
      </c>
      <c r="I1157" s="251">
        <v>657.5</v>
      </c>
      <c r="J1157" s="9" t="s">
        <v>1305</v>
      </c>
      <c r="K1157" s="9" t="s">
        <v>1306</v>
      </c>
      <c r="L1157" s="83">
        <v>45200</v>
      </c>
      <c r="M1157" s="83">
        <v>45230</v>
      </c>
    </row>
    <row r="1158" spans="1:13" ht="18.75" customHeight="1" x14ac:dyDescent="0.25">
      <c r="A1158" s="9" t="s">
        <v>10</v>
      </c>
      <c r="B1158" s="81">
        <v>113536</v>
      </c>
      <c r="C1158" s="81">
        <v>10754</v>
      </c>
      <c r="D1158" s="9" t="s">
        <v>831</v>
      </c>
      <c r="E1158" s="81">
        <v>14563151</v>
      </c>
      <c r="F1158" s="81">
        <v>31507</v>
      </c>
      <c r="G1158" s="81">
        <v>25</v>
      </c>
      <c r="H1158" s="82">
        <v>26.3</v>
      </c>
      <c r="I1158" s="251">
        <v>657.5</v>
      </c>
      <c r="J1158" s="9" t="s">
        <v>1305</v>
      </c>
      <c r="K1158" s="9" t="s">
        <v>1306</v>
      </c>
      <c r="L1158" s="83">
        <v>45200</v>
      </c>
      <c r="M1158" s="83">
        <v>45230</v>
      </c>
    </row>
    <row r="1159" spans="1:13" ht="18.75" customHeight="1" x14ac:dyDescent="0.25">
      <c r="A1159" s="9" t="s">
        <v>8</v>
      </c>
      <c r="B1159" s="81">
        <v>113547</v>
      </c>
      <c r="C1159" s="81">
        <v>10771</v>
      </c>
      <c r="D1159" s="9" t="s">
        <v>838</v>
      </c>
      <c r="E1159" s="81">
        <v>14563151</v>
      </c>
      <c r="F1159" s="81">
        <v>31529</v>
      </c>
      <c r="G1159" s="81">
        <v>25</v>
      </c>
      <c r="H1159" s="82">
        <v>26.3</v>
      </c>
      <c r="I1159" s="251">
        <v>657.5</v>
      </c>
      <c r="J1159" s="9" t="s">
        <v>1305</v>
      </c>
      <c r="K1159" s="9" t="s">
        <v>1306</v>
      </c>
      <c r="L1159" s="83">
        <v>45200</v>
      </c>
      <c r="M1159" s="83">
        <v>45230</v>
      </c>
    </row>
    <row r="1160" spans="1:13" ht="18.75" customHeight="1" x14ac:dyDescent="0.25">
      <c r="A1160" s="9" t="s">
        <v>1578</v>
      </c>
      <c r="B1160" s="81">
        <v>113552</v>
      </c>
      <c r="C1160" s="81">
        <v>10768</v>
      </c>
      <c r="D1160" s="9" t="s">
        <v>843</v>
      </c>
      <c r="E1160" s="81">
        <v>14563151</v>
      </c>
      <c r="F1160" s="81">
        <v>31539</v>
      </c>
      <c r="G1160" s="81">
        <v>25</v>
      </c>
      <c r="H1160" s="82">
        <v>26.3</v>
      </c>
      <c r="I1160" s="251">
        <v>657.5</v>
      </c>
      <c r="J1160" s="9" t="s">
        <v>1305</v>
      </c>
      <c r="K1160" s="9" t="s">
        <v>1306</v>
      </c>
      <c r="L1160" s="83">
        <v>45200</v>
      </c>
      <c r="M1160" s="83">
        <v>45230</v>
      </c>
    </row>
    <row r="1161" spans="1:13" ht="18.75" customHeight="1" x14ac:dyDescent="0.25">
      <c r="A1161" s="9" t="s">
        <v>19</v>
      </c>
      <c r="B1161" s="81">
        <v>113555</v>
      </c>
      <c r="C1161" s="81">
        <v>10750</v>
      </c>
      <c r="D1161" s="9" t="s">
        <v>726</v>
      </c>
      <c r="E1161" s="81">
        <v>14563151</v>
      </c>
      <c r="F1161" s="81">
        <v>31545</v>
      </c>
      <c r="G1161" s="81">
        <v>25</v>
      </c>
      <c r="H1161" s="82">
        <v>26.3</v>
      </c>
      <c r="I1161" s="251">
        <v>657.5</v>
      </c>
      <c r="J1161" s="9" t="s">
        <v>1305</v>
      </c>
      <c r="K1161" s="9" t="s">
        <v>1306</v>
      </c>
      <c r="L1161" s="83">
        <v>45200</v>
      </c>
      <c r="M1161" s="83">
        <v>45230</v>
      </c>
    </row>
    <row r="1162" spans="1:13" ht="18.75" customHeight="1" x14ac:dyDescent="0.25">
      <c r="A1162" s="9" t="s">
        <v>32</v>
      </c>
      <c r="B1162" s="81">
        <v>113557</v>
      </c>
      <c r="C1162" s="81">
        <v>10750</v>
      </c>
      <c r="D1162" s="9" t="s">
        <v>845</v>
      </c>
      <c r="E1162" s="81">
        <v>14563151</v>
      </c>
      <c r="F1162" s="81">
        <v>31549</v>
      </c>
      <c r="G1162" s="81">
        <v>25</v>
      </c>
      <c r="H1162" s="82">
        <v>26.3</v>
      </c>
      <c r="I1162" s="251">
        <v>657.5</v>
      </c>
      <c r="J1162" s="9" t="s">
        <v>1305</v>
      </c>
      <c r="K1162" s="9" t="s">
        <v>1306</v>
      </c>
      <c r="L1162" s="83">
        <v>45200</v>
      </c>
      <c r="M1162" s="83">
        <v>45230</v>
      </c>
    </row>
    <row r="1163" spans="1:13" ht="18.75" customHeight="1" x14ac:dyDescent="0.25">
      <c r="A1163" s="9" t="s">
        <v>0</v>
      </c>
      <c r="B1163" s="81">
        <v>113559</v>
      </c>
      <c r="C1163" s="81">
        <v>10751</v>
      </c>
      <c r="D1163" s="9" t="s">
        <v>847</v>
      </c>
      <c r="E1163" s="81">
        <v>14563151</v>
      </c>
      <c r="F1163" s="81">
        <v>31553</v>
      </c>
      <c r="G1163" s="81">
        <v>25</v>
      </c>
      <c r="H1163" s="82">
        <v>26.3</v>
      </c>
      <c r="I1163" s="251">
        <v>657.5</v>
      </c>
      <c r="J1163" s="9" t="s">
        <v>1305</v>
      </c>
      <c r="K1163" s="9" t="s">
        <v>1306</v>
      </c>
      <c r="L1163" s="83">
        <v>45200</v>
      </c>
      <c r="M1163" s="83">
        <v>45230</v>
      </c>
    </row>
    <row r="1164" spans="1:13" ht="18.75" customHeight="1" x14ac:dyDescent="0.25">
      <c r="A1164" s="9" t="s">
        <v>1578</v>
      </c>
      <c r="B1164" s="81">
        <v>113565</v>
      </c>
      <c r="C1164" s="81">
        <v>10766</v>
      </c>
      <c r="D1164" s="9" t="s">
        <v>850</v>
      </c>
      <c r="E1164" s="81">
        <v>14563151</v>
      </c>
      <c r="F1164" s="81">
        <v>31565</v>
      </c>
      <c r="G1164" s="81">
        <v>25</v>
      </c>
      <c r="H1164" s="82">
        <v>26.3</v>
      </c>
      <c r="I1164" s="251">
        <v>657.5</v>
      </c>
      <c r="J1164" s="9" t="s">
        <v>1305</v>
      </c>
      <c r="K1164" s="9" t="s">
        <v>1306</v>
      </c>
      <c r="L1164" s="83">
        <v>45200</v>
      </c>
      <c r="M1164" s="83">
        <v>45230</v>
      </c>
    </row>
    <row r="1165" spans="1:13" ht="18.75" customHeight="1" x14ac:dyDescent="0.25">
      <c r="A1165" s="9" t="s">
        <v>1580</v>
      </c>
      <c r="B1165" s="81">
        <v>121816</v>
      </c>
      <c r="C1165" s="81">
        <v>10775</v>
      </c>
      <c r="D1165" s="9" t="s">
        <v>1596</v>
      </c>
      <c r="E1165" s="81">
        <v>14563151</v>
      </c>
      <c r="F1165" s="81">
        <v>55016</v>
      </c>
      <c r="G1165" s="81">
        <v>25</v>
      </c>
      <c r="H1165" s="82">
        <v>26.3</v>
      </c>
      <c r="I1165" s="251">
        <v>657.5</v>
      </c>
      <c r="J1165" s="9" t="s">
        <v>1305</v>
      </c>
      <c r="K1165" s="9" t="s">
        <v>1309</v>
      </c>
      <c r="L1165" s="83">
        <v>45200</v>
      </c>
      <c r="M1165" s="83">
        <v>45230</v>
      </c>
    </row>
    <row r="1166" spans="1:13" ht="18.75" customHeight="1" x14ac:dyDescent="0.25">
      <c r="A1166" s="9" t="s">
        <v>8</v>
      </c>
      <c r="B1166" s="81">
        <v>113573</v>
      </c>
      <c r="C1166" s="81">
        <v>10750</v>
      </c>
      <c r="D1166" s="9" t="s">
        <v>853</v>
      </c>
      <c r="E1166" s="81">
        <v>14563151</v>
      </c>
      <c r="F1166" s="81">
        <v>31581</v>
      </c>
      <c r="G1166" s="81">
        <v>25</v>
      </c>
      <c r="H1166" s="82">
        <v>26.3</v>
      </c>
      <c r="I1166" s="251">
        <v>657.5</v>
      </c>
      <c r="J1166" s="9" t="s">
        <v>1305</v>
      </c>
      <c r="K1166" s="9" t="s">
        <v>1306</v>
      </c>
      <c r="L1166" s="83">
        <v>45200</v>
      </c>
      <c r="M1166" s="83">
        <v>45230</v>
      </c>
    </row>
    <row r="1167" spans="1:13" ht="18.75" customHeight="1" x14ac:dyDescent="0.25">
      <c r="A1167" s="9" t="s">
        <v>1578</v>
      </c>
      <c r="B1167" s="81">
        <v>113577</v>
      </c>
      <c r="C1167" s="81">
        <v>10767</v>
      </c>
      <c r="D1167" s="9" t="s">
        <v>854</v>
      </c>
      <c r="E1167" s="81">
        <v>14563151</v>
      </c>
      <c r="F1167" s="81">
        <v>31589</v>
      </c>
      <c r="G1167" s="81">
        <v>25</v>
      </c>
      <c r="H1167" s="82">
        <v>26.3</v>
      </c>
      <c r="I1167" s="251">
        <v>657.5</v>
      </c>
      <c r="J1167" s="9" t="s">
        <v>1305</v>
      </c>
      <c r="K1167" s="9" t="s">
        <v>1306</v>
      </c>
      <c r="L1167" s="83">
        <v>45200</v>
      </c>
      <c r="M1167" s="83">
        <v>45230</v>
      </c>
    </row>
    <row r="1168" spans="1:13" ht="18.75" customHeight="1" x14ac:dyDescent="0.25">
      <c r="A1168" s="9" t="s">
        <v>0</v>
      </c>
      <c r="B1168" s="81">
        <v>113687</v>
      </c>
      <c r="C1168" s="81">
        <v>10751</v>
      </c>
      <c r="D1168" s="9" t="s">
        <v>915</v>
      </c>
      <c r="E1168" s="81">
        <v>14563151</v>
      </c>
      <c r="F1168" s="81">
        <v>31809</v>
      </c>
      <c r="G1168" s="81">
        <v>25</v>
      </c>
      <c r="H1168" s="82">
        <v>26.3</v>
      </c>
      <c r="I1168" s="251">
        <v>657.5</v>
      </c>
      <c r="J1168" s="9" t="s">
        <v>1305</v>
      </c>
      <c r="K1168" s="9" t="s">
        <v>1306</v>
      </c>
      <c r="L1168" s="83">
        <v>45200</v>
      </c>
      <c r="M1168" s="83">
        <v>45230</v>
      </c>
    </row>
    <row r="1169" spans="1:13" ht="18.75" customHeight="1" x14ac:dyDescent="0.25">
      <c r="A1169" s="9" t="s">
        <v>32</v>
      </c>
      <c r="B1169" s="81">
        <v>113587</v>
      </c>
      <c r="C1169" s="81">
        <v>10750</v>
      </c>
      <c r="D1169" s="9" t="s">
        <v>860</v>
      </c>
      <c r="E1169" s="81">
        <v>14563151</v>
      </c>
      <c r="F1169" s="81">
        <v>31609</v>
      </c>
      <c r="G1169" s="81">
        <v>25</v>
      </c>
      <c r="H1169" s="82">
        <v>26.3</v>
      </c>
      <c r="I1169" s="251">
        <v>657.5</v>
      </c>
      <c r="J1169" s="9" t="s">
        <v>1305</v>
      </c>
      <c r="K1169" s="9" t="s">
        <v>1306</v>
      </c>
      <c r="L1169" s="83">
        <v>45200</v>
      </c>
      <c r="M1169" s="83">
        <v>45230</v>
      </c>
    </row>
    <row r="1170" spans="1:13" ht="18.75" customHeight="1" x14ac:dyDescent="0.25">
      <c r="A1170" s="9" t="s">
        <v>32</v>
      </c>
      <c r="B1170" s="81">
        <v>114259</v>
      </c>
      <c r="C1170" s="81">
        <v>10757</v>
      </c>
      <c r="D1170" s="9" t="s">
        <v>1022</v>
      </c>
      <c r="E1170" s="81">
        <v>14563151</v>
      </c>
      <c r="F1170" s="81">
        <v>35798</v>
      </c>
      <c r="G1170" s="81">
        <v>25</v>
      </c>
      <c r="H1170" s="82">
        <v>26.3</v>
      </c>
      <c r="I1170" s="251">
        <v>657.5</v>
      </c>
      <c r="J1170" s="9" t="s">
        <v>1305</v>
      </c>
      <c r="K1170" s="9" t="s">
        <v>1306</v>
      </c>
      <c r="L1170" s="83">
        <v>45200</v>
      </c>
      <c r="M1170" s="83">
        <v>45230</v>
      </c>
    </row>
    <row r="1171" spans="1:13" ht="18.75" customHeight="1" x14ac:dyDescent="0.25">
      <c r="A1171" s="9" t="s">
        <v>19</v>
      </c>
      <c r="B1171" s="81">
        <v>113608</v>
      </c>
      <c r="C1171" s="81">
        <v>10750</v>
      </c>
      <c r="D1171" s="9" t="s">
        <v>870</v>
      </c>
      <c r="E1171" s="81">
        <v>14563151</v>
      </c>
      <c r="F1171" s="81">
        <v>31651</v>
      </c>
      <c r="G1171" s="81">
        <v>25</v>
      </c>
      <c r="H1171" s="82">
        <v>26.3</v>
      </c>
      <c r="I1171" s="251">
        <v>657.5</v>
      </c>
      <c r="J1171" s="9" t="s">
        <v>1305</v>
      </c>
      <c r="K1171" s="9" t="s">
        <v>1306</v>
      </c>
      <c r="L1171" s="83">
        <v>45200</v>
      </c>
      <c r="M1171" s="83">
        <v>45230</v>
      </c>
    </row>
    <row r="1172" spans="1:13" ht="18.75" customHeight="1" x14ac:dyDescent="0.25">
      <c r="A1172" s="9" t="s">
        <v>19</v>
      </c>
      <c r="B1172" s="81">
        <v>113667</v>
      </c>
      <c r="C1172" s="81">
        <v>10750</v>
      </c>
      <c r="D1172" s="9" t="s">
        <v>904</v>
      </c>
      <c r="E1172" s="81">
        <v>14563151</v>
      </c>
      <c r="F1172" s="81">
        <v>31769</v>
      </c>
      <c r="G1172" s="81">
        <v>25</v>
      </c>
      <c r="H1172" s="82">
        <v>26.3</v>
      </c>
      <c r="I1172" s="251">
        <v>657.5</v>
      </c>
      <c r="J1172" s="9" t="s">
        <v>1305</v>
      </c>
      <c r="K1172" s="9" t="s">
        <v>1306</v>
      </c>
      <c r="L1172" s="83">
        <v>45200</v>
      </c>
      <c r="M1172" s="83">
        <v>45230</v>
      </c>
    </row>
    <row r="1173" spans="1:13" ht="18.75" customHeight="1" x14ac:dyDescent="0.25">
      <c r="A1173" s="9" t="s">
        <v>1578</v>
      </c>
      <c r="B1173" s="81">
        <v>113668</v>
      </c>
      <c r="C1173" s="81">
        <v>10756</v>
      </c>
      <c r="D1173" s="9" t="s">
        <v>905</v>
      </c>
      <c r="E1173" s="81">
        <v>14563151</v>
      </c>
      <c r="F1173" s="81">
        <v>31771</v>
      </c>
      <c r="G1173" s="81">
        <v>25</v>
      </c>
      <c r="H1173" s="82">
        <v>26.3</v>
      </c>
      <c r="I1173" s="251">
        <v>657.5</v>
      </c>
      <c r="J1173" s="9" t="s">
        <v>1305</v>
      </c>
      <c r="K1173" s="9" t="s">
        <v>1306</v>
      </c>
      <c r="L1173" s="83">
        <v>45200</v>
      </c>
      <c r="M1173" s="83">
        <v>45230</v>
      </c>
    </row>
    <row r="1174" spans="1:13" ht="18.75" customHeight="1" x14ac:dyDescent="0.25">
      <c r="A1174" s="9" t="s">
        <v>1578</v>
      </c>
      <c r="B1174" s="81">
        <v>114099</v>
      </c>
      <c r="C1174" s="81">
        <v>10748</v>
      </c>
      <c r="D1174" s="9" t="s">
        <v>1003</v>
      </c>
      <c r="E1174" s="81">
        <v>14563151</v>
      </c>
      <c r="F1174" s="81">
        <v>34349</v>
      </c>
      <c r="G1174" s="81">
        <v>25</v>
      </c>
      <c r="H1174" s="82">
        <v>26.3</v>
      </c>
      <c r="I1174" s="251">
        <v>657.5</v>
      </c>
      <c r="J1174" s="9" t="s">
        <v>1305</v>
      </c>
      <c r="K1174" s="9" t="s">
        <v>1306</v>
      </c>
      <c r="L1174" s="83">
        <v>45200</v>
      </c>
      <c r="M1174" s="83">
        <v>45230</v>
      </c>
    </row>
    <row r="1175" spans="1:13" ht="18.75" customHeight="1" x14ac:dyDescent="0.25">
      <c r="A1175" s="9" t="s">
        <v>1578</v>
      </c>
      <c r="B1175" s="81">
        <v>113663</v>
      </c>
      <c r="C1175" s="81">
        <v>10756</v>
      </c>
      <c r="D1175" s="9" t="s">
        <v>902</v>
      </c>
      <c r="E1175" s="81">
        <v>14563151</v>
      </c>
      <c r="F1175" s="81">
        <v>31761</v>
      </c>
      <c r="G1175" s="81">
        <v>25</v>
      </c>
      <c r="H1175" s="82">
        <v>26.3</v>
      </c>
      <c r="I1175" s="251">
        <v>657.5</v>
      </c>
      <c r="J1175" s="9" t="s">
        <v>1305</v>
      </c>
      <c r="K1175" s="9" t="s">
        <v>1306</v>
      </c>
      <c r="L1175" s="83">
        <v>45200</v>
      </c>
      <c r="M1175" s="83">
        <v>45230</v>
      </c>
    </row>
    <row r="1176" spans="1:13" ht="18.75" customHeight="1" x14ac:dyDescent="0.25">
      <c r="A1176" s="9" t="s">
        <v>0</v>
      </c>
      <c r="B1176" s="81">
        <v>114539</v>
      </c>
      <c r="C1176" s="81">
        <v>10754</v>
      </c>
      <c r="D1176" s="9" t="s">
        <v>1051</v>
      </c>
      <c r="E1176" s="81">
        <v>14563151</v>
      </c>
      <c r="F1176" s="81">
        <v>36354</v>
      </c>
      <c r="G1176" s="81">
        <v>25</v>
      </c>
      <c r="H1176" s="82">
        <v>26.3</v>
      </c>
      <c r="I1176" s="251">
        <v>657.5</v>
      </c>
      <c r="J1176" s="9" t="s">
        <v>1305</v>
      </c>
      <c r="K1176" s="9" t="s">
        <v>1306</v>
      </c>
      <c r="L1176" s="83">
        <v>45200</v>
      </c>
      <c r="M1176" s="83">
        <v>45230</v>
      </c>
    </row>
    <row r="1177" spans="1:13" ht="18.75" customHeight="1" x14ac:dyDescent="0.25">
      <c r="A1177" s="9" t="s">
        <v>1578</v>
      </c>
      <c r="B1177" s="81">
        <v>119675</v>
      </c>
      <c r="C1177" s="81">
        <v>10757</v>
      </c>
      <c r="D1177" s="9" t="s">
        <v>1471</v>
      </c>
      <c r="E1177" s="81">
        <v>14563151</v>
      </c>
      <c r="F1177" s="81">
        <v>49680</v>
      </c>
      <c r="G1177" s="81">
        <v>25</v>
      </c>
      <c r="H1177" s="82">
        <v>26.3</v>
      </c>
      <c r="I1177" s="251">
        <v>657.5</v>
      </c>
      <c r="J1177" s="9" t="s">
        <v>1305</v>
      </c>
      <c r="K1177" s="9" t="s">
        <v>1306</v>
      </c>
      <c r="L1177" s="83">
        <v>45200</v>
      </c>
      <c r="M1177" s="83">
        <v>45230</v>
      </c>
    </row>
    <row r="1178" spans="1:13" ht="18.75" customHeight="1" x14ac:dyDescent="0.25">
      <c r="A1178" s="9" t="s">
        <v>10</v>
      </c>
      <c r="B1178" s="81">
        <v>113658</v>
      </c>
      <c r="C1178" s="81">
        <v>10771</v>
      </c>
      <c r="D1178" s="9" t="s">
        <v>899</v>
      </c>
      <c r="E1178" s="81">
        <v>14563151</v>
      </c>
      <c r="F1178" s="81">
        <v>31751</v>
      </c>
      <c r="G1178" s="81">
        <v>25</v>
      </c>
      <c r="H1178" s="82">
        <v>26.3</v>
      </c>
      <c r="I1178" s="251">
        <v>657.5</v>
      </c>
      <c r="J1178" s="9" t="s">
        <v>1305</v>
      </c>
      <c r="K1178" s="9" t="s">
        <v>1306</v>
      </c>
      <c r="L1178" s="83">
        <v>45200</v>
      </c>
      <c r="M1178" s="83">
        <v>45230</v>
      </c>
    </row>
    <row r="1179" spans="1:13" ht="18.75" customHeight="1" x14ac:dyDescent="0.25">
      <c r="A1179" s="9" t="s">
        <v>1578</v>
      </c>
      <c r="B1179" s="81">
        <v>113654</v>
      </c>
      <c r="C1179" s="81">
        <v>10768</v>
      </c>
      <c r="D1179" s="9" t="s">
        <v>896</v>
      </c>
      <c r="E1179" s="81">
        <v>14563151</v>
      </c>
      <c r="F1179" s="81">
        <v>31743</v>
      </c>
      <c r="G1179" s="81">
        <v>25</v>
      </c>
      <c r="H1179" s="82">
        <v>26.3</v>
      </c>
      <c r="I1179" s="251">
        <v>657.5</v>
      </c>
      <c r="J1179" s="9" t="s">
        <v>1305</v>
      </c>
      <c r="K1179" s="9" t="s">
        <v>1306</v>
      </c>
      <c r="L1179" s="83">
        <v>45200</v>
      </c>
      <c r="M1179" s="83">
        <v>45230</v>
      </c>
    </row>
    <row r="1180" spans="1:13" ht="18.75" customHeight="1" x14ac:dyDescent="0.25">
      <c r="A1180" s="9" t="s">
        <v>0</v>
      </c>
      <c r="B1180" s="81">
        <v>113929</v>
      </c>
      <c r="C1180" s="81">
        <v>10750</v>
      </c>
      <c r="D1180" s="9" t="s">
        <v>990</v>
      </c>
      <c r="E1180" s="81">
        <v>14563151</v>
      </c>
      <c r="F1180" s="81">
        <v>33833</v>
      </c>
      <c r="G1180" s="81">
        <v>25</v>
      </c>
      <c r="H1180" s="82">
        <v>26.3</v>
      </c>
      <c r="I1180" s="251">
        <v>657.5</v>
      </c>
      <c r="J1180" s="9" t="s">
        <v>1305</v>
      </c>
      <c r="K1180" s="9" t="s">
        <v>1306</v>
      </c>
      <c r="L1180" s="83">
        <v>45200</v>
      </c>
      <c r="M1180" s="83">
        <v>45230</v>
      </c>
    </row>
    <row r="1181" spans="1:13" ht="18.75" customHeight="1" x14ac:dyDescent="0.25">
      <c r="A1181" s="9" t="s">
        <v>8</v>
      </c>
      <c r="B1181" s="81">
        <v>118055</v>
      </c>
      <c r="C1181" s="81">
        <v>10757</v>
      </c>
      <c r="D1181" s="9" t="s">
        <v>1407</v>
      </c>
      <c r="E1181" s="81">
        <v>14563151</v>
      </c>
      <c r="F1181" s="81">
        <v>45899</v>
      </c>
      <c r="G1181" s="81">
        <v>25</v>
      </c>
      <c r="H1181" s="82">
        <v>26.3</v>
      </c>
      <c r="I1181" s="251">
        <v>657.5</v>
      </c>
      <c r="J1181" s="9" t="s">
        <v>1305</v>
      </c>
      <c r="K1181" s="9" t="s">
        <v>1306</v>
      </c>
      <c r="L1181" s="83">
        <v>45200</v>
      </c>
      <c r="M1181" s="83">
        <v>45230</v>
      </c>
    </row>
    <row r="1182" spans="1:13" ht="18.75" customHeight="1" x14ac:dyDescent="0.25">
      <c r="A1182" s="9" t="s">
        <v>1578</v>
      </c>
      <c r="B1182" s="81">
        <v>114933</v>
      </c>
      <c r="C1182" s="81">
        <v>10767</v>
      </c>
      <c r="D1182" s="9" t="s">
        <v>1115</v>
      </c>
      <c r="E1182" s="81">
        <v>14563151</v>
      </c>
      <c r="F1182" s="81">
        <v>37645</v>
      </c>
      <c r="G1182" s="81">
        <v>25</v>
      </c>
      <c r="H1182" s="82">
        <v>26.3</v>
      </c>
      <c r="I1182" s="251">
        <v>657.5</v>
      </c>
      <c r="J1182" s="9" t="s">
        <v>1305</v>
      </c>
      <c r="K1182" s="9" t="s">
        <v>1306</v>
      </c>
      <c r="L1182" s="83">
        <v>45200</v>
      </c>
      <c r="M1182" s="83">
        <v>45230</v>
      </c>
    </row>
    <row r="1183" spans="1:13" ht="18.75" customHeight="1" x14ac:dyDescent="0.25">
      <c r="A1183" s="9" t="s">
        <v>0</v>
      </c>
      <c r="B1183" s="81">
        <v>116232</v>
      </c>
      <c r="C1183" s="81">
        <v>10766</v>
      </c>
      <c r="D1183" s="9" t="s">
        <v>1193</v>
      </c>
      <c r="E1183" s="81">
        <v>14563151</v>
      </c>
      <c r="F1183" s="81">
        <v>41572</v>
      </c>
      <c r="G1183" s="81">
        <v>25</v>
      </c>
      <c r="H1183" s="82">
        <v>26.3</v>
      </c>
      <c r="I1183" s="251">
        <v>657.5</v>
      </c>
      <c r="J1183" s="9" t="s">
        <v>1305</v>
      </c>
      <c r="K1183" s="9" t="s">
        <v>1306</v>
      </c>
      <c r="L1183" s="83">
        <v>45200</v>
      </c>
      <c r="M1183" s="83">
        <v>45230</v>
      </c>
    </row>
    <row r="1184" spans="1:13" ht="18.75" customHeight="1" x14ac:dyDescent="0.25">
      <c r="A1184" s="9" t="s">
        <v>0</v>
      </c>
      <c r="B1184" s="81">
        <v>113648</v>
      </c>
      <c r="C1184" s="81">
        <v>10751</v>
      </c>
      <c r="D1184" s="9" t="s">
        <v>893</v>
      </c>
      <c r="E1184" s="81">
        <v>14563151</v>
      </c>
      <c r="F1184" s="81">
        <v>31731</v>
      </c>
      <c r="G1184" s="81">
        <v>25</v>
      </c>
      <c r="H1184" s="82">
        <v>26.3</v>
      </c>
      <c r="I1184" s="251">
        <v>657.5</v>
      </c>
      <c r="J1184" s="9" t="s">
        <v>1305</v>
      </c>
      <c r="K1184" s="9" t="s">
        <v>1306</v>
      </c>
      <c r="L1184" s="83">
        <v>45200</v>
      </c>
      <c r="M1184" s="83">
        <v>45230</v>
      </c>
    </row>
    <row r="1185" spans="1:13" ht="18.75" customHeight="1" x14ac:dyDescent="0.25">
      <c r="A1185" s="9" t="s">
        <v>0</v>
      </c>
      <c r="B1185" s="81">
        <v>113643</v>
      </c>
      <c r="C1185" s="81">
        <v>10763</v>
      </c>
      <c r="D1185" s="9" t="s">
        <v>890</v>
      </c>
      <c r="E1185" s="81">
        <v>14563151</v>
      </c>
      <c r="F1185" s="81">
        <v>31721</v>
      </c>
      <c r="G1185" s="81">
        <v>25</v>
      </c>
      <c r="H1185" s="82">
        <v>26.3</v>
      </c>
      <c r="I1185" s="251">
        <v>657.5</v>
      </c>
      <c r="J1185" s="9" t="s">
        <v>1305</v>
      </c>
      <c r="K1185" s="9" t="s">
        <v>1306</v>
      </c>
      <c r="L1185" s="83">
        <v>45200</v>
      </c>
      <c r="M1185" s="83">
        <v>45230</v>
      </c>
    </row>
    <row r="1186" spans="1:13" ht="18.75" customHeight="1" x14ac:dyDescent="0.25">
      <c r="A1186" s="9" t="s">
        <v>8</v>
      </c>
      <c r="B1186" s="81">
        <v>113638</v>
      </c>
      <c r="C1186" s="81">
        <v>10771</v>
      </c>
      <c r="D1186" s="9" t="s">
        <v>889</v>
      </c>
      <c r="E1186" s="81">
        <v>14563151</v>
      </c>
      <c r="F1186" s="81">
        <v>31711</v>
      </c>
      <c r="G1186" s="81">
        <v>25</v>
      </c>
      <c r="H1186" s="82">
        <v>26.3</v>
      </c>
      <c r="I1186" s="251">
        <v>657.5</v>
      </c>
      <c r="J1186" s="9" t="s">
        <v>1305</v>
      </c>
      <c r="K1186" s="9" t="s">
        <v>1306</v>
      </c>
      <c r="L1186" s="83">
        <v>45200</v>
      </c>
      <c r="M1186" s="83">
        <v>45230</v>
      </c>
    </row>
    <row r="1187" spans="1:13" ht="18.75" customHeight="1" x14ac:dyDescent="0.25">
      <c r="A1187" s="9" t="s">
        <v>1578</v>
      </c>
      <c r="B1187" s="81">
        <v>113634</v>
      </c>
      <c r="C1187" s="81">
        <v>10761</v>
      </c>
      <c r="D1187" s="9" t="s">
        <v>885</v>
      </c>
      <c r="E1187" s="81">
        <v>14563151</v>
      </c>
      <c r="F1187" s="81">
        <v>31703</v>
      </c>
      <c r="G1187" s="81">
        <v>25</v>
      </c>
      <c r="H1187" s="82">
        <v>26.3</v>
      </c>
      <c r="I1187" s="251">
        <v>657.5</v>
      </c>
      <c r="J1187" s="9" t="s">
        <v>1305</v>
      </c>
      <c r="K1187" s="9" t="s">
        <v>1306</v>
      </c>
      <c r="L1187" s="83">
        <v>45200</v>
      </c>
      <c r="M1187" s="83">
        <v>45230</v>
      </c>
    </row>
    <row r="1188" spans="1:13" ht="18.75" customHeight="1" x14ac:dyDescent="0.25">
      <c r="A1188" s="9" t="s">
        <v>32</v>
      </c>
      <c r="B1188" s="81">
        <v>113630</v>
      </c>
      <c r="C1188" s="81">
        <v>10751</v>
      </c>
      <c r="D1188" s="9" t="s">
        <v>882</v>
      </c>
      <c r="E1188" s="81">
        <v>14563151</v>
      </c>
      <c r="F1188" s="81">
        <v>31695</v>
      </c>
      <c r="G1188" s="81">
        <v>25</v>
      </c>
      <c r="H1188" s="82">
        <v>26.3</v>
      </c>
      <c r="I1188" s="251">
        <v>657.5</v>
      </c>
      <c r="J1188" s="9" t="s">
        <v>1305</v>
      </c>
      <c r="K1188" s="9" t="s">
        <v>1306</v>
      </c>
      <c r="L1188" s="83">
        <v>45200</v>
      </c>
      <c r="M1188" s="83">
        <v>45230</v>
      </c>
    </row>
    <row r="1189" spans="1:13" ht="18.75" customHeight="1" x14ac:dyDescent="0.25">
      <c r="A1189" s="9" t="s">
        <v>10</v>
      </c>
      <c r="B1189" s="81">
        <v>113627</v>
      </c>
      <c r="C1189" s="81">
        <v>10757</v>
      </c>
      <c r="D1189" s="9" t="s">
        <v>880</v>
      </c>
      <c r="E1189" s="81">
        <v>14563151</v>
      </c>
      <c r="F1189" s="81">
        <v>31689</v>
      </c>
      <c r="G1189" s="81">
        <v>25</v>
      </c>
      <c r="H1189" s="82">
        <v>26.3</v>
      </c>
      <c r="I1189" s="251">
        <v>657.5</v>
      </c>
      <c r="J1189" s="9" t="s">
        <v>1305</v>
      </c>
      <c r="K1189" s="9" t="s">
        <v>1306</v>
      </c>
      <c r="L1189" s="83">
        <v>45200</v>
      </c>
      <c r="M1189" s="83">
        <v>45230</v>
      </c>
    </row>
    <row r="1190" spans="1:13" ht="18.75" customHeight="1" x14ac:dyDescent="0.25">
      <c r="A1190" s="9" t="s">
        <v>0</v>
      </c>
      <c r="B1190" s="81">
        <v>114734</v>
      </c>
      <c r="C1190" s="81">
        <v>10758</v>
      </c>
      <c r="D1190" s="9" t="s">
        <v>1083</v>
      </c>
      <c r="E1190" s="81">
        <v>14563151</v>
      </c>
      <c r="F1190" s="81">
        <v>36917</v>
      </c>
      <c r="G1190" s="81">
        <v>25</v>
      </c>
      <c r="H1190" s="82">
        <v>26.3</v>
      </c>
      <c r="I1190" s="251">
        <v>657.5</v>
      </c>
      <c r="J1190" s="9" t="s">
        <v>1305</v>
      </c>
      <c r="K1190" s="9" t="s">
        <v>1306</v>
      </c>
      <c r="L1190" s="83">
        <v>45200</v>
      </c>
      <c r="M1190" s="83">
        <v>45230</v>
      </c>
    </row>
    <row r="1191" spans="1:13" ht="18.75" customHeight="1" x14ac:dyDescent="0.25">
      <c r="A1191" s="9" t="s">
        <v>1578</v>
      </c>
      <c r="B1191" s="81">
        <v>113734</v>
      </c>
      <c r="C1191" s="81">
        <v>10743</v>
      </c>
      <c r="D1191" s="9" t="s">
        <v>948</v>
      </c>
      <c r="E1191" s="81">
        <v>14563151</v>
      </c>
      <c r="F1191" s="81">
        <v>31903</v>
      </c>
      <c r="G1191" s="81">
        <v>25</v>
      </c>
      <c r="H1191" s="82">
        <v>26.3</v>
      </c>
      <c r="I1191" s="251">
        <v>657.5</v>
      </c>
      <c r="J1191" s="9" t="s">
        <v>1305</v>
      </c>
      <c r="K1191" s="9" t="s">
        <v>1306</v>
      </c>
      <c r="L1191" s="83">
        <v>45200</v>
      </c>
      <c r="M1191" s="83">
        <v>45230</v>
      </c>
    </row>
    <row r="1192" spans="1:13" ht="18.75" customHeight="1" x14ac:dyDescent="0.25">
      <c r="A1192" s="9" t="s">
        <v>1578</v>
      </c>
      <c r="B1192" s="81">
        <v>122403</v>
      </c>
      <c r="C1192" s="81">
        <v>10758</v>
      </c>
      <c r="D1192" s="9" t="s">
        <v>1696</v>
      </c>
      <c r="E1192" s="81">
        <v>14563151</v>
      </c>
      <c r="F1192" s="81">
        <v>56125</v>
      </c>
      <c r="G1192" s="81">
        <v>25</v>
      </c>
      <c r="H1192" s="82">
        <v>26.3</v>
      </c>
      <c r="I1192" s="251">
        <v>657.5</v>
      </c>
      <c r="J1192" s="9" t="s">
        <v>1305</v>
      </c>
      <c r="K1192" s="9" t="s">
        <v>1306</v>
      </c>
      <c r="L1192" s="83">
        <v>45200</v>
      </c>
      <c r="M1192" s="83">
        <v>45230</v>
      </c>
    </row>
    <row r="1193" spans="1:13" ht="18.75" customHeight="1" x14ac:dyDescent="0.25">
      <c r="A1193" s="9" t="s">
        <v>0</v>
      </c>
      <c r="B1193" s="81">
        <v>116329</v>
      </c>
      <c r="C1193" s="81">
        <v>10763</v>
      </c>
      <c r="D1193" s="9" t="s">
        <v>1206</v>
      </c>
      <c r="E1193" s="81">
        <v>14563151</v>
      </c>
      <c r="F1193" s="81">
        <v>41869</v>
      </c>
      <c r="G1193" s="81">
        <v>24</v>
      </c>
      <c r="H1193" s="82">
        <v>26.3</v>
      </c>
      <c r="I1193" s="251">
        <v>631.20000000000005</v>
      </c>
      <c r="J1193" s="9" t="s">
        <v>1305</v>
      </c>
      <c r="K1193" s="9" t="s">
        <v>1306</v>
      </c>
      <c r="L1193" s="83">
        <v>45200</v>
      </c>
      <c r="M1193" s="83">
        <v>45230</v>
      </c>
    </row>
    <row r="1194" spans="1:13" ht="18.75" customHeight="1" x14ac:dyDescent="0.25">
      <c r="A1194" s="9" t="s">
        <v>1578</v>
      </c>
      <c r="B1194" s="81">
        <v>118642</v>
      </c>
      <c r="C1194" s="81">
        <v>10771</v>
      </c>
      <c r="D1194" s="9" t="s">
        <v>1408</v>
      </c>
      <c r="E1194" s="81">
        <v>14563151</v>
      </c>
      <c r="F1194" s="81">
        <v>47180</v>
      </c>
      <c r="G1194" s="81">
        <v>25</v>
      </c>
      <c r="H1194" s="82">
        <v>26.3</v>
      </c>
      <c r="I1194" s="251">
        <v>657.5</v>
      </c>
      <c r="J1194" s="9" t="s">
        <v>1305</v>
      </c>
      <c r="K1194" s="9" t="s">
        <v>1306</v>
      </c>
      <c r="L1194" s="83">
        <v>45200</v>
      </c>
      <c r="M1194" s="83">
        <v>45230</v>
      </c>
    </row>
    <row r="1195" spans="1:13" ht="18.75" customHeight="1" x14ac:dyDescent="0.25">
      <c r="A1195" s="9" t="s">
        <v>0</v>
      </c>
      <c r="B1195" s="81">
        <v>114031</v>
      </c>
      <c r="C1195" s="81">
        <v>10771</v>
      </c>
      <c r="D1195" s="9" t="s">
        <v>996</v>
      </c>
      <c r="E1195" s="81">
        <v>14563151</v>
      </c>
      <c r="F1195" s="81">
        <v>34127</v>
      </c>
      <c r="G1195" s="81">
        <v>24</v>
      </c>
      <c r="H1195" s="82">
        <v>26.3</v>
      </c>
      <c r="I1195" s="251">
        <v>631.20000000000005</v>
      </c>
      <c r="J1195" s="9" t="s">
        <v>1305</v>
      </c>
      <c r="K1195" s="9" t="s">
        <v>1306</v>
      </c>
      <c r="L1195" s="83">
        <v>45200</v>
      </c>
      <c r="M1195" s="83">
        <v>45230</v>
      </c>
    </row>
    <row r="1196" spans="1:13" ht="18.75" customHeight="1" x14ac:dyDescent="0.25">
      <c r="A1196" s="9" t="s">
        <v>1578</v>
      </c>
      <c r="B1196" s="81">
        <v>113689</v>
      </c>
      <c r="C1196" s="81">
        <v>10761</v>
      </c>
      <c r="D1196" s="9" t="s">
        <v>1378</v>
      </c>
      <c r="E1196" s="81">
        <v>14563151</v>
      </c>
      <c r="F1196" s="81">
        <v>31813</v>
      </c>
      <c r="G1196" s="81">
        <v>25</v>
      </c>
      <c r="H1196" s="82">
        <v>26.3</v>
      </c>
      <c r="I1196" s="251">
        <v>657.5</v>
      </c>
      <c r="J1196" s="9" t="s">
        <v>1305</v>
      </c>
      <c r="K1196" s="9" t="s">
        <v>1306</v>
      </c>
      <c r="L1196" s="83">
        <v>45200</v>
      </c>
      <c r="M1196" s="83">
        <v>45230</v>
      </c>
    </row>
    <row r="1197" spans="1:13" ht="18.75" customHeight="1" x14ac:dyDescent="0.25">
      <c r="A1197" s="9" t="s">
        <v>0</v>
      </c>
      <c r="B1197" s="81">
        <v>117240</v>
      </c>
      <c r="C1197" s="81">
        <v>10745</v>
      </c>
      <c r="D1197" s="9" t="s">
        <v>1256</v>
      </c>
      <c r="E1197" s="81">
        <v>14563151</v>
      </c>
      <c r="F1197" s="81">
        <v>44097</v>
      </c>
      <c r="G1197" s="81">
        <v>25</v>
      </c>
      <c r="H1197" s="82">
        <v>26.3</v>
      </c>
      <c r="I1197" s="251">
        <v>657.5</v>
      </c>
      <c r="J1197" s="9" t="s">
        <v>1305</v>
      </c>
      <c r="K1197" s="9" t="s">
        <v>1306</v>
      </c>
      <c r="L1197" s="83">
        <v>45200</v>
      </c>
      <c r="M1197" s="83">
        <v>45230</v>
      </c>
    </row>
    <row r="1198" spans="1:13" ht="18.75" customHeight="1" x14ac:dyDescent="0.25">
      <c r="A1198" s="9" t="s">
        <v>8</v>
      </c>
      <c r="B1198" s="81">
        <v>120192</v>
      </c>
      <c r="C1198" s="81">
        <v>10757</v>
      </c>
      <c r="D1198" s="9" t="s">
        <v>1497</v>
      </c>
      <c r="E1198" s="81">
        <v>14563151</v>
      </c>
      <c r="F1198" s="81">
        <v>50936</v>
      </c>
      <c r="G1198" s="81">
        <v>25</v>
      </c>
      <c r="H1198" s="82">
        <v>26.3</v>
      </c>
      <c r="I1198" s="251">
        <v>657.5</v>
      </c>
      <c r="J1198" s="9" t="s">
        <v>1305</v>
      </c>
      <c r="K1198" s="9" t="s">
        <v>1309</v>
      </c>
      <c r="L1198" s="83">
        <v>45200</v>
      </c>
      <c r="M1198" s="83">
        <v>45230</v>
      </c>
    </row>
    <row r="1199" spans="1:13" ht="18.75" customHeight="1" x14ac:dyDescent="0.25">
      <c r="A1199" s="9" t="s">
        <v>10</v>
      </c>
      <c r="B1199" s="81">
        <v>116320</v>
      </c>
      <c r="C1199" s="81">
        <v>10766</v>
      </c>
      <c r="D1199" s="9" t="s">
        <v>1201</v>
      </c>
      <c r="E1199" s="81">
        <v>14563151</v>
      </c>
      <c r="F1199" s="81">
        <v>41853</v>
      </c>
      <c r="G1199" s="81">
        <v>25</v>
      </c>
      <c r="H1199" s="82">
        <v>26.3</v>
      </c>
      <c r="I1199" s="251">
        <v>657.5</v>
      </c>
      <c r="J1199" s="9" t="s">
        <v>1305</v>
      </c>
      <c r="K1199" s="9" t="s">
        <v>1306</v>
      </c>
      <c r="L1199" s="83">
        <v>45200</v>
      </c>
      <c r="M1199" s="83">
        <v>45230</v>
      </c>
    </row>
    <row r="1200" spans="1:13" ht="18.75" customHeight="1" x14ac:dyDescent="0.25">
      <c r="A1200" s="9" t="s">
        <v>10</v>
      </c>
      <c r="B1200" s="81">
        <v>119681</v>
      </c>
      <c r="C1200" s="81">
        <v>10760</v>
      </c>
      <c r="D1200" s="9" t="s">
        <v>1472</v>
      </c>
      <c r="E1200" s="81">
        <v>14563151</v>
      </c>
      <c r="F1200" s="81">
        <v>49692</v>
      </c>
      <c r="G1200" s="81">
        <v>25</v>
      </c>
      <c r="H1200" s="82">
        <v>26.3</v>
      </c>
      <c r="I1200" s="251">
        <v>657.5</v>
      </c>
      <c r="J1200" s="9" t="s">
        <v>1305</v>
      </c>
      <c r="K1200" s="9" t="s">
        <v>1309</v>
      </c>
      <c r="L1200" s="83">
        <v>45200</v>
      </c>
      <c r="M1200" s="83">
        <v>45230</v>
      </c>
    </row>
    <row r="1201" spans="1:13" ht="18.75" customHeight="1" x14ac:dyDescent="0.25">
      <c r="A1201" s="9" t="s">
        <v>0</v>
      </c>
      <c r="B1201" s="81">
        <v>114258</v>
      </c>
      <c r="C1201" s="81">
        <v>10758</v>
      </c>
      <c r="D1201" s="9" t="s">
        <v>1021</v>
      </c>
      <c r="E1201" s="81">
        <v>14563151</v>
      </c>
      <c r="F1201" s="81">
        <v>35796</v>
      </c>
      <c r="G1201" s="81">
        <v>25</v>
      </c>
      <c r="H1201" s="82">
        <v>26.3</v>
      </c>
      <c r="I1201" s="251">
        <v>657.5</v>
      </c>
      <c r="J1201" s="9" t="s">
        <v>1305</v>
      </c>
      <c r="K1201" s="9" t="s">
        <v>1306</v>
      </c>
      <c r="L1201" s="83">
        <v>45200</v>
      </c>
      <c r="M1201" s="83">
        <v>45230</v>
      </c>
    </row>
    <row r="1202" spans="1:13" ht="18.75" customHeight="1" x14ac:dyDescent="0.25">
      <c r="A1202" s="9" t="s">
        <v>0</v>
      </c>
      <c r="B1202" s="81">
        <v>113611</v>
      </c>
      <c r="C1202" s="81">
        <v>10771</v>
      </c>
      <c r="D1202" s="9" t="s">
        <v>872</v>
      </c>
      <c r="E1202" s="81">
        <v>14563151</v>
      </c>
      <c r="F1202" s="81">
        <v>31657</v>
      </c>
      <c r="G1202" s="81">
        <v>25</v>
      </c>
      <c r="H1202" s="82">
        <v>26.3</v>
      </c>
      <c r="I1202" s="251">
        <v>657.5</v>
      </c>
      <c r="J1202" s="9" t="s">
        <v>1305</v>
      </c>
      <c r="K1202" s="9" t="s">
        <v>1306</v>
      </c>
      <c r="L1202" s="83">
        <v>45200</v>
      </c>
      <c r="M1202" s="83">
        <v>45230</v>
      </c>
    </row>
    <row r="1203" spans="1:13" ht="18.75" customHeight="1" x14ac:dyDescent="0.25">
      <c r="A1203" s="9" t="s">
        <v>19</v>
      </c>
      <c r="B1203" s="81">
        <v>112862</v>
      </c>
      <c r="C1203" s="81">
        <v>10750</v>
      </c>
      <c r="D1203" s="9" t="s">
        <v>458</v>
      </c>
      <c r="E1203" s="81">
        <v>14563151</v>
      </c>
      <c r="F1203" s="81">
        <v>30159</v>
      </c>
      <c r="G1203" s="81">
        <v>25</v>
      </c>
      <c r="H1203" s="82">
        <v>26.3</v>
      </c>
      <c r="I1203" s="251">
        <v>657.5</v>
      </c>
      <c r="J1203" s="9" t="s">
        <v>1305</v>
      </c>
      <c r="K1203" s="9" t="s">
        <v>1306</v>
      </c>
      <c r="L1203" s="83">
        <v>45200</v>
      </c>
      <c r="M1203" s="83">
        <v>45230</v>
      </c>
    </row>
    <row r="1204" spans="1:13" ht="18.75" customHeight="1" x14ac:dyDescent="0.25">
      <c r="A1204" s="9" t="s">
        <v>0</v>
      </c>
      <c r="B1204" s="81">
        <v>112853</v>
      </c>
      <c r="C1204" s="81">
        <v>10750</v>
      </c>
      <c r="D1204" s="9" t="s">
        <v>454</v>
      </c>
      <c r="E1204" s="81">
        <v>14563151</v>
      </c>
      <c r="F1204" s="81">
        <v>30141</v>
      </c>
      <c r="G1204" s="81">
        <v>25</v>
      </c>
      <c r="H1204" s="82">
        <v>26.3</v>
      </c>
      <c r="I1204" s="251">
        <v>657.5</v>
      </c>
      <c r="J1204" s="9" t="s">
        <v>1305</v>
      </c>
      <c r="K1204" s="9" t="s">
        <v>1306</v>
      </c>
      <c r="L1204" s="83">
        <v>45200</v>
      </c>
      <c r="M1204" s="83">
        <v>45230</v>
      </c>
    </row>
    <row r="1205" spans="1:13" ht="18.75" customHeight="1" x14ac:dyDescent="0.25">
      <c r="A1205" s="9" t="s">
        <v>8</v>
      </c>
      <c r="B1205" s="81">
        <v>122825</v>
      </c>
      <c r="C1205" s="81">
        <v>10757</v>
      </c>
      <c r="D1205" s="9" t="s">
        <v>1727</v>
      </c>
      <c r="E1205" s="81">
        <v>14563151</v>
      </c>
      <c r="F1205" s="81">
        <v>57222</v>
      </c>
      <c r="G1205" s="81">
        <v>25</v>
      </c>
      <c r="H1205" s="82">
        <v>26.3</v>
      </c>
      <c r="I1205" s="251">
        <v>657.5</v>
      </c>
      <c r="J1205" s="9" t="s">
        <v>1305</v>
      </c>
      <c r="K1205" s="9" t="s">
        <v>1309</v>
      </c>
      <c r="L1205" s="83">
        <v>45200</v>
      </c>
      <c r="M1205" s="83">
        <v>45230</v>
      </c>
    </row>
    <row r="1206" spans="1:13" ht="18.75" customHeight="1" x14ac:dyDescent="0.25">
      <c r="A1206" s="9" t="s">
        <v>8</v>
      </c>
      <c r="B1206" s="81">
        <v>114093</v>
      </c>
      <c r="C1206" s="81">
        <v>10757</v>
      </c>
      <c r="D1206" s="9" t="s">
        <v>1001</v>
      </c>
      <c r="E1206" s="81">
        <v>14563151</v>
      </c>
      <c r="F1206" s="81">
        <v>34339</v>
      </c>
      <c r="G1206" s="81">
        <v>5</v>
      </c>
      <c r="H1206" s="82">
        <v>26.3</v>
      </c>
      <c r="I1206" s="251">
        <v>131.5</v>
      </c>
      <c r="J1206" s="9" t="s">
        <v>1305</v>
      </c>
      <c r="K1206" s="9" t="s">
        <v>1306</v>
      </c>
      <c r="L1206" s="83">
        <v>45200</v>
      </c>
      <c r="M1206" s="83">
        <v>45230</v>
      </c>
    </row>
    <row r="1207" spans="1:13" ht="18.75" customHeight="1" x14ac:dyDescent="0.25">
      <c r="A1207" s="9" t="s">
        <v>32</v>
      </c>
      <c r="B1207" s="81">
        <v>112823</v>
      </c>
      <c r="C1207" s="81">
        <v>10751</v>
      </c>
      <c r="D1207" s="9" t="s">
        <v>1501</v>
      </c>
      <c r="E1207" s="81">
        <v>14563151</v>
      </c>
      <c r="F1207" s="81">
        <v>30081</v>
      </c>
      <c r="G1207" s="81">
        <v>25</v>
      </c>
      <c r="H1207" s="82">
        <v>26.3</v>
      </c>
      <c r="I1207" s="251">
        <v>657.5</v>
      </c>
      <c r="J1207" s="9" t="s">
        <v>1305</v>
      </c>
      <c r="K1207" s="9" t="s">
        <v>1306</v>
      </c>
      <c r="L1207" s="83">
        <v>45200</v>
      </c>
      <c r="M1207" s="83">
        <v>45230</v>
      </c>
    </row>
    <row r="1208" spans="1:13" ht="18.75" customHeight="1" x14ac:dyDescent="0.25">
      <c r="A1208" s="9" t="s">
        <v>1578</v>
      </c>
      <c r="B1208" s="81">
        <v>112811</v>
      </c>
      <c r="C1208" s="81">
        <v>10756</v>
      </c>
      <c r="D1208" s="9" t="s">
        <v>427</v>
      </c>
      <c r="E1208" s="81">
        <v>14563151</v>
      </c>
      <c r="F1208" s="81">
        <v>30057</v>
      </c>
      <c r="G1208" s="81">
        <v>25</v>
      </c>
      <c r="H1208" s="82">
        <v>26.3</v>
      </c>
      <c r="I1208" s="251">
        <v>657.5</v>
      </c>
      <c r="J1208" s="9" t="s">
        <v>1305</v>
      </c>
      <c r="K1208" s="9" t="s">
        <v>1306</v>
      </c>
      <c r="L1208" s="83">
        <v>45200</v>
      </c>
      <c r="M1208" s="83">
        <v>45230</v>
      </c>
    </row>
    <row r="1209" spans="1:13" ht="18.75" customHeight="1" x14ac:dyDescent="0.25">
      <c r="A1209" s="9" t="s">
        <v>1578</v>
      </c>
      <c r="B1209" s="81">
        <v>113733</v>
      </c>
      <c r="C1209" s="81">
        <v>10771</v>
      </c>
      <c r="D1209" s="9" t="s">
        <v>946</v>
      </c>
      <c r="E1209" s="81">
        <v>14563151</v>
      </c>
      <c r="F1209" s="81">
        <v>31901</v>
      </c>
      <c r="G1209" s="81">
        <v>25</v>
      </c>
      <c r="H1209" s="82">
        <v>26.3</v>
      </c>
      <c r="I1209" s="251">
        <v>657.5</v>
      </c>
      <c r="J1209" s="9" t="s">
        <v>1305</v>
      </c>
      <c r="K1209" s="9" t="s">
        <v>1306</v>
      </c>
      <c r="L1209" s="83">
        <v>45200</v>
      </c>
      <c r="M1209" s="83">
        <v>45230</v>
      </c>
    </row>
    <row r="1210" spans="1:13" ht="18.75" customHeight="1" x14ac:dyDescent="0.25">
      <c r="A1210" s="9" t="s">
        <v>0</v>
      </c>
      <c r="B1210" s="81">
        <v>114732</v>
      </c>
      <c r="C1210" s="81">
        <v>10750</v>
      </c>
      <c r="D1210" s="9" t="s">
        <v>1379</v>
      </c>
      <c r="E1210" s="81">
        <v>14563151</v>
      </c>
      <c r="F1210" s="81">
        <v>36913</v>
      </c>
      <c r="G1210" s="81">
        <v>25</v>
      </c>
      <c r="H1210" s="82">
        <v>26.3</v>
      </c>
      <c r="I1210" s="251">
        <v>657.5</v>
      </c>
      <c r="J1210" s="9" t="s">
        <v>1305</v>
      </c>
      <c r="K1210" s="9" t="s">
        <v>1306</v>
      </c>
      <c r="L1210" s="83">
        <v>45200</v>
      </c>
      <c r="M1210" s="83">
        <v>45230</v>
      </c>
    </row>
    <row r="1211" spans="1:13" ht="18.75" customHeight="1" x14ac:dyDescent="0.25">
      <c r="A1211" s="9" t="s">
        <v>1578</v>
      </c>
      <c r="B1211" s="81">
        <v>112788</v>
      </c>
      <c r="C1211" s="81">
        <v>10771</v>
      </c>
      <c r="D1211" s="9" t="s">
        <v>409</v>
      </c>
      <c r="E1211" s="81">
        <v>14563151</v>
      </c>
      <c r="F1211" s="81">
        <v>30011</v>
      </c>
      <c r="G1211" s="81">
        <v>25</v>
      </c>
      <c r="H1211" s="82">
        <v>26.3</v>
      </c>
      <c r="I1211" s="251">
        <v>657.5</v>
      </c>
      <c r="J1211" s="9" t="s">
        <v>1305</v>
      </c>
      <c r="K1211" s="9" t="s">
        <v>1306</v>
      </c>
      <c r="L1211" s="83">
        <v>45200</v>
      </c>
      <c r="M1211" s="83">
        <v>45230</v>
      </c>
    </row>
    <row r="1212" spans="1:13" ht="18.75" customHeight="1" x14ac:dyDescent="0.25">
      <c r="A1212" s="9" t="s">
        <v>8</v>
      </c>
      <c r="B1212" s="81">
        <v>112778</v>
      </c>
      <c r="C1212" s="81">
        <v>10750</v>
      </c>
      <c r="D1212" s="9" t="s">
        <v>401</v>
      </c>
      <c r="E1212" s="81">
        <v>14563151</v>
      </c>
      <c r="F1212" s="81">
        <v>29991</v>
      </c>
      <c r="G1212" s="81">
        <v>25</v>
      </c>
      <c r="H1212" s="82">
        <v>26.3</v>
      </c>
      <c r="I1212" s="251">
        <v>657.5</v>
      </c>
      <c r="J1212" s="9" t="s">
        <v>1305</v>
      </c>
      <c r="K1212" s="9" t="s">
        <v>1306</v>
      </c>
      <c r="L1212" s="83">
        <v>45200</v>
      </c>
      <c r="M1212" s="83">
        <v>45230</v>
      </c>
    </row>
    <row r="1213" spans="1:13" ht="18.75" customHeight="1" x14ac:dyDescent="0.25">
      <c r="A1213" s="9" t="s">
        <v>1578</v>
      </c>
      <c r="B1213" s="81">
        <v>112769</v>
      </c>
      <c r="C1213" s="81">
        <v>10768</v>
      </c>
      <c r="D1213" s="9" t="s">
        <v>395</v>
      </c>
      <c r="E1213" s="81">
        <v>14563151</v>
      </c>
      <c r="F1213" s="81">
        <v>29973</v>
      </c>
      <c r="G1213" s="81">
        <v>25</v>
      </c>
      <c r="H1213" s="82">
        <v>26.3</v>
      </c>
      <c r="I1213" s="251">
        <v>657.5</v>
      </c>
      <c r="J1213" s="9" t="s">
        <v>1305</v>
      </c>
      <c r="K1213" s="9" t="s">
        <v>1306</v>
      </c>
      <c r="L1213" s="83">
        <v>45200</v>
      </c>
      <c r="M1213" s="83">
        <v>45230</v>
      </c>
    </row>
    <row r="1214" spans="1:13" ht="18.75" customHeight="1" x14ac:dyDescent="0.25">
      <c r="A1214" s="9" t="s">
        <v>1578</v>
      </c>
      <c r="B1214" s="81">
        <v>116132</v>
      </c>
      <c r="C1214" s="81">
        <v>10761</v>
      </c>
      <c r="D1214" s="9" t="s">
        <v>1186</v>
      </c>
      <c r="E1214" s="81">
        <v>14563151</v>
      </c>
      <c r="F1214" s="81">
        <v>41267</v>
      </c>
      <c r="G1214" s="81">
        <v>25</v>
      </c>
      <c r="H1214" s="82">
        <v>26.3</v>
      </c>
      <c r="I1214" s="251">
        <v>657.5</v>
      </c>
      <c r="J1214" s="9" t="s">
        <v>1305</v>
      </c>
      <c r="K1214" s="9" t="s">
        <v>1306</v>
      </c>
      <c r="L1214" s="83">
        <v>45200</v>
      </c>
      <c r="M1214" s="83">
        <v>45230</v>
      </c>
    </row>
    <row r="1215" spans="1:13" ht="18.75" customHeight="1" x14ac:dyDescent="0.25">
      <c r="A1215" s="9" t="s">
        <v>8</v>
      </c>
      <c r="B1215" s="81">
        <v>112754</v>
      </c>
      <c r="C1215" s="81">
        <v>10751</v>
      </c>
      <c r="D1215" s="9" t="s">
        <v>385</v>
      </c>
      <c r="E1215" s="81">
        <v>14563151</v>
      </c>
      <c r="F1215" s="81">
        <v>29943</v>
      </c>
      <c r="G1215" s="81">
        <v>25</v>
      </c>
      <c r="H1215" s="82">
        <v>26.3</v>
      </c>
      <c r="I1215" s="251">
        <v>657.5</v>
      </c>
      <c r="J1215" s="9" t="s">
        <v>1305</v>
      </c>
      <c r="K1215" s="9" t="s">
        <v>1306</v>
      </c>
      <c r="L1215" s="83">
        <v>45200</v>
      </c>
      <c r="M1215" s="83">
        <v>45230</v>
      </c>
    </row>
    <row r="1216" spans="1:13" ht="18.75" customHeight="1" x14ac:dyDescent="0.25">
      <c r="A1216" s="9" t="s">
        <v>1578</v>
      </c>
      <c r="B1216" s="81">
        <v>113723</v>
      </c>
      <c r="C1216" s="81">
        <v>10771</v>
      </c>
      <c r="D1216" s="9" t="s">
        <v>937</v>
      </c>
      <c r="E1216" s="81">
        <v>14563151</v>
      </c>
      <c r="F1216" s="81">
        <v>31881</v>
      </c>
      <c r="G1216" s="81">
        <v>25</v>
      </c>
      <c r="H1216" s="82">
        <v>26.3</v>
      </c>
      <c r="I1216" s="251">
        <v>657.5</v>
      </c>
      <c r="J1216" s="9" t="s">
        <v>1305</v>
      </c>
      <c r="K1216" s="9" t="s">
        <v>1306</v>
      </c>
      <c r="L1216" s="83">
        <v>45200</v>
      </c>
      <c r="M1216" s="83">
        <v>45230</v>
      </c>
    </row>
    <row r="1217" spans="1:13" ht="18.75" customHeight="1" x14ac:dyDescent="0.25">
      <c r="A1217" s="9" t="s">
        <v>19</v>
      </c>
      <c r="B1217" s="81">
        <v>117241</v>
      </c>
      <c r="C1217" s="81">
        <v>10745</v>
      </c>
      <c r="D1217" s="9" t="s">
        <v>1257</v>
      </c>
      <c r="E1217" s="81">
        <v>14563151</v>
      </c>
      <c r="F1217" s="81">
        <v>44099</v>
      </c>
      <c r="G1217" s="81">
        <v>25</v>
      </c>
      <c r="H1217" s="82">
        <v>26.3</v>
      </c>
      <c r="I1217" s="251">
        <v>657.5</v>
      </c>
      <c r="J1217" s="9" t="s">
        <v>1305</v>
      </c>
      <c r="K1217" s="9" t="s">
        <v>1306</v>
      </c>
      <c r="L1217" s="83">
        <v>45200</v>
      </c>
      <c r="M1217" s="83">
        <v>45230</v>
      </c>
    </row>
    <row r="1218" spans="1:13" ht="18.75" customHeight="1" x14ac:dyDescent="0.25">
      <c r="A1218" s="9" t="s">
        <v>1578</v>
      </c>
      <c r="B1218" s="81">
        <v>112747</v>
      </c>
      <c r="C1218" s="81">
        <v>10759</v>
      </c>
      <c r="D1218" s="9" t="s">
        <v>380</v>
      </c>
      <c r="E1218" s="81">
        <v>14563151</v>
      </c>
      <c r="F1218" s="81">
        <v>29929</v>
      </c>
      <c r="G1218" s="81">
        <v>25</v>
      </c>
      <c r="H1218" s="82">
        <v>26.3</v>
      </c>
      <c r="I1218" s="251">
        <v>657.5</v>
      </c>
      <c r="J1218" s="9" t="s">
        <v>1305</v>
      </c>
      <c r="K1218" s="9" t="s">
        <v>1306</v>
      </c>
      <c r="L1218" s="83">
        <v>45200</v>
      </c>
      <c r="M1218" s="83">
        <v>45230</v>
      </c>
    </row>
    <row r="1219" spans="1:13" ht="18.75" customHeight="1" x14ac:dyDescent="0.25">
      <c r="A1219" s="9" t="s">
        <v>8</v>
      </c>
      <c r="B1219" s="81">
        <v>112741</v>
      </c>
      <c r="C1219" s="81">
        <v>10754</v>
      </c>
      <c r="D1219" s="9" t="s">
        <v>375</v>
      </c>
      <c r="E1219" s="81">
        <v>14563151</v>
      </c>
      <c r="F1219" s="81">
        <v>29917</v>
      </c>
      <c r="G1219" s="81">
        <v>25</v>
      </c>
      <c r="H1219" s="82">
        <v>26.3</v>
      </c>
      <c r="I1219" s="251">
        <v>657.5</v>
      </c>
      <c r="J1219" s="9" t="s">
        <v>1305</v>
      </c>
      <c r="K1219" s="9" t="s">
        <v>1306</v>
      </c>
      <c r="L1219" s="83">
        <v>45200</v>
      </c>
      <c r="M1219" s="83">
        <v>45230</v>
      </c>
    </row>
    <row r="1220" spans="1:13" ht="18.75" customHeight="1" x14ac:dyDescent="0.25">
      <c r="A1220" s="9" t="s">
        <v>0</v>
      </c>
      <c r="B1220" s="81">
        <v>120355</v>
      </c>
      <c r="C1220" s="81">
        <v>10757</v>
      </c>
      <c r="D1220" s="9" t="s">
        <v>1505</v>
      </c>
      <c r="E1220" s="81">
        <v>14563151</v>
      </c>
      <c r="F1220" s="81">
        <v>51394</v>
      </c>
      <c r="G1220" s="81">
        <v>25</v>
      </c>
      <c r="H1220" s="82">
        <v>26.3</v>
      </c>
      <c r="I1220" s="251">
        <v>657.5</v>
      </c>
      <c r="J1220" s="9" t="s">
        <v>1305</v>
      </c>
      <c r="K1220" s="9" t="s">
        <v>1309</v>
      </c>
      <c r="L1220" s="83">
        <v>45200</v>
      </c>
      <c r="M1220" s="83">
        <v>45230</v>
      </c>
    </row>
    <row r="1221" spans="1:13" ht="18.75" customHeight="1" x14ac:dyDescent="0.25">
      <c r="A1221" s="9" t="s">
        <v>0</v>
      </c>
      <c r="B1221" s="81">
        <v>112458</v>
      </c>
      <c r="C1221" s="81">
        <v>10763</v>
      </c>
      <c r="D1221" s="9" t="s">
        <v>194</v>
      </c>
      <c r="E1221" s="81">
        <v>14563151</v>
      </c>
      <c r="F1221" s="81">
        <v>29351</v>
      </c>
      <c r="G1221" s="81">
        <v>25</v>
      </c>
      <c r="H1221" s="82">
        <v>26.3</v>
      </c>
      <c r="I1221" s="251">
        <v>657.5</v>
      </c>
      <c r="J1221" s="9" t="s">
        <v>1305</v>
      </c>
      <c r="K1221" s="9" t="s">
        <v>1306</v>
      </c>
      <c r="L1221" s="83">
        <v>45200</v>
      </c>
      <c r="M1221" s="83">
        <v>45230</v>
      </c>
    </row>
    <row r="1222" spans="1:13" ht="18.75" customHeight="1" x14ac:dyDescent="0.25">
      <c r="A1222" s="9" t="s">
        <v>32</v>
      </c>
      <c r="B1222" s="81">
        <v>115379</v>
      </c>
      <c r="C1222" s="81">
        <v>10758</v>
      </c>
      <c r="D1222" s="9" t="s">
        <v>1266</v>
      </c>
      <c r="E1222" s="81">
        <v>14563151</v>
      </c>
      <c r="F1222" s="81">
        <v>38951</v>
      </c>
      <c r="G1222" s="81">
        <v>25</v>
      </c>
      <c r="H1222" s="82">
        <v>26.3</v>
      </c>
      <c r="I1222" s="251">
        <v>657.5</v>
      </c>
      <c r="J1222" s="9" t="s">
        <v>1305</v>
      </c>
      <c r="K1222" s="9" t="s">
        <v>1306</v>
      </c>
      <c r="L1222" s="83">
        <v>45200</v>
      </c>
      <c r="M1222" s="83">
        <v>45230</v>
      </c>
    </row>
    <row r="1223" spans="1:13" ht="18.75" customHeight="1" x14ac:dyDescent="0.25">
      <c r="A1223" s="9" t="s">
        <v>19</v>
      </c>
      <c r="B1223" s="81">
        <v>112448</v>
      </c>
      <c r="C1223" s="81">
        <v>10750</v>
      </c>
      <c r="D1223" s="9" t="s">
        <v>187</v>
      </c>
      <c r="E1223" s="81">
        <v>14563151</v>
      </c>
      <c r="F1223" s="81">
        <v>29331</v>
      </c>
      <c r="G1223" s="81">
        <v>25</v>
      </c>
      <c r="H1223" s="82">
        <v>26.3</v>
      </c>
      <c r="I1223" s="251">
        <v>657.5</v>
      </c>
      <c r="J1223" s="9" t="s">
        <v>1305</v>
      </c>
      <c r="K1223" s="9" t="s">
        <v>1306</v>
      </c>
      <c r="L1223" s="83">
        <v>45200</v>
      </c>
      <c r="M1223" s="83">
        <v>45230</v>
      </c>
    </row>
    <row r="1224" spans="1:13" ht="18.75" customHeight="1" x14ac:dyDescent="0.25">
      <c r="A1224" s="9" t="s">
        <v>19</v>
      </c>
      <c r="B1224" s="81">
        <v>119117</v>
      </c>
      <c r="C1224" s="81">
        <v>10757</v>
      </c>
      <c r="D1224" s="9" t="s">
        <v>1442</v>
      </c>
      <c r="E1224" s="81">
        <v>14563151</v>
      </c>
      <c r="F1224" s="81">
        <v>48257</v>
      </c>
      <c r="G1224" s="81">
        <v>25</v>
      </c>
      <c r="H1224" s="82">
        <v>26.3</v>
      </c>
      <c r="I1224" s="251">
        <v>657.5</v>
      </c>
      <c r="J1224" s="9" t="s">
        <v>1305</v>
      </c>
      <c r="K1224" s="9" t="s">
        <v>1309</v>
      </c>
      <c r="L1224" s="83">
        <v>45200</v>
      </c>
      <c r="M1224" s="83">
        <v>45230</v>
      </c>
    </row>
    <row r="1225" spans="1:13" ht="18.75" customHeight="1" x14ac:dyDescent="0.25">
      <c r="A1225" s="9" t="s">
        <v>32</v>
      </c>
      <c r="B1225" s="81">
        <v>112440</v>
      </c>
      <c r="C1225" s="81">
        <v>10771</v>
      </c>
      <c r="D1225" s="9" t="s">
        <v>181</v>
      </c>
      <c r="E1225" s="81">
        <v>14563151</v>
      </c>
      <c r="F1225" s="81">
        <v>29315</v>
      </c>
      <c r="G1225" s="81">
        <v>25</v>
      </c>
      <c r="H1225" s="82">
        <v>26.3</v>
      </c>
      <c r="I1225" s="251">
        <v>657.5</v>
      </c>
      <c r="J1225" s="9" t="s">
        <v>1305</v>
      </c>
      <c r="K1225" s="9" t="s">
        <v>1306</v>
      </c>
      <c r="L1225" s="83">
        <v>45200</v>
      </c>
      <c r="M1225" s="83">
        <v>45230</v>
      </c>
    </row>
    <row r="1226" spans="1:13" ht="18.75" customHeight="1" x14ac:dyDescent="0.25">
      <c r="A1226" s="9" t="s">
        <v>1578</v>
      </c>
      <c r="B1226" s="81">
        <v>116110</v>
      </c>
      <c r="C1226" s="81">
        <v>10763</v>
      </c>
      <c r="D1226" s="9" t="s">
        <v>1183</v>
      </c>
      <c r="E1226" s="81">
        <v>14563151</v>
      </c>
      <c r="F1226" s="81">
        <v>41158</v>
      </c>
      <c r="G1226" s="81">
        <v>25</v>
      </c>
      <c r="H1226" s="82">
        <v>26.3</v>
      </c>
      <c r="I1226" s="251">
        <v>657.5</v>
      </c>
      <c r="J1226" s="9" t="s">
        <v>1305</v>
      </c>
      <c r="K1226" s="9" t="s">
        <v>1306</v>
      </c>
      <c r="L1226" s="83">
        <v>45200</v>
      </c>
      <c r="M1226" s="83">
        <v>45230</v>
      </c>
    </row>
    <row r="1227" spans="1:13" ht="18.75" customHeight="1" x14ac:dyDescent="0.25">
      <c r="A1227" s="9" t="s">
        <v>0</v>
      </c>
      <c r="B1227" s="81">
        <v>114454</v>
      </c>
      <c r="C1227" s="81">
        <v>10748</v>
      </c>
      <c r="D1227" s="9" t="s">
        <v>1037</v>
      </c>
      <c r="E1227" s="81">
        <v>14563151</v>
      </c>
      <c r="F1227" s="81">
        <v>35867</v>
      </c>
      <c r="G1227" s="81">
        <v>25</v>
      </c>
      <c r="H1227" s="82">
        <v>26.3</v>
      </c>
      <c r="I1227" s="251">
        <v>657.5</v>
      </c>
      <c r="J1227" s="9" t="s">
        <v>1305</v>
      </c>
      <c r="K1227" s="9" t="s">
        <v>1306</v>
      </c>
      <c r="L1227" s="83">
        <v>45200</v>
      </c>
      <c r="M1227" s="83">
        <v>45230</v>
      </c>
    </row>
    <row r="1228" spans="1:13" ht="18.75" customHeight="1" x14ac:dyDescent="0.25">
      <c r="A1228" s="9" t="s">
        <v>1578</v>
      </c>
      <c r="B1228" s="81">
        <v>114937</v>
      </c>
      <c r="C1228" s="81">
        <v>10758</v>
      </c>
      <c r="D1228" s="9" t="s">
        <v>1117</v>
      </c>
      <c r="E1228" s="81">
        <v>14563151</v>
      </c>
      <c r="F1228" s="81">
        <v>37653</v>
      </c>
      <c r="G1228" s="81">
        <v>20</v>
      </c>
      <c r="H1228" s="82">
        <v>26.3</v>
      </c>
      <c r="I1228" s="251">
        <v>526</v>
      </c>
      <c r="J1228" s="9" t="s">
        <v>1305</v>
      </c>
      <c r="K1228" s="9" t="s">
        <v>1306</v>
      </c>
      <c r="L1228" s="83">
        <v>45200</v>
      </c>
      <c r="M1228" s="83">
        <v>45230</v>
      </c>
    </row>
    <row r="1229" spans="1:13" ht="18.75" customHeight="1" x14ac:dyDescent="0.25">
      <c r="A1229" s="9" t="s">
        <v>1578</v>
      </c>
      <c r="B1229" s="81">
        <v>112414</v>
      </c>
      <c r="C1229" s="81">
        <v>10756</v>
      </c>
      <c r="D1229" s="9" t="s">
        <v>165</v>
      </c>
      <c r="E1229" s="81">
        <v>14563151</v>
      </c>
      <c r="F1229" s="81">
        <v>29263</v>
      </c>
      <c r="G1229" s="81">
        <v>25</v>
      </c>
      <c r="H1229" s="82">
        <v>26.3</v>
      </c>
      <c r="I1229" s="251">
        <v>657.5</v>
      </c>
      <c r="J1229" s="9" t="s">
        <v>1305</v>
      </c>
      <c r="K1229" s="9" t="s">
        <v>1306</v>
      </c>
      <c r="L1229" s="83">
        <v>45200</v>
      </c>
      <c r="M1229" s="83">
        <v>45230</v>
      </c>
    </row>
    <row r="1230" spans="1:13" ht="18.75" customHeight="1" x14ac:dyDescent="0.25">
      <c r="A1230" s="9" t="s">
        <v>0</v>
      </c>
      <c r="B1230" s="81">
        <v>112403</v>
      </c>
      <c r="C1230" s="81">
        <v>10750</v>
      </c>
      <c r="D1230" s="9" t="s">
        <v>159</v>
      </c>
      <c r="E1230" s="81">
        <v>14563151</v>
      </c>
      <c r="F1230" s="81">
        <v>29241</v>
      </c>
      <c r="G1230" s="81">
        <v>25</v>
      </c>
      <c r="H1230" s="82">
        <v>26.3</v>
      </c>
      <c r="I1230" s="251">
        <v>657.5</v>
      </c>
      <c r="J1230" s="9" t="s">
        <v>1305</v>
      </c>
      <c r="K1230" s="9" t="s">
        <v>1306</v>
      </c>
      <c r="L1230" s="83">
        <v>45200</v>
      </c>
      <c r="M1230" s="83">
        <v>45230</v>
      </c>
    </row>
    <row r="1231" spans="1:13" ht="18.75" customHeight="1" x14ac:dyDescent="0.25">
      <c r="A1231" s="9" t="s">
        <v>10</v>
      </c>
      <c r="B1231" s="81">
        <v>112398</v>
      </c>
      <c r="C1231" s="81">
        <v>10750</v>
      </c>
      <c r="D1231" s="9" t="s">
        <v>154</v>
      </c>
      <c r="E1231" s="81">
        <v>14563151</v>
      </c>
      <c r="F1231" s="81">
        <v>29231</v>
      </c>
      <c r="G1231" s="81">
        <v>25</v>
      </c>
      <c r="H1231" s="82">
        <v>26.3</v>
      </c>
      <c r="I1231" s="251">
        <v>657.5</v>
      </c>
      <c r="J1231" s="9" t="s">
        <v>1305</v>
      </c>
      <c r="K1231" s="9" t="s">
        <v>1306</v>
      </c>
      <c r="L1231" s="83">
        <v>45200</v>
      </c>
      <c r="M1231" s="83">
        <v>45230</v>
      </c>
    </row>
    <row r="1232" spans="1:13" ht="18.75" customHeight="1" x14ac:dyDescent="0.25">
      <c r="A1232" s="9" t="s">
        <v>19</v>
      </c>
      <c r="B1232" s="81">
        <v>120188</v>
      </c>
      <c r="C1232" s="81">
        <v>10758</v>
      </c>
      <c r="D1232" s="9" t="s">
        <v>1498</v>
      </c>
      <c r="E1232" s="81">
        <v>14563151</v>
      </c>
      <c r="F1232" s="81">
        <v>50928</v>
      </c>
      <c r="G1232" s="81">
        <v>25</v>
      </c>
      <c r="H1232" s="82">
        <v>26.3</v>
      </c>
      <c r="I1232" s="251">
        <v>657.5</v>
      </c>
      <c r="J1232" s="9" t="s">
        <v>1305</v>
      </c>
      <c r="K1232" s="9" t="s">
        <v>1306</v>
      </c>
      <c r="L1232" s="83">
        <v>45200</v>
      </c>
      <c r="M1232" s="83">
        <v>45230</v>
      </c>
    </row>
    <row r="1233" spans="1:13" ht="18.75" customHeight="1" x14ac:dyDescent="0.25">
      <c r="A1233" s="9" t="s">
        <v>19</v>
      </c>
      <c r="B1233" s="81">
        <v>112301</v>
      </c>
      <c r="C1233" s="81">
        <v>10758</v>
      </c>
      <c r="D1233" s="9" t="s">
        <v>1380</v>
      </c>
      <c r="E1233" s="81">
        <v>14563151</v>
      </c>
      <c r="F1233" s="81">
        <v>29037</v>
      </c>
      <c r="G1233" s="81">
        <v>25</v>
      </c>
      <c r="H1233" s="82">
        <v>26.3</v>
      </c>
      <c r="I1233" s="251">
        <v>657.5</v>
      </c>
      <c r="J1233" s="9" t="s">
        <v>1305</v>
      </c>
      <c r="K1233" s="9" t="s">
        <v>1306</v>
      </c>
      <c r="L1233" s="83">
        <v>45200</v>
      </c>
      <c r="M1233" s="83">
        <v>45230</v>
      </c>
    </row>
    <row r="1234" spans="1:13" ht="18.75" customHeight="1" x14ac:dyDescent="0.25">
      <c r="A1234" s="9" t="s">
        <v>10</v>
      </c>
      <c r="B1234" s="81">
        <v>112172</v>
      </c>
      <c r="C1234" s="81">
        <v>10771</v>
      </c>
      <c r="D1234" s="9" t="s">
        <v>6</v>
      </c>
      <c r="E1234" s="81">
        <v>14563151</v>
      </c>
      <c r="F1234" s="81">
        <v>28779</v>
      </c>
      <c r="G1234" s="81">
        <v>25</v>
      </c>
      <c r="H1234" s="82">
        <v>26.3</v>
      </c>
      <c r="I1234" s="251">
        <v>657.5</v>
      </c>
      <c r="J1234" s="9" t="s">
        <v>1305</v>
      </c>
      <c r="K1234" s="9" t="s">
        <v>1306</v>
      </c>
      <c r="L1234" s="83">
        <v>45200</v>
      </c>
      <c r="M1234" s="83">
        <v>45230</v>
      </c>
    </row>
    <row r="1235" spans="1:13" ht="18.75" customHeight="1" x14ac:dyDescent="0.25">
      <c r="A1235" s="9" t="s">
        <v>19</v>
      </c>
      <c r="B1235" s="81">
        <v>112196</v>
      </c>
      <c r="C1235" s="81">
        <v>10758</v>
      </c>
      <c r="D1235" s="9" t="s">
        <v>27</v>
      </c>
      <c r="E1235" s="81">
        <v>14563151</v>
      </c>
      <c r="F1235" s="81">
        <v>28827</v>
      </c>
      <c r="G1235" s="81">
        <v>25</v>
      </c>
      <c r="H1235" s="82">
        <v>26.3</v>
      </c>
      <c r="I1235" s="251">
        <v>657.5</v>
      </c>
      <c r="J1235" s="9" t="s">
        <v>1305</v>
      </c>
      <c r="K1235" s="9" t="s">
        <v>1306</v>
      </c>
      <c r="L1235" s="83">
        <v>45200</v>
      </c>
      <c r="M1235" s="83">
        <v>45230</v>
      </c>
    </row>
    <row r="1236" spans="1:13" ht="18.75" customHeight="1" x14ac:dyDescent="0.25">
      <c r="A1236" s="9" t="s">
        <v>19</v>
      </c>
      <c r="B1236" s="81">
        <v>112199</v>
      </c>
      <c r="C1236" s="81">
        <v>10760</v>
      </c>
      <c r="D1236" s="9" t="s">
        <v>29</v>
      </c>
      <c r="E1236" s="81">
        <v>14563151</v>
      </c>
      <c r="F1236" s="81">
        <v>28833</v>
      </c>
      <c r="G1236" s="81">
        <v>25</v>
      </c>
      <c r="H1236" s="82">
        <v>26.3</v>
      </c>
      <c r="I1236" s="251">
        <v>657.5</v>
      </c>
      <c r="J1236" s="9" t="s">
        <v>1305</v>
      </c>
      <c r="K1236" s="9" t="s">
        <v>1306</v>
      </c>
      <c r="L1236" s="83">
        <v>45200</v>
      </c>
      <c r="M1236" s="83">
        <v>45230</v>
      </c>
    </row>
    <row r="1237" spans="1:13" ht="18.75" customHeight="1" x14ac:dyDescent="0.25">
      <c r="A1237" s="9" t="s">
        <v>1578</v>
      </c>
      <c r="B1237" s="81">
        <v>114256</v>
      </c>
      <c r="C1237" s="81">
        <v>10771</v>
      </c>
      <c r="D1237" s="9" t="s">
        <v>1020</v>
      </c>
      <c r="E1237" s="81">
        <v>14563151</v>
      </c>
      <c r="F1237" s="81">
        <v>35792</v>
      </c>
      <c r="G1237" s="81">
        <v>25</v>
      </c>
      <c r="H1237" s="82">
        <v>26.3</v>
      </c>
      <c r="I1237" s="251">
        <v>657.5</v>
      </c>
      <c r="J1237" s="9" t="s">
        <v>1305</v>
      </c>
      <c r="K1237" s="9" t="s">
        <v>1306</v>
      </c>
      <c r="L1237" s="83">
        <v>45200</v>
      </c>
      <c r="M1237" s="83">
        <v>45230</v>
      </c>
    </row>
    <row r="1238" spans="1:13" ht="18.75" customHeight="1" x14ac:dyDescent="0.25">
      <c r="A1238" s="9" t="s">
        <v>19</v>
      </c>
      <c r="B1238" s="81">
        <v>112202</v>
      </c>
      <c r="C1238" s="81">
        <v>10758</v>
      </c>
      <c r="D1238" s="9" t="s">
        <v>31</v>
      </c>
      <c r="E1238" s="81">
        <v>14563151</v>
      </c>
      <c r="F1238" s="81">
        <v>28839</v>
      </c>
      <c r="G1238" s="81">
        <v>25</v>
      </c>
      <c r="H1238" s="82">
        <v>26.3</v>
      </c>
      <c r="I1238" s="251">
        <v>657.5</v>
      </c>
      <c r="J1238" s="9" t="s">
        <v>1305</v>
      </c>
      <c r="K1238" s="9" t="s">
        <v>1306</v>
      </c>
      <c r="L1238" s="83">
        <v>45200</v>
      </c>
      <c r="M1238" s="83">
        <v>45230</v>
      </c>
    </row>
    <row r="1239" spans="1:13" ht="18.75" customHeight="1" x14ac:dyDescent="0.25">
      <c r="A1239" s="9" t="s">
        <v>1578</v>
      </c>
      <c r="B1239" s="81">
        <v>114958</v>
      </c>
      <c r="C1239" s="81">
        <v>10768</v>
      </c>
      <c r="D1239" s="9" t="s">
        <v>1127</v>
      </c>
      <c r="E1239" s="81">
        <v>14563151</v>
      </c>
      <c r="F1239" s="81">
        <v>37693</v>
      </c>
      <c r="G1239" s="81">
        <v>25</v>
      </c>
      <c r="H1239" s="82">
        <v>26.3</v>
      </c>
      <c r="I1239" s="251">
        <v>657.5</v>
      </c>
      <c r="J1239" s="9" t="s">
        <v>1305</v>
      </c>
      <c r="K1239" s="9" t="s">
        <v>1306</v>
      </c>
      <c r="L1239" s="83">
        <v>45200</v>
      </c>
      <c r="M1239" s="83">
        <v>45230</v>
      </c>
    </row>
    <row r="1240" spans="1:13" ht="18.75" customHeight="1" x14ac:dyDescent="0.25">
      <c r="A1240" s="9" t="s">
        <v>0</v>
      </c>
      <c r="B1240" s="81">
        <v>112639</v>
      </c>
      <c r="C1240" s="81">
        <v>10750</v>
      </c>
      <c r="D1240" s="9" t="s">
        <v>210</v>
      </c>
      <c r="E1240" s="81">
        <v>14563151</v>
      </c>
      <c r="F1240" s="81">
        <v>29713</v>
      </c>
      <c r="G1240" s="81">
        <v>25</v>
      </c>
      <c r="H1240" s="82">
        <v>26.3</v>
      </c>
      <c r="I1240" s="251">
        <v>657.5</v>
      </c>
      <c r="J1240" s="9" t="s">
        <v>1305</v>
      </c>
      <c r="K1240" s="9" t="s">
        <v>1306</v>
      </c>
      <c r="L1240" s="83">
        <v>45200</v>
      </c>
      <c r="M1240" s="83">
        <v>45230</v>
      </c>
    </row>
    <row r="1241" spans="1:13" ht="18.75" customHeight="1" x14ac:dyDescent="0.25">
      <c r="A1241" s="9" t="s">
        <v>19</v>
      </c>
      <c r="B1241" s="81">
        <v>112257</v>
      </c>
      <c r="C1241" s="81">
        <v>10750</v>
      </c>
      <c r="D1241" s="9" t="s">
        <v>68</v>
      </c>
      <c r="E1241" s="81">
        <v>14563151</v>
      </c>
      <c r="F1241" s="81">
        <v>28949</v>
      </c>
      <c r="G1241" s="81">
        <v>25</v>
      </c>
      <c r="H1241" s="82">
        <v>26.3</v>
      </c>
      <c r="I1241" s="251">
        <v>657.5</v>
      </c>
      <c r="J1241" s="9" t="s">
        <v>1305</v>
      </c>
      <c r="K1241" s="9" t="s">
        <v>1306</v>
      </c>
      <c r="L1241" s="83">
        <v>45200</v>
      </c>
      <c r="M1241" s="83">
        <v>45230</v>
      </c>
    </row>
    <row r="1242" spans="1:13" ht="18.75" customHeight="1" x14ac:dyDescent="0.25">
      <c r="A1242" s="9" t="s">
        <v>10</v>
      </c>
      <c r="B1242" s="81">
        <v>112261</v>
      </c>
      <c r="C1242" s="81">
        <v>10751</v>
      </c>
      <c r="D1242" s="9" t="s">
        <v>71</v>
      </c>
      <c r="E1242" s="81">
        <v>14563151</v>
      </c>
      <c r="F1242" s="81">
        <v>28957</v>
      </c>
      <c r="G1242" s="81">
        <v>25</v>
      </c>
      <c r="H1242" s="82">
        <v>26.3</v>
      </c>
      <c r="I1242" s="251">
        <v>657.5</v>
      </c>
      <c r="J1242" s="9" t="s">
        <v>1305</v>
      </c>
      <c r="K1242" s="9" t="s">
        <v>1306</v>
      </c>
      <c r="L1242" s="83">
        <v>45200</v>
      </c>
      <c r="M1242" s="83">
        <v>45230</v>
      </c>
    </row>
    <row r="1243" spans="1:13" ht="18.75" customHeight="1" x14ac:dyDescent="0.25">
      <c r="A1243" s="9" t="s">
        <v>10</v>
      </c>
      <c r="B1243" s="81">
        <v>112263</v>
      </c>
      <c r="C1243" s="81">
        <v>10750</v>
      </c>
      <c r="D1243" s="9" t="s">
        <v>73</v>
      </c>
      <c r="E1243" s="81">
        <v>14563151</v>
      </c>
      <c r="F1243" s="81">
        <v>28961</v>
      </c>
      <c r="G1243" s="81">
        <v>25</v>
      </c>
      <c r="H1243" s="82">
        <v>26.3</v>
      </c>
      <c r="I1243" s="251">
        <v>657.5</v>
      </c>
      <c r="J1243" s="9" t="s">
        <v>1305</v>
      </c>
      <c r="K1243" s="9" t="s">
        <v>1306</v>
      </c>
      <c r="L1243" s="83">
        <v>45200</v>
      </c>
      <c r="M1243" s="83">
        <v>45230</v>
      </c>
    </row>
    <row r="1244" spans="1:13" ht="18.75" customHeight="1" x14ac:dyDescent="0.25">
      <c r="A1244" s="9" t="s">
        <v>1578</v>
      </c>
      <c r="B1244" s="81">
        <v>112381</v>
      </c>
      <c r="C1244" s="81">
        <v>10761</v>
      </c>
      <c r="D1244" s="9" t="s">
        <v>144</v>
      </c>
      <c r="E1244" s="81">
        <v>14563151</v>
      </c>
      <c r="F1244" s="81">
        <v>29197</v>
      </c>
      <c r="G1244" s="81">
        <v>25</v>
      </c>
      <c r="H1244" s="82">
        <v>26.3</v>
      </c>
      <c r="I1244" s="251">
        <v>657.5</v>
      </c>
      <c r="J1244" s="9" t="s">
        <v>1305</v>
      </c>
      <c r="K1244" s="9" t="s">
        <v>1306</v>
      </c>
      <c r="L1244" s="83">
        <v>45200</v>
      </c>
      <c r="M1244" s="83">
        <v>45230</v>
      </c>
    </row>
    <row r="1245" spans="1:13" ht="18.75" customHeight="1" x14ac:dyDescent="0.25">
      <c r="A1245" s="9" t="s">
        <v>8</v>
      </c>
      <c r="B1245" s="81">
        <v>112383</v>
      </c>
      <c r="C1245" s="81">
        <v>10750</v>
      </c>
      <c r="D1245" s="9" t="s">
        <v>147</v>
      </c>
      <c r="E1245" s="81">
        <v>14563151</v>
      </c>
      <c r="F1245" s="81">
        <v>29201</v>
      </c>
      <c r="G1245" s="81">
        <v>25</v>
      </c>
      <c r="H1245" s="82">
        <v>26.3</v>
      </c>
      <c r="I1245" s="251">
        <v>657.5</v>
      </c>
      <c r="J1245" s="9" t="s">
        <v>1305</v>
      </c>
      <c r="K1245" s="9" t="s">
        <v>1306</v>
      </c>
      <c r="L1245" s="83">
        <v>45200</v>
      </c>
      <c r="M1245" s="83">
        <v>45230</v>
      </c>
    </row>
    <row r="1246" spans="1:13" ht="18.75" customHeight="1" x14ac:dyDescent="0.25">
      <c r="A1246" s="9" t="s">
        <v>8</v>
      </c>
      <c r="B1246" s="81">
        <v>117408</v>
      </c>
      <c r="C1246" s="81">
        <v>10750</v>
      </c>
      <c r="D1246" s="9" t="s">
        <v>1270</v>
      </c>
      <c r="E1246" s="81">
        <v>14563151</v>
      </c>
      <c r="F1246" s="81">
        <v>44519</v>
      </c>
      <c r="G1246" s="81">
        <v>25</v>
      </c>
      <c r="H1246" s="82">
        <v>26.3</v>
      </c>
      <c r="I1246" s="251">
        <v>657.5</v>
      </c>
      <c r="J1246" s="9" t="s">
        <v>1305</v>
      </c>
      <c r="K1246" s="9" t="s">
        <v>1306</v>
      </c>
      <c r="L1246" s="83">
        <v>45200</v>
      </c>
      <c r="M1246" s="83">
        <v>45230</v>
      </c>
    </row>
    <row r="1247" spans="1:13" ht="18.75" customHeight="1" x14ac:dyDescent="0.25">
      <c r="A1247" s="9" t="s">
        <v>0</v>
      </c>
      <c r="B1247" s="81">
        <v>119929</v>
      </c>
      <c r="C1247" s="81">
        <v>10757</v>
      </c>
      <c r="D1247" s="9" t="s">
        <v>1485</v>
      </c>
      <c r="E1247" s="81">
        <v>14563151</v>
      </c>
      <c r="F1247" s="81">
        <v>50261</v>
      </c>
      <c r="G1247" s="81">
        <v>25</v>
      </c>
      <c r="H1247" s="82">
        <v>26.3</v>
      </c>
      <c r="I1247" s="251">
        <v>657.5</v>
      </c>
      <c r="J1247" s="9" t="s">
        <v>1305</v>
      </c>
      <c r="K1247" s="9" t="s">
        <v>1306</v>
      </c>
      <c r="L1247" s="83">
        <v>45200</v>
      </c>
      <c r="M1247" s="83">
        <v>45230</v>
      </c>
    </row>
    <row r="1248" spans="1:13" ht="18.75" customHeight="1" x14ac:dyDescent="0.25">
      <c r="A1248" s="9" t="s">
        <v>0</v>
      </c>
      <c r="B1248" s="81">
        <v>114125</v>
      </c>
      <c r="C1248" s="81">
        <v>10750</v>
      </c>
      <c r="D1248" s="9" t="s">
        <v>1012</v>
      </c>
      <c r="E1248" s="81">
        <v>14563151</v>
      </c>
      <c r="F1248" s="81">
        <v>34403</v>
      </c>
      <c r="G1248" s="81">
        <v>25</v>
      </c>
      <c r="H1248" s="82">
        <v>26.3</v>
      </c>
      <c r="I1248" s="251">
        <v>657.5</v>
      </c>
      <c r="J1248" s="9" t="s">
        <v>1305</v>
      </c>
      <c r="K1248" s="9" t="s">
        <v>1306</v>
      </c>
      <c r="L1248" s="83">
        <v>45200</v>
      </c>
      <c r="M1248" s="83">
        <v>45230</v>
      </c>
    </row>
    <row r="1249" spans="1:13" ht="18.75" customHeight="1" x14ac:dyDescent="0.25">
      <c r="A1249" s="9" t="s">
        <v>1578</v>
      </c>
      <c r="B1249" s="81">
        <v>112666</v>
      </c>
      <c r="C1249" s="81">
        <v>10757</v>
      </c>
      <c r="D1249" s="9" t="s">
        <v>327</v>
      </c>
      <c r="E1249" s="81">
        <v>14563151</v>
      </c>
      <c r="F1249" s="81">
        <v>29767</v>
      </c>
      <c r="G1249" s="81">
        <v>25</v>
      </c>
      <c r="H1249" s="82">
        <v>26.3</v>
      </c>
      <c r="I1249" s="251">
        <v>657.5</v>
      </c>
      <c r="J1249" s="9" t="s">
        <v>1305</v>
      </c>
      <c r="K1249" s="9" t="s">
        <v>1306</v>
      </c>
      <c r="L1249" s="83">
        <v>45200</v>
      </c>
      <c r="M1249" s="83">
        <v>45230</v>
      </c>
    </row>
    <row r="1250" spans="1:13" ht="18.75" customHeight="1" x14ac:dyDescent="0.25">
      <c r="A1250" s="9" t="s">
        <v>1578</v>
      </c>
      <c r="B1250" s="81">
        <v>112990</v>
      </c>
      <c r="C1250" s="81">
        <v>10745</v>
      </c>
      <c r="D1250" s="9" t="s">
        <v>533</v>
      </c>
      <c r="E1250" s="81">
        <v>14563151</v>
      </c>
      <c r="F1250" s="81">
        <v>30415</v>
      </c>
      <c r="G1250" s="81">
        <v>25</v>
      </c>
      <c r="H1250" s="82">
        <v>26.3</v>
      </c>
      <c r="I1250" s="251">
        <v>657.5</v>
      </c>
      <c r="J1250" s="9" t="s">
        <v>1305</v>
      </c>
      <c r="K1250" s="9" t="s">
        <v>1306</v>
      </c>
      <c r="L1250" s="83">
        <v>45200</v>
      </c>
      <c r="M1250" s="83">
        <v>45230</v>
      </c>
    </row>
    <row r="1251" spans="1:13" ht="18.75" customHeight="1" x14ac:dyDescent="0.25">
      <c r="A1251" s="9" t="s">
        <v>1578</v>
      </c>
      <c r="B1251" s="81">
        <v>114955</v>
      </c>
      <c r="C1251" s="81">
        <v>10768</v>
      </c>
      <c r="D1251" s="9" t="s">
        <v>1126</v>
      </c>
      <c r="E1251" s="81">
        <v>14563151</v>
      </c>
      <c r="F1251" s="81">
        <v>37687</v>
      </c>
      <c r="G1251" s="81">
        <v>25</v>
      </c>
      <c r="H1251" s="82">
        <v>26.3</v>
      </c>
      <c r="I1251" s="251">
        <v>657.5</v>
      </c>
      <c r="J1251" s="9" t="s">
        <v>1305</v>
      </c>
      <c r="K1251" s="9" t="s">
        <v>1306</v>
      </c>
      <c r="L1251" s="83">
        <v>45200</v>
      </c>
      <c r="M1251" s="83">
        <v>45230</v>
      </c>
    </row>
    <row r="1252" spans="1:13" ht="18.75" customHeight="1" x14ac:dyDescent="0.25">
      <c r="A1252" s="9" t="s">
        <v>8</v>
      </c>
      <c r="B1252" s="81">
        <v>114746</v>
      </c>
      <c r="C1252" s="81">
        <v>10750</v>
      </c>
      <c r="D1252" s="9" t="s">
        <v>1087</v>
      </c>
      <c r="E1252" s="81">
        <v>14563151</v>
      </c>
      <c r="F1252" s="81">
        <v>36941</v>
      </c>
      <c r="G1252" s="81">
        <v>25</v>
      </c>
      <c r="H1252" s="82">
        <v>26.3</v>
      </c>
      <c r="I1252" s="251">
        <v>657.5</v>
      </c>
      <c r="J1252" s="9" t="s">
        <v>1305</v>
      </c>
      <c r="K1252" s="9" t="s">
        <v>1306</v>
      </c>
      <c r="L1252" s="83">
        <v>45200</v>
      </c>
      <c r="M1252" s="83">
        <v>45230</v>
      </c>
    </row>
    <row r="1253" spans="1:13" ht="18.75" customHeight="1" x14ac:dyDescent="0.25">
      <c r="A1253" s="9" t="s">
        <v>0</v>
      </c>
      <c r="B1253" s="81">
        <v>112674</v>
      </c>
      <c r="C1253" s="81">
        <v>10750</v>
      </c>
      <c r="D1253" s="9" t="s">
        <v>331</v>
      </c>
      <c r="E1253" s="81">
        <v>14563151</v>
      </c>
      <c r="F1253" s="81">
        <v>29783</v>
      </c>
      <c r="G1253" s="81">
        <v>25</v>
      </c>
      <c r="H1253" s="82">
        <v>26.3</v>
      </c>
      <c r="I1253" s="251">
        <v>657.5</v>
      </c>
      <c r="J1253" s="9" t="s">
        <v>1305</v>
      </c>
      <c r="K1253" s="9" t="s">
        <v>1306</v>
      </c>
      <c r="L1253" s="83">
        <v>45200</v>
      </c>
      <c r="M1253" s="83">
        <v>45230</v>
      </c>
    </row>
    <row r="1254" spans="1:13" ht="18.75" customHeight="1" x14ac:dyDescent="0.25">
      <c r="A1254" s="9" t="s">
        <v>19</v>
      </c>
      <c r="B1254" s="81">
        <v>121327</v>
      </c>
      <c r="C1254" s="81">
        <v>10757</v>
      </c>
      <c r="D1254" s="9" t="s">
        <v>1537</v>
      </c>
      <c r="E1254" s="81">
        <v>14563151</v>
      </c>
      <c r="F1254" s="81">
        <v>53505</v>
      </c>
      <c r="G1254" s="81">
        <v>25</v>
      </c>
      <c r="H1254" s="82">
        <v>26.3</v>
      </c>
      <c r="I1254" s="251">
        <v>657.5</v>
      </c>
      <c r="J1254" s="9" t="s">
        <v>1305</v>
      </c>
      <c r="K1254" s="9" t="s">
        <v>1309</v>
      </c>
      <c r="L1254" s="83">
        <v>45200</v>
      </c>
      <c r="M1254" s="83">
        <v>45230</v>
      </c>
    </row>
    <row r="1255" spans="1:13" ht="18.75" customHeight="1" x14ac:dyDescent="0.25">
      <c r="A1255" s="9" t="s">
        <v>1578</v>
      </c>
      <c r="B1255" s="81">
        <v>112274</v>
      </c>
      <c r="C1255" s="81">
        <v>10761</v>
      </c>
      <c r="D1255" s="9" t="s">
        <v>80</v>
      </c>
      <c r="E1255" s="81">
        <v>14563151</v>
      </c>
      <c r="F1255" s="81">
        <v>28983</v>
      </c>
      <c r="G1255" s="81">
        <v>25</v>
      </c>
      <c r="H1255" s="82">
        <v>26.3</v>
      </c>
      <c r="I1255" s="251">
        <v>657.5</v>
      </c>
      <c r="J1255" s="9" t="s">
        <v>1305</v>
      </c>
      <c r="K1255" s="9" t="s">
        <v>1306</v>
      </c>
      <c r="L1255" s="83">
        <v>45200</v>
      </c>
      <c r="M1255" s="83">
        <v>45230</v>
      </c>
    </row>
    <row r="1256" spans="1:13" ht="18.75" customHeight="1" x14ac:dyDescent="0.25">
      <c r="A1256" s="9" t="s">
        <v>8</v>
      </c>
      <c r="B1256" s="81">
        <v>116009</v>
      </c>
      <c r="C1256" s="81">
        <v>10750</v>
      </c>
      <c r="D1256" s="9" t="s">
        <v>81</v>
      </c>
      <c r="E1256" s="81">
        <v>14563151</v>
      </c>
      <c r="F1256" s="81">
        <v>40874</v>
      </c>
      <c r="G1256" s="81">
        <v>25</v>
      </c>
      <c r="H1256" s="82">
        <v>26.3</v>
      </c>
      <c r="I1256" s="251">
        <v>657.5</v>
      </c>
      <c r="J1256" s="9" t="s">
        <v>1305</v>
      </c>
      <c r="K1256" s="9" t="s">
        <v>1306</v>
      </c>
      <c r="L1256" s="83">
        <v>45200</v>
      </c>
      <c r="M1256" s="83">
        <v>45230</v>
      </c>
    </row>
    <row r="1257" spans="1:13" ht="18.75" customHeight="1" x14ac:dyDescent="0.25">
      <c r="A1257" s="9" t="s">
        <v>10</v>
      </c>
      <c r="B1257" s="81">
        <v>112278</v>
      </c>
      <c r="C1257" s="81">
        <v>10750</v>
      </c>
      <c r="D1257" s="9" t="s">
        <v>83</v>
      </c>
      <c r="E1257" s="81">
        <v>14563151</v>
      </c>
      <c r="F1257" s="81">
        <v>28991</v>
      </c>
      <c r="G1257" s="81">
        <v>25</v>
      </c>
      <c r="H1257" s="82">
        <v>26.3</v>
      </c>
      <c r="I1257" s="251">
        <v>657.5</v>
      </c>
      <c r="J1257" s="9" t="s">
        <v>1305</v>
      </c>
      <c r="K1257" s="9" t="s">
        <v>1306</v>
      </c>
      <c r="L1257" s="83">
        <v>45200</v>
      </c>
      <c r="M1257" s="83">
        <v>45230</v>
      </c>
    </row>
    <row r="1258" spans="1:13" ht="18.75" customHeight="1" x14ac:dyDescent="0.25">
      <c r="A1258" s="9" t="s">
        <v>1578</v>
      </c>
      <c r="B1258" s="81">
        <v>112992</v>
      </c>
      <c r="C1258" s="81">
        <v>10745</v>
      </c>
      <c r="D1258" s="9" t="s">
        <v>535</v>
      </c>
      <c r="E1258" s="81">
        <v>14563151</v>
      </c>
      <c r="F1258" s="81">
        <v>30419</v>
      </c>
      <c r="G1258" s="81">
        <v>25</v>
      </c>
      <c r="H1258" s="82">
        <v>26.3</v>
      </c>
      <c r="I1258" s="251">
        <v>657.5</v>
      </c>
      <c r="J1258" s="9" t="s">
        <v>1305</v>
      </c>
      <c r="K1258" s="9" t="s">
        <v>1306</v>
      </c>
      <c r="L1258" s="83">
        <v>45200</v>
      </c>
      <c r="M1258" s="83">
        <v>45230</v>
      </c>
    </row>
    <row r="1259" spans="1:13" ht="18.75" customHeight="1" x14ac:dyDescent="0.25">
      <c r="A1259" s="9" t="s">
        <v>1578</v>
      </c>
      <c r="B1259" s="81">
        <v>112686</v>
      </c>
      <c r="C1259" s="81">
        <v>10768</v>
      </c>
      <c r="D1259" s="9" t="s">
        <v>341</v>
      </c>
      <c r="E1259" s="81">
        <v>14563151</v>
      </c>
      <c r="F1259" s="81">
        <v>29807</v>
      </c>
      <c r="G1259" s="81">
        <v>25</v>
      </c>
      <c r="H1259" s="82">
        <v>26.3</v>
      </c>
      <c r="I1259" s="251">
        <v>657.5</v>
      </c>
      <c r="J1259" s="9" t="s">
        <v>1305</v>
      </c>
      <c r="K1259" s="9" t="s">
        <v>1306</v>
      </c>
      <c r="L1259" s="83">
        <v>45200</v>
      </c>
      <c r="M1259" s="83">
        <v>45230</v>
      </c>
    </row>
    <row r="1260" spans="1:13" ht="18.75" customHeight="1" x14ac:dyDescent="0.25">
      <c r="A1260" s="9" t="s">
        <v>8</v>
      </c>
      <c r="B1260" s="81">
        <v>114938</v>
      </c>
      <c r="C1260" s="81">
        <v>10766</v>
      </c>
      <c r="D1260" s="9" t="s">
        <v>1118</v>
      </c>
      <c r="E1260" s="81">
        <v>14563151</v>
      </c>
      <c r="F1260" s="81">
        <v>37655</v>
      </c>
      <c r="G1260" s="81">
        <v>25</v>
      </c>
      <c r="H1260" s="82">
        <v>26.3</v>
      </c>
      <c r="I1260" s="251">
        <v>657.5</v>
      </c>
      <c r="J1260" s="9" t="s">
        <v>1305</v>
      </c>
      <c r="K1260" s="9" t="s">
        <v>1306</v>
      </c>
      <c r="L1260" s="83">
        <v>45200</v>
      </c>
      <c r="M1260" s="83">
        <v>45230</v>
      </c>
    </row>
    <row r="1261" spans="1:13" ht="18.75" customHeight="1" x14ac:dyDescent="0.25">
      <c r="A1261" s="9" t="s">
        <v>8</v>
      </c>
      <c r="B1261" s="81">
        <v>112428</v>
      </c>
      <c r="C1261" s="81">
        <v>10750</v>
      </c>
      <c r="D1261" s="9" t="s">
        <v>172</v>
      </c>
      <c r="E1261" s="81">
        <v>14563151</v>
      </c>
      <c r="F1261" s="81">
        <v>29291</v>
      </c>
      <c r="G1261" s="81">
        <v>25</v>
      </c>
      <c r="H1261" s="82">
        <v>26.3</v>
      </c>
      <c r="I1261" s="251">
        <v>657.5</v>
      </c>
      <c r="J1261" s="9" t="s">
        <v>1305</v>
      </c>
      <c r="K1261" s="9" t="s">
        <v>1306</v>
      </c>
      <c r="L1261" s="83">
        <v>45200</v>
      </c>
      <c r="M1261" s="83">
        <v>45230</v>
      </c>
    </row>
    <row r="1262" spans="1:13" ht="18.75" customHeight="1" x14ac:dyDescent="0.25">
      <c r="A1262" s="9" t="s">
        <v>8</v>
      </c>
      <c r="B1262" s="81">
        <v>112432</v>
      </c>
      <c r="C1262" s="81">
        <v>10757</v>
      </c>
      <c r="D1262" s="9" t="s">
        <v>1381</v>
      </c>
      <c r="E1262" s="81">
        <v>14563151</v>
      </c>
      <c r="F1262" s="81">
        <v>29299</v>
      </c>
      <c r="G1262" s="81">
        <v>24</v>
      </c>
      <c r="H1262" s="82">
        <v>26.3</v>
      </c>
      <c r="I1262" s="251">
        <v>631.20000000000005</v>
      </c>
      <c r="J1262" s="9" t="s">
        <v>1305</v>
      </c>
      <c r="K1262" s="9" t="s">
        <v>1306</v>
      </c>
      <c r="L1262" s="83">
        <v>45200</v>
      </c>
      <c r="M1262" s="83">
        <v>45230</v>
      </c>
    </row>
    <row r="1263" spans="1:13" ht="18.75" customHeight="1" x14ac:dyDescent="0.25">
      <c r="A1263" s="9" t="s">
        <v>10</v>
      </c>
      <c r="B1263" s="81">
        <v>112282</v>
      </c>
      <c r="C1263" s="81">
        <v>10750</v>
      </c>
      <c r="D1263" s="9" t="s">
        <v>88</v>
      </c>
      <c r="E1263" s="81">
        <v>14563151</v>
      </c>
      <c r="F1263" s="81">
        <v>28999</v>
      </c>
      <c r="G1263" s="81">
        <v>25</v>
      </c>
      <c r="H1263" s="82">
        <v>26.3</v>
      </c>
      <c r="I1263" s="251">
        <v>657.5</v>
      </c>
      <c r="J1263" s="9" t="s">
        <v>1305</v>
      </c>
      <c r="K1263" s="9" t="s">
        <v>1306</v>
      </c>
      <c r="L1263" s="83">
        <v>45200</v>
      </c>
      <c r="M1263" s="83">
        <v>45230</v>
      </c>
    </row>
    <row r="1264" spans="1:13" ht="18.75" customHeight="1" x14ac:dyDescent="0.25">
      <c r="A1264" s="9" t="s">
        <v>8</v>
      </c>
      <c r="B1264" s="81">
        <v>116237</v>
      </c>
      <c r="C1264" s="81">
        <v>10750</v>
      </c>
      <c r="D1264" s="9" t="s">
        <v>1197</v>
      </c>
      <c r="E1264" s="81">
        <v>14563151</v>
      </c>
      <c r="F1264" s="81">
        <v>41582</v>
      </c>
      <c r="G1264" s="81">
        <v>25</v>
      </c>
      <c r="H1264" s="82">
        <v>26.3</v>
      </c>
      <c r="I1264" s="251">
        <v>657.5</v>
      </c>
      <c r="J1264" s="9" t="s">
        <v>1305</v>
      </c>
      <c r="K1264" s="9" t="s">
        <v>1306</v>
      </c>
      <c r="L1264" s="83">
        <v>45200</v>
      </c>
      <c r="M1264" s="83">
        <v>45230</v>
      </c>
    </row>
    <row r="1265" spans="1:13" ht="18.75" customHeight="1" x14ac:dyDescent="0.25">
      <c r="A1265" s="9" t="s">
        <v>1580</v>
      </c>
      <c r="B1265" s="81">
        <v>121946</v>
      </c>
      <c r="C1265" s="81">
        <v>10775</v>
      </c>
      <c r="D1265" s="9" t="s">
        <v>1615</v>
      </c>
      <c r="E1265" s="81">
        <v>14563151</v>
      </c>
      <c r="F1265" s="81">
        <v>55026</v>
      </c>
      <c r="G1265" s="81">
        <v>25</v>
      </c>
      <c r="H1265" s="82">
        <v>26.3</v>
      </c>
      <c r="I1265" s="251">
        <v>657.5</v>
      </c>
      <c r="J1265" s="9" t="s">
        <v>1305</v>
      </c>
      <c r="K1265" s="9" t="s">
        <v>1309</v>
      </c>
      <c r="L1265" s="83">
        <v>45200</v>
      </c>
      <c r="M1265" s="83">
        <v>45230</v>
      </c>
    </row>
    <row r="1266" spans="1:13" ht="18.75" customHeight="1" x14ac:dyDescent="0.25">
      <c r="A1266" s="9" t="s">
        <v>1580</v>
      </c>
      <c r="B1266" s="81">
        <v>119241</v>
      </c>
      <c r="C1266" s="81">
        <v>10775</v>
      </c>
      <c r="D1266" s="9" t="s">
        <v>1452</v>
      </c>
      <c r="E1266" s="81">
        <v>14563151</v>
      </c>
      <c r="F1266" s="81">
        <v>48553</v>
      </c>
      <c r="G1266" s="81">
        <v>25</v>
      </c>
      <c r="H1266" s="82">
        <v>26.3</v>
      </c>
      <c r="I1266" s="251">
        <v>657.5</v>
      </c>
      <c r="J1266" s="9" t="s">
        <v>1305</v>
      </c>
      <c r="K1266" s="9" t="s">
        <v>1309</v>
      </c>
      <c r="L1266" s="83">
        <v>45200</v>
      </c>
      <c r="M1266" s="83">
        <v>45230</v>
      </c>
    </row>
    <row r="1267" spans="1:13" ht="18.75" customHeight="1" x14ac:dyDescent="0.25">
      <c r="A1267" s="9" t="s">
        <v>1578</v>
      </c>
      <c r="B1267" s="81">
        <v>122030</v>
      </c>
      <c r="C1267" s="81">
        <v>10743</v>
      </c>
      <c r="D1267" s="9" t="s">
        <v>1575</v>
      </c>
      <c r="E1267" s="81">
        <v>14563151</v>
      </c>
      <c r="F1267" s="81">
        <v>55145</v>
      </c>
      <c r="G1267" s="81">
        <v>25</v>
      </c>
      <c r="H1267" s="82">
        <v>26.3</v>
      </c>
      <c r="I1267" s="251">
        <v>657.5</v>
      </c>
      <c r="J1267" s="9" t="s">
        <v>1305</v>
      </c>
      <c r="K1267" s="9" t="s">
        <v>1309</v>
      </c>
      <c r="L1267" s="83">
        <v>45200</v>
      </c>
      <c r="M1267" s="83">
        <v>45230</v>
      </c>
    </row>
    <row r="1268" spans="1:13" ht="18.75" customHeight="1" x14ac:dyDescent="0.25">
      <c r="A1268" s="9" t="s">
        <v>1580</v>
      </c>
      <c r="B1268" s="81">
        <v>121815</v>
      </c>
      <c r="C1268" s="81">
        <v>10775</v>
      </c>
      <c r="D1268" s="9" t="s">
        <v>1597</v>
      </c>
      <c r="E1268" s="81">
        <v>14563151</v>
      </c>
      <c r="F1268" s="81">
        <v>55017</v>
      </c>
      <c r="G1268" s="81">
        <v>25</v>
      </c>
      <c r="H1268" s="82">
        <v>26.3</v>
      </c>
      <c r="I1268" s="251">
        <v>657.5</v>
      </c>
      <c r="J1268" s="9" t="s">
        <v>1305</v>
      </c>
      <c r="K1268" s="9" t="s">
        <v>1309</v>
      </c>
      <c r="L1268" s="83">
        <v>45200</v>
      </c>
      <c r="M1268" s="83">
        <v>45230</v>
      </c>
    </row>
    <row r="1269" spans="1:13" ht="18.75" customHeight="1" x14ac:dyDescent="0.25">
      <c r="A1269" s="9" t="s">
        <v>19</v>
      </c>
      <c r="B1269" s="81">
        <v>112217</v>
      </c>
      <c r="C1269" s="81">
        <v>10750</v>
      </c>
      <c r="D1269" s="9" t="s">
        <v>40</v>
      </c>
      <c r="E1269" s="81">
        <v>14563151</v>
      </c>
      <c r="F1269" s="81">
        <v>28869</v>
      </c>
      <c r="G1269" s="81">
        <v>25</v>
      </c>
      <c r="H1269" s="82">
        <v>26.3</v>
      </c>
      <c r="I1269" s="251">
        <v>657.5</v>
      </c>
      <c r="J1269" s="9" t="s">
        <v>1305</v>
      </c>
      <c r="K1269" s="9" t="s">
        <v>1306</v>
      </c>
      <c r="L1269" s="83">
        <v>45200</v>
      </c>
      <c r="M1269" s="83">
        <v>45230</v>
      </c>
    </row>
    <row r="1270" spans="1:13" ht="18.75" customHeight="1" x14ac:dyDescent="0.25">
      <c r="A1270" s="9" t="s">
        <v>8</v>
      </c>
      <c r="B1270" s="81">
        <v>112434</v>
      </c>
      <c r="C1270" s="81">
        <v>10751</v>
      </c>
      <c r="D1270" s="9" t="s">
        <v>177</v>
      </c>
      <c r="E1270" s="81">
        <v>14563151</v>
      </c>
      <c r="F1270" s="81">
        <v>29303</v>
      </c>
      <c r="G1270" s="81">
        <v>25</v>
      </c>
      <c r="H1270" s="82">
        <v>26.3</v>
      </c>
      <c r="I1270" s="251">
        <v>657.5</v>
      </c>
      <c r="J1270" s="9" t="s">
        <v>1305</v>
      </c>
      <c r="K1270" s="9" t="s">
        <v>1306</v>
      </c>
      <c r="L1270" s="83">
        <v>45200</v>
      </c>
      <c r="M1270" s="83">
        <v>45230</v>
      </c>
    </row>
    <row r="1271" spans="1:13" ht="18.75" customHeight="1" x14ac:dyDescent="0.25">
      <c r="A1271" s="9" t="s">
        <v>0</v>
      </c>
      <c r="B1271" s="81">
        <v>112698</v>
      </c>
      <c r="C1271" s="81">
        <v>10751</v>
      </c>
      <c r="D1271" s="9" t="s">
        <v>348</v>
      </c>
      <c r="E1271" s="81">
        <v>14563151</v>
      </c>
      <c r="F1271" s="81">
        <v>29831</v>
      </c>
      <c r="G1271" s="81">
        <v>25</v>
      </c>
      <c r="H1271" s="82">
        <v>26.3</v>
      </c>
      <c r="I1271" s="251">
        <v>657.5</v>
      </c>
      <c r="J1271" s="9" t="s">
        <v>1305</v>
      </c>
      <c r="K1271" s="9" t="s">
        <v>1306</v>
      </c>
      <c r="L1271" s="83">
        <v>45200</v>
      </c>
      <c r="M1271" s="83">
        <v>45230</v>
      </c>
    </row>
    <row r="1272" spans="1:13" ht="18.75" customHeight="1" x14ac:dyDescent="0.25">
      <c r="A1272" s="9" t="s">
        <v>8</v>
      </c>
      <c r="B1272" s="81">
        <v>112444</v>
      </c>
      <c r="C1272" s="81">
        <v>10757</v>
      </c>
      <c r="D1272" s="9" t="s">
        <v>185</v>
      </c>
      <c r="E1272" s="81">
        <v>14563151</v>
      </c>
      <c r="F1272" s="81">
        <v>29323</v>
      </c>
      <c r="G1272" s="81">
        <v>25</v>
      </c>
      <c r="H1272" s="82">
        <v>26.3</v>
      </c>
      <c r="I1272" s="251">
        <v>657.5</v>
      </c>
      <c r="J1272" s="9" t="s">
        <v>1305</v>
      </c>
      <c r="K1272" s="9" t="s">
        <v>1306</v>
      </c>
      <c r="L1272" s="83">
        <v>45200</v>
      </c>
      <c r="M1272" s="83">
        <v>45230</v>
      </c>
    </row>
    <row r="1273" spans="1:13" ht="18.75" customHeight="1" x14ac:dyDescent="0.25">
      <c r="A1273" s="9" t="s">
        <v>19</v>
      </c>
      <c r="B1273" s="81">
        <v>112220</v>
      </c>
      <c r="C1273" s="81">
        <v>10750</v>
      </c>
      <c r="D1273" s="9" t="s">
        <v>41</v>
      </c>
      <c r="E1273" s="81">
        <v>14563151</v>
      </c>
      <c r="F1273" s="81">
        <v>28875</v>
      </c>
      <c r="G1273" s="81">
        <v>25</v>
      </c>
      <c r="H1273" s="82">
        <v>26.3</v>
      </c>
      <c r="I1273" s="251">
        <v>657.5</v>
      </c>
      <c r="J1273" s="9" t="s">
        <v>1305</v>
      </c>
      <c r="K1273" s="9" t="s">
        <v>1306</v>
      </c>
      <c r="L1273" s="83">
        <v>45200</v>
      </c>
      <c r="M1273" s="83">
        <v>45230</v>
      </c>
    </row>
    <row r="1274" spans="1:13" ht="18.75" customHeight="1" x14ac:dyDescent="0.25">
      <c r="A1274" s="9" t="s">
        <v>1578</v>
      </c>
      <c r="B1274" s="81">
        <v>112704</v>
      </c>
      <c r="C1274" s="81">
        <v>10767</v>
      </c>
      <c r="D1274" s="9" t="s">
        <v>353</v>
      </c>
      <c r="E1274" s="81">
        <v>14563151</v>
      </c>
      <c r="F1274" s="81">
        <v>29843</v>
      </c>
      <c r="G1274" s="81">
        <v>25</v>
      </c>
      <c r="H1274" s="82">
        <v>26.3</v>
      </c>
      <c r="I1274" s="251">
        <v>657.5</v>
      </c>
      <c r="J1274" s="9" t="s">
        <v>1305</v>
      </c>
      <c r="K1274" s="9" t="s">
        <v>1306</v>
      </c>
      <c r="L1274" s="83">
        <v>45200</v>
      </c>
      <c r="M1274" s="83">
        <v>45230</v>
      </c>
    </row>
    <row r="1275" spans="1:13" ht="18.75" customHeight="1" x14ac:dyDescent="0.25">
      <c r="A1275" s="9" t="s">
        <v>0</v>
      </c>
      <c r="B1275" s="81">
        <v>113732</v>
      </c>
      <c r="C1275" s="81">
        <v>10771</v>
      </c>
      <c r="D1275" s="9" t="s">
        <v>945</v>
      </c>
      <c r="E1275" s="81">
        <v>14563151</v>
      </c>
      <c r="F1275" s="81">
        <v>33623</v>
      </c>
      <c r="G1275" s="81">
        <v>25</v>
      </c>
      <c r="H1275" s="82">
        <v>26.3</v>
      </c>
      <c r="I1275" s="251">
        <v>657.5</v>
      </c>
      <c r="J1275" s="9" t="s">
        <v>1305</v>
      </c>
      <c r="K1275" s="9" t="s">
        <v>1306</v>
      </c>
      <c r="L1275" s="83">
        <v>45200</v>
      </c>
      <c r="M1275" s="83">
        <v>45230</v>
      </c>
    </row>
    <row r="1276" spans="1:13" ht="18.75" customHeight="1" x14ac:dyDescent="0.25">
      <c r="A1276" s="9" t="s">
        <v>8</v>
      </c>
      <c r="B1276" s="81">
        <v>112457</v>
      </c>
      <c r="C1276" s="81">
        <v>10750</v>
      </c>
      <c r="D1276" s="9" t="s">
        <v>193</v>
      </c>
      <c r="E1276" s="81">
        <v>14563151</v>
      </c>
      <c r="F1276" s="81">
        <v>29349</v>
      </c>
      <c r="G1276" s="81">
        <v>25</v>
      </c>
      <c r="H1276" s="82">
        <v>26.3</v>
      </c>
      <c r="I1276" s="251">
        <v>657.5</v>
      </c>
      <c r="J1276" s="9" t="s">
        <v>1305</v>
      </c>
      <c r="K1276" s="9" t="s">
        <v>1306</v>
      </c>
      <c r="L1276" s="83">
        <v>45200</v>
      </c>
      <c r="M1276" s="83">
        <v>45230</v>
      </c>
    </row>
    <row r="1277" spans="1:13" ht="18.75" customHeight="1" x14ac:dyDescent="0.25">
      <c r="A1277" s="9" t="s">
        <v>0</v>
      </c>
      <c r="B1277" s="81">
        <v>112706</v>
      </c>
      <c r="C1277" s="81">
        <v>10751</v>
      </c>
      <c r="D1277" s="9" t="s">
        <v>354</v>
      </c>
      <c r="E1277" s="81">
        <v>14563151</v>
      </c>
      <c r="F1277" s="81">
        <v>29847</v>
      </c>
      <c r="G1277" s="81">
        <v>25</v>
      </c>
      <c r="H1277" s="82">
        <v>26.3</v>
      </c>
      <c r="I1277" s="251">
        <v>657.5</v>
      </c>
      <c r="J1277" s="9" t="s">
        <v>1305</v>
      </c>
      <c r="K1277" s="9" t="s">
        <v>1306</v>
      </c>
      <c r="L1277" s="83">
        <v>45200</v>
      </c>
      <c r="M1277" s="83">
        <v>45230</v>
      </c>
    </row>
    <row r="1278" spans="1:13" ht="18.75" customHeight="1" x14ac:dyDescent="0.25">
      <c r="A1278" s="9" t="s">
        <v>1578</v>
      </c>
      <c r="B1278" s="81">
        <v>113003</v>
      </c>
      <c r="C1278" s="81">
        <v>10761</v>
      </c>
      <c r="D1278" s="9" t="s">
        <v>540</v>
      </c>
      <c r="E1278" s="81">
        <v>14563151</v>
      </c>
      <c r="F1278" s="81">
        <v>30441</v>
      </c>
      <c r="G1278" s="81">
        <v>25</v>
      </c>
      <c r="H1278" s="82">
        <v>26.3</v>
      </c>
      <c r="I1278" s="251">
        <v>657.5</v>
      </c>
      <c r="J1278" s="9" t="s">
        <v>1305</v>
      </c>
      <c r="K1278" s="9" t="s">
        <v>1306</v>
      </c>
      <c r="L1278" s="83">
        <v>45200</v>
      </c>
      <c r="M1278" s="83">
        <v>45230</v>
      </c>
    </row>
    <row r="1279" spans="1:13" ht="18.75" customHeight="1" x14ac:dyDescent="0.25">
      <c r="A1279" s="9" t="s">
        <v>1578</v>
      </c>
      <c r="B1279" s="81">
        <v>112707</v>
      </c>
      <c r="C1279" s="81">
        <v>10767</v>
      </c>
      <c r="D1279" s="9" t="s">
        <v>356</v>
      </c>
      <c r="E1279" s="81">
        <v>14563151</v>
      </c>
      <c r="F1279" s="81">
        <v>29849</v>
      </c>
      <c r="G1279" s="81">
        <v>25</v>
      </c>
      <c r="H1279" s="82">
        <v>26.3</v>
      </c>
      <c r="I1279" s="251">
        <v>657.5</v>
      </c>
      <c r="J1279" s="9" t="s">
        <v>1305</v>
      </c>
      <c r="K1279" s="9" t="s">
        <v>1306</v>
      </c>
      <c r="L1279" s="83">
        <v>45200</v>
      </c>
      <c r="M1279" s="83">
        <v>45230</v>
      </c>
    </row>
    <row r="1280" spans="1:13" ht="18.75" customHeight="1" x14ac:dyDescent="0.25">
      <c r="A1280" s="9" t="s">
        <v>10</v>
      </c>
      <c r="B1280" s="81">
        <v>112290</v>
      </c>
      <c r="C1280" s="81">
        <v>10751</v>
      </c>
      <c r="D1280" s="9" t="s">
        <v>91</v>
      </c>
      <c r="E1280" s="81">
        <v>14563151</v>
      </c>
      <c r="F1280" s="81">
        <v>29015</v>
      </c>
      <c r="G1280" s="81">
        <v>25</v>
      </c>
      <c r="H1280" s="82">
        <v>26.3</v>
      </c>
      <c r="I1280" s="251">
        <v>657.5</v>
      </c>
      <c r="J1280" s="9" t="s">
        <v>1305</v>
      </c>
      <c r="K1280" s="9" t="s">
        <v>1306</v>
      </c>
      <c r="L1280" s="83">
        <v>45200</v>
      </c>
      <c r="M1280" s="83">
        <v>45230</v>
      </c>
    </row>
    <row r="1281" spans="1:13" ht="18.75" customHeight="1" x14ac:dyDescent="0.25">
      <c r="A1281" s="9" t="s">
        <v>10</v>
      </c>
      <c r="B1281" s="81">
        <v>112461</v>
      </c>
      <c r="C1281" s="81">
        <v>10756</v>
      </c>
      <c r="D1281" s="9" t="s">
        <v>196</v>
      </c>
      <c r="E1281" s="81">
        <v>14563151</v>
      </c>
      <c r="F1281" s="81">
        <v>29357</v>
      </c>
      <c r="G1281" s="81">
        <v>25</v>
      </c>
      <c r="H1281" s="82">
        <v>26.3</v>
      </c>
      <c r="I1281" s="251">
        <v>657.5</v>
      </c>
      <c r="J1281" s="9" t="s">
        <v>1305</v>
      </c>
      <c r="K1281" s="9" t="s">
        <v>1306</v>
      </c>
      <c r="L1281" s="83">
        <v>45200</v>
      </c>
      <c r="M1281" s="83">
        <v>45230</v>
      </c>
    </row>
    <row r="1282" spans="1:13" ht="18.75" customHeight="1" x14ac:dyDescent="0.25">
      <c r="A1282" s="9" t="s">
        <v>0</v>
      </c>
      <c r="B1282" s="81">
        <v>112714</v>
      </c>
      <c r="C1282" s="81">
        <v>10751</v>
      </c>
      <c r="D1282" s="9" t="s">
        <v>358</v>
      </c>
      <c r="E1282" s="81">
        <v>14563151</v>
      </c>
      <c r="F1282" s="81">
        <v>29863</v>
      </c>
      <c r="G1282" s="81">
        <v>25</v>
      </c>
      <c r="H1282" s="82">
        <v>26.3</v>
      </c>
      <c r="I1282" s="251">
        <v>657.5</v>
      </c>
      <c r="J1282" s="9" t="s">
        <v>1305</v>
      </c>
      <c r="K1282" s="9" t="s">
        <v>1306</v>
      </c>
      <c r="L1282" s="83">
        <v>45200</v>
      </c>
      <c r="M1282" s="83">
        <v>45230</v>
      </c>
    </row>
    <row r="1283" spans="1:13" ht="18.75" customHeight="1" x14ac:dyDescent="0.25">
      <c r="A1283" s="9" t="s">
        <v>19</v>
      </c>
      <c r="B1283" s="81">
        <v>112224</v>
      </c>
      <c r="C1283" s="81">
        <v>10750</v>
      </c>
      <c r="D1283" s="9" t="s">
        <v>46</v>
      </c>
      <c r="E1283" s="81">
        <v>14563151</v>
      </c>
      <c r="F1283" s="81">
        <v>28883</v>
      </c>
      <c r="G1283" s="81">
        <v>25</v>
      </c>
      <c r="H1283" s="82">
        <v>26.3</v>
      </c>
      <c r="I1283" s="251">
        <v>657.5</v>
      </c>
      <c r="J1283" s="9" t="s">
        <v>1305</v>
      </c>
      <c r="K1283" s="9" t="s">
        <v>1306</v>
      </c>
      <c r="L1283" s="83">
        <v>45200</v>
      </c>
      <c r="M1283" s="83">
        <v>45230</v>
      </c>
    </row>
    <row r="1284" spans="1:13" ht="18.75" customHeight="1" x14ac:dyDescent="0.25">
      <c r="A1284" s="9" t="s">
        <v>10</v>
      </c>
      <c r="B1284" s="81">
        <v>112294</v>
      </c>
      <c r="C1284" s="81">
        <v>10750</v>
      </c>
      <c r="D1284" s="9" t="s">
        <v>1382</v>
      </c>
      <c r="E1284" s="81">
        <v>14563151</v>
      </c>
      <c r="F1284" s="81">
        <v>29023</v>
      </c>
      <c r="G1284" s="81">
        <v>25</v>
      </c>
      <c r="H1284" s="82">
        <v>26.3</v>
      </c>
      <c r="I1284" s="251">
        <v>657.5</v>
      </c>
      <c r="J1284" s="9" t="s">
        <v>1305</v>
      </c>
      <c r="K1284" s="9" t="s">
        <v>1306</v>
      </c>
      <c r="L1284" s="83">
        <v>45200</v>
      </c>
      <c r="M1284" s="83">
        <v>45230</v>
      </c>
    </row>
    <row r="1285" spans="1:13" ht="18.75" customHeight="1" x14ac:dyDescent="0.25">
      <c r="A1285" s="9" t="s">
        <v>1578</v>
      </c>
      <c r="B1285" s="81">
        <v>112717</v>
      </c>
      <c r="C1285" s="81">
        <v>10768</v>
      </c>
      <c r="D1285" s="9" t="s">
        <v>360</v>
      </c>
      <c r="E1285" s="81">
        <v>14563151</v>
      </c>
      <c r="F1285" s="81">
        <v>29869</v>
      </c>
      <c r="G1285" s="81">
        <v>25</v>
      </c>
      <c r="H1285" s="82">
        <v>26.3</v>
      </c>
      <c r="I1285" s="251">
        <v>657.5</v>
      </c>
      <c r="J1285" s="9" t="s">
        <v>1305</v>
      </c>
      <c r="K1285" s="9" t="s">
        <v>1306</v>
      </c>
      <c r="L1285" s="83">
        <v>45200</v>
      </c>
      <c r="M1285" s="83">
        <v>45230</v>
      </c>
    </row>
    <row r="1286" spans="1:13" ht="18.75" customHeight="1" x14ac:dyDescent="0.25">
      <c r="A1286" s="9" t="s">
        <v>8</v>
      </c>
      <c r="B1286" s="81">
        <v>112472</v>
      </c>
      <c r="C1286" s="81">
        <v>10760</v>
      </c>
      <c r="D1286" s="9" t="s">
        <v>201</v>
      </c>
      <c r="E1286" s="81">
        <v>14563151</v>
      </c>
      <c r="F1286" s="81">
        <v>29379</v>
      </c>
      <c r="G1286" s="81">
        <v>25</v>
      </c>
      <c r="H1286" s="82">
        <v>26.3</v>
      </c>
      <c r="I1286" s="251">
        <v>657.5</v>
      </c>
      <c r="J1286" s="9" t="s">
        <v>1305</v>
      </c>
      <c r="K1286" s="9" t="s">
        <v>1306</v>
      </c>
      <c r="L1286" s="83">
        <v>45200</v>
      </c>
      <c r="M1286" s="83">
        <v>45230</v>
      </c>
    </row>
    <row r="1287" spans="1:13" ht="18.75" customHeight="1" x14ac:dyDescent="0.25">
      <c r="A1287" s="9" t="s">
        <v>19</v>
      </c>
      <c r="B1287" s="81">
        <v>112228</v>
      </c>
      <c r="C1287" s="81">
        <v>10750</v>
      </c>
      <c r="D1287" s="9" t="s">
        <v>50</v>
      </c>
      <c r="E1287" s="81">
        <v>14563151</v>
      </c>
      <c r="F1287" s="81">
        <v>28891</v>
      </c>
      <c r="G1287" s="81">
        <v>25</v>
      </c>
      <c r="H1287" s="82">
        <v>26.3</v>
      </c>
      <c r="I1287" s="251">
        <v>657.5</v>
      </c>
      <c r="J1287" s="9" t="s">
        <v>1305</v>
      </c>
      <c r="K1287" s="9" t="s">
        <v>1306</v>
      </c>
      <c r="L1287" s="83">
        <v>45200</v>
      </c>
      <c r="M1287" s="83">
        <v>45230</v>
      </c>
    </row>
    <row r="1288" spans="1:13" ht="18.75" customHeight="1" x14ac:dyDescent="0.25">
      <c r="A1288" s="9" t="s">
        <v>19</v>
      </c>
      <c r="B1288" s="81">
        <v>112229</v>
      </c>
      <c r="C1288" s="81">
        <v>10750</v>
      </c>
      <c r="D1288" s="9" t="s">
        <v>51</v>
      </c>
      <c r="E1288" s="81">
        <v>14563151</v>
      </c>
      <c r="F1288" s="81">
        <v>28893</v>
      </c>
      <c r="G1288" s="81">
        <v>25</v>
      </c>
      <c r="H1288" s="82">
        <v>26.3</v>
      </c>
      <c r="I1288" s="251">
        <v>657.5</v>
      </c>
      <c r="J1288" s="9" t="s">
        <v>1305</v>
      </c>
      <c r="K1288" s="9" t="s">
        <v>1306</v>
      </c>
      <c r="L1288" s="83">
        <v>45200</v>
      </c>
      <c r="M1288" s="83">
        <v>45230</v>
      </c>
    </row>
    <row r="1289" spans="1:13" ht="18.75" customHeight="1" x14ac:dyDescent="0.25">
      <c r="A1289" s="9" t="s">
        <v>8</v>
      </c>
      <c r="B1289" s="81">
        <v>112475</v>
      </c>
      <c r="C1289" s="81">
        <v>10750</v>
      </c>
      <c r="D1289" s="9" t="s">
        <v>203</v>
      </c>
      <c r="E1289" s="81">
        <v>14563151</v>
      </c>
      <c r="F1289" s="81">
        <v>29385</v>
      </c>
      <c r="G1289" s="81">
        <v>25</v>
      </c>
      <c r="H1289" s="82">
        <v>26.3</v>
      </c>
      <c r="I1289" s="251">
        <v>657.5</v>
      </c>
      <c r="J1289" s="9" t="s">
        <v>1305</v>
      </c>
      <c r="K1289" s="9" t="s">
        <v>1306</v>
      </c>
      <c r="L1289" s="83">
        <v>45200</v>
      </c>
      <c r="M1289" s="83">
        <v>45230</v>
      </c>
    </row>
    <row r="1290" spans="1:13" ht="18.75" customHeight="1" x14ac:dyDescent="0.25">
      <c r="A1290" s="9" t="s">
        <v>1578</v>
      </c>
      <c r="B1290" s="81">
        <v>118994</v>
      </c>
      <c r="C1290" s="81">
        <v>10767</v>
      </c>
      <c r="D1290" s="9" t="s">
        <v>1428</v>
      </c>
      <c r="E1290" s="81">
        <v>14563151</v>
      </c>
      <c r="F1290" s="81">
        <v>47942</v>
      </c>
      <c r="G1290" s="81">
        <v>25</v>
      </c>
      <c r="H1290" s="82">
        <v>26.3</v>
      </c>
      <c r="I1290" s="251">
        <v>657.5</v>
      </c>
      <c r="J1290" s="9" t="s">
        <v>1305</v>
      </c>
      <c r="K1290" s="9" t="s">
        <v>1306</v>
      </c>
      <c r="L1290" s="83">
        <v>45200</v>
      </c>
      <c r="M1290" s="83">
        <v>45230</v>
      </c>
    </row>
    <row r="1291" spans="1:13" ht="18.75" customHeight="1" x14ac:dyDescent="0.25">
      <c r="A1291" s="9" t="s">
        <v>1578</v>
      </c>
      <c r="B1291" s="81">
        <v>116112</v>
      </c>
      <c r="C1291" s="81">
        <v>10745</v>
      </c>
      <c r="D1291" s="9" t="s">
        <v>1185</v>
      </c>
      <c r="E1291" s="81">
        <v>14563151</v>
      </c>
      <c r="F1291" s="81">
        <v>41162</v>
      </c>
      <c r="G1291" s="81">
        <v>25</v>
      </c>
      <c r="H1291" s="82">
        <v>26.3</v>
      </c>
      <c r="I1291" s="251">
        <v>657.5</v>
      </c>
      <c r="J1291" s="9" t="s">
        <v>1305</v>
      </c>
      <c r="K1291" s="9" t="s">
        <v>1306</v>
      </c>
      <c r="L1291" s="83">
        <v>45200</v>
      </c>
      <c r="M1291" s="83">
        <v>45230</v>
      </c>
    </row>
    <row r="1292" spans="1:13" ht="18.75" customHeight="1" x14ac:dyDescent="0.25">
      <c r="A1292" s="9" t="s">
        <v>1578</v>
      </c>
      <c r="B1292" s="81">
        <v>112722</v>
      </c>
      <c r="C1292" s="81">
        <v>10749</v>
      </c>
      <c r="D1292" s="9" t="s">
        <v>364</v>
      </c>
      <c r="E1292" s="81">
        <v>14563151</v>
      </c>
      <c r="F1292" s="81">
        <v>29879</v>
      </c>
      <c r="G1292" s="81">
        <v>25</v>
      </c>
      <c r="H1292" s="82">
        <v>26.3</v>
      </c>
      <c r="I1292" s="251">
        <v>657.5</v>
      </c>
      <c r="J1292" s="9" t="s">
        <v>1305</v>
      </c>
      <c r="K1292" s="9" t="s">
        <v>1306</v>
      </c>
      <c r="L1292" s="83">
        <v>45200</v>
      </c>
      <c r="M1292" s="83">
        <v>45230</v>
      </c>
    </row>
    <row r="1293" spans="1:13" ht="18.75" customHeight="1" x14ac:dyDescent="0.25">
      <c r="A1293" s="9" t="s">
        <v>10</v>
      </c>
      <c r="B1293" s="81">
        <v>112298</v>
      </c>
      <c r="C1293" s="81">
        <v>10750</v>
      </c>
      <c r="D1293" s="9" t="s">
        <v>96</v>
      </c>
      <c r="E1293" s="81">
        <v>14563151</v>
      </c>
      <c r="F1293" s="81">
        <v>29031</v>
      </c>
      <c r="G1293" s="81">
        <v>25</v>
      </c>
      <c r="H1293" s="82">
        <v>26.3</v>
      </c>
      <c r="I1293" s="251">
        <v>657.5</v>
      </c>
      <c r="J1293" s="9" t="s">
        <v>1305</v>
      </c>
      <c r="K1293" s="9" t="s">
        <v>1306</v>
      </c>
      <c r="L1293" s="83">
        <v>45200</v>
      </c>
      <c r="M1293" s="83">
        <v>45230</v>
      </c>
    </row>
    <row r="1294" spans="1:13" ht="18.75" customHeight="1" x14ac:dyDescent="0.25">
      <c r="A1294" s="9" t="s">
        <v>1578</v>
      </c>
      <c r="B1294" s="81">
        <v>113008</v>
      </c>
      <c r="C1294" s="81">
        <v>10766</v>
      </c>
      <c r="D1294" s="9" t="s">
        <v>542</v>
      </c>
      <c r="E1294" s="81">
        <v>14563151</v>
      </c>
      <c r="F1294" s="81">
        <v>30451</v>
      </c>
      <c r="G1294" s="81">
        <v>25</v>
      </c>
      <c r="H1294" s="82">
        <v>26.3</v>
      </c>
      <c r="I1294" s="251">
        <v>657.5</v>
      </c>
      <c r="J1294" s="9" t="s">
        <v>1305</v>
      </c>
      <c r="K1294" s="9" t="s">
        <v>1306</v>
      </c>
      <c r="L1294" s="83">
        <v>45200</v>
      </c>
      <c r="M1294" s="83">
        <v>45230</v>
      </c>
    </row>
    <row r="1295" spans="1:13" ht="18.75" customHeight="1" x14ac:dyDescent="0.25">
      <c r="A1295" s="9" t="s">
        <v>0</v>
      </c>
      <c r="B1295" s="81">
        <v>112725</v>
      </c>
      <c r="C1295" s="81">
        <v>10756</v>
      </c>
      <c r="D1295" s="9" t="s">
        <v>366</v>
      </c>
      <c r="E1295" s="81">
        <v>14563151</v>
      </c>
      <c r="F1295" s="81">
        <v>29885</v>
      </c>
      <c r="G1295" s="81">
        <v>25</v>
      </c>
      <c r="H1295" s="82">
        <v>26.3</v>
      </c>
      <c r="I1295" s="251">
        <v>657.5</v>
      </c>
      <c r="J1295" s="9" t="s">
        <v>1305</v>
      </c>
      <c r="K1295" s="9" t="s">
        <v>1306</v>
      </c>
      <c r="L1295" s="83">
        <v>45200</v>
      </c>
      <c r="M1295" s="83">
        <v>45230</v>
      </c>
    </row>
    <row r="1296" spans="1:13" ht="18.75" customHeight="1" x14ac:dyDescent="0.25">
      <c r="A1296" s="9" t="s">
        <v>8</v>
      </c>
      <c r="B1296" s="81">
        <v>122823</v>
      </c>
      <c r="C1296" s="81">
        <v>10757</v>
      </c>
      <c r="D1296" s="9" t="s">
        <v>1728</v>
      </c>
      <c r="E1296" s="81">
        <v>14563151</v>
      </c>
      <c r="F1296" s="81">
        <v>57218</v>
      </c>
      <c r="G1296" s="81">
        <v>25</v>
      </c>
      <c r="H1296" s="82">
        <v>26.3</v>
      </c>
      <c r="I1296" s="251">
        <v>657.5</v>
      </c>
      <c r="J1296" s="9" t="s">
        <v>1305</v>
      </c>
      <c r="K1296" s="9" t="s">
        <v>1306</v>
      </c>
      <c r="L1296" s="83">
        <v>45200</v>
      </c>
      <c r="M1296" s="83">
        <v>45230</v>
      </c>
    </row>
    <row r="1297" spans="1:13" ht="18.75" customHeight="1" x14ac:dyDescent="0.25">
      <c r="A1297" s="9" t="s">
        <v>32</v>
      </c>
      <c r="B1297" s="81">
        <v>112481</v>
      </c>
      <c r="C1297" s="81">
        <v>10756</v>
      </c>
      <c r="D1297" s="9" t="s">
        <v>207</v>
      </c>
      <c r="E1297" s="81">
        <v>14563151</v>
      </c>
      <c r="F1297" s="81">
        <v>29397</v>
      </c>
      <c r="G1297" s="81">
        <v>25</v>
      </c>
      <c r="H1297" s="82">
        <v>26.3</v>
      </c>
      <c r="I1297" s="251">
        <v>657.5</v>
      </c>
      <c r="J1297" s="9" t="s">
        <v>1305</v>
      </c>
      <c r="K1297" s="9" t="s">
        <v>1306</v>
      </c>
      <c r="L1297" s="83">
        <v>45200</v>
      </c>
      <c r="M1297" s="83">
        <v>45230</v>
      </c>
    </row>
    <row r="1298" spans="1:13" ht="18.75" customHeight="1" x14ac:dyDescent="0.25">
      <c r="A1298" s="9" t="s">
        <v>1578</v>
      </c>
      <c r="B1298" s="81">
        <v>113013</v>
      </c>
      <c r="C1298" s="81">
        <v>10761</v>
      </c>
      <c r="D1298" s="9" t="s">
        <v>543</v>
      </c>
      <c r="E1298" s="81">
        <v>14563151</v>
      </c>
      <c r="F1298" s="81">
        <v>30461</v>
      </c>
      <c r="G1298" s="81">
        <v>25</v>
      </c>
      <c r="H1298" s="82">
        <v>26.3</v>
      </c>
      <c r="I1298" s="251">
        <v>657.5</v>
      </c>
      <c r="J1298" s="9" t="s">
        <v>1305</v>
      </c>
      <c r="K1298" s="9" t="s">
        <v>1306</v>
      </c>
      <c r="L1298" s="83">
        <v>45200</v>
      </c>
      <c r="M1298" s="83">
        <v>45230</v>
      </c>
    </row>
    <row r="1299" spans="1:13" ht="18.75" customHeight="1" x14ac:dyDescent="0.25">
      <c r="A1299" s="9" t="s">
        <v>0</v>
      </c>
      <c r="B1299" s="81">
        <v>115400</v>
      </c>
      <c r="C1299" s="81">
        <v>10757</v>
      </c>
      <c r="D1299" s="9" t="s">
        <v>1152</v>
      </c>
      <c r="E1299" s="81">
        <v>14563151</v>
      </c>
      <c r="F1299" s="81">
        <v>39007</v>
      </c>
      <c r="G1299" s="81">
        <v>25</v>
      </c>
      <c r="H1299" s="82">
        <v>26.3</v>
      </c>
      <c r="I1299" s="251">
        <v>657.5</v>
      </c>
      <c r="J1299" s="9" t="s">
        <v>1305</v>
      </c>
      <c r="K1299" s="9" t="s">
        <v>1306</v>
      </c>
      <c r="L1299" s="83">
        <v>45200</v>
      </c>
      <c r="M1299" s="83">
        <v>45230</v>
      </c>
    </row>
    <row r="1300" spans="1:13" ht="18.75" customHeight="1" x14ac:dyDescent="0.25">
      <c r="A1300" s="9" t="s">
        <v>10</v>
      </c>
      <c r="B1300" s="81">
        <v>116021</v>
      </c>
      <c r="C1300" s="81">
        <v>10766</v>
      </c>
      <c r="D1300" s="9" t="s">
        <v>1173</v>
      </c>
      <c r="E1300" s="81">
        <v>14563151</v>
      </c>
      <c r="F1300" s="81">
        <v>40902</v>
      </c>
      <c r="G1300" s="81">
        <v>25</v>
      </c>
      <c r="H1300" s="82">
        <v>26.3</v>
      </c>
      <c r="I1300" s="251">
        <v>657.5</v>
      </c>
      <c r="J1300" s="9" t="s">
        <v>1305</v>
      </c>
      <c r="K1300" s="9" t="s">
        <v>1306</v>
      </c>
      <c r="L1300" s="83">
        <v>45200</v>
      </c>
      <c r="M1300" s="83">
        <v>45230</v>
      </c>
    </row>
    <row r="1301" spans="1:13" ht="18.75" customHeight="1" x14ac:dyDescent="0.25">
      <c r="A1301" s="9" t="s">
        <v>0</v>
      </c>
      <c r="B1301" s="81">
        <v>112727</v>
      </c>
      <c r="C1301" s="81">
        <v>10750</v>
      </c>
      <c r="D1301" s="9" t="s">
        <v>368</v>
      </c>
      <c r="E1301" s="81">
        <v>14563151</v>
      </c>
      <c r="F1301" s="81">
        <v>29889</v>
      </c>
      <c r="G1301" s="81">
        <v>25</v>
      </c>
      <c r="H1301" s="82">
        <v>26.3</v>
      </c>
      <c r="I1301" s="251">
        <v>657.5</v>
      </c>
      <c r="J1301" s="9" t="s">
        <v>1305</v>
      </c>
      <c r="K1301" s="9" t="s">
        <v>1306</v>
      </c>
      <c r="L1301" s="83">
        <v>45200</v>
      </c>
      <c r="M1301" s="83">
        <v>45230</v>
      </c>
    </row>
    <row r="1302" spans="1:13" ht="18.75" customHeight="1" x14ac:dyDescent="0.25">
      <c r="A1302" s="9" t="s">
        <v>19</v>
      </c>
      <c r="B1302" s="81">
        <v>121458</v>
      </c>
      <c r="C1302" s="81">
        <v>10755</v>
      </c>
      <c r="D1302" s="9" t="s">
        <v>1569</v>
      </c>
      <c r="E1302" s="81">
        <v>14563151</v>
      </c>
      <c r="F1302" s="81">
        <v>53797</v>
      </c>
      <c r="G1302" s="81">
        <v>25</v>
      </c>
      <c r="H1302" s="82">
        <v>26.3</v>
      </c>
      <c r="I1302" s="251">
        <v>657.5</v>
      </c>
      <c r="J1302" s="9" t="s">
        <v>1305</v>
      </c>
      <c r="K1302" s="9" t="s">
        <v>1306</v>
      </c>
      <c r="L1302" s="83">
        <v>45200</v>
      </c>
      <c r="M1302" s="83">
        <v>45230</v>
      </c>
    </row>
    <row r="1303" spans="1:13" ht="18.75" customHeight="1" x14ac:dyDescent="0.25">
      <c r="A1303" s="9" t="s">
        <v>10</v>
      </c>
      <c r="B1303" s="81">
        <v>121318</v>
      </c>
      <c r="C1303" s="81">
        <v>10750</v>
      </c>
      <c r="D1303" s="9" t="s">
        <v>1538</v>
      </c>
      <c r="E1303" s="81">
        <v>14563151</v>
      </c>
      <c r="F1303" s="81">
        <v>53491</v>
      </c>
      <c r="G1303" s="81">
        <v>25</v>
      </c>
      <c r="H1303" s="82">
        <v>26.3</v>
      </c>
      <c r="I1303" s="251">
        <v>657.5</v>
      </c>
      <c r="J1303" s="9" t="s">
        <v>1305</v>
      </c>
      <c r="K1303" s="9" t="s">
        <v>1309</v>
      </c>
      <c r="L1303" s="83">
        <v>45200</v>
      </c>
      <c r="M1303" s="83">
        <v>45230</v>
      </c>
    </row>
    <row r="1304" spans="1:13" ht="18.75" customHeight="1" x14ac:dyDescent="0.25">
      <c r="A1304" s="9" t="s">
        <v>0</v>
      </c>
      <c r="B1304" s="81">
        <v>112678</v>
      </c>
      <c r="C1304" s="81">
        <v>10763</v>
      </c>
      <c r="D1304" s="9" t="s">
        <v>334</v>
      </c>
      <c r="E1304" s="81">
        <v>14563151</v>
      </c>
      <c r="F1304" s="81">
        <v>29791</v>
      </c>
      <c r="G1304" s="81">
        <v>25</v>
      </c>
      <c r="H1304" s="82">
        <v>26.3</v>
      </c>
      <c r="I1304" s="251">
        <v>657.5</v>
      </c>
      <c r="J1304" s="9" t="s">
        <v>1305</v>
      </c>
      <c r="K1304" s="9" t="s">
        <v>1306</v>
      </c>
      <c r="L1304" s="83">
        <v>45200</v>
      </c>
      <c r="M1304" s="83">
        <v>45230</v>
      </c>
    </row>
    <row r="1305" spans="1:13" ht="18.75" customHeight="1" x14ac:dyDescent="0.25">
      <c r="A1305" s="9" t="s">
        <v>1580</v>
      </c>
      <c r="B1305" s="81">
        <v>119753</v>
      </c>
      <c r="C1305" s="81">
        <v>10775</v>
      </c>
      <c r="D1305" s="9" t="s">
        <v>1476</v>
      </c>
      <c r="E1305" s="81">
        <v>14563151</v>
      </c>
      <c r="F1305" s="81">
        <v>49850</v>
      </c>
      <c r="G1305" s="81">
        <v>25</v>
      </c>
      <c r="H1305" s="82">
        <v>26.3</v>
      </c>
      <c r="I1305" s="251">
        <v>657.5</v>
      </c>
      <c r="J1305" s="9" t="s">
        <v>1305</v>
      </c>
      <c r="K1305" s="9" t="s">
        <v>1309</v>
      </c>
      <c r="L1305" s="83">
        <v>45200</v>
      </c>
      <c r="M1305" s="83">
        <v>45230</v>
      </c>
    </row>
    <row r="1306" spans="1:13" ht="18.75" customHeight="1" x14ac:dyDescent="0.25">
      <c r="A1306" s="9" t="s">
        <v>19</v>
      </c>
      <c r="B1306" s="81">
        <v>122083</v>
      </c>
      <c r="C1306" s="81">
        <v>10757</v>
      </c>
      <c r="D1306" s="9" t="s">
        <v>1634</v>
      </c>
      <c r="E1306" s="81">
        <v>14563151</v>
      </c>
      <c r="F1306" s="81">
        <v>55283</v>
      </c>
      <c r="G1306" s="81">
        <v>25</v>
      </c>
      <c r="H1306" s="82">
        <v>26.3</v>
      </c>
      <c r="I1306" s="251">
        <v>657.5</v>
      </c>
      <c r="J1306" s="9" t="s">
        <v>1305</v>
      </c>
      <c r="K1306" s="9" t="s">
        <v>1306</v>
      </c>
      <c r="L1306" s="83">
        <v>45200</v>
      </c>
      <c r="M1306" s="83">
        <v>45230</v>
      </c>
    </row>
    <row r="1307" spans="1:13" ht="18.75" customHeight="1" x14ac:dyDescent="0.25">
      <c r="A1307" s="9" t="s">
        <v>8</v>
      </c>
      <c r="B1307" s="81">
        <v>121850</v>
      </c>
      <c r="C1307" s="81">
        <v>10757</v>
      </c>
      <c r="D1307" s="9" t="s">
        <v>1623</v>
      </c>
      <c r="E1307" s="81">
        <v>14563151</v>
      </c>
      <c r="F1307" s="81">
        <v>54719</v>
      </c>
      <c r="G1307" s="81">
        <v>25</v>
      </c>
      <c r="H1307" s="82">
        <v>26.3</v>
      </c>
      <c r="I1307" s="251">
        <v>657.5</v>
      </c>
      <c r="J1307" s="9" t="s">
        <v>1305</v>
      </c>
      <c r="K1307" s="9" t="s">
        <v>1306</v>
      </c>
      <c r="L1307" s="83">
        <v>45200</v>
      </c>
      <c r="M1307" s="83">
        <v>45230</v>
      </c>
    </row>
    <row r="1308" spans="1:13" ht="18.75" customHeight="1" x14ac:dyDescent="0.25">
      <c r="A1308" s="9" t="s">
        <v>10</v>
      </c>
      <c r="B1308" s="81">
        <v>117406</v>
      </c>
      <c r="C1308" s="81">
        <v>10750</v>
      </c>
      <c r="D1308" s="9" t="s">
        <v>1268</v>
      </c>
      <c r="E1308" s="81">
        <v>14563151</v>
      </c>
      <c r="F1308" s="81">
        <v>44515</v>
      </c>
      <c r="G1308" s="81">
        <v>25</v>
      </c>
      <c r="H1308" s="82">
        <v>26.3</v>
      </c>
      <c r="I1308" s="251">
        <v>657.5</v>
      </c>
      <c r="J1308" s="9" t="s">
        <v>1305</v>
      </c>
      <c r="K1308" s="9" t="s">
        <v>1309</v>
      </c>
      <c r="L1308" s="83">
        <v>45200</v>
      </c>
      <c r="M1308" s="83">
        <v>45230</v>
      </c>
    </row>
    <row r="1309" spans="1:13" ht="18.75" customHeight="1" x14ac:dyDescent="0.25">
      <c r="A1309" s="9" t="s">
        <v>1578</v>
      </c>
      <c r="B1309" s="81">
        <v>113016</v>
      </c>
      <c r="C1309" s="81">
        <v>10745</v>
      </c>
      <c r="D1309" s="9" t="s">
        <v>544</v>
      </c>
      <c r="E1309" s="81">
        <v>14563151</v>
      </c>
      <c r="F1309" s="81">
        <v>30467</v>
      </c>
      <c r="G1309" s="81">
        <v>25</v>
      </c>
      <c r="H1309" s="82">
        <v>26.3</v>
      </c>
      <c r="I1309" s="251">
        <v>657.5</v>
      </c>
      <c r="J1309" s="9" t="s">
        <v>1305</v>
      </c>
      <c r="K1309" s="9" t="s">
        <v>1306</v>
      </c>
      <c r="L1309" s="83">
        <v>45200</v>
      </c>
      <c r="M1309" s="83">
        <v>45230</v>
      </c>
    </row>
    <row r="1310" spans="1:13" ht="18.75" customHeight="1" x14ac:dyDescent="0.25">
      <c r="A1310" s="9" t="s">
        <v>1578</v>
      </c>
      <c r="B1310" s="81">
        <v>113030</v>
      </c>
      <c r="C1310" s="81">
        <v>10768</v>
      </c>
      <c r="D1310" s="9" t="s">
        <v>550</v>
      </c>
      <c r="E1310" s="81">
        <v>14563151</v>
      </c>
      <c r="F1310" s="81">
        <v>30495</v>
      </c>
      <c r="G1310" s="81">
        <v>25</v>
      </c>
      <c r="H1310" s="82">
        <v>26.3</v>
      </c>
      <c r="I1310" s="251">
        <v>657.5</v>
      </c>
      <c r="J1310" s="9" t="s">
        <v>1305</v>
      </c>
      <c r="K1310" s="9" t="s">
        <v>1306</v>
      </c>
      <c r="L1310" s="83">
        <v>45200</v>
      </c>
      <c r="M1310" s="83">
        <v>45230</v>
      </c>
    </row>
    <row r="1311" spans="1:13" ht="18.75" customHeight="1" x14ac:dyDescent="0.25">
      <c r="A1311" s="9" t="s">
        <v>8</v>
      </c>
      <c r="B1311" s="81">
        <v>116988</v>
      </c>
      <c r="C1311" s="81">
        <v>10766</v>
      </c>
      <c r="D1311" s="9" t="s">
        <v>1245</v>
      </c>
      <c r="E1311" s="81">
        <v>14563151</v>
      </c>
      <c r="F1311" s="81">
        <v>43488</v>
      </c>
      <c r="G1311" s="81">
        <v>25</v>
      </c>
      <c r="H1311" s="82">
        <v>26.3</v>
      </c>
      <c r="I1311" s="251">
        <v>657.5</v>
      </c>
      <c r="J1311" s="9" t="s">
        <v>1305</v>
      </c>
      <c r="K1311" s="9" t="s">
        <v>1306</v>
      </c>
      <c r="L1311" s="83">
        <v>45200</v>
      </c>
      <c r="M1311" s="83">
        <v>45230</v>
      </c>
    </row>
    <row r="1312" spans="1:13" ht="18.75" customHeight="1" x14ac:dyDescent="0.25">
      <c r="A1312" s="9" t="s">
        <v>1580</v>
      </c>
      <c r="B1312" s="81">
        <v>121951</v>
      </c>
      <c r="C1312" s="81">
        <v>10775</v>
      </c>
      <c r="D1312" s="9" t="s">
        <v>1617</v>
      </c>
      <c r="E1312" s="81">
        <v>14563151</v>
      </c>
      <c r="F1312" s="81">
        <v>55027</v>
      </c>
      <c r="G1312" s="81">
        <v>25</v>
      </c>
      <c r="H1312" s="82">
        <v>26.3</v>
      </c>
      <c r="I1312" s="251">
        <v>657.5</v>
      </c>
      <c r="J1312" s="9" t="s">
        <v>1305</v>
      </c>
      <c r="K1312" s="9" t="s">
        <v>1309</v>
      </c>
      <c r="L1312" s="83">
        <v>45200</v>
      </c>
      <c r="M1312" s="83">
        <v>45230</v>
      </c>
    </row>
    <row r="1313" spans="1:13" ht="18.75" customHeight="1" x14ac:dyDescent="0.25">
      <c r="A1313" s="9" t="s">
        <v>1578</v>
      </c>
      <c r="B1313" s="81">
        <v>116109</v>
      </c>
      <c r="C1313" s="81">
        <v>10763</v>
      </c>
      <c r="D1313" s="9" t="s">
        <v>1182</v>
      </c>
      <c r="E1313" s="81">
        <v>14563151</v>
      </c>
      <c r="F1313" s="81">
        <v>41156</v>
      </c>
      <c r="G1313" s="81">
        <v>25</v>
      </c>
      <c r="H1313" s="82">
        <v>26.3</v>
      </c>
      <c r="I1313" s="251">
        <v>657.5</v>
      </c>
      <c r="J1313" s="9" t="s">
        <v>1305</v>
      </c>
      <c r="K1313" s="9" t="s">
        <v>1306</v>
      </c>
      <c r="L1313" s="83">
        <v>45200</v>
      </c>
      <c r="M1313" s="83">
        <v>45230</v>
      </c>
    </row>
    <row r="1314" spans="1:13" ht="18.75" customHeight="1" x14ac:dyDescent="0.25">
      <c r="A1314" s="9" t="s">
        <v>0</v>
      </c>
      <c r="B1314" s="81">
        <v>114262</v>
      </c>
      <c r="C1314" s="81">
        <v>10760</v>
      </c>
      <c r="D1314" s="9" t="s">
        <v>1024</v>
      </c>
      <c r="E1314" s="81">
        <v>14563151</v>
      </c>
      <c r="F1314" s="81">
        <v>35804</v>
      </c>
      <c r="G1314" s="81">
        <v>25</v>
      </c>
      <c r="H1314" s="82">
        <v>26.3</v>
      </c>
      <c r="I1314" s="251">
        <v>657.5</v>
      </c>
      <c r="J1314" s="9" t="s">
        <v>1305</v>
      </c>
      <c r="K1314" s="9" t="s">
        <v>1306</v>
      </c>
      <c r="L1314" s="83">
        <v>45200</v>
      </c>
      <c r="M1314" s="83">
        <v>45230</v>
      </c>
    </row>
    <row r="1315" spans="1:13" ht="18.75" customHeight="1" x14ac:dyDescent="0.25">
      <c r="A1315" s="9" t="s">
        <v>19</v>
      </c>
      <c r="B1315" s="81">
        <v>116384</v>
      </c>
      <c r="C1315" s="81">
        <v>10761</v>
      </c>
      <c r="D1315" s="9" t="s">
        <v>1208</v>
      </c>
      <c r="E1315" s="81">
        <v>14563151</v>
      </c>
      <c r="F1315" s="81">
        <v>42039</v>
      </c>
      <c r="G1315" s="81">
        <v>25</v>
      </c>
      <c r="H1315" s="82">
        <v>26.3</v>
      </c>
      <c r="I1315" s="251">
        <v>657.5</v>
      </c>
      <c r="J1315" s="9" t="s">
        <v>1305</v>
      </c>
      <c r="K1315" s="9" t="s">
        <v>1306</v>
      </c>
      <c r="L1315" s="83">
        <v>45200</v>
      </c>
      <c r="M1315" s="83">
        <v>45230</v>
      </c>
    </row>
    <row r="1316" spans="1:13" ht="18.75" customHeight="1" x14ac:dyDescent="0.25">
      <c r="A1316" s="9" t="s">
        <v>8</v>
      </c>
      <c r="B1316" s="81">
        <v>112483</v>
      </c>
      <c r="C1316" s="81">
        <v>10756</v>
      </c>
      <c r="D1316" s="9" t="s">
        <v>208</v>
      </c>
      <c r="E1316" s="81">
        <v>14563151</v>
      </c>
      <c r="F1316" s="81">
        <v>29401</v>
      </c>
      <c r="G1316" s="81">
        <v>25</v>
      </c>
      <c r="H1316" s="82">
        <v>26.3</v>
      </c>
      <c r="I1316" s="251">
        <v>657.5</v>
      </c>
      <c r="J1316" s="9" t="s">
        <v>1305</v>
      </c>
      <c r="K1316" s="9" t="s">
        <v>1306</v>
      </c>
      <c r="L1316" s="83">
        <v>45200</v>
      </c>
      <c r="M1316" s="83">
        <v>45230</v>
      </c>
    </row>
    <row r="1317" spans="1:13" ht="18.75" customHeight="1" x14ac:dyDescent="0.25">
      <c r="A1317" s="9" t="s">
        <v>8</v>
      </c>
      <c r="B1317" s="81">
        <v>112485</v>
      </c>
      <c r="C1317" s="81">
        <v>10750</v>
      </c>
      <c r="D1317" s="9" t="s">
        <v>209</v>
      </c>
      <c r="E1317" s="81">
        <v>14563151</v>
      </c>
      <c r="F1317" s="81">
        <v>29405</v>
      </c>
      <c r="G1317" s="81">
        <v>24</v>
      </c>
      <c r="H1317" s="82">
        <v>26.3</v>
      </c>
      <c r="I1317" s="251">
        <v>631.20000000000005</v>
      </c>
      <c r="J1317" s="9" t="s">
        <v>1305</v>
      </c>
      <c r="K1317" s="9" t="s">
        <v>1306</v>
      </c>
      <c r="L1317" s="83">
        <v>45200</v>
      </c>
      <c r="M1317" s="83">
        <v>45230</v>
      </c>
    </row>
    <row r="1318" spans="1:13" ht="18.75" customHeight="1" x14ac:dyDescent="0.25">
      <c r="A1318" s="9" t="s">
        <v>1578</v>
      </c>
      <c r="B1318" s="81">
        <v>112733</v>
      </c>
      <c r="C1318" s="81">
        <v>10766</v>
      </c>
      <c r="D1318" s="9" t="s">
        <v>372</v>
      </c>
      <c r="E1318" s="81">
        <v>14563151</v>
      </c>
      <c r="F1318" s="81">
        <v>29901</v>
      </c>
      <c r="G1318" s="81">
        <v>25</v>
      </c>
      <c r="H1318" s="82">
        <v>26.3</v>
      </c>
      <c r="I1318" s="251">
        <v>657.5</v>
      </c>
      <c r="J1318" s="9" t="s">
        <v>1305</v>
      </c>
      <c r="K1318" s="9" t="s">
        <v>1306</v>
      </c>
      <c r="L1318" s="83">
        <v>45200</v>
      </c>
      <c r="M1318" s="83">
        <v>45230</v>
      </c>
    </row>
    <row r="1319" spans="1:13" ht="18.75" customHeight="1" x14ac:dyDescent="0.25">
      <c r="A1319" s="9" t="s">
        <v>32</v>
      </c>
      <c r="B1319" s="81">
        <v>121847</v>
      </c>
      <c r="C1319" s="81">
        <v>10757</v>
      </c>
      <c r="D1319" s="9" t="s">
        <v>1618</v>
      </c>
      <c r="E1319" s="81">
        <v>14563151</v>
      </c>
      <c r="F1319" s="81">
        <v>55061</v>
      </c>
      <c r="G1319" s="81">
        <v>25</v>
      </c>
      <c r="H1319" s="82">
        <v>26.3</v>
      </c>
      <c r="I1319" s="251">
        <v>657.5</v>
      </c>
      <c r="J1319" s="9" t="s">
        <v>1305</v>
      </c>
      <c r="K1319" s="9" t="s">
        <v>1306</v>
      </c>
      <c r="L1319" s="83">
        <v>45200</v>
      </c>
      <c r="M1319" s="83">
        <v>45230</v>
      </c>
    </row>
    <row r="1320" spans="1:13" ht="18.75" customHeight="1" x14ac:dyDescent="0.25">
      <c r="A1320" s="9" t="s">
        <v>19</v>
      </c>
      <c r="B1320" s="81">
        <v>121460</v>
      </c>
      <c r="C1320" s="81">
        <v>10755</v>
      </c>
      <c r="D1320" s="9" t="s">
        <v>1570</v>
      </c>
      <c r="E1320" s="81">
        <v>14563151</v>
      </c>
      <c r="F1320" s="81">
        <v>53801</v>
      </c>
      <c r="G1320" s="81">
        <v>24</v>
      </c>
      <c r="H1320" s="82">
        <v>26.3</v>
      </c>
      <c r="I1320" s="251">
        <v>631.20000000000005</v>
      </c>
      <c r="J1320" s="9" t="s">
        <v>1305</v>
      </c>
      <c r="K1320" s="9" t="s">
        <v>1306</v>
      </c>
      <c r="L1320" s="83">
        <v>45200</v>
      </c>
      <c r="M1320" s="83">
        <v>45230</v>
      </c>
    </row>
    <row r="1321" spans="1:13" ht="18.75" customHeight="1" x14ac:dyDescent="0.25">
      <c r="A1321" s="9" t="s">
        <v>32</v>
      </c>
      <c r="B1321" s="81">
        <v>112489</v>
      </c>
      <c r="C1321" s="81">
        <v>10750</v>
      </c>
      <c r="D1321" s="9" t="s">
        <v>1542</v>
      </c>
      <c r="E1321" s="81">
        <v>14563151</v>
      </c>
      <c r="F1321" s="81">
        <v>29413</v>
      </c>
      <c r="G1321" s="81">
        <v>25</v>
      </c>
      <c r="H1321" s="82">
        <v>26.3</v>
      </c>
      <c r="I1321" s="251">
        <v>657.5</v>
      </c>
      <c r="J1321" s="9" t="s">
        <v>1305</v>
      </c>
      <c r="K1321" s="9" t="s">
        <v>1306</v>
      </c>
      <c r="L1321" s="83">
        <v>45200</v>
      </c>
      <c r="M1321" s="83">
        <v>45230</v>
      </c>
    </row>
    <row r="1322" spans="1:13" ht="18.75" customHeight="1" x14ac:dyDescent="0.25">
      <c r="A1322" s="9" t="s">
        <v>19</v>
      </c>
      <c r="B1322" s="81">
        <v>112235</v>
      </c>
      <c r="C1322" s="81">
        <v>10757</v>
      </c>
      <c r="D1322" s="9" t="s">
        <v>54</v>
      </c>
      <c r="E1322" s="81">
        <v>14563151</v>
      </c>
      <c r="F1322" s="81">
        <v>28905</v>
      </c>
      <c r="G1322" s="81">
        <v>25</v>
      </c>
      <c r="H1322" s="82">
        <v>26.3</v>
      </c>
      <c r="I1322" s="251">
        <v>657.5</v>
      </c>
      <c r="J1322" s="9" t="s">
        <v>1305</v>
      </c>
      <c r="K1322" s="9" t="s">
        <v>1306</v>
      </c>
      <c r="L1322" s="83">
        <v>45200</v>
      </c>
      <c r="M1322" s="83">
        <v>45230</v>
      </c>
    </row>
    <row r="1323" spans="1:13" ht="18.75" customHeight="1" x14ac:dyDescent="0.25">
      <c r="A1323" s="9" t="s">
        <v>0</v>
      </c>
      <c r="B1323" s="81">
        <v>112322</v>
      </c>
      <c r="C1323" s="81">
        <v>10756</v>
      </c>
      <c r="D1323" s="9" t="s">
        <v>106</v>
      </c>
      <c r="E1323" s="81">
        <v>14563151</v>
      </c>
      <c r="F1323" s="81">
        <v>29079</v>
      </c>
      <c r="G1323" s="81">
        <v>25</v>
      </c>
      <c r="H1323" s="82">
        <v>26.3</v>
      </c>
      <c r="I1323" s="251">
        <v>657.5</v>
      </c>
      <c r="J1323" s="9" t="s">
        <v>1305</v>
      </c>
      <c r="K1323" s="9" t="s">
        <v>1306</v>
      </c>
      <c r="L1323" s="83">
        <v>45200</v>
      </c>
      <c r="M1323" s="83">
        <v>45230</v>
      </c>
    </row>
    <row r="1324" spans="1:13" ht="18.75" customHeight="1" x14ac:dyDescent="0.25">
      <c r="A1324" s="9" t="s">
        <v>19</v>
      </c>
      <c r="B1324" s="81">
        <v>112237</v>
      </c>
      <c r="C1324" s="81">
        <v>10758</v>
      </c>
      <c r="D1324" s="9" t="s">
        <v>56</v>
      </c>
      <c r="E1324" s="81">
        <v>14563151</v>
      </c>
      <c r="F1324" s="81">
        <v>28909</v>
      </c>
      <c r="G1324" s="81">
        <v>25</v>
      </c>
      <c r="H1324" s="82">
        <v>26.3</v>
      </c>
      <c r="I1324" s="251">
        <v>657.5</v>
      </c>
      <c r="J1324" s="9" t="s">
        <v>1305</v>
      </c>
      <c r="K1324" s="9" t="s">
        <v>1306</v>
      </c>
      <c r="L1324" s="83">
        <v>45200</v>
      </c>
      <c r="M1324" s="83">
        <v>45230</v>
      </c>
    </row>
    <row r="1325" spans="1:13" ht="18.75" customHeight="1" x14ac:dyDescent="0.25">
      <c r="A1325" s="9" t="s">
        <v>1578</v>
      </c>
      <c r="B1325" s="81">
        <v>112759</v>
      </c>
      <c r="C1325" s="81">
        <v>10757</v>
      </c>
      <c r="D1325" s="9" t="s">
        <v>387</v>
      </c>
      <c r="E1325" s="81">
        <v>14563151</v>
      </c>
      <c r="F1325" s="81">
        <v>29953</v>
      </c>
      <c r="G1325" s="81">
        <v>25</v>
      </c>
      <c r="H1325" s="82">
        <v>26.3</v>
      </c>
      <c r="I1325" s="251">
        <v>657.5</v>
      </c>
      <c r="J1325" s="9" t="s">
        <v>1305</v>
      </c>
      <c r="K1325" s="9" t="s">
        <v>1306</v>
      </c>
      <c r="L1325" s="83">
        <v>45200</v>
      </c>
      <c r="M1325" s="83">
        <v>45230</v>
      </c>
    </row>
    <row r="1326" spans="1:13" ht="18.75" customHeight="1" x14ac:dyDescent="0.25">
      <c r="A1326" s="9" t="s">
        <v>10</v>
      </c>
      <c r="B1326" s="81">
        <v>112329</v>
      </c>
      <c r="C1326" s="81">
        <v>10760</v>
      </c>
      <c r="D1326" s="9" t="s">
        <v>111</v>
      </c>
      <c r="E1326" s="81">
        <v>14563151</v>
      </c>
      <c r="F1326" s="81">
        <v>29093</v>
      </c>
      <c r="G1326" s="81">
        <v>25</v>
      </c>
      <c r="H1326" s="82">
        <v>26.3</v>
      </c>
      <c r="I1326" s="251">
        <v>657.5</v>
      </c>
      <c r="J1326" s="9" t="s">
        <v>1305</v>
      </c>
      <c r="K1326" s="9" t="s">
        <v>1306</v>
      </c>
      <c r="L1326" s="83">
        <v>45200</v>
      </c>
      <c r="M1326" s="83">
        <v>45230</v>
      </c>
    </row>
    <row r="1327" spans="1:13" ht="18.75" customHeight="1" x14ac:dyDescent="0.25">
      <c r="A1327" s="9" t="s">
        <v>1578</v>
      </c>
      <c r="B1327" s="81">
        <v>114127</v>
      </c>
      <c r="C1327" s="81">
        <v>10757</v>
      </c>
      <c r="D1327" s="9" t="s">
        <v>1013</v>
      </c>
      <c r="E1327" s="81">
        <v>14563151</v>
      </c>
      <c r="F1327" s="81">
        <v>34407</v>
      </c>
      <c r="G1327" s="81">
        <v>25</v>
      </c>
      <c r="H1327" s="82">
        <v>26.3</v>
      </c>
      <c r="I1327" s="251">
        <v>657.5</v>
      </c>
      <c r="J1327" s="9" t="s">
        <v>1305</v>
      </c>
      <c r="K1327" s="9" t="s">
        <v>1306</v>
      </c>
      <c r="L1327" s="83">
        <v>45200</v>
      </c>
      <c r="M1327" s="83">
        <v>45230</v>
      </c>
    </row>
    <row r="1328" spans="1:13" ht="18.75" customHeight="1" x14ac:dyDescent="0.25">
      <c r="A1328" s="9" t="s">
        <v>0</v>
      </c>
      <c r="B1328" s="81">
        <v>122836</v>
      </c>
      <c r="C1328" s="81">
        <v>10757</v>
      </c>
      <c r="D1328" s="9" t="s">
        <v>1729</v>
      </c>
      <c r="E1328" s="81">
        <v>14563151</v>
      </c>
      <c r="F1328" s="81">
        <v>57238</v>
      </c>
      <c r="G1328" s="81">
        <v>25</v>
      </c>
      <c r="H1328" s="82">
        <v>26.3</v>
      </c>
      <c r="I1328" s="251">
        <v>657.5</v>
      </c>
      <c r="J1328" s="9" t="s">
        <v>1305</v>
      </c>
      <c r="K1328" s="9" t="s">
        <v>1306</v>
      </c>
      <c r="L1328" s="83">
        <v>45200</v>
      </c>
      <c r="M1328" s="83">
        <v>45230</v>
      </c>
    </row>
    <row r="1329" spans="1:13" ht="18.75" customHeight="1" x14ac:dyDescent="0.25">
      <c r="A1329" s="9" t="s">
        <v>1578</v>
      </c>
      <c r="B1329" s="81">
        <v>114939</v>
      </c>
      <c r="C1329" s="81">
        <v>10763</v>
      </c>
      <c r="D1329" s="9" t="s">
        <v>1119</v>
      </c>
      <c r="E1329" s="81">
        <v>14563151</v>
      </c>
      <c r="F1329" s="81">
        <v>37657</v>
      </c>
      <c r="G1329" s="81">
        <v>25</v>
      </c>
      <c r="H1329" s="82">
        <v>26.3</v>
      </c>
      <c r="I1329" s="251">
        <v>657.5</v>
      </c>
      <c r="J1329" s="9" t="s">
        <v>1305</v>
      </c>
      <c r="K1329" s="9" t="s">
        <v>1306</v>
      </c>
      <c r="L1329" s="83">
        <v>45200</v>
      </c>
      <c r="M1329" s="83">
        <v>45230</v>
      </c>
    </row>
    <row r="1330" spans="1:13" ht="18.75" customHeight="1" x14ac:dyDescent="0.25">
      <c r="A1330" s="9" t="s">
        <v>1578</v>
      </c>
      <c r="B1330" s="81">
        <v>113034</v>
      </c>
      <c r="C1330" s="81">
        <v>10745</v>
      </c>
      <c r="D1330" s="9" t="s">
        <v>1383</v>
      </c>
      <c r="E1330" s="81">
        <v>14563151</v>
      </c>
      <c r="F1330" s="81">
        <v>30503</v>
      </c>
      <c r="G1330" s="81">
        <v>25</v>
      </c>
      <c r="H1330" s="82">
        <v>26.3</v>
      </c>
      <c r="I1330" s="251">
        <v>657.5</v>
      </c>
      <c r="J1330" s="9" t="s">
        <v>1305</v>
      </c>
      <c r="K1330" s="9" t="s">
        <v>1306</v>
      </c>
      <c r="L1330" s="83">
        <v>45200</v>
      </c>
      <c r="M1330" s="83">
        <v>45230</v>
      </c>
    </row>
    <row r="1331" spans="1:13" ht="18.75" customHeight="1" x14ac:dyDescent="0.25">
      <c r="A1331" s="9" t="s">
        <v>8</v>
      </c>
      <c r="B1331" s="81">
        <v>112498</v>
      </c>
      <c r="C1331" s="81">
        <v>10754</v>
      </c>
      <c r="D1331" s="9" t="s">
        <v>217</v>
      </c>
      <c r="E1331" s="81">
        <v>14563151</v>
      </c>
      <c r="F1331" s="81">
        <v>29431</v>
      </c>
      <c r="G1331" s="81">
        <v>25</v>
      </c>
      <c r="H1331" s="82">
        <v>26.3</v>
      </c>
      <c r="I1331" s="251">
        <v>657.5</v>
      </c>
      <c r="J1331" s="9" t="s">
        <v>1305</v>
      </c>
      <c r="K1331" s="9" t="s">
        <v>1306</v>
      </c>
      <c r="L1331" s="83">
        <v>45200</v>
      </c>
      <c r="M1331" s="83">
        <v>45230</v>
      </c>
    </row>
    <row r="1332" spans="1:13" ht="18.75" customHeight="1" x14ac:dyDescent="0.25">
      <c r="A1332" s="9" t="s">
        <v>0</v>
      </c>
      <c r="B1332" s="81">
        <v>112776</v>
      </c>
      <c r="C1332" s="81">
        <v>10750</v>
      </c>
      <c r="D1332" s="9" t="s">
        <v>400</v>
      </c>
      <c r="E1332" s="81">
        <v>14563151</v>
      </c>
      <c r="F1332" s="81">
        <v>29987</v>
      </c>
      <c r="G1332" s="81">
        <v>25</v>
      </c>
      <c r="H1332" s="82">
        <v>26.3</v>
      </c>
      <c r="I1332" s="251">
        <v>657.5</v>
      </c>
      <c r="J1332" s="9" t="s">
        <v>1305</v>
      </c>
      <c r="K1332" s="9" t="s">
        <v>1306</v>
      </c>
      <c r="L1332" s="83">
        <v>45200</v>
      </c>
      <c r="M1332" s="83">
        <v>45230</v>
      </c>
    </row>
    <row r="1333" spans="1:13" ht="18.75" customHeight="1" x14ac:dyDescent="0.25">
      <c r="A1333" s="9" t="s">
        <v>8</v>
      </c>
      <c r="B1333" s="81">
        <v>112504</v>
      </c>
      <c r="C1333" s="81">
        <v>10750</v>
      </c>
      <c r="D1333" s="9" t="s">
        <v>222</v>
      </c>
      <c r="E1333" s="81">
        <v>14563151</v>
      </c>
      <c r="F1333" s="81">
        <v>29443</v>
      </c>
      <c r="G1333" s="81">
        <v>25</v>
      </c>
      <c r="H1333" s="82">
        <v>26.3</v>
      </c>
      <c r="I1333" s="251">
        <v>657.5</v>
      </c>
      <c r="J1333" s="9" t="s">
        <v>1305</v>
      </c>
      <c r="K1333" s="9" t="s">
        <v>1306</v>
      </c>
      <c r="L1333" s="83">
        <v>45200</v>
      </c>
      <c r="M1333" s="83">
        <v>45230</v>
      </c>
    </row>
    <row r="1334" spans="1:13" ht="18.75" customHeight="1" x14ac:dyDescent="0.25">
      <c r="A1334" s="9" t="s">
        <v>8</v>
      </c>
      <c r="B1334" s="81">
        <v>112507</v>
      </c>
      <c r="C1334" s="81">
        <v>10750</v>
      </c>
      <c r="D1334" s="9" t="s">
        <v>225</v>
      </c>
      <c r="E1334" s="81">
        <v>14563151</v>
      </c>
      <c r="F1334" s="81">
        <v>29449</v>
      </c>
      <c r="G1334" s="81">
        <v>25</v>
      </c>
      <c r="H1334" s="82">
        <v>26.3</v>
      </c>
      <c r="I1334" s="251">
        <v>657.5</v>
      </c>
      <c r="J1334" s="9" t="s">
        <v>1305</v>
      </c>
      <c r="K1334" s="9" t="s">
        <v>1306</v>
      </c>
      <c r="L1334" s="83">
        <v>45200</v>
      </c>
      <c r="M1334" s="83">
        <v>45230</v>
      </c>
    </row>
    <row r="1335" spans="1:13" ht="18.75" customHeight="1" x14ac:dyDescent="0.25">
      <c r="A1335" s="9" t="s">
        <v>0</v>
      </c>
      <c r="B1335" s="81">
        <v>114751</v>
      </c>
      <c r="C1335" s="81">
        <v>10751</v>
      </c>
      <c r="D1335" s="9" t="s">
        <v>1091</v>
      </c>
      <c r="E1335" s="81">
        <v>14563151</v>
      </c>
      <c r="F1335" s="81">
        <v>36951</v>
      </c>
      <c r="G1335" s="81">
        <v>25</v>
      </c>
      <c r="H1335" s="82">
        <v>26.3</v>
      </c>
      <c r="I1335" s="251">
        <v>657.5</v>
      </c>
      <c r="J1335" s="9" t="s">
        <v>1305</v>
      </c>
      <c r="K1335" s="9" t="s">
        <v>1306</v>
      </c>
      <c r="L1335" s="83">
        <v>45200</v>
      </c>
      <c r="M1335" s="83">
        <v>45230</v>
      </c>
    </row>
    <row r="1336" spans="1:13" ht="18.75" customHeight="1" x14ac:dyDescent="0.25">
      <c r="A1336" s="9" t="s">
        <v>10</v>
      </c>
      <c r="B1336" s="81">
        <v>112331</v>
      </c>
      <c r="C1336" s="81">
        <v>10750</v>
      </c>
      <c r="D1336" s="9" t="s">
        <v>113</v>
      </c>
      <c r="E1336" s="81">
        <v>14563151</v>
      </c>
      <c r="F1336" s="81">
        <v>29097</v>
      </c>
      <c r="G1336" s="81">
        <v>25</v>
      </c>
      <c r="H1336" s="82">
        <v>26.3</v>
      </c>
      <c r="I1336" s="251">
        <v>657.5</v>
      </c>
      <c r="J1336" s="9" t="s">
        <v>1305</v>
      </c>
      <c r="K1336" s="9" t="s">
        <v>1306</v>
      </c>
      <c r="L1336" s="83">
        <v>45200</v>
      </c>
      <c r="M1336" s="83">
        <v>45230</v>
      </c>
    </row>
    <row r="1337" spans="1:13" ht="18.75" customHeight="1" x14ac:dyDescent="0.25">
      <c r="A1337" s="9" t="s">
        <v>8</v>
      </c>
      <c r="B1337" s="81">
        <v>112512</v>
      </c>
      <c r="C1337" s="81">
        <v>10755</v>
      </c>
      <c r="D1337" s="9" t="s">
        <v>229</v>
      </c>
      <c r="E1337" s="81">
        <v>14563151</v>
      </c>
      <c r="F1337" s="81">
        <v>29459</v>
      </c>
      <c r="G1337" s="81">
        <v>25</v>
      </c>
      <c r="H1337" s="82">
        <v>26.3</v>
      </c>
      <c r="I1337" s="251">
        <v>657.5</v>
      </c>
      <c r="J1337" s="9" t="s">
        <v>1305</v>
      </c>
      <c r="K1337" s="9" t="s">
        <v>1306</v>
      </c>
      <c r="L1337" s="83">
        <v>45200</v>
      </c>
      <c r="M1337" s="83">
        <v>45230</v>
      </c>
    </row>
    <row r="1338" spans="1:13" ht="18.75" customHeight="1" x14ac:dyDescent="0.25">
      <c r="A1338" s="9" t="s">
        <v>1578</v>
      </c>
      <c r="B1338" s="81">
        <v>112779</v>
      </c>
      <c r="C1338" s="81">
        <v>10757</v>
      </c>
      <c r="D1338" s="9" t="s">
        <v>402</v>
      </c>
      <c r="E1338" s="81">
        <v>14563151</v>
      </c>
      <c r="F1338" s="81">
        <v>29993</v>
      </c>
      <c r="G1338" s="81">
        <v>25</v>
      </c>
      <c r="H1338" s="82">
        <v>26.3</v>
      </c>
      <c r="I1338" s="251">
        <v>657.5</v>
      </c>
      <c r="J1338" s="9" t="s">
        <v>1305</v>
      </c>
      <c r="K1338" s="9" t="s">
        <v>1306</v>
      </c>
      <c r="L1338" s="83">
        <v>45200</v>
      </c>
      <c r="M1338" s="83">
        <v>45230</v>
      </c>
    </row>
    <row r="1339" spans="1:13" ht="18.75" customHeight="1" x14ac:dyDescent="0.25">
      <c r="A1339" s="9" t="s">
        <v>0</v>
      </c>
      <c r="B1339" s="81">
        <v>112782</v>
      </c>
      <c r="C1339" s="81">
        <v>10757</v>
      </c>
      <c r="D1339" s="9" t="s">
        <v>405</v>
      </c>
      <c r="E1339" s="81">
        <v>14563151</v>
      </c>
      <c r="F1339" s="81">
        <v>29999</v>
      </c>
      <c r="G1339" s="81">
        <v>25</v>
      </c>
      <c r="H1339" s="82">
        <v>26.3</v>
      </c>
      <c r="I1339" s="251">
        <v>657.5</v>
      </c>
      <c r="J1339" s="9" t="s">
        <v>1305</v>
      </c>
      <c r="K1339" s="9" t="s">
        <v>1306</v>
      </c>
      <c r="L1339" s="83">
        <v>45200</v>
      </c>
      <c r="M1339" s="83">
        <v>45230</v>
      </c>
    </row>
    <row r="1340" spans="1:13" ht="18.75" customHeight="1" x14ac:dyDescent="0.25">
      <c r="A1340" s="9" t="s">
        <v>0</v>
      </c>
      <c r="B1340" s="81">
        <v>112786</v>
      </c>
      <c r="C1340" s="81">
        <v>10763</v>
      </c>
      <c r="D1340" s="9" t="s">
        <v>408</v>
      </c>
      <c r="E1340" s="81">
        <v>14563151</v>
      </c>
      <c r="F1340" s="81">
        <v>30007</v>
      </c>
      <c r="G1340" s="81">
        <v>25</v>
      </c>
      <c r="H1340" s="82">
        <v>26.3</v>
      </c>
      <c r="I1340" s="251">
        <v>657.5</v>
      </c>
      <c r="J1340" s="9" t="s">
        <v>1305</v>
      </c>
      <c r="K1340" s="9" t="s">
        <v>1306</v>
      </c>
      <c r="L1340" s="83">
        <v>45200</v>
      </c>
      <c r="M1340" s="83">
        <v>45230</v>
      </c>
    </row>
    <row r="1341" spans="1:13" ht="18.75" customHeight="1" x14ac:dyDescent="0.25">
      <c r="A1341" s="9" t="s">
        <v>8</v>
      </c>
      <c r="B1341" s="81">
        <v>122828</v>
      </c>
      <c r="C1341" s="81">
        <v>10757</v>
      </c>
      <c r="D1341" s="9" t="s">
        <v>1730</v>
      </c>
      <c r="E1341" s="81">
        <v>14563151</v>
      </c>
      <c r="F1341" s="81">
        <v>57226</v>
      </c>
      <c r="G1341" s="81">
        <v>25</v>
      </c>
      <c r="H1341" s="82">
        <v>26.3</v>
      </c>
      <c r="I1341" s="251">
        <v>657.5</v>
      </c>
      <c r="J1341" s="9" t="s">
        <v>1305</v>
      </c>
      <c r="K1341" s="9" t="s">
        <v>1306</v>
      </c>
      <c r="L1341" s="83">
        <v>45200</v>
      </c>
      <c r="M1341" s="83">
        <v>45230</v>
      </c>
    </row>
    <row r="1342" spans="1:13" ht="18.75" customHeight="1" x14ac:dyDescent="0.25">
      <c r="A1342" s="9" t="s">
        <v>1578</v>
      </c>
      <c r="B1342" s="81">
        <v>116133</v>
      </c>
      <c r="C1342" s="81">
        <v>10743</v>
      </c>
      <c r="D1342" s="9" t="s">
        <v>1187</v>
      </c>
      <c r="E1342" s="81">
        <v>14563151</v>
      </c>
      <c r="F1342" s="81">
        <v>41269</v>
      </c>
      <c r="G1342" s="81">
        <v>25</v>
      </c>
      <c r="H1342" s="82">
        <v>26.3</v>
      </c>
      <c r="I1342" s="251">
        <v>657.5</v>
      </c>
      <c r="J1342" s="9" t="s">
        <v>1305</v>
      </c>
      <c r="K1342" s="9" t="s">
        <v>1306</v>
      </c>
      <c r="L1342" s="83">
        <v>45200</v>
      </c>
      <c r="M1342" s="83">
        <v>45230</v>
      </c>
    </row>
    <row r="1343" spans="1:13" ht="18.75" customHeight="1" x14ac:dyDescent="0.25">
      <c r="A1343" s="9" t="s">
        <v>10</v>
      </c>
      <c r="B1343" s="81">
        <v>112332</v>
      </c>
      <c r="C1343" s="81">
        <v>10750</v>
      </c>
      <c r="D1343" s="9" t="s">
        <v>114</v>
      </c>
      <c r="E1343" s="81">
        <v>14563151</v>
      </c>
      <c r="F1343" s="81">
        <v>29099</v>
      </c>
      <c r="G1343" s="81">
        <v>25</v>
      </c>
      <c r="H1343" s="82">
        <v>26.3</v>
      </c>
      <c r="I1343" s="251">
        <v>657.5</v>
      </c>
      <c r="J1343" s="9" t="s">
        <v>1305</v>
      </c>
      <c r="K1343" s="9" t="s">
        <v>1306</v>
      </c>
      <c r="L1343" s="83">
        <v>45200</v>
      </c>
      <c r="M1343" s="83">
        <v>45230</v>
      </c>
    </row>
    <row r="1344" spans="1:13" ht="18.75" customHeight="1" x14ac:dyDescent="0.25">
      <c r="A1344" s="9" t="s">
        <v>8</v>
      </c>
      <c r="B1344" s="81">
        <v>112566</v>
      </c>
      <c r="C1344" s="81">
        <v>10750</v>
      </c>
      <c r="D1344" s="9" t="s">
        <v>268</v>
      </c>
      <c r="E1344" s="81">
        <v>14563151</v>
      </c>
      <c r="F1344" s="81">
        <v>29567</v>
      </c>
      <c r="G1344" s="81">
        <v>25</v>
      </c>
      <c r="H1344" s="82">
        <v>26.3</v>
      </c>
      <c r="I1344" s="251">
        <v>657.5</v>
      </c>
      <c r="J1344" s="9" t="s">
        <v>1305</v>
      </c>
      <c r="K1344" s="9" t="s">
        <v>1306</v>
      </c>
      <c r="L1344" s="83">
        <v>45200</v>
      </c>
      <c r="M1344" s="83">
        <v>45230</v>
      </c>
    </row>
    <row r="1345" spans="1:13" ht="18.75" customHeight="1" x14ac:dyDescent="0.25">
      <c r="A1345" s="9" t="s">
        <v>8</v>
      </c>
      <c r="B1345" s="81">
        <v>112569</v>
      </c>
      <c r="C1345" s="81">
        <v>10750</v>
      </c>
      <c r="D1345" s="9" t="s">
        <v>271</v>
      </c>
      <c r="E1345" s="81">
        <v>14563151</v>
      </c>
      <c r="F1345" s="81">
        <v>29573</v>
      </c>
      <c r="G1345" s="81">
        <v>25</v>
      </c>
      <c r="H1345" s="82">
        <v>26.3</v>
      </c>
      <c r="I1345" s="251">
        <v>657.5</v>
      </c>
      <c r="J1345" s="9" t="s">
        <v>1305</v>
      </c>
      <c r="K1345" s="9" t="s">
        <v>1306</v>
      </c>
      <c r="L1345" s="83">
        <v>45200</v>
      </c>
      <c r="M1345" s="83">
        <v>45230</v>
      </c>
    </row>
    <row r="1346" spans="1:13" ht="18.75" customHeight="1" x14ac:dyDescent="0.25">
      <c r="A1346" s="9" t="s">
        <v>1578</v>
      </c>
      <c r="B1346" s="81">
        <v>114124</v>
      </c>
      <c r="C1346" s="81">
        <v>10761</v>
      </c>
      <c r="D1346" s="9" t="s">
        <v>1011</v>
      </c>
      <c r="E1346" s="81">
        <v>14563151</v>
      </c>
      <c r="F1346" s="81">
        <v>34401</v>
      </c>
      <c r="G1346" s="81">
        <v>25</v>
      </c>
      <c r="H1346" s="82">
        <v>26.3</v>
      </c>
      <c r="I1346" s="251">
        <v>657.5</v>
      </c>
      <c r="J1346" s="9" t="s">
        <v>1305</v>
      </c>
      <c r="K1346" s="9" t="s">
        <v>1306</v>
      </c>
      <c r="L1346" s="83">
        <v>45200</v>
      </c>
      <c r="M1346" s="83">
        <v>45230</v>
      </c>
    </row>
    <row r="1347" spans="1:13" ht="18.75" customHeight="1" x14ac:dyDescent="0.25">
      <c r="A1347" s="9" t="s">
        <v>0</v>
      </c>
      <c r="B1347" s="81">
        <v>112814</v>
      </c>
      <c r="C1347" s="81">
        <v>10750</v>
      </c>
      <c r="D1347" s="9" t="s">
        <v>429</v>
      </c>
      <c r="E1347" s="81">
        <v>14563151</v>
      </c>
      <c r="F1347" s="81">
        <v>30063</v>
      </c>
      <c r="G1347" s="81">
        <v>25</v>
      </c>
      <c r="H1347" s="82">
        <v>26.3</v>
      </c>
      <c r="I1347" s="251">
        <v>657.5</v>
      </c>
      <c r="J1347" s="9" t="s">
        <v>1305</v>
      </c>
      <c r="K1347" s="9" t="s">
        <v>1306</v>
      </c>
      <c r="L1347" s="83">
        <v>45200</v>
      </c>
      <c r="M1347" s="83">
        <v>45230</v>
      </c>
    </row>
    <row r="1348" spans="1:13" ht="18.75" customHeight="1" x14ac:dyDescent="0.25">
      <c r="A1348" s="9" t="s">
        <v>32</v>
      </c>
      <c r="B1348" s="81">
        <v>112573</v>
      </c>
      <c r="C1348" s="81">
        <v>10757</v>
      </c>
      <c r="D1348" s="9" t="s">
        <v>272</v>
      </c>
      <c r="E1348" s="81">
        <v>14563151</v>
      </c>
      <c r="F1348" s="81">
        <v>29581</v>
      </c>
      <c r="G1348" s="81">
        <v>25</v>
      </c>
      <c r="H1348" s="82">
        <v>26.3</v>
      </c>
      <c r="I1348" s="251">
        <v>657.5</v>
      </c>
      <c r="J1348" s="9" t="s">
        <v>1305</v>
      </c>
      <c r="K1348" s="9" t="s">
        <v>1306</v>
      </c>
      <c r="L1348" s="83">
        <v>45200</v>
      </c>
      <c r="M1348" s="83">
        <v>45230</v>
      </c>
    </row>
    <row r="1349" spans="1:13" ht="18.75" customHeight="1" x14ac:dyDescent="0.25">
      <c r="A1349" s="9" t="s">
        <v>10</v>
      </c>
      <c r="B1349" s="81">
        <v>112242</v>
      </c>
      <c r="C1349" s="81">
        <v>10758</v>
      </c>
      <c r="D1349" s="9" t="s">
        <v>59</v>
      </c>
      <c r="E1349" s="81">
        <v>14563151</v>
      </c>
      <c r="F1349" s="81">
        <v>28919</v>
      </c>
      <c r="G1349" s="81">
        <v>25</v>
      </c>
      <c r="H1349" s="82">
        <v>26.3</v>
      </c>
      <c r="I1349" s="251">
        <v>657.5</v>
      </c>
      <c r="J1349" s="9" t="s">
        <v>1305</v>
      </c>
      <c r="K1349" s="9" t="s">
        <v>1306</v>
      </c>
      <c r="L1349" s="83">
        <v>45200</v>
      </c>
      <c r="M1349" s="83">
        <v>45230</v>
      </c>
    </row>
    <row r="1350" spans="1:13" ht="18.75" customHeight="1" x14ac:dyDescent="0.25">
      <c r="A1350" s="9" t="s">
        <v>1578</v>
      </c>
      <c r="B1350" s="81">
        <v>112795</v>
      </c>
      <c r="C1350" s="81">
        <v>10771</v>
      </c>
      <c r="D1350" s="9" t="s">
        <v>414</v>
      </c>
      <c r="E1350" s="81">
        <v>14563151</v>
      </c>
      <c r="F1350" s="81">
        <v>30025</v>
      </c>
      <c r="G1350" s="81">
        <v>25</v>
      </c>
      <c r="H1350" s="82">
        <v>26.3</v>
      </c>
      <c r="I1350" s="251">
        <v>657.5</v>
      </c>
      <c r="J1350" s="9" t="s">
        <v>1305</v>
      </c>
      <c r="K1350" s="9" t="s">
        <v>1306</v>
      </c>
      <c r="L1350" s="83">
        <v>45200</v>
      </c>
      <c r="M1350" s="83">
        <v>45230</v>
      </c>
    </row>
    <row r="1351" spans="1:13" ht="18.75" customHeight="1" x14ac:dyDescent="0.25">
      <c r="A1351" s="9" t="s">
        <v>8</v>
      </c>
      <c r="B1351" s="81">
        <v>112333</v>
      </c>
      <c r="C1351" s="81">
        <v>10750</v>
      </c>
      <c r="D1351" s="9" t="s">
        <v>115</v>
      </c>
      <c r="E1351" s="81">
        <v>14563151</v>
      </c>
      <c r="F1351" s="81">
        <v>29101</v>
      </c>
      <c r="G1351" s="81">
        <v>25</v>
      </c>
      <c r="H1351" s="82">
        <v>26.3</v>
      </c>
      <c r="I1351" s="251">
        <v>657.5</v>
      </c>
      <c r="J1351" s="9" t="s">
        <v>1305</v>
      </c>
      <c r="K1351" s="9" t="s">
        <v>1306</v>
      </c>
      <c r="L1351" s="83">
        <v>45200</v>
      </c>
      <c r="M1351" s="83">
        <v>45230</v>
      </c>
    </row>
    <row r="1352" spans="1:13" ht="18.75" customHeight="1" x14ac:dyDescent="0.25">
      <c r="A1352" s="9" t="s">
        <v>1578</v>
      </c>
      <c r="B1352" s="81">
        <v>116111</v>
      </c>
      <c r="C1352" s="81">
        <v>10768</v>
      </c>
      <c r="D1352" s="9" t="s">
        <v>1184</v>
      </c>
      <c r="E1352" s="81">
        <v>14563151</v>
      </c>
      <c r="F1352" s="81">
        <v>41160</v>
      </c>
      <c r="G1352" s="81">
        <v>25</v>
      </c>
      <c r="H1352" s="82">
        <v>26.3</v>
      </c>
      <c r="I1352" s="251">
        <v>657.5</v>
      </c>
      <c r="J1352" s="9" t="s">
        <v>1305</v>
      </c>
      <c r="K1352" s="9" t="s">
        <v>1306</v>
      </c>
      <c r="L1352" s="83">
        <v>45200</v>
      </c>
      <c r="M1352" s="83">
        <v>45230</v>
      </c>
    </row>
    <row r="1353" spans="1:13" ht="18.75" customHeight="1" x14ac:dyDescent="0.25">
      <c r="A1353" s="9" t="s">
        <v>1578</v>
      </c>
      <c r="B1353" s="81">
        <v>113725</v>
      </c>
      <c r="C1353" s="81">
        <v>10771</v>
      </c>
      <c r="D1353" s="9" t="s">
        <v>940</v>
      </c>
      <c r="E1353" s="81">
        <v>14563151</v>
      </c>
      <c r="F1353" s="81">
        <v>31885</v>
      </c>
      <c r="G1353" s="81">
        <v>25</v>
      </c>
      <c r="H1353" s="82">
        <v>26.3</v>
      </c>
      <c r="I1353" s="251">
        <v>657.5</v>
      </c>
      <c r="J1353" s="9" t="s">
        <v>1305</v>
      </c>
      <c r="K1353" s="9" t="s">
        <v>1306</v>
      </c>
      <c r="L1353" s="83">
        <v>45200</v>
      </c>
      <c r="M1353" s="83">
        <v>45230</v>
      </c>
    </row>
    <row r="1354" spans="1:13" ht="18.75" customHeight="1" x14ac:dyDescent="0.25">
      <c r="A1354" s="9" t="s">
        <v>19</v>
      </c>
      <c r="B1354" s="81">
        <v>112579</v>
      </c>
      <c r="C1354" s="81">
        <v>10750</v>
      </c>
      <c r="D1354" s="9" t="s">
        <v>276</v>
      </c>
      <c r="E1354" s="81">
        <v>14563151</v>
      </c>
      <c r="F1354" s="81">
        <v>29593</v>
      </c>
      <c r="G1354" s="81">
        <v>25</v>
      </c>
      <c r="H1354" s="82">
        <v>26.3</v>
      </c>
      <c r="I1354" s="251">
        <v>657.5</v>
      </c>
      <c r="J1354" s="9" t="s">
        <v>1305</v>
      </c>
      <c r="K1354" s="9" t="s">
        <v>1306</v>
      </c>
      <c r="L1354" s="83">
        <v>45200</v>
      </c>
      <c r="M1354" s="83">
        <v>45230</v>
      </c>
    </row>
    <row r="1355" spans="1:13" ht="18.75" customHeight="1" x14ac:dyDescent="0.25">
      <c r="A1355" s="9" t="s">
        <v>1578</v>
      </c>
      <c r="B1355" s="81">
        <v>112820</v>
      </c>
      <c r="C1355" s="81">
        <v>10768</v>
      </c>
      <c r="D1355" s="9" t="s">
        <v>433</v>
      </c>
      <c r="E1355" s="81">
        <v>14563151</v>
      </c>
      <c r="F1355" s="81">
        <v>30075</v>
      </c>
      <c r="G1355" s="81">
        <v>25</v>
      </c>
      <c r="H1355" s="82">
        <v>26.3</v>
      </c>
      <c r="I1355" s="251">
        <v>657.5</v>
      </c>
      <c r="J1355" s="9" t="s">
        <v>1305</v>
      </c>
      <c r="K1355" s="9" t="s">
        <v>1306</v>
      </c>
      <c r="L1355" s="83">
        <v>45200</v>
      </c>
      <c r="M1355" s="83">
        <v>45230</v>
      </c>
    </row>
    <row r="1356" spans="1:13" ht="18.75" customHeight="1" x14ac:dyDescent="0.25">
      <c r="A1356" s="9" t="s">
        <v>1578</v>
      </c>
      <c r="B1356" s="81">
        <v>113041</v>
      </c>
      <c r="C1356" s="81">
        <v>10757</v>
      </c>
      <c r="D1356" s="9" t="s">
        <v>555</v>
      </c>
      <c r="E1356" s="81">
        <v>14563151</v>
      </c>
      <c r="F1356" s="81">
        <v>30517</v>
      </c>
      <c r="G1356" s="81">
        <v>25</v>
      </c>
      <c r="H1356" s="82">
        <v>26.3</v>
      </c>
      <c r="I1356" s="251">
        <v>657.5</v>
      </c>
      <c r="J1356" s="9" t="s">
        <v>1305</v>
      </c>
      <c r="K1356" s="9" t="s">
        <v>1306</v>
      </c>
      <c r="L1356" s="83">
        <v>45200</v>
      </c>
      <c r="M1356" s="83">
        <v>45230</v>
      </c>
    </row>
    <row r="1357" spans="1:13" ht="18.75" customHeight="1" x14ac:dyDescent="0.25">
      <c r="A1357" s="9" t="s">
        <v>1578</v>
      </c>
      <c r="B1357" s="81">
        <v>112801</v>
      </c>
      <c r="C1357" s="81">
        <v>10762</v>
      </c>
      <c r="D1357" s="9" t="s">
        <v>1384</v>
      </c>
      <c r="E1357" s="81">
        <v>14563151</v>
      </c>
      <c r="F1357" s="81">
        <v>30037</v>
      </c>
      <c r="G1357" s="81">
        <v>25</v>
      </c>
      <c r="H1357" s="82">
        <v>26.3</v>
      </c>
      <c r="I1357" s="251">
        <v>657.5</v>
      </c>
      <c r="J1357" s="9" t="s">
        <v>1305</v>
      </c>
      <c r="K1357" s="9" t="s">
        <v>1306</v>
      </c>
      <c r="L1357" s="83">
        <v>45200</v>
      </c>
      <c r="M1357" s="83">
        <v>45230</v>
      </c>
    </row>
    <row r="1358" spans="1:13" ht="18.75" customHeight="1" x14ac:dyDescent="0.25">
      <c r="A1358" s="9" t="s">
        <v>1578</v>
      </c>
      <c r="B1358" s="81">
        <v>114941</v>
      </c>
      <c r="C1358" s="81">
        <v>10758</v>
      </c>
      <c r="D1358" s="9" t="s">
        <v>1702</v>
      </c>
      <c r="E1358" s="81">
        <v>14563151</v>
      </c>
      <c r="F1358" s="81">
        <v>37659</v>
      </c>
      <c r="G1358" s="81">
        <v>25</v>
      </c>
      <c r="H1358" s="82">
        <v>26.3</v>
      </c>
      <c r="I1358" s="251">
        <v>657.5</v>
      </c>
      <c r="J1358" s="9" t="s">
        <v>1305</v>
      </c>
      <c r="K1358" s="9" t="s">
        <v>1306</v>
      </c>
      <c r="L1358" s="83">
        <v>45200</v>
      </c>
      <c r="M1358" s="83">
        <v>45230</v>
      </c>
    </row>
    <row r="1359" spans="1:13" ht="18.75" customHeight="1" x14ac:dyDescent="0.25">
      <c r="A1359" s="9" t="s">
        <v>1578</v>
      </c>
      <c r="B1359" s="81">
        <v>119342</v>
      </c>
      <c r="C1359" s="81">
        <v>10743</v>
      </c>
      <c r="D1359" s="9" t="s">
        <v>1451</v>
      </c>
      <c r="E1359" s="81">
        <v>14563151</v>
      </c>
      <c r="F1359" s="81">
        <v>48825</v>
      </c>
      <c r="G1359" s="81">
        <v>25</v>
      </c>
      <c r="H1359" s="82">
        <v>26.3</v>
      </c>
      <c r="I1359" s="251">
        <v>657.5</v>
      </c>
      <c r="J1359" s="9" t="s">
        <v>1305</v>
      </c>
      <c r="K1359" s="9" t="s">
        <v>1309</v>
      </c>
      <c r="L1359" s="83">
        <v>45200</v>
      </c>
      <c r="M1359" s="83">
        <v>45230</v>
      </c>
    </row>
    <row r="1360" spans="1:13" ht="18.75" customHeight="1" x14ac:dyDescent="0.25">
      <c r="A1360" s="9" t="s">
        <v>1578</v>
      </c>
      <c r="B1360" s="81">
        <v>114004</v>
      </c>
      <c r="C1360" s="81">
        <v>10771</v>
      </c>
      <c r="D1360" s="9" t="s">
        <v>994</v>
      </c>
      <c r="E1360" s="81">
        <v>14563151</v>
      </c>
      <c r="F1360" s="81">
        <v>34038</v>
      </c>
      <c r="G1360" s="81">
        <v>25</v>
      </c>
      <c r="H1360" s="82">
        <v>26.3</v>
      </c>
      <c r="I1360" s="251">
        <v>657.5</v>
      </c>
      <c r="J1360" s="9" t="s">
        <v>1305</v>
      </c>
      <c r="K1360" s="9" t="s">
        <v>1306</v>
      </c>
      <c r="L1360" s="83">
        <v>45200</v>
      </c>
      <c r="M1360" s="83">
        <v>45230</v>
      </c>
    </row>
    <row r="1361" spans="1:13" ht="18.75" customHeight="1" x14ac:dyDescent="0.25">
      <c r="A1361" s="9" t="s">
        <v>0</v>
      </c>
      <c r="B1361" s="81">
        <v>112873</v>
      </c>
      <c r="C1361" s="81">
        <v>10750</v>
      </c>
      <c r="D1361" s="9" t="s">
        <v>465</v>
      </c>
      <c r="E1361" s="81">
        <v>14563151</v>
      </c>
      <c r="F1361" s="81">
        <v>30181</v>
      </c>
      <c r="G1361" s="81">
        <v>25</v>
      </c>
      <c r="H1361" s="82">
        <v>26.3</v>
      </c>
      <c r="I1361" s="251">
        <v>657.5</v>
      </c>
      <c r="J1361" s="9" t="s">
        <v>1305</v>
      </c>
      <c r="K1361" s="9" t="s">
        <v>1306</v>
      </c>
      <c r="L1361" s="83">
        <v>45200</v>
      </c>
      <c r="M1361" s="83">
        <v>45230</v>
      </c>
    </row>
    <row r="1362" spans="1:13" ht="18.75" customHeight="1" x14ac:dyDescent="0.25">
      <c r="A1362" s="9" t="s">
        <v>8</v>
      </c>
      <c r="B1362" s="81">
        <v>116322</v>
      </c>
      <c r="C1362" s="81">
        <v>10757</v>
      </c>
      <c r="D1362" s="9" t="s">
        <v>1203</v>
      </c>
      <c r="E1362" s="81">
        <v>14563151</v>
      </c>
      <c r="F1362" s="81">
        <v>41857</v>
      </c>
      <c r="G1362" s="81">
        <v>25</v>
      </c>
      <c r="H1362" s="82">
        <v>26.3</v>
      </c>
      <c r="I1362" s="251">
        <v>657.5</v>
      </c>
      <c r="J1362" s="9" t="s">
        <v>1305</v>
      </c>
      <c r="K1362" s="9" t="s">
        <v>1306</v>
      </c>
      <c r="L1362" s="83">
        <v>45200</v>
      </c>
      <c r="M1362" s="83">
        <v>45230</v>
      </c>
    </row>
    <row r="1363" spans="1:13" ht="18.75" customHeight="1" x14ac:dyDescent="0.25">
      <c r="A1363" s="9" t="s">
        <v>32</v>
      </c>
      <c r="B1363" s="81">
        <v>119118</v>
      </c>
      <c r="C1363" s="81">
        <v>10758</v>
      </c>
      <c r="D1363" s="9" t="s">
        <v>1443</v>
      </c>
      <c r="E1363" s="81">
        <v>14563151</v>
      </c>
      <c r="F1363" s="81">
        <v>48259</v>
      </c>
      <c r="G1363" s="81">
        <v>25</v>
      </c>
      <c r="H1363" s="82">
        <v>26.3</v>
      </c>
      <c r="I1363" s="251">
        <v>657.5</v>
      </c>
      <c r="J1363" s="9" t="s">
        <v>1305</v>
      </c>
      <c r="K1363" s="9" t="s">
        <v>1306</v>
      </c>
      <c r="L1363" s="83">
        <v>45200</v>
      </c>
      <c r="M1363" s="83">
        <v>45230</v>
      </c>
    </row>
    <row r="1364" spans="1:13" ht="18.75" customHeight="1" x14ac:dyDescent="0.25">
      <c r="A1364" s="9" t="s">
        <v>1246</v>
      </c>
      <c r="B1364" s="81">
        <v>116653</v>
      </c>
      <c r="C1364" s="81">
        <v>10773</v>
      </c>
      <c r="D1364" s="9" t="s">
        <v>954</v>
      </c>
      <c r="E1364" s="81">
        <v>14563151</v>
      </c>
      <c r="F1364" s="81">
        <v>42635</v>
      </c>
      <c r="G1364" s="81">
        <v>25</v>
      </c>
      <c r="H1364" s="82">
        <v>26.3</v>
      </c>
      <c r="I1364" s="251">
        <v>657.5</v>
      </c>
      <c r="J1364" s="9" t="s">
        <v>1305</v>
      </c>
      <c r="K1364" s="9" t="s">
        <v>1309</v>
      </c>
      <c r="L1364" s="83">
        <v>45200</v>
      </c>
      <c r="M1364" s="83">
        <v>45230</v>
      </c>
    </row>
    <row r="1365" spans="1:13" ht="18.75" customHeight="1" x14ac:dyDescent="0.25">
      <c r="A1365" s="9" t="s">
        <v>1580</v>
      </c>
      <c r="B1365" s="81">
        <v>121952</v>
      </c>
      <c r="C1365" s="81">
        <v>10775</v>
      </c>
      <c r="D1365" s="9" t="s">
        <v>1619</v>
      </c>
      <c r="E1365" s="81">
        <v>14563151</v>
      </c>
      <c r="F1365" s="81">
        <v>55028</v>
      </c>
      <c r="G1365" s="81">
        <v>25</v>
      </c>
      <c r="H1365" s="82">
        <v>26.3</v>
      </c>
      <c r="I1365" s="251">
        <v>657.5</v>
      </c>
      <c r="J1365" s="9" t="s">
        <v>1305</v>
      </c>
      <c r="K1365" s="9" t="s">
        <v>1309</v>
      </c>
      <c r="L1365" s="83">
        <v>45200</v>
      </c>
      <c r="M1365" s="83">
        <v>45230</v>
      </c>
    </row>
    <row r="1366" spans="1:13" ht="18.75" customHeight="1" x14ac:dyDescent="0.25">
      <c r="A1366" s="9" t="s">
        <v>8</v>
      </c>
      <c r="B1366" s="81">
        <v>114039</v>
      </c>
      <c r="C1366" s="81">
        <v>10757</v>
      </c>
      <c r="D1366" s="9" t="s">
        <v>998</v>
      </c>
      <c r="E1366" s="81">
        <v>14563151</v>
      </c>
      <c r="F1366" s="81">
        <v>34221</v>
      </c>
      <c r="G1366" s="81">
        <v>24</v>
      </c>
      <c r="H1366" s="82">
        <v>26.3</v>
      </c>
      <c r="I1366" s="251">
        <v>631.20000000000005</v>
      </c>
      <c r="J1366" s="9" t="s">
        <v>1305</v>
      </c>
      <c r="K1366" s="9" t="s">
        <v>1306</v>
      </c>
      <c r="L1366" s="83">
        <v>45200</v>
      </c>
      <c r="M1366" s="83">
        <v>45230</v>
      </c>
    </row>
    <row r="1367" spans="1:13" ht="18.75" customHeight="1" x14ac:dyDescent="0.25">
      <c r="A1367" s="9" t="s">
        <v>0</v>
      </c>
      <c r="B1367" s="81">
        <v>114404</v>
      </c>
      <c r="C1367" s="81">
        <v>10758</v>
      </c>
      <c r="D1367" s="9" t="s">
        <v>1035</v>
      </c>
      <c r="E1367" s="81">
        <v>14563151</v>
      </c>
      <c r="F1367" s="81">
        <v>35861</v>
      </c>
      <c r="G1367" s="81">
        <v>25</v>
      </c>
      <c r="H1367" s="82">
        <v>26.3</v>
      </c>
      <c r="I1367" s="251">
        <v>657.5</v>
      </c>
      <c r="J1367" s="9" t="s">
        <v>1305</v>
      </c>
      <c r="K1367" s="9" t="s">
        <v>1309</v>
      </c>
      <c r="L1367" s="83">
        <v>45200</v>
      </c>
      <c r="M1367" s="83">
        <v>45230</v>
      </c>
    </row>
    <row r="1368" spans="1:13" ht="18.75" customHeight="1" x14ac:dyDescent="0.25">
      <c r="A1368" s="9" t="s">
        <v>1580</v>
      </c>
      <c r="B1368" s="81">
        <v>112876</v>
      </c>
      <c r="C1368" s="81">
        <v>10773</v>
      </c>
      <c r="D1368" s="9" t="s">
        <v>468</v>
      </c>
      <c r="E1368" s="81">
        <v>14563151</v>
      </c>
      <c r="F1368" s="81">
        <v>30187</v>
      </c>
      <c r="G1368" s="81">
        <v>25</v>
      </c>
      <c r="H1368" s="82">
        <v>26.3</v>
      </c>
      <c r="I1368" s="251">
        <v>657.5</v>
      </c>
      <c r="J1368" s="9" t="s">
        <v>1305</v>
      </c>
      <c r="K1368" s="9" t="s">
        <v>1306</v>
      </c>
      <c r="L1368" s="83">
        <v>45200</v>
      </c>
      <c r="M1368" s="83">
        <v>45230</v>
      </c>
    </row>
    <row r="1369" spans="1:13" ht="18.75" customHeight="1" x14ac:dyDescent="0.25">
      <c r="A1369" s="9" t="s">
        <v>19</v>
      </c>
      <c r="B1369" s="81">
        <v>121853</v>
      </c>
      <c r="C1369" s="81">
        <v>10755</v>
      </c>
      <c r="D1369" s="9" t="s">
        <v>1620</v>
      </c>
      <c r="E1369" s="81">
        <v>14563151</v>
      </c>
      <c r="F1369" s="81">
        <v>54724</v>
      </c>
      <c r="G1369" s="81">
        <v>14</v>
      </c>
      <c r="H1369" s="82">
        <v>26.3</v>
      </c>
      <c r="I1369" s="251">
        <v>368.2</v>
      </c>
      <c r="J1369" s="9" t="s">
        <v>1305</v>
      </c>
      <c r="K1369" s="9" t="s">
        <v>1309</v>
      </c>
      <c r="L1369" s="83">
        <v>45200</v>
      </c>
      <c r="M1369" s="83">
        <v>45230</v>
      </c>
    </row>
    <row r="1370" spans="1:13" ht="18.75" customHeight="1" x14ac:dyDescent="0.25">
      <c r="A1370" s="9" t="s">
        <v>1578</v>
      </c>
      <c r="B1370" s="81">
        <v>122240</v>
      </c>
      <c r="C1370" s="81">
        <v>10761</v>
      </c>
      <c r="D1370" s="9" t="s">
        <v>1661</v>
      </c>
      <c r="E1370" s="81">
        <v>14563151</v>
      </c>
      <c r="F1370" s="81">
        <v>55723</v>
      </c>
      <c r="G1370" s="81">
        <v>25</v>
      </c>
      <c r="H1370" s="82">
        <v>26.3</v>
      </c>
      <c r="I1370" s="251">
        <v>657.5</v>
      </c>
      <c r="J1370" s="9" t="s">
        <v>1305</v>
      </c>
      <c r="K1370" s="9" t="s">
        <v>1306</v>
      </c>
      <c r="L1370" s="83">
        <v>45200</v>
      </c>
      <c r="M1370" s="83">
        <v>45230</v>
      </c>
    </row>
    <row r="1371" spans="1:13" ht="18.75" customHeight="1" x14ac:dyDescent="0.25">
      <c r="A1371" s="9" t="s">
        <v>8</v>
      </c>
      <c r="B1371" s="81">
        <v>122346</v>
      </c>
      <c r="C1371" s="81">
        <v>10754</v>
      </c>
      <c r="D1371" s="9" t="s">
        <v>1662</v>
      </c>
      <c r="E1371" s="81">
        <v>14563151</v>
      </c>
      <c r="F1371" s="81">
        <v>55992</v>
      </c>
      <c r="G1371" s="81">
        <v>25</v>
      </c>
      <c r="H1371" s="82">
        <v>26.3</v>
      </c>
      <c r="I1371" s="251">
        <v>657.5</v>
      </c>
      <c r="J1371" s="9" t="s">
        <v>1305</v>
      </c>
      <c r="K1371" s="9" t="s">
        <v>1306</v>
      </c>
      <c r="L1371" s="83">
        <v>45200</v>
      </c>
      <c r="M1371" s="83">
        <v>45230</v>
      </c>
    </row>
    <row r="1372" spans="1:13" ht="18.75" customHeight="1" x14ac:dyDescent="0.25">
      <c r="A1372" s="9" t="s">
        <v>0</v>
      </c>
      <c r="B1372" s="81">
        <v>114509</v>
      </c>
      <c r="C1372" s="81">
        <v>10760</v>
      </c>
      <c r="D1372" s="9" t="s">
        <v>1044</v>
      </c>
      <c r="E1372" s="81">
        <v>14563151</v>
      </c>
      <c r="F1372" s="81">
        <v>35901</v>
      </c>
      <c r="G1372" s="81">
        <v>25</v>
      </c>
      <c r="H1372" s="82">
        <v>26.3</v>
      </c>
      <c r="I1372" s="251">
        <v>657.5</v>
      </c>
      <c r="J1372" s="9" t="s">
        <v>1305</v>
      </c>
      <c r="K1372" s="9" t="s">
        <v>1306</v>
      </c>
      <c r="L1372" s="83">
        <v>45200</v>
      </c>
      <c r="M1372" s="83">
        <v>45230</v>
      </c>
    </row>
    <row r="1373" spans="1:13" ht="18.75" customHeight="1" x14ac:dyDescent="0.25">
      <c r="A1373" s="9" t="s">
        <v>1578</v>
      </c>
      <c r="B1373" s="81">
        <v>113049</v>
      </c>
      <c r="C1373" s="81">
        <v>10768</v>
      </c>
      <c r="D1373" s="9" t="s">
        <v>559</v>
      </c>
      <c r="E1373" s="81">
        <v>14563151</v>
      </c>
      <c r="F1373" s="81">
        <v>30533</v>
      </c>
      <c r="G1373" s="81">
        <v>25</v>
      </c>
      <c r="H1373" s="82">
        <v>26.3</v>
      </c>
      <c r="I1373" s="251">
        <v>657.5</v>
      </c>
      <c r="J1373" s="9" t="s">
        <v>1305</v>
      </c>
      <c r="K1373" s="9" t="s">
        <v>1306</v>
      </c>
      <c r="L1373" s="83">
        <v>45200</v>
      </c>
      <c r="M1373" s="83">
        <v>45230</v>
      </c>
    </row>
    <row r="1374" spans="1:13" ht="18.75" customHeight="1" x14ac:dyDescent="0.25">
      <c r="A1374" s="9" t="s">
        <v>1578</v>
      </c>
      <c r="B1374" s="81">
        <v>113059</v>
      </c>
      <c r="C1374" s="81">
        <v>10757</v>
      </c>
      <c r="D1374" s="9" t="s">
        <v>564</v>
      </c>
      <c r="E1374" s="81">
        <v>14563151</v>
      </c>
      <c r="F1374" s="81">
        <v>30553</v>
      </c>
      <c r="G1374" s="81">
        <v>25</v>
      </c>
      <c r="H1374" s="82">
        <v>26.3</v>
      </c>
      <c r="I1374" s="251">
        <v>657.5</v>
      </c>
      <c r="J1374" s="9" t="s">
        <v>1305</v>
      </c>
      <c r="K1374" s="9" t="s">
        <v>1306</v>
      </c>
      <c r="L1374" s="83">
        <v>45200</v>
      </c>
      <c r="M1374" s="83">
        <v>45230</v>
      </c>
    </row>
    <row r="1375" spans="1:13" ht="18.75" customHeight="1" x14ac:dyDescent="0.25">
      <c r="A1375" s="9" t="s">
        <v>0</v>
      </c>
      <c r="B1375" s="81">
        <v>118635</v>
      </c>
      <c r="C1375" s="81">
        <v>10758</v>
      </c>
      <c r="D1375" s="9" t="s">
        <v>1409</v>
      </c>
      <c r="E1375" s="81">
        <v>14563151</v>
      </c>
      <c r="F1375" s="81">
        <v>47165</v>
      </c>
      <c r="G1375" s="81">
        <v>25</v>
      </c>
      <c r="H1375" s="82">
        <v>26.3</v>
      </c>
      <c r="I1375" s="251">
        <v>657.5</v>
      </c>
      <c r="J1375" s="9" t="s">
        <v>1305</v>
      </c>
      <c r="K1375" s="9" t="s">
        <v>1306</v>
      </c>
      <c r="L1375" s="83">
        <v>45200</v>
      </c>
      <c r="M1375" s="83">
        <v>45230</v>
      </c>
    </row>
    <row r="1376" spans="1:13" ht="18.75" customHeight="1" x14ac:dyDescent="0.25">
      <c r="A1376" s="9" t="s">
        <v>1578</v>
      </c>
      <c r="B1376" s="81">
        <v>113063</v>
      </c>
      <c r="C1376" s="81">
        <v>10757</v>
      </c>
      <c r="D1376" s="9" t="s">
        <v>565</v>
      </c>
      <c r="E1376" s="81">
        <v>14563151</v>
      </c>
      <c r="F1376" s="81">
        <v>30561</v>
      </c>
      <c r="G1376" s="81">
        <v>25</v>
      </c>
      <c r="H1376" s="82">
        <v>26.3</v>
      </c>
      <c r="I1376" s="251">
        <v>657.5</v>
      </c>
      <c r="J1376" s="9" t="s">
        <v>1305</v>
      </c>
      <c r="K1376" s="9" t="s">
        <v>1306</v>
      </c>
      <c r="L1376" s="83">
        <v>45200</v>
      </c>
      <c r="M1376" s="83">
        <v>45230</v>
      </c>
    </row>
    <row r="1377" spans="1:13" ht="18.75" customHeight="1" x14ac:dyDescent="0.25">
      <c r="A1377" s="9" t="s">
        <v>1578</v>
      </c>
      <c r="B1377" s="81">
        <v>114981</v>
      </c>
      <c r="C1377" s="81">
        <v>10745</v>
      </c>
      <c r="D1377" s="9" t="s">
        <v>1135</v>
      </c>
      <c r="E1377" s="81">
        <v>14563151</v>
      </c>
      <c r="F1377" s="81">
        <v>37738</v>
      </c>
      <c r="G1377" s="81">
        <v>25</v>
      </c>
      <c r="H1377" s="82">
        <v>26.3</v>
      </c>
      <c r="I1377" s="251">
        <v>657.5</v>
      </c>
      <c r="J1377" s="9" t="s">
        <v>1305</v>
      </c>
      <c r="K1377" s="9" t="s">
        <v>1306</v>
      </c>
      <c r="L1377" s="83">
        <v>45200</v>
      </c>
      <c r="M1377" s="83">
        <v>45230</v>
      </c>
    </row>
    <row r="1378" spans="1:13" ht="18.75" customHeight="1" x14ac:dyDescent="0.25">
      <c r="A1378" s="9" t="s">
        <v>1578</v>
      </c>
      <c r="B1378" s="81">
        <v>114943</v>
      </c>
      <c r="C1378" s="81">
        <v>10758</v>
      </c>
      <c r="D1378" s="9" t="s">
        <v>1122</v>
      </c>
      <c r="E1378" s="81">
        <v>14563151</v>
      </c>
      <c r="F1378" s="81">
        <v>37663</v>
      </c>
      <c r="G1378" s="81">
        <v>25</v>
      </c>
      <c r="H1378" s="82">
        <v>26.3</v>
      </c>
      <c r="I1378" s="251">
        <v>657.5</v>
      </c>
      <c r="J1378" s="9" t="s">
        <v>1305</v>
      </c>
      <c r="K1378" s="9" t="s">
        <v>1309</v>
      </c>
      <c r="L1378" s="83">
        <v>45200</v>
      </c>
      <c r="M1378" s="83">
        <v>45230</v>
      </c>
    </row>
    <row r="1379" spans="1:13" ht="18.75" customHeight="1" x14ac:dyDescent="0.25">
      <c r="A1379" s="9" t="s">
        <v>1578</v>
      </c>
      <c r="B1379" s="81">
        <v>122234</v>
      </c>
      <c r="C1379" s="81">
        <v>10762</v>
      </c>
      <c r="D1379" s="9" t="s">
        <v>1663</v>
      </c>
      <c r="E1379" s="81">
        <v>14563151</v>
      </c>
      <c r="F1379" s="81">
        <v>55711</v>
      </c>
      <c r="G1379" s="81">
        <v>25</v>
      </c>
      <c r="H1379" s="82">
        <v>26.3</v>
      </c>
      <c r="I1379" s="251">
        <v>657.5</v>
      </c>
      <c r="J1379" s="9" t="s">
        <v>1305</v>
      </c>
      <c r="K1379" s="9" t="s">
        <v>1306</v>
      </c>
      <c r="L1379" s="83">
        <v>45200</v>
      </c>
      <c r="M1379" s="83">
        <v>45230</v>
      </c>
    </row>
    <row r="1380" spans="1:13" ht="18.75" customHeight="1" x14ac:dyDescent="0.25">
      <c r="A1380" s="9" t="s">
        <v>8</v>
      </c>
      <c r="B1380" s="81">
        <v>112597</v>
      </c>
      <c r="C1380" s="81">
        <v>10750</v>
      </c>
      <c r="D1380" s="9" t="s">
        <v>285</v>
      </c>
      <c r="E1380" s="81">
        <v>14563151</v>
      </c>
      <c r="F1380" s="81">
        <v>29629</v>
      </c>
      <c r="G1380" s="81">
        <v>25</v>
      </c>
      <c r="H1380" s="82">
        <v>26.3</v>
      </c>
      <c r="I1380" s="251">
        <v>657.5</v>
      </c>
      <c r="J1380" s="9" t="s">
        <v>1305</v>
      </c>
      <c r="K1380" s="9" t="s">
        <v>1306</v>
      </c>
      <c r="L1380" s="83">
        <v>45200</v>
      </c>
      <c r="M1380" s="83">
        <v>45230</v>
      </c>
    </row>
    <row r="1381" spans="1:13" ht="18.75" customHeight="1" x14ac:dyDescent="0.25">
      <c r="A1381" s="9" t="s">
        <v>0</v>
      </c>
      <c r="B1381" s="81">
        <v>112882</v>
      </c>
      <c r="C1381" s="81">
        <v>10757</v>
      </c>
      <c r="D1381" s="9" t="s">
        <v>473</v>
      </c>
      <c r="E1381" s="81">
        <v>14563151</v>
      </c>
      <c r="F1381" s="81">
        <v>30199</v>
      </c>
      <c r="G1381" s="81">
        <v>25</v>
      </c>
      <c r="H1381" s="82">
        <v>26.3</v>
      </c>
      <c r="I1381" s="251">
        <v>657.5</v>
      </c>
      <c r="J1381" s="9" t="s">
        <v>1305</v>
      </c>
      <c r="K1381" s="9" t="s">
        <v>1306</v>
      </c>
      <c r="L1381" s="83">
        <v>45200</v>
      </c>
      <c r="M1381" s="83">
        <v>45230</v>
      </c>
    </row>
    <row r="1382" spans="1:13" ht="18.75" customHeight="1" x14ac:dyDescent="0.25">
      <c r="A1382" s="9" t="s">
        <v>1578</v>
      </c>
      <c r="B1382" s="81">
        <v>121684</v>
      </c>
      <c r="C1382" s="81">
        <v>10743</v>
      </c>
      <c r="D1382" s="9" t="s">
        <v>1592</v>
      </c>
      <c r="E1382" s="81">
        <v>14563151</v>
      </c>
      <c r="F1382" s="81">
        <v>54334</v>
      </c>
      <c r="G1382" s="81">
        <v>25</v>
      </c>
      <c r="H1382" s="82">
        <v>26.3</v>
      </c>
      <c r="I1382" s="251">
        <v>657.5</v>
      </c>
      <c r="J1382" s="9" t="s">
        <v>1305</v>
      </c>
      <c r="K1382" s="9" t="s">
        <v>1306</v>
      </c>
      <c r="L1382" s="83">
        <v>45200</v>
      </c>
      <c r="M1382" s="83">
        <v>45230</v>
      </c>
    </row>
    <row r="1383" spans="1:13" ht="18.75" customHeight="1" x14ac:dyDescent="0.25">
      <c r="A1383" s="9" t="s">
        <v>10</v>
      </c>
      <c r="B1383" s="81">
        <v>112345</v>
      </c>
      <c r="C1383" s="81">
        <v>10756</v>
      </c>
      <c r="D1383" s="9" t="s">
        <v>122</v>
      </c>
      <c r="E1383" s="81">
        <v>14563151</v>
      </c>
      <c r="F1383" s="81">
        <v>29125</v>
      </c>
      <c r="G1383" s="81">
        <v>25</v>
      </c>
      <c r="H1383" s="82">
        <v>26.3</v>
      </c>
      <c r="I1383" s="251">
        <v>657.5</v>
      </c>
      <c r="J1383" s="9" t="s">
        <v>1305</v>
      </c>
      <c r="K1383" s="9" t="s">
        <v>1306</v>
      </c>
      <c r="L1383" s="83">
        <v>45200</v>
      </c>
      <c r="M1383" s="83">
        <v>45230</v>
      </c>
    </row>
    <row r="1384" spans="1:13" ht="18.75" customHeight="1" x14ac:dyDescent="0.25">
      <c r="A1384" s="9" t="s">
        <v>19</v>
      </c>
      <c r="B1384" s="81">
        <v>112599</v>
      </c>
      <c r="C1384" s="81">
        <v>10757</v>
      </c>
      <c r="D1384" s="9" t="s">
        <v>287</v>
      </c>
      <c r="E1384" s="81">
        <v>14563151</v>
      </c>
      <c r="F1384" s="81">
        <v>29633</v>
      </c>
      <c r="G1384" s="81">
        <v>25</v>
      </c>
      <c r="H1384" s="82">
        <v>26.3</v>
      </c>
      <c r="I1384" s="251">
        <v>657.5</v>
      </c>
      <c r="J1384" s="9" t="s">
        <v>1305</v>
      </c>
      <c r="K1384" s="9" t="s">
        <v>1306</v>
      </c>
      <c r="L1384" s="83">
        <v>45200</v>
      </c>
      <c r="M1384" s="83">
        <v>45230</v>
      </c>
    </row>
    <row r="1385" spans="1:13" ht="18.75" customHeight="1" x14ac:dyDescent="0.25">
      <c r="A1385" s="9" t="s">
        <v>8</v>
      </c>
      <c r="B1385" s="81">
        <v>121324</v>
      </c>
      <c r="C1385" s="81">
        <v>10750</v>
      </c>
      <c r="D1385" s="9" t="s">
        <v>1539</v>
      </c>
      <c r="E1385" s="81">
        <v>14563151</v>
      </c>
      <c r="F1385" s="81">
        <v>53503</v>
      </c>
      <c r="G1385" s="81">
        <v>25</v>
      </c>
      <c r="H1385" s="82">
        <v>26.3</v>
      </c>
      <c r="I1385" s="251">
        <v>657.5</v>
      </c>
      <c r="J1385" s="9" t="s">
        <v>1305</v>
      </c>
      <c r="K1385" s="9" t="s">
        <v>1309</v>
      </c>
      <c r="L1385" s="83">
        <v>45200</v>
      </c>
      <c r="M1385" s="83">
        <v>45230</v>
      </c>
    </row>
    <row r="1386" spans="1:13" ht="18.75" customHeight="1" x14ac:dyDescent="0.25">
      <c r="A1386" s="9" t="s">
        <v>8</v>
      </c>
      <c r="B1386" s="81">
        <v>122333</v>
      </c>
      <c r="C1386" s="81">
        <v>10750</v>
      </c>
      <c r="D1386" s="9" t="s">
        <v>1664</v>
      </c>
      <c r="E1386" s="81">
        <v>14563151</v>
      </c>
      <c r="F1386" s="81">
        <v>55961</v>
      </c>
      <c r="G1386" s="81">
        <v>25</v>
      </c>
      <c r="H1386" s="82">
        <v>26.3</v>
      </c>
      <c r="I1386" s="251">
        <v>657.5</v>
      </c>
      <c r="J1386" s="9" t="s">
        <v>1305</v>
      </c>
      <c r="K1386" s="9" t="s">
        <v>1306</v>
      </c>
      <c r="L1386" s="83">
        <v>45200</v>
      </c>
      <c r="M1386" s="83">
        <v>45230</v>
      </c>
    </row>
    <row r="1387" spans="1:13" ht="18.75" customHeight="1" x14ac:dyDescent="0.25">
      <c r="A1387" s="9" t="s">
        <v>0</v>
      </c>
      <c r="B1387" s="81">
        <v>119936</v>
      </c>
      <c r="C1387" s="81">
        <v>10763</v>
      </c>
      <c r="D1387" s="9" t="s">
        <v>1486</v>
      </c>
      <c r="E1387" s="81">
        <v>14563151</v>
      </c>
      <c r="F1387" s="81">
        <v>50277</v>
      </c>
      <c r="G1387" s="81">
        <v>25</v>
      </c>
      <c r="H1387" s="82">
        <v>26.3</v>
      </c>
      <c r="I1387" s="251">
        <v>657.5</v>
      </c>
      <c r="J1387" s="9" t="s">
        <v>1305</v>
      </c>
      <c r="K1387" s="9" t="s">
        <v>1309</v>
      </c>
      <c r="L1387" s="83">
        <v>45200</v>
      </c>
      <c r="M1387" s="83">
        <v>45230</v>
      </c>
    </row>
    <row r="1388" spans="1:13" ht="18.75" customHeight="1" x14ac:dyDescent="0.25">
      <c r="A1388" s="9" t="s">
        <v>1578</v>
      </c>
      <c r="B1388" s="81">
        <v>112888</v>
      </c>
      <c r="C1388" s="81">
        <v>10768</v>
      </c>
      <c r="D1388" s="9" t="s">
        <v>477</v>
      </c>
      <c r="E1388" s="81">
        <v>14563151</v>
      </c>
      <c r="F1388" s="81">
        <v>30211</v>
      </c>
      <c r="G1388" s="81">
        <v>25</v>
      </c>
      <c r="H1388" s="82">
        <v>26.3</v>
      </c>
      <c r="I1388" s="251">
        <v>657.5</v>
      </c>
      <c r="J1388" s="9" t="s">
        <v>1305</v>
      </c>
      <c r="K1388" s="9" t="s">
        <v>1306</v>
      </c>
      <c r="L1388" s="83">
        <v>45200</v>
      </c>
      <c r="M1388" s="83">
        <v>45230</v>
      </c>
    </row>
    <row r="1389" spans="1:13" ht="18.75" customHeight="1" x14ac:dyDescent="0.25">
      <c r="A1389" s="9" t="s">
        <v>10</v>
      </c>
      <c r="B1389" s="81">
        <v>118053</v>
      </c>
      <c r="C1389" s="81">
        <v>10757</v>
      </c>
      <c r="D1389" s="9" t="s">
        <v>1410</v>
      </c>
      <c r="E1389" s="81">
        <v>14563151</v>
      </c>
      <c r="F1389" s="81">
        <v>45895</v>
      </c>
      <c r="G1389" s="81">
        <v>25</v>
      </c>
      <c r="H1389" s="82">
        <v>26.3</v>
      </c>
      <c r="I1389" s="251">
        <v>657.5</v>
      </c>
      <c r="J1389" s="9" t="s">
        <v>1305</v>
      </c>
      <c r="K1389" s="9" t="s">
        <v>1306</v>
      </c>
      <c r="L1389" s="83">
        <v>45200</v>
      </c>
      <c r="M1389" s="83">
        <v>45230</v>
      </c>
    </row>
    <row r="1390" spans="1:13" ht="18.75" customHeight="1" x14ac:dyDescent="0.25">
      <c r="A1390" s="9" t="s">
        <v>8</v>
      </c>
      <c r="B1390" s="81">
        <v>112607</v>
      </c>
      <c r="C1390" s="81">
        <v>10760</v>
      </c>
      <c r="D1390" s="9" t="s">
        <v>1385</v>
      </c>
      <c r="E1390" s="81">
        <v>14563151</v>
      </c>
      <c r="F1390" s="81">
        <v>29649</v>
      </c>
      <c r="G1390" s="81">
        <v>25</v>
      </c>
      <c r="H1390" s="82">
        <v>26.3</v>
      </c>
      <c r="I1390" s="251">
        <v>657.5</v>
      </c>
      <c r="J1390" s="9" t="s">
        <v>1305</v>
      </c>
      <c r="K1390" s="9" t="s">
        <v>1306</v>
      </c>
      <c r="L1390" s="83">
        <v>45200</v>
      </c>
      <c r="M1390" s="83">
        <v>45230</v>
      </c>
    </row>
    <row r="1391" spans="1:13" ht="18.75" customHeight="1" x14ac:dyDescent="0.25">
      <c r="A1391" s="9" t="s">
        <v>10</v>
      </c>
      <c r="B1391" s="81">
        <v>112612</v>
      </c>
      <c r="C1391" s="81">
        <v>10763</v>
      </c>
      <c r="D1391" s="9" t="s">
        <v>296</v>
      </c>
      <c r="E1391" s="81">
        <v>14563151</v>
      </c>
      <c r="F1391" s="81">
        <v>29659</v>
      </c>
      <c r="G1391" s="81">
        <v>25</v>
      </c>
      <c r="H1391" s="82">
        <v>26.3</v>
      </c>
      <c r="I1391" s="251">
        <v>657.5</v>
      </c>
      <c r="J1391" s="9" t="s">
        <v>1305</v>
      </c>
      <c r="K1391" s="9" t="s">
        <v>1306</v>
      </c>
      <c r="L1391" s="83">
        <v>45200</v>
      </c>
      <c r="M1391" s="83">
        <v>45230</v>
      </c>
    </row>
    <row r="1392" spans="1:13" ht="18.75" customHeight="1" x14ac:dyDescent="0.25">
      <c r="A1392" s="9" t="s">
        <v>19</v>
      </c>
      <c r="B1392" s="81">
        <v>121480</v>
      </c>
      <c r="C1392" s="81">
        <v>10755</v>
      </c>
      <c r="D1392" s="9" t="s">
        <v>1571</v>
      </c>
      <c r="E1392" s="81">
        <v>14563151</v>
      </c>
      <c r="F1392" s="81">
        <v>53843</v>
      </c>
      <c r="G1392" s="81">
        <v>25</v>
      </c>
      <c r="H1392" s="82">
        <v>26.3</v>
      </c>
      <c r="I1392" s="251">
        <v>657.5</v>
      </c>
      <c r="J1392" s="9" t="s">
        <v>1305</v>
      </c>
      <c r="K1392" s="9" t="s">
        <v>1309</v>
      </c>
      <c r="L1392" s="83">
        <v>45200</v>
      </c>
      <c r="M1392" s="83">
        <v>45230</v>
      </c>
    </row>
    <row r="1393" spans="1:13" ht="18.75" customHeight="1" x14ac:dyDescent="0.25">
      <c r="A1393" s="9" t="s">
        <v>8</v>
      </c>
      <c r="B1393" s="81">
        <v>112614</v>
      </c>
      <c r="C1393" s="81">
        <v>10763</v>
      </c>
      <c r="D1393" s="9" t="s">
        <v>298</v>
      </c>
      <c r="E1393" s="81">
        <v>14563151</v>
      </c>
      <c r="F1393" s="81">
        <v>29663</v>
      </c>
      <c r="G1393" s="81">
        <v>25</v>
      </c>
      <c r="H1393" s="82">
        <v>26.3</v>
      </c>
      <c r="I1393" s="251">
        <v>657.5</v>
      </c>
      <c r="J1393" s="9" t="s">
        <v>1305</v>
      </c>
      <c r="K1393" s="9" t="s">
        <v>1306</v>
      </c>
      <c r="L1393" s="83">
        <v>45200</v>
      </c>
      <c r="M1393" s="83">
        <v>45230</v>
      </c>
    </row>
    <row r="1394" spans="1:13" ht="18.75" customHeight="1" x14ac:dyDescent="0.25">
      <c r="A1394" s="9" t="s">
        <v>10</v>
      </c>
      <c r="B1394" s="81">
        <v>112354</v>
      </c>
      <c r="C1394" s="81">
        <v>10760</v>
      </c>
      <c r="D1394" s="9" t="s">
        <v>128</v>
      </c>
      <c r="E1394" s="81">
        <v>14563151</v>
      </c>
      <c r="F1394" s="81">
        <v>29143</v>
      </c>
      <c r="G1394" s="81">
        <v>25</v>
      </c>
      <c r="H1394" s="82">
        <v>26.3</v>
      </c>
      <c r="I1394" s="251">
        <v>657.5</v>
      </c>
      <c r="J1394" s="9" t="s">
        <v>1305</v>
      </c>
      <c r="K1394" s="9" t="s">
        <v>1306</v>
      </c>
      <c r="L1394" s="83">
        <v>45200</v>
      </c>
      <c r="M1394" s="83">
        <v>45230</v>
      </c>
    </row>
    <row r="1395" spans="1:13" ht="18.75" customHeight="1" x14ac:dyDescent="0.25">
      <c r="A1395" s="9" t="s">
        <v>19</v>
      </c>
      <c r="B1395" s="81">
        <v>119678</v>
      </c>
      <c r="C1395" s="81">
        <v>10761</v>
      </c>
      <c r="D1395" s="9" t="s">
        <v>1474</v>
      </c>
      <c r="E1395" s="81">
        <v>14563151</v>
      </c>
      <c r="F1395" s="81">
        <v>49686</v>
      </c>
      <c r="G1395" s="81">
        <v>25</v>
      </c>
      <c r="H1395" s="82">
        <v>26.3</v>
      </c>
      <c r="I1395" s="251">
        <v>657.5</v>
      </c>
      <c r="J1395" s="9" t="s">
        <v>1305</v>
      </c>
      <c r="K1395" s="9" t="s">
        <v>1306</v>
      </c>
      <c r="L1395" s="83">
        <v>45200</v>
      </c>
      <c r="M1395" s="83">
        <v>45230</v>
      </c>
    </row>
    <row r="1396" spans="1:13" ht="18" customHeight="1" x14ac:dyDescent="0.25">
      <c r="A1396" s="9" t="s">
        <v>1578</v>
      </c>
      <c r="B1396" s="81">
        <v>122029</v>
      </c>
      <c r="C1396" s="81">
        <v>10771</v>
      </c>
      <c r="D1396" s="9" t="s">
        <v>1636</v>
      </c>
      <c r="E1396" s="81">
        <v>14563151</v>
      </c>
      <c r="F1396" s="81">
        <v>55371</v>
      </c>
      <c r="G1396" s="81">
        <v>25</v>
      </c>
      <c r="H1396" s="82">
        <v>26.3</v>
      </c>
      <c r="I1396" s="251">
        <v>657.5</v>
      </c>
      <c r="J1396" s="9" t="s">
        <v>1305</v>
      </c>
      <c r="K1396" s="9" t="s">
        <v>1306</v>
      </c>
      <c r="L1396" s="83">
        <v>45200</v>
      </c>
      <c r="M1396" s="83">
        <v>45230</v>
      </c>
    </row>
    <row r="1397" spans="1:13" ht="18" customHeight="1" x14ac:dyDescent="0.25">
      <c r="A1397" s="9" t="s">
        <v>0</v>
      </c>
      <c r="B1397" s="81">
        <v>114360</v>
      </c>
      <c r="C1397" s="81">
        <v>10766</v>
      </c>
      <c r="D1397" s="9" t="s">
        <v>1033</v>
      </c>
      <c r="E1397" s="81">
        <v>14563151</v>
      </c>
      <c r="F1397" s="81">
        <v>35857</v>
      </c>
      <c r="G1397" s="81">
        <v>25</v>
      </c>
      <c r="H1397" s="82">
        <v>26.3</v>
      </c>
      <c r="I1397" s="251">
        <v>657.5</v>
      </c>
      <c r="J1397" s="9" t="s">
        <v>1305</v>
      </c>
      <c r="K1397" s="9" t="s">
        <v>1306</v>
      </c>
      <c r="L1397" s="83">
        <v>45200</v>
      </c>
      <c r="M1397" s="83">
        <v>45230</v>
      </c>
    </row>
    <row r="1398" spans="1:13" ht="18" customHeight="1" x14ac:dyDescent="0.25">
      <c r="A1398" s="9" t="s">
        <v>0</v>
      </c>
      <c r="B1398" s="81">
        <v>122554</v>
      </c>
      <c r="C1398" s="81">
        <v>10758</v>
      </c>
      <c r="D1398" s="9" t="s">
        <v>1703</v>
      </c>
      <c r="E1398" s="81">
        <v>14563151</v>
      </c>
      <c r="F1398" s="81">
        <v>56501</v>
      </c>
      <c r="G1398" s="81">
        <v>25</v>
      </c>
      <c r="H1398" s="82">
        <v>26.3</v>
      </c>
      <c r="I1398" s="251">
        <v>657.5</v>
      </c>
      <c r="J1398" s="9" t="s">
        <v>1305</v>
      </c>
      <c r="K1398" s="9" t="s">
        <v>1306</v>
      </c>
      <c r="L1398" s="83">
        <v>45200</v>
      </c>
      <c r="M1398" s="83">
        <v>45230</v>
      </c>
    </row>
    <row r="1399" spans="1:13" ht="18" customHeight="1" x14ac:dyDescent="0.25">
      <c r="A1399" s="9" t="s">
        <v>0</v>
      </c>
      <c r="B1399" s="81">
        <v>122553</v>
      </c>
      <c r="C1399" s="81">
        <v>10758</v>
      </c>
      <c r="D1399" s="9" t="s">
        <v>1700</v>
      </c>
      <c r="E1399" s="81">
        <v>14563151</v>
      </c>
      <c r="F1399" s="81">
        <v>56499</v>
      </c>
      <c r="G1399" s="81">
        <v>25</v>
      </c>
      <c r="H1399" s="82">
        <v>26.3</v>
      </c>
      <c r="I1399" s="251">
        <v>657.5</v>
      </c>
      <c r="J1399" s="9" t="s">
        <v>1305</v>
      </c>
      <c r="K1399" s="9" t="s">
        <v>1306</v>
      </c>
      <c r="L1399" s="83">
        <v>45200</v>
      </c>
      <c r="M1399" s="83">
        <v>45230</v>
      </c>
    </row>
    <row r="1400" spans="1:13" ht="18" customHeight="1" x14ac:dyDescent="0.25">
      <c r="A1400" s="9" t="s">
        <v>1578</v>
      </c>
      <c r="B1400" s="81">
        <v>113074</v>
      </c>
      <c r="C1400" s="81">
        <v>10757</v>
      </c>
      <c r="D1400" s="9" t="s">
        <v>571</v>
      </c>
      <c r="E1400" s="81">
        <v>14563151</v>
      </c>
      <c r="F1400" s="81">
        <v>30583</v>
      </c>
      <c r="G1400" s="81">
        <v>25</v>
      </c>
      <c r="H1400" s="82">
        <v>26.3</v>
      </c>
      <c r="I1400" s="251">
        <v>657.5</v>
      </c>
      <c r="J1400" s="9" t="s">
        <v>1305</v>
      </c>
      <c r="K1400" s="9" t="s">
        <v>1306</v>
      </c>
      <c r="L1400" s="83">
        <v>45200</v>
      </c>
      <c r="M1400" s="83">
        <v>45230</v>
      </c>
    </row>
    <row r="1401" spans="1:13" ht="18" customHeight="1" x14ac:dyDescent="0.25">
      <c r="A1401" s="9" t="s">
        <v>10</v>
      </c>
      <c r="B1401" s="81">
        <v>112363</v>
      </c>
      <c r="C1401" s="81">
        <v>10760</v>
      </c>
      <c r="D1401" s="9" t="s">
        <v>131</v>
      </c>
      <c r="E1401" s="81">
        <v>14563151</v>
      </c>
      <c r="F1401" s="81">
        <v>29161</v>
      </c>
      <c r="G1401" s="81">
        <v>25</v>
      </c>
      <c r="H1401" s="82">
        <v>26.3</v>
      </c>
      <c r="I1401" s="251">
        <v>657.5</v>
      </c>
      <c r="J1401" s="9" t="s">
        <v>1305</v>
      </c>
      <c r="K1401" s="9" t="s">
        <v>1306</v>
      </c>
      <c r="L1401" s="83">
        <v>45200</v>
      </c>
      <c r="M1401" s="83">
        <v>45230</v>
      </c>
    </row>
    <row r="1402" spans="1:13" ht="18" customHeight="1" x14ac:dyDescent="0.25">
      <c r="A1402" s="9" t="s">
        <v>19</v>
      </c>
      <c r="B1402" s="81">
        <v>114092</v>
      </c>
      <c r="C1402" s="81">
        <v>10763</v>
      </c>
      <c r="D1402" s="9" t="s">
        <v>1000</v>
      </c>
      <c r="E1402" s="81">
        <v>14563151</v>
      </c>
      <c r="F1402" s="81">
        <v>34337</v>
      </c>
      <c r="G1402" s="81">
        <v>25</v>
      </c>
      <c r="H1402" s="82">
        <v>26.3</v>
      </c>
      <c r="I1402" s="251">
        <v>657.5</v>
      </c>
      <c r="J1402" s="9" t="s">
        <v>1305</v>
      </c>
      <c r="K1402" s="9" t="s">
        <v>1306</v>
      </c>
      <c r="L1402" s="83">
        <v>45200</v>
      </c>
      <c r="M1402" s="83">
        <v>45230</v>
      </c>
    </row>
    <row r="1403" spans="1:13" ht="18" customHeight="1" x14ac:dyDescent="0.25">
      <c r="A1403" s="9" t="s">
        <v>19</v>
      </c>
      <c r="B1403" s="81">
        <v>112250</v>
      </c>
      <c r="C1403" s="81">
        <v>10757</v>
      </c>
      <c r="D1403" s="9" t="s">
        <v>62</v>
      </c>
      <c r="E1403" s="81">
        <v>14563151</v>
      </c>
      <c r="F1403" s="81">
        <v>28935</v>
      </c>
      <c r="G1403" s="81">
        <v>25</v>
      </c>
      <c r="H1403" s="82">
        <v>26.3</v>
      </c>
      <c r="I1403" s="251">
        <v>657.5</v>
      </c>
      <c r="J1403" s="9" t="s">
        <v>1305</v>
      </c>
      <c r="K1403" s="9" t="s">
        <v>1306</v>
      </c>
      <c r="L1403" s="83">
        <v>45200</v>
      </c>
      <c r="M1403" s="83">
        <v>45230</v>
      </c>
    </row>
    <row r="1404" spans="1:13" ht="18" customHeight="1" x14ac:dyDescent="0.25">
      <c r="A1404" s="9" t="s">
        <v>0</v>
      </c>
      <c r="B1404" s="81">
        <v>112893</v>
      </c>
      <c r="C1404" s="81">
        <v>10771</v>
      </c>
      <c r="D1404" s="9" t="s">
        <v>481</v>
      </c>
      <c r="E1404" s="81">
        <v>14563151</v>
      </c>
      <c r="F1404" s="81">
        <v>30221</v>
      </c>
      <c r="G1404" s="81">
        <v>25</v>
      </c>
      <c r="H1404" s="82">
        <v>26.3</v>
      </c>
      <c r="I1404" s="251">
        <v>657.5</v>
      </c>
      <c r="J1404" s="9" t="s">
        <v>1305</v>
      </c>
      <c r="K1404" s="9" t="s">
        <v>1306</v>
      </c>
      <c r="L1404" s="83">
        <v>45200</v>
      </c>
      <c r="M1404" s="83">
        <v>45230</v>
      </c>
    </row>
    <row r="1405" spans="1:13" ht="18" customHeight="1" x14ac:dyDescent="0.25">
      <c r="A1405" s="9" t="s">
        <v>1578</v>
      </c>
      <c r="B1405" s="81">
        <v>112896</v>
      </c>
      <c r="C1405" s="81">
        <v>10761</v>
      </c>
      <c r="D1405" s="9" t="s">
        <v>483</v>
      </c>
      <c r="E1405" s="81">
        <v>14563151</v>
      </c>
      <c r="F1405" s="81">
        <v>30227</v>
      </c>
      <c r="G1405" s="81">
        <v>25</v>
      </c>
      <c r="H1405" s="82">
        <v>26.3</v>
      </c>
      <c r="I1405" s="251">
        <v>657.5</v>
      </c>
      <c r="J1405" s="9" t="s">
        <v>1305</v>
      </c>
      <c r="K1405" s="9" t="s">
        <v>1306</v>
      </c>
      <c r="L1405" s="83">
        <v>45200</v>
      </c>
      <c r="M1405" s="83">
        <v>45230</v>
      </c>
    </row>
    <row r="1406" spans="1:13" ht="18" customHeight="1" x14ac:dyDescent="0.25">
      <c r="A1406" s="9" t="s">
        <v>10</v>
      </c>
      <c r="B1406" s="81">
        <v>112368</v>
      </c>
      <c r="C1406" s="81">
        <v>10760</v>
      </c>
      <c r="D1406" s="9" t="s">
        <v>134</v>
      </c>
      <c r="E1406" s="81">
        <v>14563151</v>
      </c>
      <c r="F1406" s="81">
        <v>29171</v>
      </c>
      <c r="G1406" s="81">
        <v>25</v>
      </c>
      <c r="H1406" s="82">
        <v>26.3</v>
      </c>
      <c r="I1406" s="251">
        <v>657.5</v>
      </c>
      <c r="J1406" s="9" t="s">
        <v>1305</v>
      </c>
      <c r="K1406" s="9" t="s">
        <v>1306</v>
      </c>
      <c r="L1406" s="83">
        <v>45200</v>
      </c>
      <c r="M1406" s="83">
        <v>45230</v>
      </c>
    </row>
    <row r="1407" spans="1:13" ht="18" customHeight="1" x14ac:dyDescent="0.25">
      <c r="A1407" s="9" t="s">
        <v>8</v>
      </c>
      <c r="B1407" s="81">
        <v>112626</v>
      </c>
      <c r="C1407" s="81">
        <v>10755</v>
      </c>
      <c r="D1407" s="9" t="s">
        <v>306</v>
      </c>
      <c r="E1407" s="81">
        <v>14563151</v>
      </c>
      <c r="F1407" s="81">
        <v>29687</v>
      </c>
      <c r="G1407" s="81">
        <v>25</v>
      </c>
      <c r="H1407" s="82">
        <v>26.3</v>
      </c>
      <c r="I1407" s="251">
        <v>657.5</v>
      </c>
      <c r="J1407" s="9" t="s">
        <v>1305</v>
      </c>
      <c r="K1407" s="9" t="s">
        <v>1306</v>
      </c>
      <c r="L1407" s="83">
        <v>45200</v>
      </c>
      <c r="M1407" s="83">
        <v>45230</v>
      </c>
    </row>
    <row r="1408" spans="1:13" ht="18" customHeight="1" x14ac:dyDescent="0.25">
      <c r="A1408" s="9" t="s">
        <v>1580</v>
      </c>
      <c r="B1408" s="81">
        <v>113846</v>
      </c>
      <c r="C1408" s="81">
        <v>10774</v>
      </c>
      <c r="D1408" s="9" t="s">
        <v>984</v>
      </c>
      <c r="E1408" s="81">
        <v>14563151</v>
      </c>
      <c r="F1408" s="81">
        <v>33631</v>
      </c>
      <c r="G1408" s="81">
        <v>25</v>
      </c>
      <c r="H1408" s="82">
        <v>26.3</v>
      </c>
      <c r="I1408" s="251">
        <v>657.5</v>
      </c>
      <c r="J1408" s="9" t="s">
        <v>1305</v>
      </c>
      <c r="K1408" s="9" t="s">
        <v>1306</v>
      </c>
      <c r="L1408" s="83">
        <v>45200</v>
      </c>
      <c r="M1408" s="83">
        <v>45230</v>
      </c>
    </row>
    <row r="1409" spans="1:13" ht="18" customHeight="1" x14ac:dyDescent="0.25">
      <c r="A1409" s="9" t="s">
        <v>1578</v>
      </c>
      <c r="B1409" s="81">
        <v>112898</v>
      </c>
      <c r="C1409" s="81">
        <v>10761</v>
      </c>
      <c r="D1409" s="9" t="s">
        <v>485</v>
      </c>
      <c r="E1409" s="81">
        <v>14563151</v>
      </c>
      <c r="F1409" s="81">
        <v>30231</v>
      </c>
      <c r="G1409" s="81">
        <v>25</v>
      </c>
      <c r="H1409" s="82">
        <v>26.3</v>
      </c>
      <c r="I1409" s="251">
        <v>657.5</v>
      </c>
      <c r="J1409" s="9" t="s">
        <v>1305</v>
      </c>
      <c r="K1409" s="9" t="s">
        <v>1306</v>
      </c>
      <c r="L1409" s="83">
        <v>45200</v>
      </c>
      <c r="M1409" s="83">
        <v>45230</v>
      </c>
    </row>
    <row r="1410" spans="1:13" ht="18" customHeight="1" x14ac:dyDescent="0.25">
      <c r="A1410" s="9" t="s">
        <v>8</v>
      </c>
      <c r="B1410" s="81">
        <v>112618</v>
      </c>
      <c r="C1410" s="81">
        <v>10771</v>
      </c>
      <c r="D1410" s="9" t="s">
        <v>301</v>
      </c>
      <c r="E1410" s="81">
        <v>14563151</v>
      </c>
      <c r="F1410" s="81">
        <v>29671</v>
      </c>
      <c r="G1410" s="81">
        <v>25</v>
      </c>
      <c r="H1410" s="82">
        <v>26.3</v>
      </c>
      <c r="I1410" s="251">
        <v>657.5</v>
      </c>
      <c r="J1410" s="9" t="s">
        <v>1305</v>
      </c>
      <c r="K1410" s="9" t="s">
        <v>1306</v>
      </c>
      <c r="L1410" s="83">
        <v>45200</v>
      </c>
      <c r="M1410" s="83">
        <v>45230</v>
      </c>
    </row>
    <row r="1411" spans="1:13" ht="18" customHeight="1" x14ac:dyDescent="0.25">
      <c r="A1411" s="9" t="s">
        <v>8</v>
      </c>
      <c r="B1411" s="81">
        <v>112628</v>
      </c>
      <c r="C1411" s="81">
        <v>10760</v>
      </c>
      <c r="D1411" s="9" t="s">
        <v>307</v>
      </c>
      <c r="E1411" s="81">
        <v>14563151</v>
      </c>
      <c r="F1411" s="81">
        <v>29691</v>
      </c>
      <c r="G1411" s="81">
        <v>25</v>
      </c>
      <c r="H1411" s="82">
        <v>26.3</v>
      </c>
      <c r="I1411" s="251">
        <v>657.5</v>
      </c>
      <c r="J1411" s="9" t="s">
        <v>1305</v>
      </c>
      <c r="K1411" s="9" t="s">
        <v>1306</v>
      </c>
      <c r="L1411" s="83">
        <v>45200</v>
      </c>
      <c r="M1411" s="83">
        <v>45230</v>
      </c>
    </row>
    <row r="1412" spans="1:13" ht="18" customHeight="1" x14ac:dyDescent="0.25">
      <c r="A1412" s="9" t="s">
        <v>1578</v>
      </c>
      <c r="B1412" s="81">
        <v>113932</v>
      </c>
      <c r="C1412" s="81">
        <v>10743</v>
      </c>
      <c r="D1412" s="9" t="s">
        <v>993</v>
      </c>
      <c r="E1412" s="81">
        <v>14563151</v>
      </c>
      <c r="F1412" s="81">
        <v>33840</v>
      </c>
      <c r="G1412" s="81">
        <v>25</v>
      </c>
      <c r="H1412" s="82">
        <v>26.3</v>
      </c>
      <c r="I1412" s="251">
        <v>657.5</v>
      </c>
      <c r="J1412" s="9" t="s">
        <v>1305</v>
      </c>
      <c r="K1412" s="9" t="s">
        <v>1309</v>
      </c>
      <c r="L1412" s="83">
        <v>45200</v>
      </c>
      <c r="M1412" s="83">
        <v>45230</v>
      </c>
    </row>
    <row r="1413" spans="1:13" ht="18" customHeight="1" x14ac:dyDescent="0.25">
      <c r="A1413" s="9" t="s">
        <v>8</v>
      </c>
      <c r="B1413" s="81">
        <v>119110</v>
      </c>
      <c r="C1413" s="81">
        <v>10757</v>
      </c>
      <c r="D1413" s="9" t="s">
        <v>1445</v>
      </c>
      <c r="E1413" s="81">
        <v>14563151</v>
      </c>
      <c r="F1413" s="81">
        <v>48243</v>
      </c>
      <c r="G1413" s="81">
        <v>25</v>
      </c>
      <c r="H1413" s="82">
        <v>26.3</v>
      </c>
      <c r="I1413" s="251">
        <v>657.5</v>
      </c>
      <c r="J1413" s="9" t="s">
        <v>1305</v>
      </c>
      <c r="K1413" s="9" t="s">
        <v>1306</v>
      </c>
      <c r="L1413" s="83">
        <v>45200</v>
      </c>
      <c r="M1413" s="83">
        <v>45230</v>
      </c>
    </row>
    <row r="1414" spans="1:13" ht="12.75" customHeight="1" x14ac:dyDescent="0.25">
      <c r="A1414" s="9" t="s">
        <v>0</v>
      </c>
      <c r="B1414" s="81">
        <v>114265</v>
      </c>
      <c r="C1414" s="81">
        <v>10766</v>
      </c>
      <c r="D1414" s="9" t="s">
        <v>1026</v>
      </c>
      <c r="E1414" s="81">
        <v>14563151</v>
      </c>
      <c r="F1414" s="81">
        <v>35810</v>
      </c>
      <c r="G1414" s="81">
        <v>25</v>
      </c>
      <c r="H1414" s="82">
        <v>26.3</v>
      </c>
      <c r="I1414" s="251">
        <v>657.5</v>
      </c>
      <c r="J1414" s="9" t="s">
        <v>1305</v>
      </c>
      <c r="K1414" s="9" t="s">
        <v>1306</v>
      </c>
      <c r="L1414" s="83">
        <v>45200</v>
      </c>
      <c r="M1414" s="83">
        <v>45230</v>
      </c>
    </row>
    <row r="1415" spans="1:13" ht="12.75" customHeight="1" x14ac:dyDescent="0.25">
      <c r="A1415" s="9" t="s">
        <v>0</v>
      </c>
      <c r="B1415" s="81">
        <v>112905</v>
      </c>
      <c r="C1415" s="81">
        <v>10757</v>
      </c>
      <c r="D1415" s="9" t="s">
        <v>489</v>
      </c>
      <c r="E1415" s="81">
        <v>14563151</v>
      </c>
      <c r="F1415" s="81">
        <v>30245</v>
      </c>
      <c r="G1415" s="81">
        <v>25</v>
      </c>
      <c r="H1415" s="82">
        <v>26.3</v>
      </c>
      <c r="I1415" s="251">
        <v>657.5</v>
      </c>
      <c r="J1415" s="9" t="s">
        <v>1305</v>
      </c>
      <c r="K1415" s="9" t="s">
        <v>1306</v>
      </c>
      <c r="L1415" s="83">
        <v>45200</v>
      </c>
      <c r="M1415" s="83">
        <v>45230</v>
      </c>
    </row>
    <row r="1416" spans="1:13" ht="12.75" customHeight="1" x14ac:dyDescent="0.25">
      <c r="A1416" s="9" t="s">
        <v>1578</v>
      </c>
      <c r="B1416" s="81">
        <v>112907</v>
      </c>
      <c r="C1416" s="81">
        <v>10767</v>
      </c>
      <c r="D1416" s="9" t="s">
        <v>490</v>
      </c>
      <c r="E1416" s="81">
        <v>14563151</v>
      </c>
      <c r="F1416" s="81">
        <v>30249</v>
      </c>
      <c r="G1416" s="81">
        <v>25</v>
      </c>
      <c r="H1416" s="82">
        <v>26.3</v>
      </c>
      <c r="I1416" s="251">
        <v>657.5</v>
      </c>
      <c r="J1416" s="9" t="s">
        <v>1305</v>
      </c>
      <c r="K1416" s="9" t="s">
        <v>1306</v>
      </c>
      <c r="L1416" s="83">
        <v>45200</v>
      </c>
      <c r="M1416" s="83">
        <v>45230</v>
      </c>
    </row>
    <row r="1417" spans="1:13" ht="12.75" customHeight="1" x14ac:dyDescent="0.25">
      <c r="A1417" s="9" t="s">
        <v>0</v>
      </c>
      <c r="B1417" s="81">
        <v>114748</v>
      </c>
      <c r="C1417" s="81">
        <v>10758</v>
      </c>
      <c r="D1417" s="9" t="s">
        <v>1088</v>
      </c>
      <c r="E1417" s="81">
        <v>14563151</v>
      </c>
      <c r="F1417" s="81">
        <v>36945</v>
      </c>
      <c r="G1417" s="81">
        <v>25</v>
      </c>
      <c r="H1417" s="82">
        <v>26.3</v>
      </c>
      <c r="I1417" s="251">
        <v>657.5</v>
      </c>
      <c r="J1417" s="9" t="s">
        <v>1305</v>
      </c>
      <c r="K1417" s="9" t="s">
        <v>1306</v>
      </c>
      <c r="L1417" s="83">
        <v>45200</v>
      </c>
      <c r="M1417" s="83">
        <v>45230</v>
      </c>
    </row>
    <row r="1418" spans="1:13" ht="12.75" customHeight="1" x14ac:dyDescent="0.25">
      <c r="A1418" s="9" t="s">
        <v>1578</v>
      </c>
      <c r="B1418" s="81">
        <v>114949</v>
      </c>
      <c r="C1418" s="81">
        <v>10762</v>
      </c>
      <c r="D1418" s="9" t="s">
        <v>1098</v>
      </c>
      <c r="E1418" s="81">
        <v>14563151</v>
      </c>
      <c r="F1418" s="81">
        <v>37675</v>
      </c>
      <c r="G1418" s="81">
        <v>25</v>
      </c>
      <c r="H1418" s="82">
        <v>26.3</v>
      </c>
      <c r="I1418" s="251">
        <v>657.5</v>
      </c>
      <c r="J1418" s="9" t="s">
        <v>1305</v>
      </c>
      <c r="K1418" s="9" t="s">
        <v>1306</v>
      </c>
      <c r="L1418" s="83">
        <v>45200</v>
      </c>
      <c r="M1418" s="83">
        <v>45230</v>
      </c>
    </row>
    <row r="1419" spans="1:13" ht="12.75" customHeight="1" x14ac:dyDescent="0.25">
      <c r="A1419" s="9" t="s">
        <v>1246</v>
      </c>
      <c r="B1419" s="81">
        <v>113883</v>
      </c>
      <c r="C1419" s="81">
        <v>10773</v>
      </c>
      <c r="D1419" s="9" t="s">
        <v>1247</v>
      </c>
      <c r="E1419" s="81">
        <v>14563151</v>
      </c>
      <c r="F1419" s="81">
        <v>33718</v>
      </c>
      <c r="G1419" s="81">
        <v>21</v>
      </c>
      <c r="H1419" s="82">
        <v>60</v>
      </c>
      <c r="I1419" s="251">
        <v>1260</v>
      </c>
      <c r="J1419" s="9" t="s">
        <v>1305</v>
      </c>
      <c r="K1419" s="9" t="s">
        <v>1386</v>
      </c>
      <c r="L1419" s="83">
        <v>45200</v>
      </c>
      <c r="M1419" s="83">
        <v>45230</v>
      </c>
    </row>
    <row r="1420" spans="1:13" ht="12.75" customHeight="1" x14ac:dyDescent="0.25">
      <c r="A1420" s="9" t="s">
        <v>1578</v>
      </c>
      <c r="B1420" s="81">
        <v>112376</v>
      </c>
      <c r="C1420" s="81">
        <v>10771</v>
      </c>
      <c r="D1420" s="9" t="s">
        <v>138</v>
      </c>
      <c r="E1420" s="81">
        <v>14563151</v>
      </c>
      <c r="F1420" s="81">
        <v>29187</v>
      </c>
      <c r="G1420" s="81">
        <v>24</v>
      </c>
      <c r="H1420" s="82">
        <v>26.3</v>
      </c>
      <c r="I1420" s="251">
        <v>631.20000000000005</v>
      </c>
      <c r="J1420" s="9" t="s">
        <v>1305</v>
      </c>
      <c r="K1420" s="9" t="s">
        <v>1306</v>
      </c>
      <c r="L1420" s="83">
        <v>45200</v>
      </c>
      <c r="M1420" s="83">
        <v>45230</v>
      </c>
    </row>
    <row r="1421" spans="1:13" ht="12.75" customHeight="1" x14ac:dyDescent="0.25">
      <c r="A1421" s="9" t="s">
        <v>1578</v>
      </c>
      <c r="B1421" s="81">
        <v>112911</v>
      </c>
      <c r="C1421" s="81">
        <v>10761</v>
      </c>
      <c r="D1421" s="9" t="s">
        <v>493</v>
      </c>
      <c r="E1421" s="81">
        <v>14563151</v>
      </c>
      <c r="F1421" s="81">
        <v>30257</v>
      </c>
      <c r="G1421" s="81">
        <v>25</v>
      </c>
      <c r="H1421" s="82">
        <v>26.3</v>
      </c>
      <c r="I1421" s="251">
        <v>657.5</v>
      </c>
      <c r="J1421" s="9" t="s">
        <v>1305</v>
      </c>
      <c r="K1421" s="9" t="s">
        <v>1306</v>
      </c>
      <c r="L1421" s="83">
        <v>45200</v>
      </c>
      <c r="M1421" s="83">
        <v>45230</v>
      </c>
    </row>
    <row r="1422" spans="1:13" ht="12.75" customHeight="1" x14ac:dyDescent="0.25">
      <c r="A1422" s="9" t="s">
        <v>0</v>
      </c>
      <c r="B1422" s="81">
        <v>112683</v>
      </c>
      <c r="C1422" s="81">
        <v>10757</v>
      </c>
      <c r="D1422" s="9" t="s">
        <v>338</v>
      </c>
      <c r="E1422" s="81">
        <v>14563151</v>
      </c>
      <c r="F1422" s="81">
        <v>29801</v>
      </c>
      <c r="G1422" s="81">
        <v>25</v>
      </c>
      <c r="H1422" s="82">
        <v>26.3</v>
      </c>
      <c r="I1422" s="251">
        <v>657.5</v>
      </c>
      <c r="J1422" s="9" t="s">
        <v>1305</v>
      </c>
      <c r="K1422" s="9" t="s">
        <v>1306</v>
      </c>
      <c r="L1422" s="83">
        <v>45200</v>
      </c>
      <c r="M1422" s="83">
        <v>45230</v>
      </c>
    </row>
    <row r="1423" spans="1:13" ht="12.75" customHeight="1" x14ac:dyDescent="0.25">
      <c r="A1423" s="9" t="s">
        <v>1578</v>
      </c>
      <c r="B1423" s="81">
        <v>112805</v>
      </c>
      <c r="C1423" s="81">
        <v>10743</v>
      </c>
      <c r="D1423" s="9" t="s">
        <v>423</v>
      </c>
      <c r="E1423" s="81">
        <v>14563151</v>
      </c>
      <c r="F1423" s="81">
        <v>30045</v>
      </c>
      <c r="G1423" s="81">
        <v>25</v>
      </c>
      <c r="H1423" s="82">
        <v>26.3</v>
      </c>
      <c r="I1423" s="251">
        <v>657.5</v>
      </c>
      <c r="J1423" s="9" t="s">
        <v>1305</v>
      </c>
      <c r="K1423" s="9" t="s">
        <v>1309</v>
      </c>
      <c r="L1423" s="83">
        <v>45200</v>
      </c>
      <c r="M1423" s="83">
        <v>45230</v>
      </c>
    </row>
    <row r="1424" spans="1:13" ht="12.75" customHeight="1" x14ac:dyDescent="0.25">
      <c r="A1424" s="9" t="s">
        <v>10</v>
      </c>
      <c r="B1424" s="81">
        <v>112685</v>
      </c>
      <c r="C1424" s="81">
        <v>10763</v>
      </c>
      <c r="D1424" s="9" t="s">
        <v>340</v>
      </c>
      <c r="E1424" s="81">
        <v>14563151</v>
      </c>
      <c r="F1424" s="81">
        <v>29805</v>
      </c>
      <c r="G1424" s="81">
        <v>25</v>
      </c>
      <c r="H1424" s="82">
        <v>26.3</v>
      </c>
      <c r="I1424" s="251">
        <v>657.5</v>
      </c>
      <c r="J1424" s="9" t="s">
        <v>1305</v>
      </c>
      <c r="K1424" s="9" t="s">
        <v>1306</v>
      </c>
      <c r="L1424" s="83">
        <v>45200</v>
      </c>
      <c r="M1424" s="83">
        <v>45230</v>
      </c>
    </row>
    <row r="1425" spans="1:13" ht="12.75" customHeight="1" x14ac:dyDescent="0.25">
      <c r="A1425" s="9" t="s">
        <v>1578</v>
      </c>
      <c r="B1425" s="81">
        <v>112918</v>
      </c>
      <c r="C1425" s="81">
        <v>10768</v>
      </c>
      <c r="D1425" s="9" t="s">
        <v>496</v>
      </c>
      <c r="E1425" s="81">
        <v>14563151</v>
      </c>
      <c r="F1425" s="81">
        <v>30271</v>
      </c>
      <c r="G1425" s="81">
        <v>25</v>
      </c>
      <c r="H1425" s="82">
        <v>26.3</v>
      </c>
      <c r="I1425" s="251">
        <v>657.5</v>
      </c>
      <c r="J1425" s="9" t="s">
        <v>1305</v>
      </c>
      <c r="K1425" s="9" t="s">
        <v>1306</v>
      </c>
      <c r="L1425" s="83">
        <v>45200</v>
      </c>
      <c r="M1425" s="83">
        <v>45230</v>
      </c>
    </row>
    <row r="1426" spans="1:13" ht="12.75" customHeight="1" x14ac:dyDescent="0.25">
      <c r="I1426" s="31">
        <f>SUM(I2:I1425)</f>
        <v>932990.09999999963</v>
      </c>
    </row>
  </sheetData>
  <autoFilter ref="A1:M1426" xr:uid="{022ED66D-0644-4325-9EFB-2B403508CC4B}">
    <sortState xmlns:xlrd2="http://schemas.microsoft.com/office/spreadsheetml/2017/richdata2" ref="A2:M1426">
      <sortCondition ref="D1:D1426"/>
    </sortState>
  </autoFilter>
  <pageMargins left="0.78740157480314998" right="0.78740157480314998" top="0.78740157480314998" bottom="0.78740157480314998" header="0.39370078740157499" footer="0.39370078740157499"/>
  <pageSetup paperSize="9" fitToWidth="0" fitToHeight="0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56EB5-9FCB-46D1-AC5D-435038949EEA}">
  <sheetPr codeName="Planilha10"/>
  <dimension ref="A1:E14"/>
  <sheetViews>
    <sheetView view="pageBreakPreview" zoomScaleNormal="100" zoomScaleSheetLayoutView="100" workbookViewId="0">
      <selection activeCell="L12" sqref="L12"/>
    </sheetView>
  </sheetViews>
  <sheetFormatPr defaultRowHeight="12.5" x14ac:dyDescent="0.25"/>
  <cols>
    <col min="1" max="1" width="12" customWidth="1"/>
    <col min="2" max="2" width="30.54296875" bestFit="1" customWidth="1"/>
    <col min="3" max="3" width="32" bestFit="1" customWidth="1"/>
    <col min="4" max="4" width="27.81640625" bestFit="1" customWidth="1"/>
    <col min="5" max="5" width="11.54296875" customWidth="1"/>
  </cols>
  <sheetData>
    <row r="1" spans="1:5" ht="19" thickBot="1" x14ac:dyDescent="0.3">
      <c r="A1" s="294" t="s">
        <v>1667</v>
      </c>
      <c r="B1" s="295"/>
      <c r="C1" s="295"/>
      <c r="D1" s="295"/>
      <c r="E1" s="296"/>
    </row>
    <row r="2" spans="1:5" ht="14.5" x14ac:dyDescent="0.25">
      <c r="A2" s="219" t="s">
        <v>1225</v>
      </c>
      <c r="B2" s="220" t="s">
        <v>1227</v>
      </c>
      <c r="C2" s="220" t="s">
        <v>1228</v>
      </c>
      <c r="D2" s="221" t="s">
        <v>1226</v>
      </c>
      <c r="E2" s="219" t="s">
        <v>1668</v>
      </c>
    </row>
    <row r="3" spans="1:5" ht="14.5" x14ac:dyDescent="0.25">
      <c r="A3" s="222">
        <v>113512</v>
      </c>
      <c r="B3" s="288" t="str">
        <f>VLOOKUP(A3,'MES A MES'!A:D,2,0)</f>
        <v>EDMUNDO DE OLIVEIRA SOUZA</v>
      </c>
      <c r="C3" s="288" t="str">
        <f>VLOOKUP(A3,'MES A MES'!A:E,3,0)</f>
        <v>AJUDANTE EQ SERVICOS DIVERSOS</v>
      </c>
      <c r="D3" s="288" t="str">
        <f>VLOOKUP(A3,'MES A MES'!A:F,4,0)</f>
        <v>ECOSAMPA Capela do Socorro</v>
      </c>
      <c r="E3" s="223">
        <v>7.82</v>
      </c>
    </row>
    <row r="4" spans="1:5" ht="14.5" x14ac:dyDescent="0.25">
      <c r="A4" s="222">
        <v>113155</v>
      </c>
      <c r="B4" s="288" t="str">
        <f>VLOOKUP(A4,'MES A MES'!A:D,2,0)</f>
        <v>MANOEL OLIVEIRA NETO</v>
      </c>
      <c r="C4" s="288" t="str">
        <f>VLOOKUP(A4,'MES A MES'!A:E,3,0)</f>
        <v>MOTORISTA CAMINHAO</v>
      </c>
      <c r="D4" s="288" t="str">
        <f>VLOOKUP(A4,'MES A MES'!A:F,4,0)</f>
        <v>ECOSAMPA Operação Geral</v>
      </c>
      <c r="E4" s="223">
        <v>7.82</v>
      </c>
    </row>
    <row r="5" spans="1:5" ht="14.5" x14ac:dyDescent="0.25">
      <c r="A5" s="222">
        <v>113589</v>
      </c>
      <c r="B5" s="288" t="str">
        <f>VLOOKUP(A5,'MES A MES'!A:D,2,0)</f>
        <v>EDUARDO APARECIDO DE MORAES</v>
      </c>
      <c r="C5" s="288" t="str">
        <f>VLOOKUP(A5,'MES A MES'!A:E,3,0)</f>
        <v>AJUDANTE EQ SERVICOS DIVERSOS</v>
      </c>
      <c r="D5" s="288" t="str">
        <f>VLOOKUP(A5,'MES A MES'!A:F,4,0)</f>
        <v>ECOSAMPA Campo Limpo</v>
      </c>
      <c r="E5" s="223">
        <v>7.82</v>
      </c>
    </row>
    <row r="6" spans="1:5" ht="14.5" x14ac:dyDescent="0.25">
      <c r="A6" s="222">
        <v>122235</v>
      </c>
      <c r="B6" s="288" t="str">
        <f>VLOOKUP(A6,'MES A MES'!A:D,2,0)</f>
        <v>LUIZ CARLOS DE OLIVEIRA</v>
      </c>
      <c r="C6" s="288" t="str">
        <f>VLOOKUP(A6,'MES A MES'!A:E,3,0)</f>
        <v>MOTORISTA CAMINHAO</v>
      </c>
      <c r="D6" s="288" t="str">
        <f>VLOOKUP(A6,'MES A MES'!A:F,4,0)</f>
        <v>ECOSAMPA Operação Geral</v>
      </c>
      <c r="E6" s="223">
        <v>7.82</v>
      </c>
    </row>
    <row r="7" spans="1:5" ht="14.5" x14ac:dyDescent="0.25">
      <c r="A7" s="222">
        <v>116726</v>
      </c>
      <c r="B7" s="288" t="str">
        <f>VLOOKUP(A7,'MES A MES'!A:D,2,0)</f>
        <v>ERIC DOS SANTOS PINTO</v>
      </c>
      <c r="C7" s="288" t="str">
        <f>VLOOKUP(A7,'MES A MES'!A:E,3,0)</f>
        <v>VARREDOR</v>
      </c>
      <c r="D7" s="288" t="str">
        <f>VLOOKUP(A7,'MES A MES'!A:F,4,0)</f>
        <v>ECOSAMPA M'Boi Mirim</v>
      </c>
      <c r="E7" s="223">
        <v>7.82</v>
      </c>
    </row>
    <row r="8" spans="1:5" ht="14.5" x14ac:dyDescent="0.25">
      <c r="A8" s="222">
        <v>114942</v>
      </c>
      <c r="B8" s="288" t="str">
        <f>VLOOKUP(A8,'MES A MES'!A:D,2,0)</f>
        <v>IGOR SANTOS SILVA</v>
      </c>
      <c r="C8" s="288" t="str">
        <f>VLOOKUP(A8,'MES A MES'!A:E,3,0)</f>
        <v>COLETOR</v>
      </c>
      <c r="D8" s="288" t="str">
        <f>VLOOKUP(A8,'MES A MES'!A:F,4,0)</f>
        <v>ECOSAMPA Operação Geral</v>
      </c>
      <c r="E8" s="223">
        <v>7.82</v>
      </c>
    </row>
    <row r="9" spans="1:5" ht="14.5" x14ac:dyDescent="0.25">
      <c r="A9" s="222">
        <v>112614</v>
      </c>
      <c r="B9" s="288" t="str">
        <f>VLOOKUP(A9,'MES A MES'!A:D,2,0)</f>
        <v>WENSYLL SANTOS DE ARAUJO</v>
      </c>
      <c r="C9" s="288" t="str">
        <f>VLOOKUP(A9,'MES A MES'!A:E,3,0)</f>
        <v>AJUDANTE EQ SERVICOS DIVERSOS</v>
      </c>
      <c r="D9" s="288" t="str">
        <f>VLOOKUP(A9,'MES A MES'!A:F,4,0)</f>
        <v>ECOSAMPA Capela do Socorro</v>
      </c>
      <c r="E9" s="223">
        <v>7.82</v>
      </c>
    </row>
    <row r="10" spans="1:5" ht="15" thickBot="1" x14ac:dyDescent="0.3">
      <c r="A10" s="289">
        <v>112875</v>
      </c>
      <c r="B10" s="290" t="str">
        <f>VLOOKUP(A10,'MES A MES'!A:D,2,0)</f>
        <v>CRISTIANO DA SILVA GOMES</v>
      </c>
      <c r="C10" s="290" t="str">
        <f>VLOOKUP(A10,'MES A MES'!A:E,3,0)</f>
        <v>MOTORISTA CAMINHAO</v>
      </c>
      <c r="D10" s="290" t="str">
        <f>VLOOKUP(A10,'MES A MES'!A:F,4,0)</f>
        <v>ECOSAMPA Operação Geral</v>
      </c>
      <c r="E10" s="291">
        <v>7.82</v>
      </c>
    </row>
    <row r="11" spans="1:5" ht="19" thickBot="1" x14ac:dyDescent="0.3">
      <c r="A11" s="292"/>
      <c r="B11" s="292"/>
      <c r="C11" s="292"/>
      <c r="D11" s="292"/>
      <c r="E11" s="293">
        <f>SUM(E3:E10)</f>
        <v>62.56</v>
      </c>
    </row>
    <row r="14" spans="1:5" x14ac:dyDescent="0.25">
      <c r="B14" s="176"/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scale="82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F4CEF-8118-424C-A30D-15CF1782DBEF}">
  <sheetPr codeName="Planilha6"/>
  <dimension ref="A1:E45"/>
  <sheetViews>
    <sheetView topLeftCell="A16" zoomScaleNormal="100" workbookViewId="0">
      <selection activeCell="A18" sqref="A18:C29"/>
    </sheetView>
  </sheetViews>
  <sheetFormatPr defaultRowHeight="12.5" x14ac:dyDescent="0.25"/>
  <cols>
    <col min="1" max="1" width="28.1796875" bestFit="1" customWidth="1"/>
    <col min="2" max="2" width="19.7265625" bestFit="1" customWidth="1"/>
    <col min="3" max="3" width="20.1796875" bestFit="1" customWidth="1"/>
    <col min="5" max="5" width="12.81640625" bestFit="1" customWidth="1"/>
  </cols>
  <sheetData>
    <row r="1" spans="1:4" ht="13" thickBot="1" x14ac:dyDescent="0.3">
      <c r="A1" s="11"/>
      <c r="B1" s="12"/>
      <c r="C1" s="11"/>
    </row>
    <row r="2" spans="1:4" ht="18.5" thickBot="1" x14ac:dyDescent="0.45">
      <c r="A2" s="297" t="s">
        <v>1649</v>
      </c>
      <c r="B2" s="298"/>
      <c r="C2" s="299"/>
    </row>
    <row r="3" spans="1:4" ht="13" x14ac:dyDescent="0.3">
      <c r="A3" s="13"/>
      <c r="B3" s="13"/>
      <c r="C3" s="13"/>
    </row>
    <row r="4" spans="1:4" ht="13" thickBot="1" x14ac:dyDescent="0.3"/>
    <row r="5" spans="1:4" ht="15.5" x14ac:dyDescent="0.35">
      <c r="A5" s="300" t="s">
        <v>1297</v>
      </c>
      <c r="B5" s="301"/>
      <c r="C5" s="302"/>
    </row>
    <row r="6" spans="1:4" ht="13" x14ac:dyDescent="0.3">
      <c r="A6" s="97" t="s">
        <v>1226</v>
      </c>
      <c r="B6" s="90" t="s">
        <v>1294</v>
      </c>
      <c r="C6" s="98" t="s">
        <v>1295</v>
      </c>
    </row>
    <row r="7" spans="1:4" x14ac:dyDescent="0.25">
      <c r="A7" s="99" t="s">
        <v>1580</v>
      </c>
      <c r="B7" s="91">
        <v>11309.399999999998</v>
      </c>
      <c r="C7" s="100">
        <f>B7</f>
        <v>11309.399999999998</v>
      </c>
    </row>
    <row r="8" spans="1:4" x14ac:dyDescent="0.25">
      <c r="A8" s="99" t="s">
        <v>10</v>
      </c>
      <c r="B8" s="91">
        <v>185933.95999999993</v>
      </c>
      <c r="C8" s="100">
        <f t="shared" ref="C8:C14" si="0">B8</f>
        <v>185933.95999999993</v>
      </c>
    </row>
    <row r="9" spans="1:4" x14ac:dyDescent="0.25">
      <c r="A9" s="99" t="s">
        <v>8</v>
      </c>
      <c r="B9" s="91">
        <v>228325.15999999968</v>
      </c>
      <c r="C9" s="100">
        <f t="shared" si="0"/>
        <v>228325.15999999968</v>
      </c>
    </row>
    <row r="10" spans="1:4" x14ac:dyDescent="0.25">
      <c r="A10" s="99" t="s">
        <v>19</v>
      </c>
      <c r="B10" s="91">
        <v>152571.23000000027</v>
      </c>
      <c r="C10" s="100">
        <f t="shared" si="0"/>
        <v>152571.23000000027</v>
      </c>
    </row>
    <row r="11" spans="1:4" x14ac:dyDescent="0.25">
      <c r="A11" s="99" t="s">
        <v>1578</v>
      </c>
      <c r="B11" s="91">
        <v>410637.90000000229</v>
      </c>
      <c r="C11" s="100">
        <f t="shared" si="0"/>
        <v>410637.90000000229</v>
      </c>
    </row>
    <row r="12" spans="1:4" x14ac:dyDescent="0.25">
      <c r="A12" s="99" t="s">
        <v>32</v>
      </c>
      <c r="B12" s="91">
        <v>60919.649999999958</v>
      </c>
      <c r="C12" s="100">
        <f t="shared" si="0"/>
        <v>60919.649999999958</v>
      </c>
    </row>
    <row r="13" spans="1:4" x14ac:dyDescent="0.25">
      <c r="A13" s="99" t="s">
        <v>1246</v>
      </c>
      <c r="B13" s="91">
        <v>2636.42</v>
      </c>
      <c r="C13" s="100">
        <f t="shared" si="0"/>
        <v>2636.42</v>
      </c>
    </row>
    <row r="14" spans="1:4" x14ac:dyDescent="0.25">
      <c r="A14" s="99" t="s">
        <v>0</v>
      </c>
      <c r="B14" s="91">
        <v>324588.19269230828</v>
      </c>
      <c r="C14" s="100">
        <f t="shared" si="0"/>
        <v>324588.19269230828</v>
      </c>
    </row>
    <row r="15" spans="1:4" ht="13" x14ac:dyDescent="0.3">
      <c r="A15" s="101" t="s">
        <v>1648</v>
      </c>
      <c r="B15" s="92"/>
      <c r="C15" s="102">
        <v>108.96</v>
      </c>
      <c r="D15" s="30"/>
    </row>
    <row r="16" spans="1:4" ht="13.5" thickBot="1" x14ac:dyDescent="0.35">
      <c r="A16" s="103" t="s">
        <v>1298</v>
      </c>
      <c r="B16" s="104">
        <f>SUM(B7:B15)</f>
        <v>1376921.9126923103</v>
      </c>
      <c r="C16" s="105">
        <f>SUM(C7:C15)</f>
        <v>1377030.8726923103</v>
      </c>
    </row>
    <row r="17" spans="1:3" ht="13" thickBot="1" x14ac:dyDescent="0.3">
      <c r="A17" s="14"/>
      <c r="B17" s="106"/>
      <c r="C17" s="106"/>
    </row>
    <row r="18" spans="1:3" ht="15.5" x14ac:dyDescent="0.35">
      <c r="A18" s="300" t="s">
        <v>1293</v>
      </c>
      <c r="B18" s="301"/>
      <c r="C18" s="302"/>
    </row>
    <row r="19" spans="1:3" ht="13" x14ac:dyDescent="0.3">
      <c r="A19" s="97" t="s">
        <v>1226</v>
      </c>
      <c r="B19" s="90" t="s">
        <v>1294</v>
      </c>
      <c r="C19" s="98" t="s">
        <v>1295</v>
      </c>
    </row>
    <row r="20" spans="1:3" x14ac:dyDescent="0.25">
      <c r="A20" s="160" t="s">
        <v>1580</v>
      </c>
      <c r="B20" s="161">
        <v>14824.46</v>
      </c>
      <c r="C20" s="100">
        <f t="shared" ref="C20:C27" si="1">B20</f>
        <v>14824.46</v>
      </c>
    </row>
    <row r="21" spans="1:3" x14ac:dyDescent="0.25">
      <c r="A21" s="160" t="s">
        <v>10</v>
      </c>
      <c r="B21" s="161">
        <v>7890</v>
      </c>
      <c r="C21" s="100">
        <f t="shared" si="1"/>
        <v>7890</v>
      </c>
    </row>
    <row r="22" spans="1:3" x14ac:dyDescent="0.25">
      <c r="A22" s="160" t="s">
        <v>8</v>
      </c>
      <c r="B22" s="161">
        <v>3945</v>
      </c>
      <c r="C22" s="100">
        <f t="shared" si="1"/>
        <v>3945</v>
      </c>
    </row>
    <row r="23" spans="1:3" x14ac:dyDescent="0.25">
      <c r="A23" s="160" t="s">
        <v>19</v>
      </c>
      <c r="B23" s="161">
        <v>3234.9</v>
      </c>
      <c r="C23" s="100">
        <f t="shared" si="1"/>
        <v>3234.9</v>
      </c>
    </row>
    <row r="24" spans="1:3" x14ac:dyDescent="0.25">
      <c r="A24" s="160" t="s">
        <v>1578</v>
      </c>
      <c r="B24" s="161">
        <v>19909.259999999998</v>
      </c>
      <c r="C24" s="100">
        <f t="shared" si="1"/>
        <v>19909.259999999998</v>
      </c>
    </row>
    <row r="25" spans="1:3" x14ac:dyDescent="0.25">
      <c r="A25" s="160" t="s">
        <v>32</v>
      </c>
      <c r="B25" s="161">
        <v>3620.66</v>
      </c>
      <c r="C25" s="100">
        <f t="shared" si="1"/>
        <v>3620.66</v>
      </c>
    </row>
    <row r="26" spans="1:3" x14ac:dyDescent="0.25">
      <c r="A26" s="160" t="s">
        <v>1246</v>
      </c>
      <c r="B26" s="161">
        <v>2934.46</v>
      </c>
      <c r="C26" s="100">
        <f t="shared" si="1"/>
        <v>2934.46</v>
      </c>
    </row>
    <row r="27" spans="1:3" x14ac:dyDescent="0.25">
      <c r="A27" s="160" t="s">
        <v>0</v>
      </c>
      <c r="B27" s="161">
        <v>9266.42</v>
      </c>
      <c r="C27" s="100">
        <f t="shared" si="1"/>
        <v>9266.42</v>
      </c>
    </row>
    <row r="28" spans="1:3" ht="13" x14ac:dyDescent="0.3">
      <c r="A28" s="101" t="s">
        <v>1648</v>
      </c>
      <c r="B28" s="93"/>
      <c r="C28" s="107">
        <v>24.11</v>
      </c>
    </row>
    <row r="29" spans="1:3" ht="13.5" thickBot="1" x14ac:dyDescent="0.35">
      <c r="A29" s="88" t="s">
        <v>1296</v>
      </c>
      <c r="B29" s="89">
        <f>SUM(B20:B28)</f>
        <v>65625.16</v>
      </c>
      <c r="C29" s="108">
        <f t="shared" ref="C29" si="2">SUM(C20:C28)</f>
        <v>65649.27</v>
      </c>
    </row>
    <row r="31" spans="1:3" ht="13" thickBot="1" x14ac:dyDescent="0.3">
      <c r="A31" s="11"/>
      <c r="B31" s="12"/>
      <c r="C31" s="15"/>
    </row>
    <row r="32" spans="1:3" s="17" customFormat="1" ht="24" customHeight="1" thickBot="1" x14ac:dyDescent="0.3">
      <c r="A32" s="94" t="s">
        <v>1299</v>
      </c>
      <c r="B32" s="95">
        <f>B29+B16</f>
        <v>1442547.0726923102</v>
      </c>
      <c r="C32" s="96">
        <f>C16+C29</f>
        <v>1442680.1426923103</v>
      </c>
    </row>
    <row r="33" spans="1:5" x14ac:dyDescent="0.25">
      <c r="A33" s="11"/>
      <c r="B33" s="12"/>
      <c r="C33" s="15"/>
    </row>
    <row r="34" spans="1:5" x14ac:dyDescent="0.25">
      <c r="A34" s="16"/>
      <c r="B34" s="16"/>
      <c r="C34" s="15"/>
      <c r="E34" s="29"/>
    </row>
    <row r="35" spans="1:5" ht="13" thickBot="1" x14ac:dyDescent="0.3">
      <c r="A35" s="16"/>
      <c r="B35" s="16"/>
      <c r="C35" s="15"/>
    </row>
    <row r="36" spans="1:5" ht="16" thickBot="1" x14ac:dyDescent="0.4">
      <c r="A36" s="76" t="s">
        <v>1300</v>
      </c>
      <c r="B36" s="77">
        <v>45079</v>
      </c>
      <c r="C36" s="11"/>
    </row>
    <row r="37" spans="1:5" x14ac:dyDescent="0.25">
      <c r="A37" s="16"/>
      <c r="B37" s="16"/>
      <c r="C37" s="11"/>
    </row>
    <row r="39" spans="1:5" x14ac:dyDescent="0.25">
      <c r="C39" s="33"/>
    </row>
    <row r="40" spans="1:5" x14ac:dyDescent="0.25">
      <c r="A40" s="29"/>
      <c r="B40" s="29"/>
    </row>
    <row r="41" spans="1:5" x14ac:dyDescent="0.25">
      <c r="A41" s="29"/>
      <c r="B41" s="29"/>
    </row>
    <row r="42" spans="1:5" x14ac:dyDescent="0.25">
      <c r="A42" s="29"/>
      <c r="B42" s="29"/>
    </row>
    <row r="43" spans="1:5" x14ac:dyDescent="0.25">
      <c r="A43" s="29"/>
      <c r="B43" s="29"/>
    </row>
    <row r="44" spans="1:5" x14ac:dyDescent="0.25">
      <c r="A44" s="29"/>
      <c r="B44" s="29"/>
    </row>
    <row r="45" spans="1:5" x14ac:dyDescent="0.25">
      <c r="A45" s="29"/>
      <c r="B45" s="29"/>
    </row>
  </sheetData>
  <mergeCells count="3">
    <mergeCell ref="A2:C2"/>
    <mergeCell ref="A18:C18"/>
    <mergeCell ref="A5:C5"/>
  </mergeCells>
  <pageMargins left="0.511811024" right="0.511811024" top="0.78740157499999996" bottom="0.78740157499999996" header="0.31496062000000002" footer="0.31496062000000002"/>
  <pageSetup paperSize="9" scale="96" orientation="portrait" r:id="rId1"/>
  <colBreaks count="1" manualBreakCount="1">
    <brk id="3" max="31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17766-412A-423B-94A6-AD0EFF5291D8}">
  <sheetPr codeName="Planilha5">
    <pageSetUpPr fitToPage="1"/>
  </sheetPr>
  <dimension ref="A1:S40"/>
  <sheetViews>
    <sheetView view="pageBreakPreview" topLeftCell="A13" zoomScale="66" zoomScaleNormal="66" zoomScaleSheetLayoutView="66" workbookViewId="0">
      <selection activeCell="F47" sqref="F47"/>
    </sheetView>
  </sheetViews>
  <sheetFormatPr defaultColWidth="9.1796875" defaultRowHeight="14" x14ac:dyDescent="0.3"/>
  <cols>
    <col min="1" max="1" width="43.81640625" style="20" customWidth="1"/>
    <col min="2" max="2" width="27.26953125" style="27" customWidth="1"/>
    <col min="3" max="3" width="17.1796875" style="20" customWidth="1"/>
    <col min="4" max="4" width="27.26953125" style="27" customWidth="1"/>
    <col min="5" max="5" width="17.1796875" style="20" customWidth="1"/>
    <col min="6" max="6" width="27.26953125" style="21" customWidth="1"/>
    <col min="7" max="7" width="17.1796875" style="22" customWidth="1"/>
    <col min="8" max="8" width="27.26953125" style="22" customWidth="1"/>
    <col min="9" max="9" width="17.1796875" style="23" customWidth="1"/>
    <col min="10" max="10" width="27.453125" style="22" customWidth="1"/>
    <col min="11" max="11" width="16" style="23" bestFit="1" customWidth="1"/>
    <col min="12" max="12" width="34.54296875" style="20" bestFit="1" customWidth="1"/>
    <col min="13" max="13" width="13.1796875" style="21" customWidth="1"/>
    <col min="14" max="15" width="9.1796875" style="20"/>
    <col min="16" max="16" width="8.81640625" style="20" customWidth="1"/>
    <col min="17" max="17" width="32" style="20" bestFit="1" customWidth="1"/>
    <col min="18" max="18" width="16.54296875" style="20" bestFit="1" customWidth="1"/>
    <col min="19" max="19" width="17" style="20" bestFit="1" customWidth="1"/>
    <col min="20" max="16384" width="9.1796875" style="20"/>
  </cols>
  <sheetData>
    <row r="1" spans="1:19" ht="48" customHeight="1" thickBot="1" x14ac:dyDescent="0.35">
      <c r="A1" s="173" t="s">
        <v>1742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5"/>
    </row>
    <row r="2" spans="1:19" s="45" customFormat="1" ht="15" customHeight="1" thickBot="1" x14ac:dyDescent="0.35">
      <c r="A2" s="171"/>
      <c r="B2" s="171"/>
      <c r="C2" s="171"/>
      <c r="D2" s="171"/>
      <c r="E2" s="171"/>
      <c r="F2" s="171"/>
      <c r="G2" s="171"/>
      <c r="H2" s="171"/>
      <c r="I2" s="171"/>
      <c r="J2" s="171"/>
      <c r="K2" s="171"/>
      <c r="L2" s="171"/>
      <c r="M2" s="171"/>
    </row>
    <row r="3" spans="1:19" s="19" customFormat="1" ht="37.5" customHeight="1" thickBot="1" x14ac:dyDescent="0.3">
      <c r="A3" s="148" t="s">
        <v>1226</v>
      </c>
      <c r="B3" s="73" t="s">
        <v>1621</v>
      </c>
      <c r="C3" s="73" t="s">
        <v>1289</v>
      </c>
      <c r="D3" s="73" t="s">
        <v>1643</v>
      </c>
      <c r="E3" s="73" t="s">
        <v>1289</v>
      </c>
      <c r="F3" s="73" t="s">
        <v>1673</v>
      </c>
      <c r="G3" s="73" t="s">
        <v>1289</v>
      </c>
      <c r="H3" s="73" t="s">
        <v>1704</v>
      </c>
      <c r="I3" s="73" t="s">
        <v>1289</v>
      </c>
      <c r="J3" s="73" t="s">
        <v>1713</v>
      </c>
      <c r="K3" s="73" t="s">
        <v>1289</v>
      </c>
      <c r="L3" s="150" t="s">
        <v>1731</v>
      </c>
      <c r="M3" s="172" t="s">
        <v>1289</v>
      </c>
      <c r="Q3" s="7" t="s">
        <v>1580</v>
      </c>
      <c r="R3" s="30">
        <v>25116.899999999991</v>
      </c>
      <c r="S3">
        <v>30</v>
      </c>
    </row>
    <row r="4" spans="1:19" s="19" customFormat="1" ht="37.5" customHeight="1" x14ac:dyDescent="0.25">
      <c r="A4" s="149" t="s">
        <v>1580</v>
      </c>
      <c r="B4" s="49">
        <v>27677.555652173909</v>
      </c>
      <c r="C4" s="57">
        <v>31</v>
      </c>
      <c r="D4" s="49">
        <v>26133.85999999999</v>
      </c>
      <c r="E4" s="57">
        <v>31</v>
      </c>
      <c r="F4" s="49">
        <v>26081.259999999991</v>
      </c>
      <c r="G4" s="57">
        <v>31</v>
      </c>
      <c r="H4" s="49">
        <v>26133.85999999999</v>
      </c>
      <c r="I4" s="57">
        <v>31</v>
      </c>
      <c r="J4" s="49">
        <v>25116.899999999991</v>
      </c>
      <c r="K4" s="57">
        <v>30</v>
      </c>
      <c r="L4" s="151">
        <v>25116.899999999991</v>
      </c>
      <c r="M4" s="152">
        <v>30</v>
      </c>
      <c r="Q4" s="7" t="s">
        <v>10</v>
      </c>
      <c r="R4" s="30">
        <v>186050.72999999989</v>
      </c>
      <c r="S4">
        <v>183</v>
      </c>
    </row>
    <row r="5" spans="1:19" s="19" customFormat="1" ht="37.5" customHeight="1" x14ac:dyDescent="0.25">
      <c r="A5" s="149" t="s">
        <v>10</v>
      </c>
      <c r="B5" s="48">
        <v>194381.13739130425</v>
      </c>
      <c r="C5" s="56">
        <v>191</v>
      </c>
      <c r="D5" s="48">
        <v>193823.95999999988</v>
      </c>
      <c r="E5" s="56">
        <v>191</v>
      </c>
      <c r="F5" s="48">
        <v>190743.96999999988</v>
      </c>
      <c r="G5" s="56">
        <v>189</v>
      </c>
      <c r="H5" s="48">
        <v>189152.73999999987</v>
      </c>
      <c r="I5" s="56">
        <v>188</v>
      </c>
      <c r="J5" s="48">
        <v>187999.33999999988</v>
      </c>
      <c r="K5" s="56">
        <v>186</v>
      </c>
      <c r="L5" s="153">
        <v>186050.72999999989</v>
      </c>
      <c r="M5" s="154">
        <v>183</v>
      </c>
      <c r="Q5" s="7" t="s">
        <v>8</v>
      </c>
      <c r="R5" s="30">
        <v>235413.66999999958</v>
      </c>
      <c r="S5">
        <v>233</v>
      </c>
    </row>
    <row r="6" spans="1:19" s="19" customFormat="1" ht="37.5" customHeight="1" x14ac:dyDescent="0.25">
      <c r="A6" s="149" t="s">
        <v>8</v>
      </c>
      <c r="B6" s="49">
        <v>223200.72130434745</v>
      </c>
      <c r="C6" s="57">
        <v>221</v>
      </c>
      <c r="D6" s="49">
        <v>232270.15999999963</v>
      </c>
      <c r="E6" s="57">
        <v>228</v>
      </c>
      <c r="F6" s="49">
        <v>236989.92999999959</v>
      </c>
      <c r="G6" s="57">
        <v>232</v>
      </c>
      <c r="H6" s="49">
        <v>236733.60999999955</v>
      </c>
      <c r="I6" s="57">
        <v>233</v>
      </c>
      <c r="J6" s="49">
        <v>230841.4099999996</v>
      </c>
      <c r="K6" s="57">
        <v>229</v>
      </c>
      <c r="L6" s="151">
        <v>235413.66999999958</v>
      </c>
      <c r="M6" s="152">
        <v>233</v>
      </c>
      <c r="Q6" s="7" t="s">
        <v>19</v>
      </c>
      <c r="R6" s="30">
        <v>152938.77000000022</v>
      </c>
      <c r="S6">
        <v>151</v>
      </c>
    </row>
    <row r="7" spans="1:19" s="19" customFormat="1" ht="37.5" customHeight="1" x14ac:dyDescent="0.25">
      <c r="A7" s="149" t="s">
        <v>19</v>
      </c>
      <c r="B7" s="48">
        <v>153063.21000000022</v>
      </c>
      <c r="C7" s="56">
        <v>151</v>
      </c>
      <c r="D7" s="48">
        <v>155806.13000000024</v>
      </c>
      <c r="E7" s="56">
        <v>152</v>
      </c>
      <c r="F7" s="48">
        <v>153154.71000000022</v>
      </c>
      <c r="G7" s="56">
        <v>152</v>
      </c>
      <c r="H7" s="48">
        <v>152691.76000000027</v>
      </c>
      <c r="I7" s="56">
        <v>152</v>
      </c>
      <c r="J7" s="48">
        <v>152235.98000000021</v>
      </c>
      <c r="K7" s="56">
        <v>151</v>
      </c>
      <c r="L7" s="153">
        <v>152938.77000000022</v>
      </c>
      <c r="M7" s="154">
        <v>151</v>
      </c>
      <c r="Q7" s="7" t="s">
        <v>1578</v>
      </c>
      <c r="R7" s="30">
        <v>446605.00000000309</v>
      </c>
      <c r="S7">
        <v>442</v>
      </c>
    </row>
    <row r="8" spans="1:19" s="19" customFormat="1" ht="37.5" customHeight="1" x14ac:dyDescent="0.25">
      <c r="A8" s="149" t="s">
        <v>13</v>
      </c>
      <c r="B8" s="49">
        <v>434150.59914715996</v>
      </c>
      <c r="C8" s="57">
        <v>429</v>
      </c>
      <c r="D8" s="49">
        <v>430547.16000000242</v>
      </c>
      <c r="E8" s="57">
        <v>425</v>
      </c>
      <c r="F8" s="49">
        <v>429238.58000000258</v>
      </c>
      <c r="G8" s="57">
        <v>424</v>
      </c>
      <c r="H8" s="49">
        <v>447927.43000000308</v>
      </c>
      <c r="I8" s="57">
        <v>442</v>
      </c>
      <c r="J8" s="49">
        <v>448153.64000000304</v>
      </c>
      <c r="K8" s="57">
        <v>442</v>
      </c>
      <c r="L8" s="151">
        <v>446605.00000000309</v>
      </c>
      <c r="M8" s="152">
        <v>442</v>
      </c>
      <c r="Q8" s="7" t="s">
        <v>32</v>
      </c>
      <c r="R8" s="30">
        <v>65987.53999999995</v>
      </c>
      <c r="S8">
        <v>65</v>
      </c>
    </row>
    <row r="9" spans="1:19" s="19" customFormat="1" ht="37.5" customHeight="1" x14ac:dyDescent="0.25">
      <c r="A9" s="149" t="s">
        <v>32</v>
      </c>
      <c r="B9" s="48">
        <v>65008.849999999955</v>
      </c>
      <c r="C9" s="56">
        <v>64</v>
      </c>
      <c r="D9" s="48">
        <v>64540.309999999961</v>
      </c>
      <c r="E9" s="56">
        <v>63</v>
      </c>
      <c r="F9" s="48">
        <v>60711.299999999959</v>
      </c>
      <c r="G9" s="56">
        <v>60</v>
      </c>
      <c r="H9" s="48">
        <v>64889.879999999954</v>
      </c>
      <c r="I9" s="56">
        <v>63</v>
      </c>
      <c r="J9" s="48">
        <v>64932.279999999948</v>
      </c>
      <c r="K9" s="56">
        <v>64</v>
      </c>
      <c r="L9" s="153">
        <v>65987.53999999995</v>
      </c>
      <c r="M9" s="154">
        <v>65</v>
      </c>
      <c r="Q9" s="7" t="s">
        <v>1246</v>
      </c>
      <c r="R9" s="30">
        <v>5570.88</v>
      </c>
      <c r="S9">
        <v>5</v>
      </c>
    </row>
    <row r="10" spans="1:19" s="19" customFormat="1" ht="37.5" customHeight="1" x14ac:dyDescent="0.25">
      <c r="A10" s="149" t="s">
        <v>1246</v>
      </c>
      <c r="B10" s="49">
        <v>5690.88</v>
      </c>
      <c r="C10" s="57">
        <v>5</v>
      </c>
      <c r="D10" s="49">
        <v>5570.88</v>
      </c>
      <c r="E10" s="57">
        <v>5</v>
      </c>
      <c r="F10" s="49">
        <v>5570.88</v>
      </c>
      <c r="G10" s="57">
        <v>5</v>
      </c>
      <c r="H10" s="49">
        <v>5810.88</v>
      </c>
      <c r="I10" s="57">
        <v>5</v>
      </c>
      <c r="J10" s="49">
        <v>5450.88</v>
      </c>
      <c r="K10" s="57">
        <v>5</v>
      </c>
      <c r="L10" s="151">
        <v>5570.88</v>
      </c>
      <c r="M10" s="152">
        <v>5</v>
      </c>
      <c r="Q10" s="7" t="s">
        <v>0</v>
      </c>
      <c r="R10" s="30">
        <v>325591.64000000054</v>
      </c>
      <c r="S10">
        <v>325</v>
      </c>
    </row>
    <row r="11" spans="1:19" s="19" customFormat="1" ht="37.5" customHeight="1" thickBot="1" x14ac:dyDescent="0.35">
      <c r="A11" s="149" t="s">
        <v>0</v>
      </c>
      <c r="B11" s="48">
        <v>337226.4643478269</v>
      </c>
      <c r="C11" s="56">
        <v>335</v>
      </c>
      <c r="D11" s="48">
        <v>333854.61269230844</v>
      </c>
      <c r="E11" s="56">
        <v>332</v>
      </c>
      <c r="F11" s="48">
        <v>329420.19000000088</v>
      </c>
      <c r="G11" s="56">
        <v>327</v>
      </c>
      <c r="H11" s="48">
        <v>329142.14000000077</v>
      </c>
      <c r="I11" s="56">
        <v>330</v>
      </c>
      <c r="J11" s="48">
        <v>327024.77000000054</v>
      </c>
      <c r="K11" s="56">
        <v>328</v>
      </c>
      <c r="L11" s="153">
        <v>325591.64000000054</v>
      </c>
      <c r="M11" s="154">
        <v>325</v>
      </c>
      <c r="Q11" s="254" t="s">
        <v>1286</v>
      </c>
      <c r="R11" s="255">
        <v>1443275.129999971</v>
      </c>
      <c r="S11" s="276">
        <v>1434</v>
      </c>
    </row>
    <row r="12" spans="1:19" s="19" customFormat="1" ht="37.5" customHeight="1" x14ac:dyDescent="0.25">
      <c r="A12" s="62" t="s">
        <v>1290</v>
      </c>
      <c r="B12" s="50">
        <f t="shared" ref="B12:K12" si="0">SUM(B4:B11)</f>
        <v>1440399.4178428124</v>
      </c>
      <c r="C12" s="58">
        <f t="shared" si="0"/>
        <v>1427</v>
      </c>
      <c r="D12" s="50">
        <f t="shared" si="0"/>
        <v>1442547.0726923104</v>
      </c>
      <c r="E12" s="58">
        <f t="shared" si="0"/>
        <v>1427</v>
      </c>
      <c r="F12" s="50">
        <f t="shared" si="0"/>
        <v>1431910.8200000031</v>
      </c>
      <c r="G12" s="58">
        <f t="shared" si="0"/>
        <v>1420</v>
      </c>
      <c r="H12" s="50">
        <f t="shared" si="0"/>
        <v>1452482.3000000033</v>
      </c>
      <c r="I12" s="58">
        <f t="shared" si="0"/>
        <v>1444</v>
      </c>
      <c r="J12" s="50">
        <f t="shared" si="0"/>
        <v>1441755.200000003</v>
      </c>
      <c r="K12" s="58">
        <f t="shared" si="0"/>
        <v>1435</v>
      </c>
      <c r="L12" s="277">
        <f t="shared" ref="L12:M12" si="1">SUM(L4:L11)</f>
        <v>1443275.1300000034</v>
      </c>
      <c r="M12" s="155">
        <f t="shared" si="1"/>
        <v>1434</v>
      </c>
    </row>
    <row r="13" spans="1:19" s="19" customFormat="1" ht="37.5" customHeight="1" thickBot="1" x14ac:dyDescent="0.3">
      <c r="A13" s="63" t="s">
        <v>1291</v>
      </c>
      <c r="B13" s="64">
        <v>3363.7576923076931</v>
      </c>
      <c r="C13" s="64"/>
      <c r="D13" s="64">
        <v>2610.02</v>
      </c>
      <c r="E13" s="64"/>
      <c r="F13" s="64">
        <v>13142.749999999995</v>
      </c>
      <c r="G13" s="64"/>
      <c r="H13" s="156">
        <v>0</v>
      </c>
      <c r="I13" s="64"/>
      <c r="J13" s="156">
        <v>14379.95</v>
      </c>
      <c r="K13" s="64"/>
      <c r="L13" s="156">
        <v>0</v>
      </c>
      <c r="M13" s="157"/>
    </row>
    <row r="14" spans="1:19" s="19" customFormat="1" ht="37.5" customHeight="1" thickBot="1" x14ac:dyDescent="0.3">
      <c r="A14" s="46"/>
      <c r="B14" s="59"/>
      <c r="D14" s="59"/>
      <c r="F14" s="59"/>
      <c r="G14" s="59"/>
    </row>
    <row r="15" spans="1:19" s="19" customFormat="1" ht="25.5" customHeight="1" thickBot="1" x14ac:dyDescent="0.3">
      <c r="A15" s="47" t="s">
        <v>1292</v>
      </c>
      <c r="B15" s="68">
        <v>1375513.2323850032</v>
      </c>
      <c r="C15" s="68"/>
      <c r="D15" s="68">
        <f>D12+D13</f>
        <v>1445157.0926923105</v>
      </c>
      <c r="E15" s="68"/>
      <c r="F15" s="68">
        <f>F12+F13</f>
        <v>1445053.5700000031</v>
      </c>
      <c r="G15" s="68"/>
      <c r="H15" s="80">
        <v>1452529.2200000114</v>
      </c>
      <c r="I15" s="69"/>
      <c r="J15" s="80">
        <v>1456260.27</v>
      </c>
      <c r="K15" s="69"/>
      <c r="L15" s="80"/>
      <c r="M15" s="69"/>
    </row>
    <row r="16" spans="1:19" s="19" customFormat="1" ht="25.5" customHeight="1" x14ac:dyDescent="0.25">
      <c r="A16" s="115"/>
      <c r="B16" s="111"/>
      <c r="C16" s="112"/>
      <c r="D16" s="111"/>
      <c r="E16" s="112"/>
      <c r="F16" s="111"/>
      <c r="G16" s="112"/>
      <c r="H16" s="111"/>
      <c r="I16" s="112"/>
      <c r="J16" s="111"/>
      <c r="K16" s="112"/>
      <c r="L16" s="113"/>
      <c r="M16" s="112"/>
    </row>
    <row r="17" spans="1:13" s="19" customFormat="1" ht="25.5" customHeight="1" x14ac:dyDescent="0.25">
      <c r="L17" s="139"/>
    </row>
    <row r="18" spans="1:13" s="19" customFormat="1" ht="25.5" customHeight="1" x14ac:dyDescent="0.25">
      <c r="A18" s="116"/>
      <c r="B18" s="25"/>
      <c r="C18" s="25"/>
      <c r="D18" s="25"/>
      <c r="E18" s="26"/>
      <c r="F18" s="25"/>
      <c r="G18" s="26"/>
      <c r="H18" s="25"/>
      <c r="I18" s="25"/>
      <c r="J18" s="25"/>
      <c r="K18" s="25"/>
      <c r="L18" s="25"/>
      <c r="M18" s="26"/>
    </row>
    <row r="19" spans="1:13" s="19" customFormat="1" ht="24" customHeight="1" thickBot="1" x14ac:dyDescent="0.3">
      <c r="A19" s="307" t="s">
        <v>1502</v>
      </c>
      <c r="B19" s="308"/>
      <c r="C19" s="308"/>
      <c r="D19" s="308"/>
      <c r="E19" s="308"/>
      <c r="F19" s="308"/>
      <c r="G19" s="308"/>
      <c r="H19" s="308"/>
      <c r="I19" s="308"/>
      <c r="J19" s="308"/>
      <c r="K19" s="308"/>
      <c r="L19" s="308"/>
      <c r="M19" s="309"/>
    </row>
    <row r="20" spans="1:13" s="19" customFormat="1" ht="41.25" customHeight="1" thickBot="1" x14ac:dyDescent="0.3">
      <c r="A20" s="207" t="s">
        <v>1288</v>
      </c>
      <c r="B20" s="208" t="s">
        <v>1710</v>
      </c>
      <c r="C20" s="209" t="s">
        <v>1301</v>
      </c>
      <c r="D20" s="208" t="s">
        <v>1744</v>
      </c>
      <c r="E20" s="209" t="s">
        <v>1301</v>
      </c>
      <c r="F20" s="209" t="s">
        <v>1302</v>
      </c>
      <c r="G20" s="303" t="s">
        <v>1303</v>
      </c>
      <c r="H20" s="303"/>
      <c r="I20" s="303"/>
      <c r="J20" s="303"/>
      <c r="K20" s="303"/>
      <c r="L20" s="303"/>
      <c r="M20" s="303"/>
    </row>
    <row r="21" spans="1:13" s="19" customFormat="1" ht="41.25" customHeight="1" x14ac:dyDescent="0.25">
      <c r="A21" s="74" t="s">
        <v>1624</v>
      </c>
      <c r="B21" s="212">
        <v>0</v>
      </c>
      <c r="C21" s="213">
        <v>0</v>
      </c>
      <c r="D21" s="212">
        <v>17288.319999999992</v>
      </c>
      <c r="E21" s="213">
        <v>17</v>
      </c>
      <c r="F21" s="72">
        <f>D21-B21</f>
        <v>17288.319999999992</v>
      </c>
      <c r="G21" s="303" t="s">
        <v>1598</v>
      </c>
      <c r="H21" s="303"/>
      <c r="I21" s="303"/>
      <c r="J21" s="303"/>
      <c r="K21" s="303"/>
      <c r="L21" s="303"/>
      <c r="M21" s="303"/>
    </row>
    <row r="22" spans="1:13" s="19" customFormat="1" ht="41.25" customHeight="1" x14ac:dyDescent="0.25">
      <c r="A22" s="75" t="s">
        <v>1279</v>
      </c>
      <c r="B22" s="214">
        <v>5826.84</v>
      </c>
      <c r="C22" s="215">
        <v>9</v>
      </c>
      <c r="D22" s="214">
        <v>3669.92</v>
      </c>
      <c r="E22" s="215">
        <v>9</v>
      </c>
      <c r="F22" s="72">
        <f t="shared" ref="F22:F25" si="2">D22-B22</f>
        <v>-2156.92</v>
      </c>
      <c r="G22" s="303" t="s">
        <v>1391</v>
      </c>
      <c r="H22" s="303"/>
      <c r="I22" s="303"/>
      <c r="J22" s="303"/>
      <c r="K22" s="303"/>
      <c r="L22" s="303"/>
      <c r="M22" s="303"/>
    </row>
    <row r="23" spans="1:13" s="24" customFormat="1" ht="41.25" customHeight="1" x14ac:dyDescent="0.25">
      <c r="A23" s="75" t="s">
        <v>1287</v>
      </c>
      <c r="B23" s="214">
        <v>16735.689999999995</v>
      </c>
      <c r="C23" s="215">
        <v>18</v>
      </c>
      <c r="D23" s="214">
        <v>0</v>
      </c>
      <c r="E23" s="215">
        <v>0</v>
      </c>
      <c r="F23" s="72">
        <f t="shared" si="2"/>
        <v>-16735.689999999995</v>
      </c>
      <c r="G23" s="303" t="s">
        <v>1390</v>
      </c>
      <c r="H23" s="303"/>
      <c r="I23" s="303"/>
      <c r="J23" s="303"/>
      <c r="K23" s="303"/>
      <c r="L23" s="303"/>
      <c r="M23" s="303"/>
    </row>
    <row r="24" spans="1:13" s="24" customFormat="1" ht="41.25" customHeight="1" x14ac:dyDescent="0.25">
      <c r="A24" s="75" t="s">
        <v>1229</v>
      </c>
      <c r="B24" s="214">
        <v>1310684.2399999774</v>
      </c>
      <c r="C24" s="215">
        <v>1301</v>
      </c>
      <c r="D24" s="214">
        <v>1313731.8799999768</v>
      </c>
      <c r="E24" s="215">
        <v>1301</v>
      </c>
      <c r="F24" s="72">
        <f t="shared" si="2"/>
        <v>3047.6399999994319</v>
      </c>
      <c r="G24" s="303" t="s">
        <v>1511</v>
      </c>
      <c r="H24" s="303"/>
      <c r="I24" s="303"/>
      <c r="J24" s="303"/>
      <c r="K24" s="303"/>
      <c r="L24" s="303"/>
      <c r="M24" s="303"/>
    </row>
    <row r="25" spans="1:13" s="24" customFormat="1" ht="41.25" customHeight="1" thickBot="1" x14ac:dyDescent="0.3">
      <c r="A25" s="210" t="s">
        <v>1230</v>
      </c>
      <c r="B25" s="216">
        <v>108508.43000000021</v>
      </c>
      <c r="C25" s="217">
        <v>107</v>
      </c>
      <c r="D25" s="216">
        <v>108585.01000000021</v>
      </c>
      <c r="E25" s="217">
        <v>107</v>
      </c>
      <c r="F25" s="72">
        <f t="shared" si="2"/>
        <v>76.580000000001746</v>
      </c>
      <c r="G25" s="303" t="s">
        <v>1511</v>
      </c>
      <c r="H25" s="303"/>
      <c r="I25" s="303"/>
      <c r="J25" s="303"/>
      <c r="K25" s="303"/>
      <c r="L25" s="303"/>
      <c r="M25" s="303"/>
    </row>
    <row r="26" spans="1:13" s="24" customFormat="1" ht="41.25" customHeight="1" thickBot="1" x14ac:dyDescent="0.3">
      <c r="A26" s="70" t="s">
        <v>1286</v>
      </c>
      <c r="B26" s="71">
        <f>SUM(B21:B25)</f>
        <v>1441755.1999999776</v>
      </c>
      <c r="C26" s="190">
        <f>SUM(C21:C25)</f>
        <v>1435</v>
      </c>
      <c r="D26" s="278">
        <f>SUM(D21:D25)</f>
        <v>1443275.1299999771</v>
      </c>
      <c r="E26" s="190">
        <f>SUM(E21:E25)</f>
        <v>1434</v>
      </c>
      <c r="F26" s="211">
        <f>SUM(F21:F25)</f>
        <v>1519.9299999994309</v>
      </c>
      <c r="G26" s="304" t="s">
        <v>1745</v>
      </c>
      <c r="H26" s="305"/>
      <c r="I26" s="305"/>
      <c r="J26" s="305"/>
      <c r="K26" s="305"/>
      <c r="L26" s="305"/>
      <c r="M26" s="306"/>
    </row>
    <row r="28" spans="1:13" ht="14.5" thickBot="1" x14ac:dyDescent="0.35"/>
    <row r="29" spans="1:13" ht="69" customHeight="1" thickBot="1" x14ac:dyDescent="0.55000000000000004">
      <c r="B29" s="279" t="s">
        <v>1670</v>
      </c>
      <c r="C29" s="280" t="s">
        <v>1671</v>
      </c>
      <c r="D29" s="280" t="s">
        <v>1669</v>
      </c>
      <c r="H29" s="265"/>
    </row>
    <row r="30" spans="1:13" ht="29.25" customHeight="1" x14ac:dyDescent="0.3">
      <c r="A30" s="191" t="s">
        <v>1644</v>
      </c>
      <c r="B30" s="283">
        <v>500308.11</v>
      </c>
      <c r="C30" s="169">
        <v>62.56</v>
      </c>
      <c r="D30" s="195">
        <f>B30+C30</f>
        <v>500370.67</v>
      </c>
    </row>
    <row r="31" spans="1:13" ht="29.25" customHeight="1" x14ac:dyDescent="0.3">
      <c r="A31" s="192" t="s">
        <v>1646</v>
      </c>
      <c r="B31" s="284">
        <v>870871.9</v>
      </c>
      <c r="C31" s="51">
        <v>0</v>
      </c>
      <c r="D31" s="286">
        <f t="shared" ref="D31:D34" si="3">B31+C31</f>
        <v>870871.9</v>
      </c>
      <c r="F31" s="218"/>
    </row>
    <row r="32" spans="1:13" ht="29.25" customHeight="1" x14ac:dyDescent="0.3">
      <c r="A32" s="192" t="s">
        <v>1645</v>
      </c>
      <c r="B32" s="284">
        <v>62118.2</v>
      </c>
      <c r="C32" s="51">
        <v>0</v>
      </c>
      <c r="D32" s="286">
        <f t="shared" si="3"/>
        <v>62118.2</v>
      </c>
    </row>
    <row r="33" spans="1:5" ht="29.25" customHeight="1" x14ac:dyDescent="0.3">
      <c r="A33" s="193" t="s">
        <v>1647</v>
      </c>
      <c r="B33" s="284">
        <v>4037.93</v>
      </c>
      <c r="C33" s="51">
        <v>0</v>
      </c>
      <c r="D33" s="286">
        <f t="shared" si="3"/>
        <v>4037.93</v>
      </c>
    </row>
    <row r="34" spans="1:5" ht="66" customHeight="1" thickBot="1" x14ac:dyDescent="0.35">
      <c r="A34" s="194" t="s">
        <v>1672</v>
      </c>
      <c r="B34" s="285">
        <v>5938.9899999999989</v>
      </c>
      <c r="C34" s="273">
        <v>0</v>
      </c>
      <c r="D34" s="196">
        <f t="shared" si="3"/>
        <v>5938.9899999999989</v>
      </c>
    </row>
    <row r="35" spans="1:5" ht="29.25" customHeight="1" thickBot="1" x14ac:dyDescent="0.35">
      <c r="A35" s="159" t="s">
        <v>1277</v>
      </c>
      <c r="B35" s="281">
        <f>SUM(B30:B34)</f>
        <v>1443275.13</v>
      </c>
      <c r="C35" s="281">
        <f t="shared" ref="C35:D35" si="4">SUM(C30:C34)</f>
        <v>62.56</v>
      </c>
      <c r="D35" s="282">
        <f t="shared" si="4"/>
        <v>1443337.69</v>
      </c>
    </row>
    <row r="40" spans="1:5" x14ac:dyDescent="0.3">
      <c r="E40" s="287"/>
    </row>
  </sheetData>
  <mergeCells count="8">
    <mergeCell ref="G23:M23"/>
    <mergeCell ref="G24:M24"/>
    <mergeCell ref="G25:M25"/>
    <mergeCell ref="G26:M26"/>
    <mergeCell ref="A19:M19"/>
    <mergeCell ref="G20:M20"/>
    <mergeCell ref="G21:M21"/>
    <mergeCell ref="G22:M22"/>
  </mergeCells>
  <pageMargins left="0.19685039370078741" right="0" top="0.19685039370078741" bottom="0.19685039370078741" header="0.31496062992125984" footer="0.31496062992125984"/>
  <pageSetup paperSize="9" scale="46" fitToWidth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68051-40B1-49C3-AFF0-5171EB9C2871}">
  <sheetPr codeName="Planilha7">
    <pageSetUpPr fitToPage="1"/>
  </sheetPr>
  <dimension ref="A2:K23"/>
  <sheetViews>
    <sheetView zoomScale="80" zoomScaleNormal="80" workbookViewId="0">
      <selection activeCell="C4" sqref="C4:F8"/>
    </sheetView>
  </sheetViews>
  <sheetFormatPr defaultColWidth="9.1796875" defaultRowHeight="12.5" x14ac:dyDescent="0.25"/>
  <cols>
    <col min="1" max="1" width="8.7265625" style="18" customWidth="1"/>
    <col min="2" max="2" width="32.1796875" style="17" bestFit="1" customWidth="1"/>
    <col min="3" max="3" width="23.54296875" style="17" customWidth="1"/>
    <col min="4" max="4" width="21.1796875" style="66" customWidth="1"/>
    <col min="5" max="5" width="25" style="17" customWidth="1"/>
    <col min="6" max="6" width="25" style="66" customWidth="1"/>
    <col min="7" max="7" width="25" style="17" customWidth="1"/>
    <col min="8" max="8" width="79.1796875" style="17" bestFit="1" customWidth="1"/>
    <col min="9" max="16384" width="9.1796875" style="17"/>
  </cols>
  <sheetData>
    <row r="2" spans="2:8" ht="13" thickBot="1" x14ac:dyDescent="0.3"/>
    <row r="3" spans="2:8" ht="36" customHeight="1" thickBot="1" x14ac:dyDescent="0.3">
      <c r="B3" s="163" t="s">
        <v>1288</v>
      </c>
      <c r="C3" s="42" t="s">
        <v>1710</v>
      </c>
      <c r="D3" s="43" t="s">
        <v>1301</v>
      </c>
      <c r="E3" s="42" t="s">
        <v>1744</v>
      </c>
      <c r="F3" s="43" t="s">
        <v>1301</v>
      </c>
      <c r="G3" s="164" t="s">
        <v>1302</v>
      </c>
      <c r="H3" s="44" t="s">
        <v>1303</v>
      </c>
    </row>
    <row r="4" spans="2:8" ht="30" customHeight="1" x14ac:dyDescent="0.25">
      <c r="B4" s="158" t="s">
        <v>1624</v>
      </c>
      <c r="C4" s="169">
        <v>0</v>
      </c>
      <c r="D4" s="170">
        <v>0</v>
      </c>
      <c r="E4" s="169">
        <v>17288.319999999992</v>
      </c>
      <c r="F4" s="170">
        <v>17</v>
      </c>
      <c r="G4" s="270">
        <f>E4-C4</f>
        <v>17288.319999999992</v>
      </c>
      <c r="H4" s="268" t="s">
        <v>1598</v>
      </c>
    </row>
    <row r="5" spans="2:8" ht="30" customHeight="1" x14ac:dyDescent="0.25">
      <c r="B5" s="75" t="s">
        <v>1279</v>
      </c>
      <c r="C5" s="51">
        <v>5826.84</v>
      </c>
      <c r="D5" s="138">
        <v>9</v>
      </c>
      <c r="E5" s="51">
        <v>3669.92</v>
      </c>
      <c r="F5" s="138">
        <v>9</v>
      </c>
      <c r="G5" s="271">
        <f t="shared" ref="G5:G8" si="0">E5-C5</f>
        <v>-2156.92</v>
      </c>
      <c r="H5" s="269" t="s">
        <v>1391</v>
      </c>
    </row>
    <row r="6" spans="2:8" ht="30" customHeight="1" x14ac:dyDescent="0.25">
      <c r="B6" s="75" t="s">
        <v>1287</v>
      </c>
      <c r="C6" s="51">
        <v>16735.689999999995</v>
      </c>
      <c r="D6" s="138">
        <v>18</v>
      </c>
      <c r="E6" s="51">
        <v>0</v>
      </c>
      <c r="F6" s="138">
        <v>0</v>
      </c>
      <c r="G6" s="271">
        <f t="shared" si="0"/>
        <v>-16735.689999999995</v>
      </c>
      <c r="H6" s="269" t="s">
        <v>1390</v>
      </c>
    </row>
    <row r="7" spans="2:8" ht="30" customHeight="1" x14ac:dyDescent="0.25">
      <c r="B7" s="75" t="s">
        <v>1229</v>
      </c>
      <c r="C7" s="51">
        <v>1310684.2399999774</v>
      </c>
      <c r="D7" s="138">
        <v>1301</v>
      </c>
      <c r="E7" s="51">
        <v>1313731.8799999768</v>
      </c>
      <c r="F7" s="138">
        <v>1301</v>
      </c>
      <c r="G7" s="271">
        <f t="shared" si="0"/>
        <v>3047.6399999994319</v>
      </c>
      <c r="H7" s="269" t="s">
        <v>1511</v>
      </c>
    </row>
    <row r="8" spans="2:8" ht="30" customHeight="1" thickBot="1" x14ac:dyDescent="0.3">
      <c r="B8" s="272" t="s">
        <v>1230</v>
      </c>
      <c r="C8" s="273">
        <v>108508.43000000021</v>
      </c>
      <c r="D8" s="274">
        <v>107</v>
      </c>
      <c r="E8" s="273">
        <v>108585.01000000021</v>
      </c>
      <c r="F8" s="274">
        <v>107</v>
      </c>
      <c r="G8" s="275">
        <f t="shared" si="0"/>
        <v>76.580000000001746</v>
      </c>
      <c r="H8" s="269" t="s">
        <v>1511</v>
      </c>
    </row>
    <row r="9" spans="2:8" ht="30" customHeight="1" thickBot="1" x14ac:dyDescent="0.3">
      <c r="B9" s="165" t="s">
        <v>1286</v>
      </c>
      <c r="C9" s="166">
        <f>SUM(C4:C8)</f>
        <v>1441755.1999999776</v>
      </c>
      <c r="D9" s="167">
        <f>SUM(D4:D8)</f>
        <v>1435</v>
      </c>
      <c r="E9" s="166">
        <f>SUM(E4:E8)</f>
        <v>1443275.1299999771</v>
      </c>
      <c r="F9" s="167">
        <f>SUM(F4:F8)</f>
        <v>1434</v>
      </c>
      <c r="G9" s="206">
        <f>SUM(G4:G8)</f>
        <v>1519.9299999994309</v>
      </c>
      <c r="H9" s="168"/>
    </row>
    <row r="10" spans="2:8" x14ac:dyDescent="0.25">
      <c r="E10" s="67"/>
    </row>
    <row r="14" spans="2:8" ht="13" thickBot="1" x14ac:dyDescent="0.3"/>
    <row r="15" spans="2:8" ht="13" x14ac:dyDescent="0.3">
      <c r="B15" s="256" t="s">
        <v>1288</v>
      </c>
      <c r="C15" s="257" t="s">
        <v>1710</v>
      </c>
      <c r="D15" s="258" t="s">
        <v>1301</v>
      </c>
      <c r="E15" s="257" t="s">
        <v>1744</v>
      </c>
      <c r="F15" s="258" t="s">
        <v>1301</v>
      </c>
      <c r="G15" s="259" t="s">
        <v>1302</v>
      </c>
    </row>
    <row r="16" spans="2:8" x14ac:dyDescent="0.25">
      <c r="B16" s="204" t="s">
        <v>1624</v>
      </c>
      <c r="C16" s="53">
        <v>0</v>
      </c>
      <c r="D16" s="261">
        <v>0</v>
      </c>
      <c r="E16" s="260">
        <v>17288.319999999992</v>
      </c>
      <c r="F16" s="262">
        <v>17</v>
      </c>
      <c r="G16" s="114">
        <f>E16-C16</f>
        <v>17288.319999999992</v>
      </c>
    </row>
    <row r="17" spans="2:11" x14ac:dyDescent="0.25">
      <c r="B17" s="204" t="s">
        <v>1711</v>
      </c>
      <c r="C17" s="260">
        <v>5826.84</v>
      </c>
      <c r="D17" s="262">
        <v>9</v>
      </c>
      <c r="E17" s="260">
        <v>3669.92</v>
      </c>
      <c r="F17" s="262">
        <v>9</v>
      </c>
      <c r="G17" s="114">
        <f t="shared" ref="G17:G20" si="1">E17-C17</f>
        <v>-2156.92</v>
      </c>
    </row>
    <row r="18" spans="2:11" x14ac:dyDescent="0.25">
      <c r="B18" s="205" t="s">
        <v>1712</v>
      </c>
      <c r="C18" s="260">
        <v>16735.689999999995</v>
      </c>
      <c r="D18" s="262">
        <v>18</v>
      </c>
      <c r="E18" s="53">
        <v>0</v>
      </c>
      <c r="F18" s="264">
        <v>0</v>
      </c>
      <c r="G18" s="114">
        <f t="shared" si="1"/>
        <v>-16735.689999999995</v>
      </c>
      <c r="H18"/>
      <c r="I18"/>
      <c r="J18"/>
      <c r="K18"/>
    </row>
    <row r="19" spans="2:11" x14ac:dyDescent="0.25">
      <c r="B19" s="205" t="s">
        <v>1229</v>
      </c>
      <c r="C19" s="260">
        <v>1310684.2399999774</v>
      </c>
      <c r="D19" s="262">
        <v>1301</v>
      </c>
      <c r="E19" s="260">
        <v>1313731.8799999768</v>
      </c>
      <c r="F19" s="262">
        <v>1301</v>
      </c>
      <c r="G19" s="114">
        <f t="shared" si="1"/>
        <v>3047.6399999994319</v>
      </c>
      <c r="H19" s="7"/>
      <c r="I19" s="30"/>
      <c r="J19" s="30"/>
      <c r="K19"/>
    </row>
    <row r="20" spans="2:11" x14ac:dyDescent="0.25">
      <c r="B20" s="205" t="s">
        <v>1230</v>
      </c>
      <c r="C20" s="260">
        <v>108508.43000000021</v>
      </c>
      <c r="D20" s="262">
        <v>107</v>
      </c>
      <c r="E20" s="260">
        <v>108585.01000000021</v>
      </c>
      <c r="F20" s="262">
        <v>107</v>
      </c>
      <c r="G20" s="114">
        <f t="shared" si="1"/>
        <v>76.580000000001746</v>
      </c>
      <c r="H20" s="7"/>
      <c r="I20" s="30"/>
      <c r="J20" s="30"/>
      <c r="K20"/>
    </row>
    <row r="21" spans="2:11" ht="13.5" thickBot="1" x14ac:dyDescent="0.35">
      <c r="B21" s="200" t="s">
        <v>1286</v>
      </c>
      <c r="C21" s="201">
        <f>SUM(C16:C20)</f>
        <v>1441755.1999999776</v>
      </c>
      <c r="D21" s="202">
        <f>SUM(D16:D20)</f>
        <v>1435</v>
      </c>
      <c r="E21" s="201">
        <f>SUM(E16:E20)</f>
        <v>1443275.1299999771</v>
      </c>
      <c r="F21" s="202">
        <f>SUM(F16:F20)</f>
        <v>1434</v>
      </c>
      <c r="G21" s="203">
        <f>SUM(G16:G20)</f>
        <v>1519.9299999994309</v>
      </c>
      <c r="H21" s="7"/>
      <c r="I21" s="30"/>
      <c r="J21" s="30"/>
      <c r="K21"/>
    </row>
    <row r="22" spans="2:11" x14ac:dyDescent="0.25">
      <c r="H22" s="7"/>
      <c r="I22" s="30"/>
      <c r="J22" s="30"/>
      <c r="K22"/>
    </row>
    <row r="23" spans="2:11" x14ac:dyDescent="0.25">
      <c r="H23" s="7"/>
      <c r="I23" s="30"/>
      <c r="J23" s="30"/>
      <c r="K23"/>
    </row>
  </sheetData>
  <pageMargins left="0.51181102362204722" right="0.51181102362204722" top="0.78740157480314965" bottom="0.78740157480314965" header="0.31496062992125984" footer="0.31496062992125984"/>
  <pageSetup paperSize="9" scale="66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EAAFF-D365-4253-A9A0-CCC5C94E0D41}">
  <sheetPr codeName="Planilha8"/>
  <dimension ref="A1:L36"/>
  <sheetViews>
    <sheetView workbookViewId="0">
      <selection activeCell="A28" sqref="A28:C36"/>
    </sheetView>
  </sheetViews>
  <sheetFormatPr defaultRowHeight="12.5" x14ac:dyDescent="0.25"/>
  <cols>
    <col min="1" max="1" width="18.7265625" bestFit="1" customWidth="1"/>
    <col min="2" max="2" width="20.26953125" style="29" bestFit="1" customWidth="1"/>
    <col min="3" max="3" width="19.453125" style="52" bestFit="1" customWidth="1"/>
    <col min="4" max="4" width="25.1796875" style="29" bestFit="1" customWidth="1"/>
    <col min="5" max="5" width="7.81640625" style="29" customWidth="1"/>
    <col min="6" max="6" width="25.1796875" style="29" bestFit="1" customWidth="1"/>
    <col min="7" max="7" width="17" customWidth="1"/>
    <col min="8" max="8" width="17" style="137" customWidth="1"/>
    <col min="9" max="9" width="17" style="29" customWidth="1"/>
    <col min="10" max="10" width="17" style="136" customWidth="1"/>
    <col min="11" max="11" width="19.1796875" style="52" customWidth="1"/>
    <col min="12" max="12" width="16" bestFit="1" customWidth="1"/>
    <col min="13" max="13" width="10.26953125" bestFit="1" customWidth="1"/>
  </cols>
  <sheetData>
    <row r="1" spans="1:11" x14ac:dyDescent="0.25">
      <c r="B1"/>
    </row>
    <row r="2" spans="1:11" x14ac:dyDescent="0.25">
      <c r="A2" s="6" t="s">
        <v>1708</v>
      </c>
      <c r="B2" t="s">
        <v>1519</v>
      </c>
      <c r="C2"/>
      <c r="D2"/>
      <c r="E2"/>
      <c r="F2"/>
      <c r="J2" s="137"/>
    </row>
    <row r="3" spans="1:11" ht="13" thickBot="1" x14ac:dyDescent="0.3">
      <c r="B3"/>
      <c r="C3"/>
      <c r="D3"/>
      <c r="E3"/>
      <c r="F3"/>
      <c r="J3" s="137"/>
    </row>
    <row r="4" spans="1:11" ht="13" x14ac:dyDescent="0.3">
      <c r="A4" s="6" t="s">
        <v>1288</v>
      </c>
      <c r="B4" t="s">
        <v>1709</v>
      </c>
      <c r="C4" t="s">
        <v>1642</v>
      </c>
      <c r="D4"/>
      <c r="E4"/>
      <c r="F4" s="256" t="s">
        <v>1288</v>
      </c>
      <c r="G4" s="257" t="s">
        <v>1710</v>
      </c>
      <c r="H4" s="258" t="s">
        <v>1301</v>
      </c>
      <c r="I4" s="257" t="s">
        <v>1744</v>
      </c>
      <c r="J4" s="258" t="s">
        <v>1301</v>
      </c>
      <c r="K4" s="259" t="s">
        <v>1302</v>
      </c>
    </row>
    <row r="5" spans="1:11" x14ac:dyDescent="0.25">
      <c r="A5" s="7" t="s">
        <v>1279</v>
      </c>
      <c r="B5" s="30">
        <v>5826.84</v>
      </c>
      <c r="C5">
        <v>9</v>
      </c>
      <c r="D5" t="str">
        <f>PROPER(A5)</f>
        <v>Auxílio-Doença</v>
      </c>
      <c r="E5"/>
      <c r="F5" s="204" t="s">
        <v>1624</v>
      </c>
      <c r="G5" s="53">
        <v>0</v>
      </c>
      <c r="H5" s="261">
        <v>0</v>
      </c>
      <c r="I5" s="260">
        <v>17288.319999999992</v>
      </c>
      <c r="J5" s="262">
        <v>17</v>
      </c>
      <c r="K5" s="114">
        <f>I5-G5</f>
        <v>17288.319999999992</v>
      </c>
    </row>
    <row r="6" spans="1:11" x14ac:dyDescent="0.25">
      <c r="A6" s="7" t="s">
        <v>1287</v>
      </c>
      <c r="B6" s="30">
        <v>16735.689999999995</v>
      </c>
      <c r="C6">
        <v>18</v>
      </c>
      <c r="D6" t="str">
        <f t="shared" ref="D6:D10" si="0">PROPER(A6)</f>
        <v>Demitido No Mês</v>
      </c>
      <c r="E6"/>
      <c r="F6" s="204" t="s">
        <v>1711</v>
      </c>
      <c r="G6" s="260">
        <v>5826.84</v>
      </c>
      <c r="H6" s="262">
        <v>9</v>
      </c>
      <c r="I6" s="260">
        <v>3669.92</v>
      </c>
      <c r="J6" s="262">
        <v>9</v>
      </c>
      <c r="K6" s="114">
        <f t="shared" ref="K6:K9" si="1">I6-G6</f>
        <v>-2156.92</v>
      </c>
    </row>
    <row r="7" spans="1:11" x14ac:dyDescent="0.25">
      <c r="A7" s="7" t="s">
        <v>1229</v>
      </c>
      <c r="B7" s="30">
        <v>1310684.2399999774</v>
      </c>
      <c r="C7">
        <v>1301</v>
      </c>
      <c r="D7" t="str">
        <f t="shared" si="0"/>
        <v>Em Atividade Normal</v>
      </c>
      <c r="E7"/>
      <c r="F7" s="205" t="s">
        <v>1712</v>
      </c>
      <c r="G7" s="260">
        <v>16735.689999999995</v>
      </c>
      <c r="H7" s="262">
        <v>18</v>
      </c>
      <c r="I7" s="53">
        <v>0</v>
      </c>
      <c r="J7" s="264">
        <v>0</v>
      </c>
      <c r="K7" s="114">
        <f t="shared" si="1"/>
        <v>-16735.689999999995</v>
      </c>
    </row>
    <row r="8" spans="1:11" x14ac:dyDescent="0.25">
      <c r="A8" s="7" t="s">
        <v>1230</v>
      </c>
      <c r="B8" s="30">
        <v>108508.43000000021</v>
      </c>
      <c r="C8">
        <v>107</v>
      </c>
      <c r="D8" t="str">
        <f t="shared" si="0"/>
        <v>Gozando Férias</v>
      </c>
      <c r="E8"/>
      <c r="F8" s="205" t="s">
        <v>1229</v>
      </c>
      <c r="G8" s="260">
        <v>1310684.2399999774</v>
      </c>
      <c r="H8" s="262">
        <v>1301</v>
      </c>
      <c r="I8" s="260">
        <v>1313731.8799999768</v>
      </c>
      <c r="J8" s="262">
        <v>1301</v>
      </c>
      <c r="K8" s="114">
        <f t="shared" si="1"/>
        <v>3047.6399999994319</v>
      </c>
    </row>
    <row r="9" spans="1:11" x14ac:dyDescent="0.25">
      <c r="A9" s="7" t="s">
        <v>1286</v>
      </c>
      <c r="B9" s="30">
        <v>1441755.1999999725</v>
      </c>
      <c r="C9">
        <v>1435</v>
      </c>
      <c r="D9" t="str">
        <f t="shared" si="0"/>
        <v>Total Geral</v>
      </c>
      <c r="E9"/>
      <c r="F9" s="205" t="s">
        <v>1230</v>
      </c>
      <c r="G9" s="260">
        <v>108508.43000000021</v>
      </c>
      <c r="H9" s="262">
        <v>107</v>
      </c>
      <c r="I9" s="260">
        <v>108585.01000000021</v>
      </c>
      <c r="J9" s="262">
        <v>107</v>
      </c>
      <c r="K9" s="114">
        <f t="shared" si="1"/>
        <v>76.580000000001746</v>
      </c>
    </row>
    <row r="10" spans="1:11" ht="13.5" thickBot="1" x14ac:dyDescent="0.35">
      <c r="B10"/>
      <c r="C10"/>
      <c r="D10" t="str">
        <f t="shared" si="0"/>
        <v/>
      </c>
      <c r="F10" s="200" t="s">
        <v>1286</v>
      </c>
      <c r="G10" s="201">
        <f>SUM(G5:G9)</f>
        <v>1441755.1999999776</v>
      </c>
      <c r="H10" s="202">
        <f>SUM(H5:H9)</f>
        <v>1435</v>
      </c>
      <c r="I10" s="201">
        <f>SUM(I5:I9)</f>
        <v>1443275.1299999771</v>
      </c>
      <c r="J10" s="202">
        <f>SUM(J5:J9)</f>
        <v>1434</v>
      </c>
      <c r="K10" s="203">
        <f>SUM(K5:K9)</f>
        <v>1519.9299999994309</v>
      </c>
    </row>
    <row r="11" spans="1:11" x14ac:dyDescent="0.25">
      <c r="B11"/>
      <c r="C11"/>
    </row>
    <row r="13" spans="1:11" x14ac:dyDescent="0.25">
      <c r="A13" s="6" t="s">
        <v>1732</v>
      </c>
      <c r="B13" t="s">
        <v>1519</v>
      </c>
      <c r="C13"/>
      <c r="D13"/>
    </row>
    <row r="14" spans="1:11" x14ac:dyDescent="0.25">
      <c r="B14"/>
      <c r="C14"/>
      <c r="D14"/>
    </row>
    <row r="15" spans="1:11" x14ac:dyDescent="0.25">
      <c r="A15" s="6" t="s">
        <v>1288</v>
      </c>
      <c r="B15" t="s">
        <v>1743</v>
      </c>
      <c r="C15" t="s">
        <v>1642</v>
      </c>
      <c r="D15"/>
      <c r="G15" s="30"/>
      <c r="H15" s="263"/>
    </row>
    <row r="16" spans="1:11" x14ac:dyDescent="0.25">
      <c r="A16" s="7" t="s">
        <v>1231</v>
      </c>
      <c r="B16" s="30">
        <v>17288.319999999992</v>
      </c>
      <c r="C16">
        <v>17</v>
      </c>
      <c r="D16" t="str">
        <f>PROPER(A16)</f>
        <v>Admissão</v>
      </c>
    </row>
    <row r="17" spans="1:12" x14ac:dyDescent="0.25">
      <c r="A17" s="7" t="s">
        <v>1279</v>
      </c>
      <c r="B17" s="30">
        <v>3669.92</v>
      </c>
      <c r="C17">
        <v>9</v>
      </c>
      <c r="D17" t="str">
        <f t="shared" ref="D17:D22" si="2">PROPER(A17)</f>
        <v>Auxílio-Doença</v>
      </c>
    </row>
    <row r="18" spans="1:12" x14ac:dyDescent="0.25">
      <c r="A18" s="7" t="s">
        <v>1229</v>
      </c>
      <c r="B18" s="30">
        <v>1313731.8799999768</v>
      </c>
      <c r="C18">
        <v>1301</v>
      </c>
      <c r="D18" t="str">
        <f t="shared" si="2"/>
        <v>Em Atividade Normal</v>
      </c>
      <c r="F18"/>
      <c r="J18" s="137"/>
      <c r="L18" s="52"/>
    </row>
    <row r="19" spans="1:12" x14ac:dyDescent="0.25">
      <c r="A19" s="7" t="s">
        <v>1230</v>
      </c>
      <c r="B19" s="30">
        <v>108585.01000000021</v>
      </c>
      <c r="C19">
        <v>107</v>
      </c>
      <c r="D19" t="str">
        <f t="shared" si="2"/>
        <v>Gozando Férias</v>
      </c>
      <c r="F19" s="7"/>
      <c r="G19" s="30"/>
      <c r="H19" s="263"/>
      <c r="I19"/>
      <c r="K19" s="30"/>
      <c r="L19" s="30"/>
    </row>
    <row r="20" spans="1:12" x14ac:dyDescent="0.25">
      <c r="A20" s="7" t="s">
        <v>1286</v>
      </c>
      <c r="B20" s="30">
        <v>1443275.1299999719</v>
      </c>
      <c r="C20">
        <v>1434</v>
      </c>
      <c r="D20" t="str">
        <f t="shared" si="2"/>
        <v>Total Geral</v>
      </c>
      <c r="F20" s="7"/>
      <c r="G20" s="30"/>
      <c r="H20" s="263"/>
      <c r="I20"/>
      <c r="K20" s="30"/>
      <c r="L20" s="30"/>
    </row>
    <row r="21" spans="1:12" x14ac:dyDescent="0.25">
      <c r="B21"/>
      <c r="C21"/>
      <c r="D21" t="str">
        <f t="shared" si="2"/>
        <v/>
      </c>
      <c r="F21" s="7"/>
      <c r="G21" s="30"/>
      <c r="H21" s="263"/>
      <c r="I21"/>
      <c r="K21" s="30"/>
      <c r="L21" s="30"/>
    </row>
    <row r="22" spans="1:12" x14ac:dyDescent="0.25">
      <c r="B22"/>
      <c r="C22"/>
      <c r="D22" t="str">
        <f t="shared" si="2"/>
        <v/>
      </c>
      <c r="F22" s="7"/>
      <c r="G22" s="30"/>
      <c r="H22" s="263"/>
      <c r="I22"/>
      <c r="K22" s="30"/>
      <c r="L22" s="30"/>
    </row>
    <row r="23" spans="1:12" x14ac:dyDescent="0.25">
      <c r="B23"/>
      <c r="C23"/>
      <c r="F23" s="7"/>
      <c r="G23" s="30"/>
      <c r="H23" s="263"/>
      <c r="I23"/>
      <c r="K23" s="30"/>
      <c r="L23" s="30"/>
    </row>
    <row r="24" spans="1:12" x14ac:dyDescent="0.25">
      <c r="B24"/>
      <c r="C24"/>
      <c r="F24" s="7"/>
      <c r="G24" s="30"/>
      <c r="H24" s="263"/>
      <c r="I24"/>
      <c r="K24" s="30"/>
      <c r="L24" s="30"/>
    </row>
    <row r="25" spans="1:12" x14ac:dyDescent="0.25">
      <c r="A25" s="6" t="s">
        <v>1732</v>
      </c>
      <c r="B25" t="s">
        <v>1519</v>
      </c>
      <c r="C25"/>
      <c r="D25"/>
      <c r="F25" s="7"/>
      <c r="G25" s="30"/>
      <c r="H25" s="263"/>
      <c r="I25"/>
      <c r="K25" s="30"/>
      <c r="L25" s="30"/>
    </row>
    <row r="26" spans="1:12" x14ac:dyDescent="0.25">
      <c r="B26"/>
      <c r="C26"/>
      <c r="D26"/>
    </row>
    <row r="27" spans="1:12" x14ac:dyDescent="0.25">
      <c r="A27" s="6" t="s">
        <v>1288</v>
      </c>
      <c r="B27" t="s">
        <v>1743</v>
      </c>
      <c r="C27" t="s">
        <v>1642</v>
      </c>
      <c r="D27"/>
    </row>
    <row r="28" spans="1:12" x14ac:dyDescent="0.25">
      <c r="A28" s="7" t="s">
        <v>1580</v>
      </c>
      <c r="B28" s="30">
        <v>25116.899999999991</v>
      </c>
      <c r="C28">
        <v>30</v>
      </c>
      <c r="D28" t="str">
        <f>PROPER(A28)</f>
        <v>Ecosampa Administração</v>
      </c>
    </row>
    <row r="29" spans="1:12" x14ac:dyDescent="0.25">
      <c r="A29" s="7" t="s">
        <v>10</v>
      </c>
      <c r="B29" s="30">
        <v>186050.72999999989</v>
      </c>
      <c r="C29">
        <v>183</v>
      </c>
      <c r="D29" t="str">
        <f t="shared" ref="D29:D33" si="3">PROPER(A29)</f>
        <v>Ecosampa Campo Limpo</v>
      </c>
    </row>
    <row r="30" spans="1:12" x14ac:dyDescent="0.25">
      <c r="A30" s="7" t="s">
        <v>8</v>
      </c>
      <c r="B30" s="30">
        <v>235413.66999999958</v>
      </c>
      <c r="C30">
        <v>233</v>
      </c>
      <c r="D30" t="str">
        <f t="shared" si="3"/>
        <v>Ecosampa Capela Do Socorro</v>
      </c>
    </row>
    <row r="31" spans="1:12" x14ac:dyDescent="0.25">
      <c r="A31" s="7" t="s">
        <v>19</v>
      </c>
      <c r="B31" s="30">
        <v>152938.77000000022</v>
      </c>
      <c r="C31">
        <v>151</v>
      </c>
      <c r="D31" t="str">
        <f t="shared" si="3"/>
        <v>Ecosampa M'Boi Mirim</v>
      </c>
    </row>
    <row r="32" spans="1:12" x14ac:dyDescent="0.25">
      <c r="A32" s="7" t="s">
        <v>1578</v>
      </c>
      <c r="B32" s="30">
        <v>446605.00000000309</v>
      </c>
      <c r="C32">
        <v>442</v>
      </c>
      <c r="D32" t="str">
        <f t="shared" si="3"/>
        <v>Ecosampa Operação Geral</v>
      </c>
    </row>
    <row r="33" spans="1:4" x14ac:dyDescent="0.25">
      <c r="A33" s="7" t="s">
        <v>32</v>
      </c>
      <c r="B33" s="30">
        <v>65987.53999999995</v>
      </c>
      <c r="C33">
        <v>65</v>
      </c>
      <c r="D33" t="str">
        <f t="shared" si="3"/>
        <v>Ecosampa Parelheiros</v>
      </c>
    </row>
    <row r="34" spans="1:4" x14ac:dyDescent="0.25">
      <c r="A34" s="7" t="s">
        <v>1246</v>
      </c>
      <c r="B34" s="30">
        <v>5570.88</v>
      </c>
      <c r="C34">
        <v>5</v>
      </c>
    </row>
    <row r="35" spans="1:4" x14ac:dyDescent="0.25">
      <c r="A35" s="7" t="s">
        <v>0</v>
      </c>
      <c r="B35" s="30">
        <v>325591.64000000054</v>
      </c>
      <c r="C35">
        <v>325</v>
      </c>
    </row>
    <row r="36" spans="1:4" x14ac:dyDescent="0.25">
      <c r="A36" s="7" t="s">
        <v>1286</v>
      </c>
      <c r="B36" s="30">
        <v>1443275.129999971</v>
      </c>
      <c r="C36">
        <v>1434</v>
      </c>
    </row>
  </sheetData>
  <pageMargins left="0.511811024" right="0.511811024" top="0.78740157499999996" bottom="0.78740157499999996" header="0.31496062000000002" footer="0.31496062000000002"/>
  <pageSetup paperSize="9" orientation="portrait"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DDFF4-D76C-47DE-B7AC-C433D173D5A1}">
  <sheetPr codeName="Planilha9"/>
  <dimension ref="A1:I1454"/>
  <sheetViews>
    <sheetView workbookViewId="0">
      <pane ySplit="1" topLeftCell="A1409" activePane="bottomLeft" state="frozen"/>
      <selection pane="bottomLeft" activeCell="H1454" sqref="H1454"/>
    </sheetView>
  </sheetViews>
  <sheetFormatPr defaultColWidth="8.7265625" defaultRowHeight="10.5" x14ac:dyDescent="0.25"/>
  <cols>
    <col min="1" max="1" width="8.54296875" style="129" customWidth="1"/>
    <col min="2" max="2" width="32.54296875" style="120" bestFit="1" customWidth="1"/>
    <col min="3" max="3" width="32.26953125" style="120" bestFit="1" customWidth="1"/>
    <col min="4" max="4" width="20.81640625" style="120" bestFit="1" customWidth="1"/>
    <col min="5" max="5" width="10.54296875" style="121" bestFit="1" customWidth="1"/>
    <col min="6" max="7" width="18.26953125" style="122" bestFit="1" customWidth="1"/>
    <col min="8" max="8" width="15.54296875" style="123" customWidth="1"/>
    <col min="9" max="9" width="24.81640625" style="120" bestFit="1" customWidth="1"/>
    <col min="10" max="16384" width="8.7265625" style="120"/>
  </cols>
  <sheetData>
    <row r="1" spans="1:9" ht="13" x14ac:dyDescent="0.25">
      <c r="A1" s="229" t="s">
        <v>1225</v>
      </c>
      <c r="B1" s="187" t="s">
        <v>1227</v>
      </c>
      <c r="C1" s="187" t="s">
        <v>1430</v>
      </c>
      <c r="D1" s="187" t="s">
        <v>1226</v>
      </c>
      <c r="E1" s="187" t="s">
        <v>1231</v>
      </c>
      <c r="F1" s="146" t="s">
        <v>1708</v>
      </c>
      <c r="G1" s="146" t="s">
        <v>1732</v>
      </c>
      <c r="H1" s="147" t="s">
        <v>1302</v>
      </c>
      <c r="I1" s="239" t="s">
        <v>1577</v>
      </c>
    </row>
    <row r="2" spans="1:9" s="109" customFormat="1" ht="13.5" customHeight="1" x14ac:dyDescent="0.25">
      <c r="A2" s="230">
        <v>112194</v>
      </c>
      <c r="B2" s="162" t="s">
        <v>26</v>
      </c>
      <c r="C2" s="162" t="s">
        <v>2</v>
      </c>
      <c r="D2" s="162" t="s">
        <v>19</v>
      </c>
      <c r="E2" s="231">
        <v>43617</v>
      </c>
      <c r="F2" s="117">
        <v>1016.96</v>
      </c>
      <c r="G2" s="117">
        <f>SUMIF(CONFERÊNCIA!A:A,A2,CONFERÊNCIA!J:J)</f>
        <v>1016.96</v>
      </c>
      <c r="H2" s="118">
        <f t="shared" ref="H2:H11" si="0">G2-F2</f>
        <v>0</v>
      </c>
      <c r="I2" s="240" t="s">
        <v>1229</v>
      </c>
    </row>
    <row r="3" spans="1:9" s="124" customFormat="1" ht="13.5" customHeight="1" x14ac:dyDescent="0.25">
      <c r="A3" s="230">
        <v>112198</v>
      </c>
      <c r="B3" s="162" t="s">
        <v>28</v>
      </c>
      <c r="C3" s="162" t="s">
        <v>2</v>
      </c>
      <c r="D3" s="162" t="s">
        <v>0</v>
      </c>
      <c r="E3" s="231">
        <v>43617</v>
      </c>
      <c r="F3" s="117">
        <v>1016.96</v>
      </c>
      <c r="G3" s="117">
        <f>SUMIF(CONFERÊNCIA!A:A,A3,CONFERÊNCIA!J:J)</f>
        <v>1016.96</v>
      </c>
      <c r="H3" s="119">
        <f t="shared" si="0"/>
        <v>0</v>
      </c>
      <c r="I3" s="240" t="s">
        <v>1229</v>
      </c>
    </row>
    <row r="4" spans="1:9" s="109" customFormat="1" ht="13.5" customHeight="1" x14ac:dyDescent="0.25">
      <c r="A4" s="230">
        <v>121403</v>
      </c>
      <c r="B4" s="162" t="s">
        <v>1544</v>
      </c>
      <c r="C4" s="162" t="s">
        <v>5</v>
      </c>
      <c r="D4" s="162" t="s">
        <v>1578</v>
      </c>
      <c r="E4" s="231">
        <v>44967</v>
      </c>
      <c r="F4" s="117">
        <v>1016.96</v>
      </c>
      <c r="G4" s="117">
        <f>SUMIF(CONFERÊNCIA!A:A,A4,CONFERÊNCIA!J:J)</f>
        <v>1016.96</v>
      </c>
      <c r="H4" s="118">
        <f t="shared" si="0"/>
        <v>0</v>
      </c>
      <c r="I4" s="240" t="s">
        <v>1229</v>
      </c>
    </row>
    <row r="5" spans="1:9" s="124" customFormat="1" ht="13.5" customHeight="1" x14ac:dyDescent="0.25">
      <c r="A5" s="230">
        <v>112225</v>
      </c>
      <c r="B5" s="162" t="s">
        <v>47</v>
      </c>
      <c r="C5" s="162" t="s">
        <v>5</v>
      </c>
      <c r="D5" s="162" t="s">
        <v>1578</v>
      </c>
      <c r="E5" s="231">
        <v>43617</v>
      </c>
      <c r="F5" s="117">
        <v>359.46</v>
      </c>
      <c r="G5" s="117">
        <f>SUMIF(CONFERÊNCIA!A:A,A5,CONFERÊNCIA!J:J)</f>
        <v>359.46</v>
      </c>
      <c r="H5" s="119">
        <f t="shared" si="0"/>
        <v>0</v>
      </c>
      <c r="I5" s="240" t="s">
        <v>1279</v>
      </c>
    </row>
    <row r="6" spans="1:9" s="109" customFormat="1" ht="13.5" customHeight="1" x14ac:dyDescent="0.25">
      <c r="A6" s="230">
        <v>121531</v>
      </c>
      <c r="B6" s="162" t="s">
        <v>1545</v>
      </c>
      <c r="C6" s="162" t="s">
        <v>15</v>
      </c>
      <c r="D6" s="162" t="s">
        <v>1578</v>
      </c>
      <c r="E6" s="231">
        <v>44972</v>
      </c>
      <c r="F6" s="117">
        <v>1016.96</v>
      </c>
      <c r="G6" s="117">
        <f>SUMIF(CONFERÊNCIA!A:A,A6,CONFERÊNCIA!J:J)</f>
        <v>1016.96</v>
      </c>
      <c r="H6" s="118">
        <f t="shared" si="0"/>
        <v>0</v>
      </c>
      <c r="I6" s="240" t="s">
        <v>1229</v>
      </c>
    </row>
    <row r="7" spans="1:9" s="109" customFormat="1" ht="13.5" customHeight="1" x14ac:dyDescent="0.25">
      <c r="A7" s="230">
        <v>121851</v>
      </c>
      <c r="B7" s="162" t="s">
        <v>1599</v>
      </c>
      <c r="C7" s="162" t="s">
        <v>5</v>
      </c>
      <c r="D7" s="162" t="s">
        <v>0</v>
      </c>
      <c r="E7" s="231">
        <v>45022</v>
      </c>
      <c r="F7" s="117">
        <v>1016.96</v>
      </c>
      <c r="G7" s="117">
        <f>SUMIF(CONFERÊNCIA!A:A,A7,CONFERÊNCIA!J:J)</f>
        <v>0</v>
      </c>
      <c r="H7" s="118">
        <f t="shared" si="0"/>
        <v>-1016.96</v>
      </c>
      <c r="I7" s="240" t="s">
        <v>1287</v>
      </c>
    </row>
    <row r="8" spans="1:9" s="124" customFormat="1" ht="13.5" customHeight="1" x14ac:dyDescent="0.25">
      <c r="A8" s="230">
        <v>114763</v>
      </c>
      <c r="B8" s="162" t="s">
        <v>1095</v>
      </c>
      <c r="C8" s="162" t="s">
        <v>15</v>
      </c>
      <c r="D8" s="162" t="s">
        <v>1578</v>
      </c>
      <c r="E8" s="231">
        <v>43874</v>
      </c>
      <c r="F8" s="117">
        <v>1016.96</v>
      </c>
      <c r="G8" s="117">
        <f>SUMIF(CONFERÊNCIA!A:A,A8,CONFERÊNCIA!J:J)</f>
        <v>1016.96</v>
      </c>
      <c r="H8" s="119">
        <f t="shared" si="0"/>
        <v>0</v>
      </c>
      <c r="I8" s="240" t="s">
        <v>1229</v>
      </c>
    </row>
    <row r="9" spans="1:9" s="124" customFormat="1" ht="13.5" customHeight="1" x14ac:dyDescent="0.25">
      <c r="A9" s="230">
        <v>122404</v>
      </c>
      <c r="B9" s="162" t="s">
        <v>1674</v>
      </c>
      <c r="C9" s="162" t="s">
        <v>5</v>
      </c>
      <c r="D9" s="162" t="s">
        <v>1578</v>
      </c>
      <c r="E9" s="231">
        <v>45117</v>
      </c>
      <c r="F9" s="117">
        <v>1016.96</v>
      </c>
      <c r="G9" s="117">
        <f>SUMIF(CONFERÊNCIA!A:A,A9,CONFERÊNCIA!J:J)</f>
        <v>1016.96</v>
      </c>
      <c r="H9" s="119">
        <f t="shared" si="0"/>
        <v>0</v>
      </c>
      <c r="I9" s="240" t="s">
        <v>1229</v>
      </c>
    </row>
    <row r="10" spans="1:9" s="124" customFormat="1" ht="13.5" customHeight="1" x14ac:dyDescent="0.25">
      <c r="A10" s="230">
        <v>112254</v>
      </c>
      <c r="B10" s="162" t="s">
        <v>65</v>
      </c>
      <c r="C10" s="162" t="s">
        <v>22</v>
      </c>
      <c r="D10" s="162" t="s">
        <v>1578</v>
      </c>
      <c r="E10" s="231">
        <v>43617</v>
      </c>
      <c r="F10" s="117">
        <v>1016.96</v>
      </c>
      <c r="G10" s="117">
        <f>SUMIF(CONFERÊNCIA!A:A,A10,CONFERÊNCIA!J:J)</f>
        <v>1016.96</v>
      </c>
      <c r="H10" s="119">
        <f t="shared" si="0"/>
        <v>0</v>
      </c>
      <c r="I10" s="240" t="s">
        <v>1229</v>
      </c>
    </row>
    <row r="11" spans="1:9" s="109" customFormat="1" ht="13.5" customHeight="1" x14ac:dyDescent="0.25">
      <c r="A11" s="230">
        <v>112258</v>
      </c>
      <c r="B11" s="162" t="s">
        <v>69</v>
      </c>
      <c r="C11" s="162" t="s">
        <v>2</v>
      </c>
      <c r="D11" s="162" t="s">
        <v>8</v>
      </c>
      <c r="E11" s="231">
        <v>43623</v>
      </c>
      <c r="F11" s="117">
        <v>1016.96</v>
      </c>
      <c r="G11" s="117">
        <f>SUMIF(CONFERÊNCIA!A:A,A11,CONFERÊNCIA!J:J)</f>
        <v>1016.96</v>
      </c>
      <c r="H11" s="118">
        <f t="shared" si="0"/>
        <v>0</v>
      </c>
      <c r="I11" s="240" t="s">
        <v>1229</v>
      </c>
    </row>
    <row r="12" spans="1:9" s="124" customFormat="1" ht="13.5" customHeight="1" x14ac:dyDescent="0.25">
      <c r="A12" s="230">
        <v>112265</v>
      </c>
      <c r="B12" s="162" t="s">
        <v>75</v>
      </c>
      <c r="C12" s="162" t="s">
        <v>5</v>
      </c>
      <c r="D12" s="162" t="s">
        <v>19</v>
      </c>
      <c r="E12" s="231">
        <v>43617</v>
      </c>
      <c r="F12" s="117">
        <v>1016.96</v>
      </c>
      <c r="G12" s="117">
        <f>SUMIF(CONFERÊNCIA!A:A,A12,CONFERÊNCIA!J:J)</f>
        <v>1016.96</v>
      </c>
      <c r="H12" s="119">
        <f t="shared" ref="H12:H23" si="1">G12-F12</f>
        <v>0</v>
      </c>
      <c r="I12" s="240" t="s">
        <v>1229</v>
      </c>
    </row>
    <row r="13" spans="1:9" s="109" customFormat="1" ht="13.5" customHeight="1" x14ac:dyDescent="0.25">
      <c r="A13" s="230">
        <v>112271</v>
      </c>
      <c r="B13" s="162" t="s">
        <v>78</v>
      </c>
      <c r="C13" s="162" t="s">
        <v>5</v>
      </c>
      <c r="D13" s="162" t="s">
        <v>32</v>
      </c>
      <c r="E13" s="231">
        <v>43617</v>
      </c>
      <c r="F13" s="117">
        <v>1016.96</v>
      </c>
      <c r="G13" s="117">
        <f>SUMIF(CONFERÊNCIA!A:A,A13,CONFERÊNCIA!J:J)</f>
        <v>1016.96</v>
      </c>
      <c r="H13" s="118">
        <f t="shared" si="1"/>
        <v>0</v>
      </c>
      <c r="I13" s="240" t="s">
        <v>1229</v>
      </c>
    </row>
    <row r="14" spans="1:9" s="124" customFormat="1" ht="13.5" customHeight="1" x14ac:dyDescent="0.25">
      <c r="A14" s="230">
        <v>115223</v>
      </c>
      <c r="B14" s="162" t="s">
        <v>1144</v>
      </c>
      <c r="C14" s="162" t="s">
        <v>5</v>
      </c>
      <c r="D14" s="162" t="s">
        <v>10</v>
      </c>
      <c r="E14" s="231">
        <v>44018</v>
      </c>
      <c r="F14" s="117">
        <v>1016.96</v>
      </c>
      <c r="G14" s="117">
        <f>SUMIF(CONFERÊNCIA!A:A,A14,CONFERÊNCIA!J:J)</f>
        <v>1016.96</v>
      </c>
      <c r="H14" s="119">
        <f t="shared" si="1"/>
        <v>0</v>
      </c>
      <c r="I14" s="240" t="s">
        <v>1229</v>
      </c>
    </row>
    <row r="15" spans="1:9" s="109" customFormat="1" ht="13.5" customHeight="1" x14ac:dyDescent="0.25">
      <c r="A15" s="230">
        <v>114910</v>
      </c>
      <c r="B15" s="162" t="s">
        <v>1104</v>
      </c>
      <c r="C15" s="162" t="s">
        <v>5</v>
      </c>
      <c r="D15" s="162" t="s">
        <v>1578</v>
      </c>
      <c r="E15" s="231">
        <v>43916</v>
      </c>
      <c r="F15" s="117">
        <v>1016.96</v>
      </c>
      <c r="G15" s="117">
        <f>SUMIF(CONFERÊNCIA!A:A,A15,CONFERÊNCIA!J:J)</f>
        <v>1016.96</v>
      </c>
      <c r="H15" s="118">
        <f t="shared" si="1"/>
        <v>0</v>
      </c>
      <c r="I15" s="240" t="s">
        <v>1229</v>
      </c>
    </row>
    <row r="16" spans="1:9" s="124" customFormat="1" ht="13.5" customHeight="1" x14ac:dyDescent="0.25">
      <c r="A16" s="230">
        <v>112279</v>
      </c>
      <c r="B16" s="162" t="s">
        <v>84</v>
      </c>
      <c r="C16" s="162" t="s">
        <v>2</v>
      </c>
      <c r="D16" s="162" t="s">
        <v>0</v>
      </c>
      <c r="E16" s="231">
        <v>43617</v>
      </c>
      <c r="F16" s="117">
        <v>1016.96</v>
      </c>
      <c r="G16" s="117">
        <f>SUMIF(CONFERÊNCIA!A:A,A16,CONFERÊNCIA!J:J)</f>
        <v>1016.96</v>
      </c>
      <c r="H16" s="119">
        <f t="shared" si="1"/>
        <v>0</v>
      </c>
      <c r="I16" s="240" t="s">
        <v>1230</v>
      </c>
    </row>
    <row r="17" spans="1:9" s="124" customFormat="1" ht="13.5" customHeight="1" x14ac:dyDescent="0.25">
      <c r="A17" s="230">
        <v>112299</v>
      </c>
      <c r="B17" s="162" t="s">
        <v>97</v>
      </c>
      <c r="C17" s="162" t="s">
        <v>2</v>
      </c>
      <c r="D17" s="162" t="s">
        <v>8</v>
      </c>
      <c r="E17" s="231">
        <v>43617</v>
      </c>
      <c r="F17" s="117">
        <v>1016.96</v>
      </c>
      <c r="G17" s="117">
        <f>SUMIF(CONFERÊNCIA!A:A,A17,CONFERÊNCIA!J:J)</f>
        <v>1016.96</v>
      </c>
      <c r="H17" s="119">
        <f t="shared" si="1"/>
        <v>0</v>
      </c>
      <c r="I17" s="240" t="s">
        <v>1229</v>
      </c>
    </row>
    <row r="18" spans="1:9" s="124" customFormat="1" ht="13.5" customHeight="1" x14ac:dyDescent="0.25">
      <c r="A18" s="230">
        <v>121802</v>
      </c>
      <c r="B18" s="162" t="s">
        <v>1579</v>
      </c>
      <c r="C18" s="162" t="s">
        <v>1581</v>
      </c>
      <c r="D18" s="162" t="s">
        <v>1580</v>
      </c>
      <c r="E18" s="231">
        <v>45008</v>
      </c>
      <c r="F18" s="117">
        <v>1016.96</v>
      </c>
      <c r="G18" s="117">
        <f>SUMIF(CONFERÊNCIA!A:A,A18,CONFERÊNCIA!J:J)</f>
        <v>1016.96</v>
      </c>
      <c r="H18" s="119">
        <f t="shared" si="1"/>
        <v>0</v>
      </c>
      <c r="I18" s="240" t="s">
        <v>1229</v>
      </c>
    </row>
    <row r="19" spans="1:9" s="124" customFormat="1" ht="13.5" customHeight="1" x14ac:dyDescent="0.25">
      <c r="A19" s="230">
        <v>120186</v>
      </c>
      <c r="B19" s="162" t="s">
        <v>1489</v>
      </c>
      <c r="C19" s="162" t="s">
        <v>15</v>
      </c>
      <c r="D19" s="162" t="s">
        <v>1578</v>
      </c>
      <c r="E19" s="231">
        <v>44791</v>
      </c>
      <c r="F19" s="117">
        <v>1016.96</v>
      </c>
      <c r="G19" s="117">
        <f>SUMIF(CONFERÊNCIA!A:A,A19,CONFERÊNCIA!J:J)</f>
        <v>1016.96</v>
      </c>
      <c r="H19" s="119">
        <f t="shared" si="1"/>
        <v>0</v>
      </c>
      <c r="I19" s="240" t="s">
        <v>1229</v>
      </c>
    </row>
    <row r="20" spans="1:9" s="109" customFormat="1" ht="13.5" customHeight="1" x14ac:dyDescent="0.25">
      <c r="A20" s="230">
        <v>112319</v>
      </c>
      <c r="B20" s="162" t="s">
        <v>1280</v>
      </c>
      <c r="C20" s="162" t="s">
        <v>5</v>
      </c>
      <c r="D20" s="162" t="s">
        <v>19</v>
      </c>
      <c r="E20" s="231">
        <v>43617</v>
      </c>
      <c r="F20" s="117">
        <v>1016.96</v>
      </c>
      <c r="G20" s="117">
        <f>SUMIF(CONFERÊNCIA!A:A,A20,CONFERÊNCIA!J:J)</f>
        <v>1016.96</v>
      </c>
      <c r="H20" s="118">
        <f t="shared" si="1"/>
        <v>0</v>
      </c>
      <c r="I20" s="240" t="s">
        <v>1229</v>
      </c>
    </row>
    <row r="21" spans="1:9" s="124" customFormat="1" ht="13.5" customHeight="1" x14ac:dyDescent="0.25">
      <c r="A21" s="230">
        <v>116729</v>
      </c>
      <c r="B21" s="162" t="s">
        <v>1220</v>
      </c>
      <c r="C21" s="162" t="s">
        <v>15</v>
      </c>
      <c r="D21" s="162" t="s">
        <v>1578</v>
      </c>
      <c r="E21" s="231">
        <v>44368</v>
      </c>
      <c r="F21" s="117">
        <v>1016.96</v>
      </c>
      <c r="G21" s="117">
        <f>SUMIF(CONFERÊNCIA!A:A,A21,CONFERÊNCIA!J:J)</f>
        <v>1016.96</v>
      </c>
      <c r="H21" s="119">
        <f t="shared" si="1"/>
        <v>0</v>
      </c>
      <c r="I21" s="240" t="s">
        <v>1229</v>
      </c>
    </row>
    <row r="22" spans="1:9" s="109" customFormat="1" ht="13.5" customHeight="1" x14ac:dyDescent="0.25">
      <c r="A22" s="230">
        <v>112171</v>
      </c>
      <c r="B22" s="162" t="s">
        <v>4</v>
      </c>
      <c r="C22" s="162" t="s">
        <v>5</v>
      </c>
      <c r="D22" s="162" t="s">
        <v>0</v>
      </c>
      <c r="E22" s="231">
        <v>43617</v>
      </c>
      <c r="F22" s="117">
        <v>978.67000000000007</v>
      </c>
      <c r="G22" s="117">
        <f>SUMIF(CONFERÊNCIA!A:A,A22,CONFERÊNCIA!J:J)</f>
        <v>1055.25</v>
      </c>
      <c r="H22" s="118">
        <f t="shared" si="1"/>
        <v>76.579999999999927</v>
      </c>
      <c r="I22" s="240" t="s">
        <v>1229</v>
      </c>
    </row>
    <row r="23" spans="1:9" s="124" customFormat="1" ht="13.5" customHeight="1" x14ac:dyDescent="0.25">
      <c r="A23" s="230">
        <v>112355</v>
      </c>
      <c r="B23" s="162" t="s">
        <v>1283</v>
      </c>
      <c r="C23" s="162" t="s">
        <v>2</v>
      </c>
      <c r="D23" s="162" t="s">
        <v>10</v>
      </c>
      <c r="E23" s="231">
        <v>43617</v>
      </c>
      <c r="F23" s="117">
        <v>1016.96</v>
      </c>
      <c r="G23" s="117">
        <f>SUMIF(CONFERÊNCIA!A:A,A23,CONFERÊNCIA!J:J)</f>
        <v>1016.96</v>
      </c>
      <c r="H23" s="119">
        <f t="shared" si="1"/>
        <v>0</v>
      </c>
      <c r="I23" s="240" t="s">
        <v>1229</v>
      </c>
    </row>
    <row r="24" spans="1:9" s="109" customFormat="1" ht="13.5" customHeight="1" x14ac:dyDescent="0.25">
      <c r="A24" s="230">
        <v>112358</v>
      </c>
      <c r="B24" s="162" t="s">
        <v>129</v>
      </c>
      <c r="C24" s="162" t="s">
        <v>5</v>
      </c>
      <c r="D24" s="162" t="s">
        <v>19</v>
      </c>
      <c r="E24" s="231">
        <v>43617</v>
      </c>
      <c r="F24" s="117">
        <v>1016.96</v>
      </c>
      <c r="G24" s="117">
        <f>SUMIF(CONFERÊNCIA!A:A,A24,CONFERÊNCIA!J:J)</f>
        <v>1016.96</v>
      </c>
      <c r="H24" s="118">
        <f t="shared" ref="H24:H29" si="2">G24-F24</f>
        <v>0</v>
      </c>
      <c r="I24" s="240" t="s">
        <v>1229</v>
      </c>
    </row>
    <row r="25" spans="1:9" s="109" customFormat="1" ht="13.5" customHeight="1" x14ac:dyDescent="0.25">
      <c r="A25" s="230">
        <v>114679</v>
      </c>
      <c r="B25" s="162" t="s">
        <v>1062</v>
      </c>
      <c r="C25" s="162" t="s">
        <v>2</v>
      </c>
      <c r="D25" s="162" t="s">
        <v>10</v>
      </c>
      <c r="E25" s="231">
        <v>43874</v>
      </c>
      <c r="F25" s="117">
        <v>1016.96</v>
      </c>
      <c r="G25" s="117">
        <f>SUMIF(CONFERÊNCIA!A:A,A25,CONFERÊNCIA!J:J)</f>
        <v>1016.96</v>
      </c>
      <c r="H25" s="118">
        <f t="shared" si="2"/>
        <v>0</v>
      </c>
      <c r="I25" s="240" t="s">
        <v>1229</v>
      </c>
    </row>
    <row r="26" spans="1:9" s="124" customFormat="1" ht="13.5" customHeight="1" x14ac:dyDescent="0.25">
      <c r="A26" s="230">
        <v>114239</v>
      </c>
      <c r="B26" s="162" t="s">
        <v>1016</v>
      </c>
      <c r="C26" s="162" t="s">
        <v>146</v>
      </c>
      <c r="D26" s="162" t="s">
        <v>32</v>
      </c>
      <c r="E26" s="231">
        <v>43790</v>
      </c>
      <c r="F26" s="117">
        <v>1016.96</v>
      </c>
      <c r="G26" s="117">
        <f>SUMIF(CONFERÊNCIA!A:A,A26,CONFERÊNCIA!J:J)</f>
        <v>1016.96</v>
      </c>
      <c r="H26" s="119">
        <f t="shared" si="2"/>
        <v>0</v>
      </c>
      <c r="I26" s="240" t="s">
        <v>1229</v>
      </c>
    </row>
    <row r="27" spans="1:9" s="124" customFormat="1" ht="13.5" customHeight="1" x14ac:dyDescent="0.25">
      <c r="A27" s="230">
        <v>121941</v>
      </c>
      <c r="B27" s="162" t="s">
        <v>1600</v>
      </c>
      <c r="C27" s="162" t="s">
        <v>1456</v>
      </c>
      <c r="D27" s="162" t="s">
        <v>1580</v>
      </c>
      <c r="E27" s="231">
        <v>45040</v>
      </c>
      <c r="F27" s="117">
        <v>657.5</v>
      </c>
      <c r="G27" s="117">
        <f>SUMIF(CONFERÊNCIA!A:A,A27,CONFERÊNCIA!J:J)</f>
        <v>657.5</v>
      </c>
      <c r="H27" s="119">
        <f t="shared" si="2"/>
        <v>0</v>
      </c>
      <c r="I27" s="240" t="s">
        <v>1229</v>
      </c>
    </row>
    <row r="28" spans="1:9" s="109" customFormat="1" ht="13.5" customHeight="1" x14ac:dyDescent="0.25">
      <c r="A28" s="230">
        <v>112173</v>
      </c>
      <c r="B28" s="162" t="s">
        <v>9</v>
      </c>
      <c r="C28" s="162" t="s">
        <v>5</v>
      </c>
      <c r="D28" s="162" t="s">
        <v>8</v>
      </c>
      <c r="E28" s="231">
        <v>43617</v>
      </c>
      <c r="F28" s="117">
        <v>1016.96</v>
      </c>
      <c r="G28" s="117">
        <f>SUMIF(CONFERÊNCIA!A:A,A28,CONFERÊNCIA!J:J)</f>
        <v>1016.96</v>
      </c>
      <c r="H28" s="118">
        <f t="shared" si="2"/>
        <v>0</v>
      </c>
      <c r="I28" s="240" t="s">
        <v>1229</v>
      </c>
    </row>
    <row r="29" spans="1:9" s="109" customFormat="1" ht="13.5" customHeight="1" x14ac:dyDescent="0.25">
      <c r="A29" s="230">
        <v>112377</v>
      </c>
      <c r="B29" s="162" t="s">
        <v>140</v>
      </c>
      <c r="C29" s="162" t="s">
        <v>39</v>
      </c>
      <c r="D29" s="162" t="s">
        <v>10</v>
      </c>
      <c r="E29" s="231">
        <v>43617</v>
      </c>
      <c r="F29" s="117">
        <v>1016.96</v>
      </c>
      <c r="G29" s="117">
        <f>SUMIF(CONFERÊNCIA!A:A,A29,CONFERÊNCIA!J:J)</f>
        <v>978.67000000000007</v>
      </c>
      <c r="H29" s="118">
        <f t="shared" si="2"/>
        <v>-38.289999999999964</v>
      </c>
      <c r="I29" s="240" t="s">
        <v>1229</v>
      </c>
    </row>
    <row r="30" spans="1:9" s="124" customFormat="1" ht="13.5" customHeight="1" x14ac:dyDescent="0.25">
      <c r="A30" s="230">
        <v>116224</v>
      </c>
      <c r="B30" s="162" t="s">
        <v>1188</v>
      </c>
      <c r="C30" s="162" t="s">
        <v>5</v>
      </c>
      <c r="D30" s="162" t="s">
        <v>0</v>
      </c>
      <c r="E30" s="231">
        <v>44273</v>
      </c>
      <c r="F30" s="117">
        <v>1016.96</v>
      </c>
      <c r="G30" s="117">
        <f>SUMIF(CONFERÊNCIA!A:A,A30,CONFERÊNCIA!J:J)</f>
        <v>1016.96</v>
      </c>
      <c r="H30" s="119">
        <f t="shared" ref="H30:H36" si="3">G30-F30</f>
        <v>0</v>
      </c>
      <c r="I30" s="240" t="s">
        <v>1229</v>
      </c>
    </row>
    <row r="31" spans="1:9" s="109" customFormat="1" ht="13.5" customHeight="1" x14ac:dyDescent="0.25">
      <c r="A31" s="230">
        <v>116087</v>
      </c>
      <c r="B31" s="162" t="s">
        <v>1181</v>
      </c>
      <c r="C31" s="162" t="s">
        <v>15</v>
      </c>
      <c r="D31" s="162" t="s">
        <v>1578</v>
      </c>
      <c r="E31" s="231">
        <v>44235</v>
      </c>
      <c r="F31" s="117">
        <v>1016.96</v>
      </c>
      <c r="G31" s="117">
        <f>SUMIF(CONFERÊNCIA!A:A,A31,CONFERÊNCIA!J:J)</f>
        <v>1016.96</v>
      </c>
      <c r="H31" s="118">
        <f t="shared" si="3"/>
        <v>0</v>
      </c>
      <c r="I31" s="240" t="s">
        <v>1229</v>
      </c>
    </row>
    <row r="32" spans="1:9" s="109" customFormat="1" ht="13.5" customHeight="1" x14ac:dyDescent="0.25">
      <c r="A32" s="230">
        <v>112389</v>
      </c>
      <c r="B32" s="162" t="s">
        <v>149</v>
      </c>
      <c r="C32" s="162" t="s">
        <v>2</v>
      </c>
      <c r="D32" s="162" t="s">
        <v>8</v>
      </c>
      <c r="E32" s="231">
        <v>43617</v>
      </c>
      <c r="F32" s="117">
        <v>1016.96</v>
      </c>
      <c r="G32" s="117">
        <f>SUMIF(CONFERÊNCIA!A:A,A32,CONFERÊNCIA!J:J)</f>
        <v>1016.96</v>
      </c>
      <c r="H32" s="118">
        <f t="shared" si="3"/>
        <v>0</v>
      </c>
      <c r="I32" s="240" t="s">
        <v>1229</v>
      </c>
    </row>
    <row r="33" spans="1:9" s="124" customFormat="1" ht="13.5" customHeight="1" x14ac:dyDescent="0.25">
      <c r="A33" s="230">
        <v>112393</v>
      </c>
      <c r="B33" s="162" t="s">
        <v>151</v>
      </c>
      <c r="C33" s="162" t="s">
        <v>5</v>
      </c>
      <c r="D33" s="162" t="s">
        <v>19</v>
      </c>
      <c r="E33" s="231">
        <v>43617</v>
      </c>
      <c r="F33" s="117">
        <v>1016.96</v>
      </c>
      <c r="G33" s="117">
        <f>SUMIF(CONFERÊNCIA!A:A,A33,CONFERÊNCIA!J:J)</f>
        <v>1016.96</v>
      </c>
      <c r="H33" s="119">
        <f t="shared" si="3"/>
        <v>0</v>
      </c>
      <c r="I33" s="240" t="s">
        <v>1229</v>
      </c>
    </row>
    <row r="34" spans="1:9" s="109" customFormat="1" ht="13.5" customHeight="1" x14ac:dyDescent="0.25">
      <c r="A34" s="230">
        <v>114607</v>
      </c>
      <c r="B34" s="162" t="s">
        <v>1059</v>
      </c>
      <c r="C34" s="162" t="s">
        <v>377</v>
      </c>
      <c r="D34" s="162" t="s">
        <v>1578</v>
      </c>
      <c r="E34" s="231">
        <v>43836</v>
      </c>
      <c r="F34" s="117">
        <v>1016.96</v>
      </c>
      <c r="G34" s="117">
        <f>SUMIF(CONFERÊNCIA!A:A,A34,CONFERÊNCIA!J:J)</f>
        <v>1016.96</v>
      </c>
      <c r="H34" s="118">
        <f t="shared" si="3"/>
        <v>0</v>
      </c>
      <c r="I34" s="240" t="s">
        <v>1229</v>
      </c>
    </row>
    <row r="35" spans="1:9" s="109" customFormat="1" ht="13.5" customHeight="1" x14ac:dyDescent="0.25">
      <c r="A35" s="230">
        <v>122411</v>
      </c>
      <c r="B35" s="162" t="s">
        <v>1675</v>
      </c>
      <c r="C35" s="162" t="s">
        <v>5</v>
      </c>
      <c r="D35" s="162" t="s">
        <v>1578</v>
      </c>
      <c r="E35" s="231">
        <v>45117</v>
      </c>
      <c r="F35" s="117">
        <v>1016.96</v>
      </c>
      <c r="G35" s="117">
        <f>SUMIF(CONFERÊNCIA!A:A,A35,CONFERÊNCIA!J:J)</f>
        <v>1016.96</v>
      </c>
      <c r="H35" s="118">
        <f t="shared" si="3"/>
        <v>0</v>
      </c>
      <c r="I35" s="240" t="s">
        <v>1229</v>
      </c>
    </row>
    <row r="36" spans="1:9" s="109" customFormat="1" ht="13.5" customHeight="1" x14ac:dyDescent="0.25">
      <c r="A36" s="230">
        <v>112399</v>
      </c>
      <c r="B36" s="162" t="s">
        <v>155</v>
      </c>
      <c r="C36" s="162" t="s">
        <v>2</v>
      </c>
      <c r="D36" s="162" t="s">
        <v>10</v>
      </c>
      <c r="E36" s="231">
        <v>43617</v>
      </c>
      <c r="F36" s="117">
        <v>1016.96</v>
      </c>
      <c r="G36" s="117">
        <f>SUMIF(CONFERÊNCIA!A:A,A36,CONFERÊNCIA!J:J)</f>
        <v>1016.96</v>
      </c>
      <c r="H36" s="118">
        <f t="shared" si="3"/>
        <v>0</v>
      </c>
      <c r="I36" s="240" t="s">
        <v>1230</v>
      </c>
    </row>
    <row r="37" spans="1:9" s="109" customFormat="1" ht="13.5" customHeight="1" x14ac:dyDescent="0.25">
      <c r="A37" s="230">
        <v>112419</v>
      </c>
      <c r="B37" s="162" t="s">
        <v>169</v>
      </c>
      <c r="C37" s="162" t="s">
        <v>2</v>
      </c>
      <c r="D37" s="162" t="s">
        <v>19</v>
      </c>
      <c r="E37" s="231">
        <v>43617</v>
      </c>
      <c r="F37" s="117">
        <v>1016.96</v>
      </c>
      <c r="G37" s="117">
        <f>SUMIF(CONFERÊNCIA!A:A,A37,CONFERÊNCIA!J:J)</f>
        <v>1016.96</v>
      </c>
      <c r="H37" s="118">
        <f t="shared" ref="H37:H43" si="4">G37-F37</f>
        <v>0</v>
      </c>
      <c r="I37" s="240" t="s">
        <v>1229</v>
      </c>
    </row>
    <row r="38" spans="1:9" s="109" customFormat="1" ht="13.5" customHeight="1" x14ac:dyDescent="0.25">
      <c r="A38" s="230">
        <v>112422</v>
      </c>
      <c r="B38" s="162" t="s">
        <v>171</v>
      </c>
      <c r="C38" s="162" t="s">
        <v>2</v>
      </c>
      <c r="D38" s="162" t="s">
        <v>10</v>
      </c>
      <c r="E38" s="231">
        <v>43617</v>
      </c>
      <c r="F38" s="117">
        <v>1016.96</v>
      </c>
      <c r="G38" s="117">
        <f>SUMIF(CONFERÊNCIA!A:A,A38,CONFERÊNCIA!J:J)</f>
        <v>1016.96</v>
      </c>
      <c r="H38" s="118">
        <f t="shared" si="4"/>
        <v>0</v>
      </c>
      <c r="I38" s="240" t="s">
        <v>1229</v>
      </c>
    </row>
    <row r="39" spans="1:9" s="109" customFormat="1" ht="13.5" customHeight="1" x14ac:dyDescent="0.25">
      <c r="A39" s="230">
        <v>112174</v>
      </c>
      <c r="B39" s="162" t="s">
        <v>11</v>
      </c>
      <c r="C39" s="162" t="s">
        <v>5</v>
      </c>
      <c r="D39" s="162" t="s">
        <v>10</v>
      </c>
      <c r="E39" s="231">
        <v>43617</v>
      </c>
      <c r="F39" s="117">
        <v>1016.96</v>
      </c>
      <c r="G39" s="117">
        <f>SUMIF(CONFERÊNCIA!A:A,A39,CONFERÊNCIA!J:J)</f>
        <v>1016.96</v>
      </c>
      <c r="H39" s="118">
        <f t="shared" si="4"/>
        <v>0</v>
      </c>
      <c r="I39" s="240" t="s">
        <v>1229</v>
      </c>
    </row>
    <row r="40" spans="1:9" s="109" customFormat="1" ht="13.5" customHeight="1" x14ac:dyDescent="0.25">
      <c r="A40" s="230">
        <v>112430</v>
      </c>
      <c r="B40" s="162" t="s">
        <v>173</v>
      </c>
      <c r="C40" s="162" t="s">
        <v>5</v>
      </c>
      <c r="D40" s="162" t="s">
        <v>1578</v>
      </c>
      <c r="E40" s="231">
        <v>43617</v>
      </c>
      <c r="F40" s="117">
        <v>1016.96</v>
      </c>
      <c r="G40" s="117">
        <f>SUMIF(CONFERÊNCIA!A:A,A40,CONFERÊNCIA!J:J)</f>
        <v>1016.96</v>
      </c>
      <c r="H40" s="118">
        <f t="shared" si="4"/>
        <v>0</v>
      </c>
      <c r="I40" s="240" t="s">
        <v>1229</v>
      </c>
    </row>
    <row r="41" spans="1:9" s="109" customFormat="1" ht="13.5" customHeight="1" x14ac:dyDescent="0.25">
      <c r="A41" s="230">
        <v>112433</v>
      </c>
      <c r="B41" s="162" t="s">
        <v>176</v>
      </c>
      <c r="C41" s="162" t="s">
        <v>22</v>
      </c>
      <c r="D41" s="162" t="s">
        <v>1578</v>
      </c>
      <c r="E41" s="231">
        <v>43617</v>
      </c>
      <c r="F41" s="117">
        <v>1016.96</v>
      </c>
      <c r="G41" s="117">
        <f>SUMIF(CONFERÊNCIA!A:A,A41,CONFERÊNCIA!J:J)</f>
        <v>1016.96</v>
      </c>
      <c r="H41" s="118">
        <f t="shared" si="4"/>
        <v>0</v>
      </c>
      <c r="I41" s="240" t="s">
        <v>1229</v>
      </c>
    </row>
    <row r="42" spans="1:9" s="124" customFormat="1" ht="13.5" customHeight="1" x14ac:dyDescent="0.25">
      <c r="A42" s="230">
        <v>112436</v>
      </c>
      <c r="B42" s="162" t="s">
        <v>178</v>
      </c>
      <c r="C42" s="162" t="s">
        <v>39</v>
      </c>
      <c r="D42" s="162" t="s">
        <v>10</v>
      </c>
      <c r="E42" s="231">
        <v>43617</v>
      </c>
      <c r="F42" s="117">
        <v>1016.96</v>
      </c>
      <c r="G42" s="117">
        <f>SUMIF(CONFERÊNCIA!A:A,A42,CONFERÊNCIA!J:J)</f>
        <v>1016.96</v>
      </c>
      <c r="H42" s="119">
        <f t="shared" si="4"/>
        <v>0</v>
      </c>
      <c r="I42" s="240" t="s">
        <v>1229</v>
      </c>
    </row>
    <row r="43" spans="1:9" s="109" customFormat="1" ht="13.5" customHeight="1" x14ac:dyDescent="0.25">
      <c r="A43" s="230">
        <v>112462</v>
      </c>
      <c r="B43" s="162" t="s">
        <v>190</v>
      </c>
      <c r="C43" s="162" t="s">
        <v>15</v>
      </c>
      <c r="D43" s="162" t="s">
        <v>1578</v>
      </c>
      <c r="E43" s="231">
        <v>43617</v>
      </c>
      <c r="F43" s="117">
        <v>1016.96</v>
      </c>
      <c r="G43" s="117">
        <f>SUMIF(CONFERÊNCIA!A:A,A43,CONFERÊNCIA!J:J)</f>
        <v>1016.96</v>
      </c>
      <c r="H43" s="118">
        <f t="shared" si="4"/>
        <v>0</v>
      </c>
      <c r="I43" s="240" t="s">
        <v>1230</v>
      </c>
    </row>
    <row r="44" spans="1:9" s="109" customFormat="1" ht="13.5" customHeight="1" x14ac:dyDescent="0.25">
      <c r="A44" s="230">
        <v>116968</v>
      </c>
      <c r="B44" s="162" t="s">
        <v>1232</v>
      </c>
      <c r="C44" s="162" t="s">
        <v>5</v>
      </c>
      <c r="D44" s="162" t="s">
        <v>8</v>
      </c>
      <c r="E44" s="231">
        <v>44419</v>
      </c>
      <c r="F44" s="117">
        <v>1016.96</v>
      </c>
      <c r="G44" s="117">
        <f>SUMIF(CONFERÊNCIA!A:A,A44,CONFERÊNCIA!J:J)</f>
        <v>1016.96</v>
      </c>
      <c r="H44" s="118">
        <f t="shared" ref="H44:H50" si="5">G44-F44</f>
        <v>0</v>
      </c>
      <c r="I44" s="240" t="s">
        <v>1229</v>
      </c>
    </row>
    <row r="45" spans="1:9" s="124" customFormat="1" ht="13.5" customHeight="1" x14ac:dyDescent="0.25">
      <c r="A45" s="230">
        <v>112547</v>
      </c>
      <c r="B45" s="162" t="s">
        <v>257</v>
      </c>
      <c r="C45" s="162" t="s">
        <v>2</v>
      </c>
      <c r="D45" s="162" t="s">
        <v>10</v>
      </c>
      <c r="E45" s="231">
        <v>43617</v>
      </c>
      <c r="F45" s="117">
        <v>1016.96</v>
      </c>
      <c r="G45" s="117">
        <f>SUMIF(CONFERÊNCIA!A:A,A45,CONFERÊNCIA!J:J)</f>
        <v>1016.96</v>
      </c>
      <c r="H45" s="119">
        <f t="shared" si="5"/>
        <v>0</v>
      </c>
      <c r="I45" s="240" t="s">
        <v>1229</v>
      </c>
    </row>
    <row r="46" spans="1:9" s="124" customFormat="1" ht="13.5" customHeight="1" x14ac:dyDescent="0.25">
      <c r="A46" s="230">
        <v>112632</v>
      </c>
      <c r="B46" s="162" t="s">
        <v>310</v>
      </c>
      <c r="C46" s="162" t="s">
        <v>2</v>
      </c>
      <c r="D46" s="162" t="s">
        <v>10</v>
      </c>
      <c r="E46" s="231">
        <v>43617</v>
      </c>
      <c r="F46" s="117">
        <v>1016.96</v>
      </c>
      <c r="G46" s="117">
        <f>SUMIF(CONFERÊNCIA!A:A,A46,CONFERÊNCIA!J:J)</f>
        <v>1016.96</v>
      </c>
      <c r="H46" s="119">
        <f t="shared" si="5"/>
        <v>0</v>
      </c>
      <c r="I46" s="240" t="s">
        <v>1229</v>
      </c>
    </row>
    <row r="47" spans="1:9" s="109" customFormat="1" ht="13.5" customHeight="1" x14ac:dyDescent="0.25">
      <c r="A47" s="230">
        <v>112549</v>
      </c>
      <c r="B47" s="162" t="s">
        <v>259</v>
      </c>
      <c r="C47" s="162" t="s">
        <v>2</v>
      </c>
      <c r="D47" s="162" t="s">
        <v>10</v>
      </c>
      <c r="E47" s="231">
        <v>43617</v>
      </c>
      <c r="F47" s="117">
        <v>1016.96</v>
      </c>
      <c r="G47" s="117">
        <f>SUMIF(CONFERÊNCIA!A:A,A47,CONFERÊNCIA!J:J)</f>
        <v>1016.96</v>
      </c>
      <c r="H47" s="118">
        <f t="shared" si="5"/>
        <v>0</v>
      </c>
      <c r="I47" s="240" t="s">
        <v>1229</v>
      </c>
    </row>
    <row r="48" spans="1:9" s="124" customFormat="1" ht="13.5" customHeight="1" x14ac:dyDescent="0.25">
      <c r="A48" s="230">
        <v>112641</v>
      </c>
      <c r="B48" s="162" t="s">
        <v>315</v>
      </c>
      <c r="C48" s="162" t="s">
        <v>2</v>
      </c>
      <c r="D48" s="162" t="s">
        <v>10</v>
      </c>
      <c r="E48" s="231">
        <v>43617</v>
      </c>
      <c r="F48" s="117">
        <v>1016.96</v>
      </c>
      <c r="G48" s="117">
        <f>SUMIF(CONFERÊNCIA!A:A,A48,CONFERÊNCIA!J:J)</f>
        <v>1016.96</v>
      </c>
      <c r="H48" s="119">
        <f t="shared" si="5"/>
        <v>0</v>
      </c>
      <c r="I48" s="240" t="s">
        <v>1229</v>
      </c>
    </row>
    <row r="49" spans="1:9" s="109" customFormat="1" ht="13.5" customHeight="1" x14ac:dyDescent="0.25">
      <c r="A49" s="230">
        <v>114966</v>
      </c>
      <c r="B49" s="162" t="s">
        <v>1129</v>
      </c>
      <c r="C49" s="162" t="s">
        <v>22</v>
      </c>
      <c r="D49" s="162" t="s">
        <v>1578</v>
      </c>
      <c r="E49" s="231">
        <v>43917</v>
      </c>
      <c r="F49" s="117">
        <v>1016.96</v>
      </c>
      <c r="G49" s="117">
        <f>SUMIF(CONFERÊNCIA!A:A,A49,CONFERÊNCIA!J:J)</f>
        <v>1016.96</v>
      </c>
      <c r="H49" s="118">
        <f t="shared" si="5"/>
        <v>0</v>
      </c>
      <c r="I49" s="240" t="s">
        <v>1229</v>
      </c>
    </row>
    <row r="50" spans="1:9" s="109" customFormat="1" ht="13.5" customHeight="1" x14ac:dyDescent="0.25">
      <c r="A50" s="230">
        <v>116076</v>
      </c>
      <c r="B50" s="162" t="s">
        <v>1179</v>
      </c>
      <c r="C50" s="162" t="s">
        <v>139</v>
      </c>
      <c r="D50" s="162" t="s">
        <v>1578</v>
      </c>
      <c r="E50" s="231">
        <v>44218</v>
      </c>
      <c r="F50" s="117">
        <v>1016.96</v>
      </c>
      <c r="G50" s="117">
        <f>SUMIF(CONFERÊNCIA!A:A,A50,CONFERÊNCIA!J:J)</f>
        <v>978.67000000000007</v>
      </c>
      <c r="H50" s="118">
        <f t="shared" si="5"/>
        <v>-38.289999999999964</v>
      </c>
      <c r="I50" s="240" t="s">
        <v>1229</v>
      </c>
    </row>
    <row r="51" spans="1:9" s="124" customFormat="1" ht="13.5" customHeight="1" x14ac:dyDescent="0.25">
      <c r="A51" s="230">
        <v>112646</v>
      </c>
      <c r="B51" s="162" t="s">
        <v>317</v>
      </c>
      <c r="C51" s="162" t="s">
        <v>5</v>
      </c>
      <c r="D51" s="162" t="s">
        <v>19</v>
      </c>
      <c r="E51" s="231">
        <v>43617</v>
      </c>
      <c r="F51" s="117">
        <v>1016.96</v>
      </c>
      <c r="G51" s="117">
        <f>SUMIF(CONFERÊNCIA!A:A,A51,CONFERÊNCIA!J:J)</f>
        <v>1016.96</v>
      </c>
      <c r="H51" s="119">
        <f t="shared" ref="H51:H57" si="6">G51-F51</f>
        <v>0</v>
      </c>
      <c r="I51" s="240" t="s">
        <v>1229</v>
      </c>
    </row>
    <row r="52" spans="1:9" s="109" customFormat="1" ht="13.5" customHeight="1" x14ac:dyDescent="0.25">
      <c r="A52" s="230">
        <v>121954</v>
      </c>
      <c r="B52" s="162" t="s">
        <v>1601</v>
      </c>
      <c r="C52" s="162" t="s">
        <v>5</v>
      </c>
      <c r="D52" s="162" t="s">
        <v>1578</v>
      </c>
      <c r="E52" s="231">
        <v>45040</v>
      </c>
      <c r="F52" s="117">
        <v>940.39</v>
      </c>
      <c r="G52" s="117">
        <f>SUMIF(CONFERÊNCIA!A:A,A52,CONFERÊNCIA!J:J)</f>
        <v>863.83</v>
      </c>
      <c r="H52" s="118">
        <f t="shared" si="6"/>
        <v>-76.559999999999945</v>
      </c>
      <c r="I52" s="240" t="s">
        <v>1229</v>
      </c>
    </row>
    <row r="53" spans="1:9" s="109" customFormat="1" ht="13.5" customHeight="1" x14ac:dyDescent="0.25">
      <c r="A53" s="230">
        <v>117290</v>
      </c>
      <c r="B53" s="162" t="s">
        <v>1260</v>
      </c>
      <c r="C53" s="162" t="s">
        <v>929</v>
      </c>
      <c r="D53" s="162" t="s">
        <v>1578</v>
      </c>
      <c r="E53" s="231">
        <v>44494</v>
      </c>
      <c r="F53" s="117">
        <v>1016.96</v>
      </c>
      <c r="G53" s="117">
        <f>SUMIF(CONFERÊNCIA!A:A,A53,CONFERÊNCIA!J:J)</f>
        <v>1016.96</v>
      </c>
      <c r="H53" s="118">
        <f t="shared" si="6"/>
        <v>0</v>
      </c>
      <c r="I53" s="240" t="s">
        <v>1229</v>
      </c>
    </row>
    <row r="54" spans="1:9" s="124" customFormat="1" ht="13.5" customHeight="1" x14ac:dyDescent="0.25">
      <c r="A54" s="230">
        <v>112652</v>
      </c>
      <c r="B54" s="162" t="s">
        <v>320</v>
      </c>
      <c r="C54" s="162" t="s">
        <v>5</v>
      </c>
      <c r="D54" s="162" t="s">
        <v>32</v>
      </c>
      <c r="E54" s="231">
        <v>43617</v>
      </c>
      <c r="F54" s="117">
        <v>1016.96</v>
      </c>
      <c r="G54" s="117">
        <f>SUMIF(CONFERÊNCIA!A:A,A54,CONFERÊNCIA!J:J)</f>
        <v>1016.96</v>
      </c>
      <c r="H54" s="119">
        <f t="shared" si="6"/>
        <v>0</v>
      </c>
      <c r="I54" s="240" t="s">
        <v>1230</v>
      </c>
    </row>
    <row r="55" spans="1:9" s="124" customFormat="1" ht="13.5" customHeight="1" x14ac:dyDescent="0.25">
      <c r="A55" s="230">
        <v>112567</v>
      </c>
      <c r="B55" s="162" t="s">
        <v>269</v>
      </c>
      <c r="C55" s="162" t="s">
        <v>5</v>
      </c>
      <c r="D55" s="162" t="s">
        <v>8</v>
      </c>
      <c r="E55" s="231">
        <v>43617</v>
      </c>
      <c r="F55" s="117">
        <v>1016.96</v>
      </c>
      <c r="G55" s="117">
        <f>SUMIF(CONFERÊNCIA!A:A,A55,CONFERÊNCIA!J:J)</f>
        <v>1016.96</v>
      </c>
      <c r="H55" s="119">
        <f t="shared" si="6"/>
        <v>0</v>
      </c>
      <c r="I55" s="240" t="s">
        <v>1230</v>
      </c>
    </row>
    <row r="56" spans="1:9" s="124" customFormat="1" ht="13.5" customHeight="1" x14ac:dyDescent="0.25">
      <c r="A56" s="230">
        <v>112656</v>
      </c>
      <c r="B56" s="162" t="s">
        <v>322</v>
      </c>
      <c r="C56" s="162" t="s">
        <v>22</v>
      </c>
      <c r="D56" s="162" t="s">
        <v>1578</v>
      </c>
      <c r="E56" s="231">
        <v>43617</v>
      </c>
      <c r="F56" s="117">
        <v>1016.96</v>
      </c>
      <c r="G56" s="117">
        <f>SUMIF(CONFERÊNCIA!A:A,A56,CONFERÊNCIA!J:J)</f>
        <v>1016.96</v>
      </c>
      <c r="H56" s="119">
        <f t="shared" si="6"/>
        <v>0</v>
      </c>
      <c r="I56" s="240" t="s">
        <v>1229</v>
      </c>
    </row>
    <row r="57" spans="1:9" s="124" customFormat="1" ht="13.5" customHeight="1" x14ac:dyDescent="0.25">
      <c r="A57" s="230">
        <v>114976</v>
      </c>
      <c r="B57" s="162" t="s">
        <v>1132</v>
      </c>
      <c r="C57" s="162" t="s">
        <v>15</v>
      </c>
      <c r="D57" s="162" t="s">
        <v>1578</v>
      </c>
      <c r="E57" s="231">
        <v>43917</v>
      </c>
      <c r="F57" s="117">
        <v>1016.96</v>
      </c>
      <c r="G57" s="117">
        <f>SUMIF(CONFERÊNCIA!A:A,A57,CONFERÊNCIA!J:J)</f>
        <v>1016.96</v>
      </c>
      <c r="H57" s="119">
        <f t="shared" si="6"/>
        <v>0</v>
      </c>
      <c r="I57" s="240" t="s">
        <v>1229</v>
      </c>
    </row>
    <row r="58" spans="1:9" s="124" customFormat="1" ht="13.5" customHeight="1" x14ac:dyDescent="0.25">
      <c r="A58" s="230">
        <v>112664</v>
      </c>
      <c r="B58" s="162" t="s">
        <v>326</v>
      </c>
      <c r="C58" s="162" t="s">
        <v>2</v>
      </c>
      <c r="D58" s="162" t="s">
        <v>0</v>
      </c>
      <c r="E58" s="231">
        <v>43617</v>
      </c>
      <c r="F58" s="117">
        <v>978.67000000000007</v>
      </c>
      <c r="G58" s="117">
        <f>SUMIF(CONFERÊNCIA!A:A,A58,CONFERÊNCIA!J:J)</f>
        <v>978.67000000000007</v>
      </c>
      <c r="H58" s="119">
        <f t="shared" ref="H58:H67" si="7">G58-F58</f>
        <v>0</v>
      </c>
      <c r="I58" s="240" t="s">
        <v>1229</v>
      </c>
    </row>
    <row r="59" spans="1:9" s="109" customFormat="1" ht="13.5" customHeight="1" x14ac:dyDescent="0.25">
      <c r="A59" s="230">
        <v>112691</v>
      </c>
      <c r="B59" s="162" t="s">
        <v>343</v>
      </c>
      <c r="C59" s="162" t="s">
        <v>22</v>
      </c>
      <c r="D59" s="162" t="s">
        <v>1578</v>
      </c>
      <c r="E59" s="231">
        <v>43617</v>
      </c>
      <c r="F59" s="117">
        <v>1016.96</v>
      </c>
      <c r="G59" s="117">
        <f>SUMIF(CONFERÊNCIA!A:A,A59,CONFERÊNCIA!J:J)</f>
        <v>1016.96</v>
      </c>
      <c r="H59" s="118">
        <f t="shared" si="7"/>
        <v>0</v>
      </c>
      <c r="I59" s="240" t="s">
        <v>1229</v>
      </c>
    </row>
    <row r="60" spans="1:9" s="109" customFormat="1" ht="13.5" customHeight="1" x14ac:dyDescent="0.25">
      <c r="A60" s="230">
        <v>112697</v>
      </c>
      <c r="B60" s="162" t="s">
        <v>347</v>
      </c>
      <c r="C60" s="162" t="s">
        <v>2</v>
      </c>
      <c r="D60" s="162" t="s">
        <v>8</v>
      </c>
      <c r="E60" s="231">
        <v>43617</v>
      </c>
      <c r="F60" s="117">
        <v>1016.96</v>
      </c>
      <c r="G60" s="117">
        <f>SUMIF(CONFERÊNCIA!A:A,A60,CONFERÊNCIA!J:J)</f>
        <v>1016.96</v>
      </c>
      <c r="H60" s="118">
        <f t="shared" si="7"/>
        <v>0</v>
      </c>
      <c r="I60" s="240" t="s">
        <v>1229</v>
      </c>
    </row>
    <row r="61" spans="1:9" s="124" customFormat="1" ht="13.5" customHeight="1" x14ac:dyDescent="0.25">
      <c r="A61" s="230">
        <v>112700</v>
      </c>
      <c r="B61" s="162" t="s">
        <v>351</v>
      </c>
      <c r="C61" s="162" t="s">
        <v>2</v>
      </c>
      <c r="D61" s="162" t="s">
        <v>8</v>
      </c>
      <c r="E61" s="231">
        <v>43617</v>
      </c>
      <c r="F61" s="117">
        <v>1016.96</v>
      </c>
      <c r="G61" s="117">
        <f>SUMIF(CONFERÊNCIA!A:A,A61,CONFERÊNCIA!J:J)</f>
        <v>1016.96</v>
      </c>
      <c r="H61" s="119">
        <f t="shared" si="7"/>
        <v>0</v>
      </c>
      <c r="I61" s="240" t="s">
        <v>1229</v>
      </c>
    </row>
    <row r="62" spans="1:9" s="124" customFormat="1" ht="13.5" customHeight="1" x14ac:dyDescent="0.25">
      <c r="A62" s="230">
        <v>112175</v>
      </c>
      <c r="B62" s="162" t="s">
        <v>12</v>
      </c>
      <c r="C62" s="162" t="s">
        <v>5</v>
      </c>
      <c r="D62" s="162" t="s">
        <v>10</v>
      </c>
      <c r="E62" s="231">
        <v>43617</v>
      </c>
      <c r="F62" s="117">
        <v>1016.96</v>
      </c>
      <c r="G62" s="117">
        <f>SUMIF(CONFERÊNCIA!A:A,A62,CONFERÊNCIA!J:J)</f>
        <v>1016.96</v>
      </c>
      <c r="H62" s="119">
        <f t="shared" si="7"/>
        <v>0</v>
      </c>
      <c r="I62" s="240" t="s">
        <v>1229</v>
      </c>
    </row>
    <row r="63" spans="1:9" s="109" customFormat="1" ht="13.5" customHeight="1" x14ac:dyDescent="0.25">
      <c r="A63" s="230">
        <v>121314</v>
      </c>
      <c r="B63" s="162" t="s">
        <v>1522</v>
      </c>
      <c r="C63" s="162" t="s">
        <v>5</v>
      </c>
      <c r="D63" s="162" t="s">
        <v>10</v>
      </c>
      <c r="E63" s="231">
        <v>44945</v>
      </c>
      <c r="F63" s="117">
        <v>1016.96</v>
      </c>
      <c r="G63" s="117">
        <f>SUMIF(CONFERÊNCIA!A:A,A63,CONFERÊNCIA!J:J)</f>
        <v>1016.96</v>
      </c>
      <c r="H63" s="118">
        <f t="shared" si="7"/>
        <v>0</v>
      </c>
      <c r="I63" s="240" t="s">
        <v>1229</v>
      </c>
    </row>
    <row r="64" spans="1:9" s="124" customFormat="1" ht="13.5" customHeight="1" x14ac:dyDescent="0.25">
      <c r="A64" s="230">
        <v>112719</v>
      </c>
      <c r="B64" s="162" t="s">
        <v>362</v>
      </c>
      <c r="C64" s="162" t="s">
        <v>15</v>
      </c>
      <c r="D64" s="162" t="s">
        <v>1578</v>
      </c>
      <c r="E64" s="231">
        <v>43617</v>
      </c>
      <c r="F64" s="117">
        <v>1016.96</v>
      </c>
      <c r="G64" s="117">
        <f>SUMIF(CONFERÊNCIA!A:A,A64,CONFERÊNCIA!J:J)</f>
        <v>1016.96</v>
      </c>
      <c r="H64" s="119">
        <f t="shared" si="7"/>
        <v>0</v>
      </c>
      <c r="I64" s="240" t="s">
        <v>1229</v>
      </c>
    </row>
    <row r="65" spans="1:9" s="124" customFormat="1" ht="13.5" customHeight="1" x14ac:dyDescent="0.25">
      <c r="A65" s="230">
        <v>112726</v>
      </c>
      <c r="B65" s="162" t="s">
        <v>367</v>
      </c>
      <c r="C65" s="162" t="s">
        <v>22</v>
      </c>
      <c r="D65" s="162" t="s">
        <v>1578</v>
      </c>
      <c r="E65" s="231">
        <v>43617</v>
      </c>
      <c r="F65" s="117">
        <v>1016.96</v>
      </c>
      <c r="G65" s="117">
        <f>SUMIF(CONFERÊNCIA!A:A,A65,CONFERÊNCIA!J:J)</f>
        <v>1016.96</v>
      </c>
      <c r="H65" s="119">
        <f t="shared" si="7"/>
        <v>0</v>
      </c>
      <c r="I65" s="240" t="s">
        <v>1229</v>
      </c>
    </row>
    <row r="66" spans="1:9" s="124" customFormat="1" ht="13.5" customHeight="1" x14ac:dyDescent="0.25">
      <c r="A66" s="230">
        <v>113795</v>
      </c>
      <c r="B66" s="162" t="s">
        <v>981</v>
      </c>
      <c r="C66" s="162" t="s">
        <v>982</v>
      </c>
      <c r="D66" s="162" t="s">
        <v>1580</v>
      </c>
      <c r="E66" s="231">
        <v>43628</v>
      </c>
      <c r="F66" s="117">
        <v>1016.96</v>
      </c>
      <c r="G66" s="117">
        <f>SUMIF(CONFERÊNCIA!A:A,A66,CONFERÊNCIA!J:J)</f>
        <v>1016.96</v>
      </c>
      <c r="H66" s="119">
        <f t="shared" si="7"/>
        <v>0</v>
      </c>
      <c r="I66" s="240" t="s">
        <v>1229</v>
      </c>
    </row>
    <row r="67" spans="1:9" s="109" customFormat="1" ht="13.5" customHeight="1" x14ac:dyDescent="0.25">
      <c r="A67" s="230">
        <v>116020</v>
      </c>
      <c r="B67" s="162" t="s">
        <v>1172</v>
      </c>
      <c r="C67" s="162" t="s">
        <v>5</v>
      </c>
      <c r="D67" s="162" t="s">
        <v>0</v>
      </c>
      <c r="E67" s="231">
        <v>44207</v>
      </c>
      <c r="F67" s="117">
        <v>1016.96</v>
      </c>
      <c r="G67" s="117">
        <f>SUMIF(CONFERÊNCIA!A:A,A67,CONFERÊNCIA!J:J)</f>
        <v>1016.96</v>
      </c>
      <c r="H67" s="118">
        <f t="shared" si="7"/>
        <v>0</v>
      </c>
      <c r="I67" s="240" t="s">
        <v>1229</v>
      </c>
    </row>
    <row r="68" spans="1:9" s="109" customFormat="1" ht="13.5" customHeight="1" x14ac:dyDescent="0.25">
      <c r="A68" s="230">
        <v>114101</v>
      </c>
      <c r="B68" s="162" t="s">
        <v>1004</v>
      </c>
      <c r="C68" s="162" t="s">
        <v>5</v>
      </c>
      <c r="D68" s="162" t="s">
        <v>19</v>
      </c>
      <c r="E68" s="231">
        <v>43728</v>
      </c>
      <c r="F68" s="117">
        <v>359.46</v>
      </c>
      <c r="G68" s="117">
        <f>SUMIF(CONFERÊNCIA!A:A,A68,CONFERÊNCIA!J:J)</f>
        <v>1122.1600000000001</v>
      </c>
      <c r="H68" s="118">
        <f t="shared" ref="H68:H71" si="8">G68-F68</f>
        <v>762.7</v>
      </c>
      <c r="I68" s="240" t="s">
        <v>1229</v>
      </c>
    </row>
    <row r="69" spans="1:9" s="124" customFormat="1" ht="13.5" customHeight="1" x14ac:dyDescent="0.25">
      <c r="A69" s="230">
        <v>122437</v>
      </c>
      <c r="B69" s="162" t="s">
        <v>1676</v>
      </c>
      <c r="C69" s="162" t="s">
        <v>5</v>
      </c>
      <c r="D69" s="162" t="s">
        <v>1578</v>
      </c>
      <c r="E69" s="231">
        <v>45117</v>
      </c>
      <c r="F69" s="117">
        <v>1016.96</v>
      </c>
      <c r="G69" s="117">
        <f>SUMIF(CONFERÊNCIA!A:A,A69,CONFERÊNCIA!J:J)</f>
        <v>1016.96</v>
      </c>
      <c r="H69" s="119">
        <f t="shared" si="8"/>
        <v>0</v>
      </c>
      <c r="I69" s="240" t="s">
        <v>1229</v>
      </c>
    </row>
    <row r="70" spans="1:9" s="124" customFormat="1" ht="13.5" customHeight="1" x14ac:dyDescent="0.25">
      <c r="A70" s="230">
        <v>114273</v>
      </c>
      <c r="B70" s="162" t="s">
        <v>1030</v>
      </c>
      <c r="C70" s="162" t="s">
        <v>5</v>
      </c>
      <c r="D70" s="162" t="s">
        <v>0</v>
      </c>
      <c r="E70" s="231">
        <v>43804</v>
      </c>
      <c r="F70" s="117">
        <v>1016.96</v>
      </c>
      <c r="G70" s="117">
        <f>SUMIF(CONFERÊNCIA!A:A,A70,CONFERÊNCIA!J:J)</f>
        <v>978.67000000000007</v>
      </c>
      <c r="H70" s="119">
        <f t="shared" si="8"/>
        <v>-38.289999999999964</v>
      </c>
      <c r="I70" s="240" t="s">
        <v>1229</v>
      </c>
    </row>
    <row r="71" spans="1:9" s="124" customFormat="1" ht="13.5" customHeight="1" x14ac:dyDescent="0.25">
      <c r="A71" s="230">
        <v>112763</v>
      </c>
      <c r="B71" s="162" t="s">
        <v>389</v>
      </c>
      <c r="C71" s="162" t="s">
        <v>15</v>
      </c>
      <c r="D71" s="162" t="s">
        <v>1578</v>
      </c>
      <c r="E71" s="231">
        <v>43627</v>
      </c>
      <c r="F71" s="117">
        <v>1016.96</v>
      </c>
      <c r="G71" s="117">
        <f>SUMIF(CONFERÊNCIA!A:A,A71,CONFERÊNCIA!J:J)</f>
        <v>1016.96</v>
      </c>
      <c r="H71" s="119">
        <f t="shared" si="8"/>
        <v>0</v>
      </c>
      <c r="I71" s="240" t="s">
        <v>1229</v>
      </c>
    </row>
    <row r="72" spans="1:9" s="124" customFormat="1" ht="13.5" customHeight="1" x14ac:dyDescent="0.25">
      <c r="A72" s="230">
        <v>113000</v>
      </c>
      <c r="B72" s="162" t="s">
        <v>538</v>
      </c>
      <c r="C72" s="162" t="s">
        <v>15</v>
      </c>
      <c r="D72" s="162" t="s">
        <v>1578</v>
      </c>
      <c r="E72" s="231">
        <v>43617</v>
      </c>
      <c r="F72" s="117">
        <v>1016.96</v>
      </c>
      <c r="G72" s="117">
        <f>SUMIF(CONFERÊNCIA!A:A,A72,CONFERÊNCIA!J:J)</f>
        <v>1016.96</v>
      </c>
      <c r="H72" s="119">
        <f t="shared" ref="H72:H79" si="9">G72-F72</f>
        <v>0</v>
      </c>
      <c r="I72" s="240" t="s">
        <v>1229</v>
      </c>
    </row>
    <row r="73" spans="1:9" s="124" customFormat="1" ht="13.5" customHeight="1" x14ac:dyDescent="0.25">
      <c r="A73" s="230">
        <v>112793</v>
      </c>
      <c r="B73" s="162" t="s">
        <v>413</v>
      </c>
      <c r="C73" s="162" t="s">
        <v>2</v>
      </c>
      <c r="D73" s="162" t="s">
        <v>10</v>
      </c>
      <c r="E73" s="231">
        <v>43617</v>
      </c>
      <c r="F73" s="117">
        <v>1016.96</v>
      </c>
      <c r="G73" s="117">
        <f>SUMIF(CONFERÊNCIA!A:A,A73,CONFERÊNCIA!J:J)</f>
        <v>1016.96</v>
      </c>
      <c r="H73" s="119">
        <f t="shared" si="9"/>
        <v>0</v>
      </c>
      <c r="I73" s="240" t="s">
        <v>1229</v>
      </c>
    </row>
    <row r="74" spans="1:9" s="124" customFormat="1" ht="13.5" customHeight="1" x14ac:dyDescent="0.25">
      <c r="A74" s="230">
        <v>117410</v>
      </c>
      <c r="B74" s="162" t="s">
        <v>1272</v>
      </c>
      <c r="C74" s="162" t="s">
        <v>205</v>
      </c>
      <c r="D74" s="162" t="s">
        <v>1578</v>
      </c>
      <c r="E74" s="231">
        <v>44522</v>
      </c>
      <c r="F74" s="117">
        <v>1016.96</v>
      </c>
      <c r="G74" s="117">
        <f>SUMIF(CONFERÊNCIA!A:A,A74,CONFERÊNCIA!J:J)</f>
        <v>1016.96</v>
      </c>
      <c r="H74" s="119">
        <f t="shared" si="9"/>
        <v>0</v>
      </c>
      <c r="I74" s="240" t="s">
        <v>1229</v>
      </c>
    </row>
    <row r="75" spans="1:9" s="109" customFormat="1" ht="13.5" customHeight="1" x14ac:dyDescent="0.25">
      <c r="A75" s="230">
        <v>112798</v>
      </c>
      <c r="B75" s="162" t="s">
        <v>417</v>
      </c>
      <c r="C75" s="162" t="s">
        <v>2</v>
      </c>
      <c r="D75" s="162" t="s">
        <v>8</v>
      </c>
      <c r="E75" s="231">
        <v>43617</v>
      </c>
      <c r="F75" s="117">
        <v>1016.96</v>
      </c>
      <c r="G75" s="117">
        <f>SUMIF(CONFERÊNCIA!A:A,A75,CONFERÊNCIA!J:J)</f>
        <v>1016.96</v>
      </c>
      <c r="H75" s="118">
        <f t="shared" si="9"/>
        <v>0</v>
      </c>
      <c r="I75" s="240" t="s">
        <v>1229</v>
      </c>
    </row>
    <row r="76" spans="1:9" s="109" customFormat="1" ht="13.5" customHeight="1" x14ac:dyDescent="0.25">
      <c r="A76" s="230">
        <v>113028</v>
      </c>
      <c r="B76" s="162" t="s">
        <v>548</v>
      </c>
      <c r="C76" s="162" t="s">
        <v>182</v>
      </c>
      <c r="D76" s="162" t="s">
        <v>19</v>
      </c>
      <c r="E76" s="231">
        <v>43617</v>
      </c>
      <c r="F76" s="117">
        <v>1016.96</v>
      </c>
      <c r="G76" s="117">
        <f>SUMIF(CONFERÊNCIA!A:A,A76,CONFERÊNCIA!J:J)</f>
        <v>1016.96</v>
      </c>
      <c r="H76" s="118">
        <f t="shared" si="9"/>
        <v>0</v>
      </c>
      <c r="I76" s="240" t="s">
        <v>1229</v>
      </c>
    </row>
    <row r="77" spans="1:9" s="109" customFormat="1" ht="13.5" customHeight="1" x14ac:dyDescent="0.25">
      <c r="A77" s="230">
        <v>112804</v>
      </c>
      <c r="B77" s="162" t="s">
        <v>422</v>
      </c>
      <c r="C77" s="162" t="s">
        <v>2</v>
      </c>
      <c r="D77" s="162" t="s">
        <v>32</v>
      </c>
      <c r="E77" s="231">
        <v>43617</v>
      </c>
      <c r="F77" s="117">
        <v>1016.96</v>
      </c>
      <c r="G77" s="117">
        <f>SUMIF(CONFERÊNCIA!A:A,A77,CONFERÊNCIA!J:J)</f>
        <v>1016.96</v>
      </c>
      <c r="H77" s="118">
        <f t="shared" si="9"/>
        <v>0</v>
      </c>
      <c r="I77" s="240" t="s">
        <v>1230</v>
      </c>
    </row>
    <row r="78" spans="1:9" s="109" customFormat="1" ht="13.5" customHeight="1" x14ac:dyDescent="0.25">
      <c r="A78" s="230">
        <v>113043</v>
      </c>
      <c r="B78" s="162" t="s">
        <v>557</v>
      </c>
      <c r="C78" s="162" t="s">
        <v>5</v>
      </c>
      <c r="D78" s="162" t="s">
        <v>10</v>
      </c>
      <c r="E78" s="231">
        <v>43617</v>
      </c>
      <c r="F78" s="117">
        <v>1016.96</v>
      </c>
      <c r="G78" s="117">
        <f>SUMIF(CONFERÊNCIA!A:A,A78,CONFERÊNCIA!J:J)</f>
        <v>1016.96</v>
      </c>
      <c r="H78" s="118">
        <f t="shared" si="9"/>
        <v>0</v>
      </c>
      <c r="I78" s="240" t="s">
        <v>1229</v>
      </c>
    </row>
    <row r="79" spans="1:9" s="109" customFormat="1" ht="13.5" customHeight="1" x14ac:dyDescent="0.25">
      <c r="A79" s="230">
        <v>121482</v>
      </c>
      <c r="B79" s="162" t="s">
        <v>1547</v>
      </c>
      <c r="C79" s="162" t="s">
        <v>15</v>
      </c>
      <c r="D79" s="162" t="s">
        <v>1578</v>
      </c>
      <c r="E79" s="231">
        <v>44967</v>
      </c>
      <c r="F79" s="117">
        <v>1016.96</v>
      </c>
      <c r="G79" s="117">
        <f>SUMIF(CONFERÊNCIA!A:A,A79,CONFERÊNCIA!J:J)</f>
        <v>1016.96</v>
      </c>
      <c r="H79" s="118">
        <f t="shared" si="9"/>
        <v>0</v>
      </c>
      <c r="I79" s="240" t="s">
        <v>1229</v>
      </c>
    </row>
    <row r="80" spans="1:9" s="109" customFormat="1" ht="13.5" customHeight="1" x14ac:dyDescent="0.25">
      <c r="A80" s="230">
        <v>112812</v>
      </c>
      <c r="B80" s="162" t="s">
        <v>428</v>
      </c>
      <c r="C80" s="162" t="s">
        <v>146</v>
      </c>
      <c r="D80" s="162" t="s">
        <v>19</v>
      </c>
      <c r="E80" s="231">
        <v>43617</v>
      </c>
      <c r="F80" s="117">
        <v>1016.96</v>
      </c>
      <c r="G80" s="117">
        <f>SUMIF(CONFERÊNCIA!A:A,A80,CONFERÊNCIA!J:J)</f>
        <v>1016.96</v>
      </c>
      <c r="H80" s="118">
        <f t="shared" ref="H80:H88" si="10">G80-F80</f>
        <v>0</v>
      </c>
      <c r="I80" s="240" t="s">
        <v>1229</v>
      </c>
    </row>
    <row r="81" spans="1:9" s="109" customFormat="1" ht="13.5" customHeight="1" x14ac:dyDescent="0.25">
      <c r="A81" s="230">
        <v>112815</v>
      </c>
      <c r="B81" s="162" t="s">
        <v>430</v>
      </c>
      <c r="C81" s="162" t="s">
        <v>5</v>
      </c>
      <c r="D81" s="162" t="s">
        <v>10</v>
      </c>
      <c r="E81" s="231">
        <v>43617</v>
      </c>
      <c r="F81" s="117">
        <v>1016.96</v>
      </c>
      <c r="G81" s="117">
        <f>SUMIF(CONFERÊNCIA!A:A,A81,CONFERÊNCIA!J:J)</f>
        <v>1016.96</v>
      </c>
      <c r="H81" s="118">
        <f t="shared" si="10"/>
        <v>0</v>
      </c>
      <c r="I81" s="240" t="s">
        <v>1229</v>
      </c>
    </row>
    <row r="82" spans="1:9" s="124" customFormat="1" ht="13.5" customHeight="1" x14ac:dyDescent="0.25">
      <c r="A82" s="230">
        <v>118049</v>
      </c>
      <c r="B82" s="162" t="s">
        <v>1392</v>
      </c>
      <c r="C82" s="162" t="s">
        <v>5</v>
      </c>
      <c r="D82" s="162" t="s">
        <v>0</v>
      </c>
      <c r="E82" s="231">
        <v>44567</v>
      </c>
      <c r="F82" s="117">
        <v>1016.96</v>
      </c>
      <c r="G82" s="117">
        <f>SUMIF(CONFERÊNCIA!A:A,A82,CONFERÊNCIA!J:J)</f>
        <v>136.47</v>
      </c>
      <c r="H82" s="119">
        <f t="shared" si="10"/>
        <v>-880.49</v>
      </c>
      <c r="I82" s="240" t="s">
        <v>1229</v>
      </c>
    </row>
    <row r="83" spans="1:9" s="124" customFormat="1" ht="13.5" customHeight="1" x14ac:dyDescent="0.25">
      <c r="A83" s="230">
        <v>113058</v>
      </c>
      <c r="B83" s="162" t="s">
        <v>563</v>
      </c>
      <c r="C83" s="162" t="s">
        <v>2</v>
      </c>
      <c r="D83" s="162" t="s">
        <v>8</v>
      </c>
      <c r="E83" s="231">
        <v>43617</v>
      </c>
      <c r="F83" s="117">
        <v>1016.96</v>
      </c>
      <c r="G83" s="117">
        <f>SUMIF(CONFERÊNCIA!A:A,A83,CONFERÊNCIA!J:J)</f>
        <v>1016.96</v>
      </c>
      <c r="H83" s="119">
        <f t="shared" si="10"/>
        <v>0</v>
      </c>
      <c r="I83" s="240" t="s">
        <v>1229</v>
      </c>
    </row>
    <row r="84" spans="1:9" s="124" customFormat="1" ht="13.5" customHeight="1" x14ac:dyDescent="0.25">
      <c r="A84" s="230">
        <v>112824</v>
      </c>
      <c r="B84" s="162" t="s">
        <v>437</v>
      </c>
      <c r="C84" s="162" t="s">
        <v>2</v>
      </c>
      <c r="D84" s="162" t="s">
        <v>10</v>
      </c>
      <c r="E84" s="231">
        <v>43617</v>
      </c>
      <c r="F84" s="117">
        <v>1016.96</v>
      </c>
      <c r="G84" s="117">
        <f>SUMIF(CONFERÊNCIA!A:A,A84,CONFERÊNCIA!J:J)</f>
        <v>1016.96</v>
      </c>
      <c r="H84" s="119">
        <f t="shared" si="10"/>
        <v>0</v>
      </c>
      <c r="I84" s="240" t="s">
        <v>1229</v>
      </c>
    </row>
    <row r="85" spans="1:9" s="124" customFormat="1" ht="13.5" customHeight="1" x14ac:dyDescent="0.25">
      <c r="A85" s="230">
        <v>113086</v>
      </c>
      <c r="B85" s="162" t="s">
        <v>579</v>
      </c>
      <c r="C85" s="162" t="s">
        <v>15</v>
      </c>
      <c r="D85" s="162" t="s">
        <v>1578</v>
      </c>
      <c r="E85" s="231">
        <v>43617</v>
      </c>
      <c r="F85" s="117">
        <v>1016.96</v>
      </c>
      <c r="G85" s="117">
        <f>SUMIF(CONFERÊNCIA!A:A,A85,CONFERÊNCIA!J:J)</f>
        <v>1016.96</v>
      </c>
      <c r="H85" s="119">
        <f t="shared" si="10"/>
        <v>0</v>
      </c>
      <c r="I85" s="240" t="s">
        <v>1229</v>
      </c>
    </row>
    <row r="86" spans="1:9" s="124" customFormat="1" ht="13.5" customHeight="1" x14ac:dyDescent="0.25">
      <c r="A86" s="230">
        <v>112995</v>
      </c>
      <c r="B86" s="162" t="s">
        <v>536</v>
      </c>
      <c r="C86" s="162" t="s">
        <v>2</v>
      </c>
      <c r="D86" s="162" t="s">
        <v>19</v>
      </c>
      <c r="E86" s="231">
        <v>43617</v>
      </c>
      <c r="F86" s="117">
        <v>1016.96</v>
      </c>
      <c r="G86" s="117">
        <f>SUMIF(CONFERÊNCIA!A:A,A86,CONFERÊNCIA!J:J)</f>
        <v>1016.96</v>
      </c>
      <c r="H86" s="119">
        <f t="shared" si="10"/>
        <v>0</v>
      </c>
      <c r="I86" s="240" t="s">
        <v>1229</v>
      </c>
    </row>
    <row r="87" spans="1:9" s="124" customFormat="1" ht="13.5" customHeight="1" x14ac:dyDescent="0.25">
      <c r="A87" s="230">
        <v>116330</v>
      </c>
      <c r="B87" s="162" t="s">
        <v>1207</v>
      </c>
      <c r="C87" s="162" t="s">
        <v>5</v>
      </c>
      <c r="D87" s="162" t="s">
        <v>0</v>
      </c>
      <c r="E87" s="231">
        <v>44308</v>
      </c>
      <c r="F87" s="117">
        <v>1016.96</v>
      </c>
      <c r="G87" s="117">
        <f>SUMIF(CONFERÊNCIA!A:A,A87,CONFERÊNCIA!J:J)</f>
        <v>1016.96</v>
      </c>
      <c r="H87" s="119">
        <f t="shared" si="10"/>
        <v>0</v>
      </c>
      <c r="I87" s="240" t="s">
        <v>1229</v>
      </c>
    </row>
    <row r="88" spans="1:9" s="109" customFormat="1" ht="13.5" customHeight="1" x14ac:dyDescent="0.25">
      <c r="A88" s="230">
        <v>113103</v>
      </c>
      <c r="B88" s="162" t="s">
        <v>586</v>
      </c>
      <c r="C88" s="162" t="s">
        <v>5</v>
      </c>
      <c r="D88" s="162" t="s">
        <v>8</v>
      </c>
      <c r="E88" s="231">
        <v>43617</v>
      </c>
      <c r="F88" s="117">
        <v>1016.96</v>
      </c>
      <c r="G88" s="117">
        <f>SUMIF(CONFERÊNCIA!A:A,A88,CONFERÊNCIA!J:J)</f>
        <v>1016.96</v>
      </c>
      <c r="H88" s="118">
        <f t="shared" si="10"/>
        <v>0</v>
      </c>
      <c r="I88" s="240" t="s">
        <v>1229</v>
      </c>
    </row>
    <row r="89" spans="1:9" s="109" customFormat="1" ht="13.5" customHeight="1" x14ac:dyDescent="0.25">
      <c r="A89" s="230">
        <v>113109</v>
      </c>
      <c r="B89" s="162" t="s">
        <v>588</v>
      </c>
      <c r="C89" s="162" t="s">
        <v>39</v>
      </c>
      <c r="D89" s="162" t="s">
        <v>8</v>
      </c>
      <c r="E89" s="231">
        <v>43617</v>
      </c>
      <c r="F89" s="117">
        <v>1016.96</v>
      </c>
      <c r="G89" s="117">
        <f>SUMIF(CONFERÊNCIA!A:A,A89,CONFERÊNCIA!J:J)</f>
        <v>1016.96</v>
      </c>
      <c r="H89" s="118">
        <f t="shared" ref="H89:H95" si="11">G89-F89</f>
        <v>0</v>
      </c>
      <c r="I89" s="240" t="s">
        <v>1229</v>
      </c>
    </row>
    <row r="90" spans="1:9" s="124" customFormat="1" ht="13.5" customHeight="1" x14ac:dyDescent="0.25">
      <c r="A90" s="230">
        <v>113117</v>
      </c>
      <c r="B90" s="162" t="s">
        <v>593</v>
      </c>
      <c r="C90" s="162" t="s">
        <v>5</v>
      </c>
      <c r="D90" s="162" t="s">
        <v>32</v>
      </c>
      <c r="E90" s="231">
        <v>43617</v>
      </c>
      <c r="F90" s="117">
        <v>1016.96</v>
      </c>
      <c r="G90" s="117">
        <f>SUMIF(CONFERÊNCIA!A:A,A90,CONFERÊNCIA!J:J)</f>
        <v>1016.96</v>
      </c>
      <c r="H90" s="119">
        <f t="shared" si="11"/>
        <v>0</v>
      </c>
      <c r="I90" s="240" t="s">
        <v>1229</v>
      </c>
    </row>
    <row r="91" spans="1:9" s="124" customFormat="1" ht="13.5" customHeight="1" x14ac:dyDescent="0.25">
      <c r="A91" s="230">
        <v>113124</v>
      </c>
      <c r="B91" s="162" t="s">
        <v>598</v>
      </c>
      <c r="C91" s="162" t="s">
        <v>22</v>
      </c>
      <c r="D91" s="162" t="s">
        <v>1578</v>
      </c>
      <c r="E91" s="231">
        <v>43617</v>
      </c>
      <c r="F91" s="117">
        <v>1016.96</v>
      </c>
      <c r="G91" s="117">
        <f>SUMIF(CONFERÊNCIA!A:A,A91,CONFERÊNCIA!J:J)</f>
        <v>1016.96</v>
      </c>
      <c r="H91" s="119">
        <f t="shared" si="11"/>
        <v>0</v>
      </c>
      <c r="I91" s="240" t="s">
        <v>1229</v>
      </c>
    </row>
    <row r="92" spans="1:9" s="109" customFormat="1" ht="13.5" customHeight="1" x14ac:dyDescent="0.25">
      <c r="A92" s="230">
        <v>121817</v>
      </c>
      <c r="B92" s="162" t="s">
        <v>1595</v>
      </c>
      <c r="C92" s="162" t="s">
        <v>1456</v>
      </c>
      <c r="D92" s="162" t="s">
        <v>1580</v>
      </c>
      <c r="E92" s="231">
        <v>45019</v>
      </c>
      <c r="F92" s="117">
        <v>657.5</v>
      </c>
      <c r="G92" s="117">
        <f>SUMIF(CONFERÊNCIA!A:A,A92,CONFERÊNCIA!J:J)</f>
        <v>657.5</v>
      </c>
      <c r="H92" s="118">
        <f t="shared" si="11"/>
        <v>0</v>
      </c>
      <c r="I92" s="240" t="s">
        <v>1229</v>
      </c>
    </row>
    <row r="93" spans="1:9" s="109" customFormat="1" ht="13.5" customHeight="1" x14ac:dyDescent="0.25">
      <c r="A93" s="230">
        <v>113135</v>
      </c>
      <c r="B93" s="162" t="s">
        <v>603</v>
      </c>
      <c r="C93" s="162" t="s">
        <v>2</v>
      </c>
      <c r="D93" s="162" t="s">
        <v>19</v>
      </c>
      <c r="E93" s="231">
        <v>43617</v>
      </c>
      <c r="F93" s="117">
        <v>1016.96</v>
      </c>
      <c r="G93" s="117">
        <f>SUMIF(CONFERÊNCIA!A:A,A93,CONFERÊNCIA!J:J)</f>
        <v>1016.96</v>
      </c>
      <c r="H93" s="118">
        <f t="shared" si="11"/>
        <v>0</v>
      </c>
      <c r="I93" s="240" t="s">
        <v>1229</v>
      </c>
    </row>
    <row r="94" spans="1:9" s="124" customFormat="1" ht="13.5" customHeight="1" x14ac:dyDescent="0.25">
      <c r="A94" s="230">
        <v>121672</v>
      </c>
      <c r="B94" s="162" t="s">
        <v>1582</v>
      </c>
      <c r="C94" s="162" t="s">
        <v>5</v>
      </c>
      <c r="D94" s="162" t="s">
        <v>32</v>
      </c>
      <c r="E94" s="231">
        <v>44994</v>
      </c>
      <c r="F94" s="117">
        <v>1016.96</v>
      </c>
      <c r="G94" s="117">
        <f>SUMIF(CONFERÊNCIA!A:A,A94,CONFERÊNCIA!J:J)</f>
        <v>1016.96</v>
      </c>
      <c r="H94" s="119">
        <f t="shared" si="11"/>
        <v>0</v>
      </c>
      <c r="I94" s="240" t="s">
        <v>1229</v>
      </c>
    </row>
    <row r="95" spans="1:9" s="109" customFormat="1" ht="13.5" customHeight="1" x14ac:dyDescent="0.25">
      <c r="A95" s="230">
        <v>113139</v>
      </c>
      <c r="B95" s="162" t="s">
        <v>606</v>
      </c>
      <c r="C95" s="162" t="s">
        <v>2</v>
      </c>
      <c r="D95" s="162" t="s">
        <v>10</v>
      </c>
      <c r="E95" s="231">
        <v>43617</v>
      </c>
      <c r="F95" s="117">
        <v>1016.96</v>
      </c>
      <c r="G95" s="117">
        <f>SUMIF(CONFERÊNCIA!A:A,A95,CONFERÊNCIA!J:J)</f>
        <v>1016.96</v>
      </c>
      <c r="H95" s="118">
        <f t="shared" si="11"/>
        <v>0</v>
      </c>
      <c r="I95" s="240" t="s">
        <v>1229</v>
      </c>
    </row>
    <row r="96" spans="1:9" s="124" customFormat="1" ht="13.5" customHeight="1" x14ac:dyDescent="0.25">
      <c r="A96" s="230">
        <v>113760</v>
      </c>
      <c r="B96" s="162" t="s">
        <v>1509</v>
      </c>
      <c r="C96" s="162" t="s">
        <v>1650</v>
      </c>
      <c r="D96" s="162" t="s">
        <v>1578</v>
      </c>
      <c r="E96" s="231">
        <v>43621</v>
      </c>
      <c r="F96" s="117">
        <v>1016.96</v>
      </c>
      <c r="G96" s="117">
        <f>SUMIF(CONFERÊNCIA!A:A,A96,CONFERÊNCIA!J:J)</f>
        <v>1016.96</v>
      </c>
      <c r="H96" s="119">
        <f t="shared" ref="H96:H103" si="12">G96-F96</f>
        <v>0</v>
      </c>
      <c r="I96" s="240" t="s">
        <v>1229</v>
      </c>
    </row>
    <row r="97" spans="1:9" s="109" customFormat="1" ht="13.5" customHeight="1" x14ac:dyDescent="0.25">
      <c r="A97" s="230">
        <v>114682</v>
      </c>
      <c r="B97" s="162" t="s">
        <v>1063</v>
      </c>
      <c r="C97" s="162" t="s">
        <v>5</v>
      </c>
      <c r="D97" s="162" t="s">
        <v>10</v>
      </c>
      <c r="E97" s="231">
        <v>43874</v>
      </c>
      <c r="F97" s="117">
        <v>1016.96</v>
      </c>
      <c r="G97" s="117">
        <f>SUMIF(CONFERÊNCIA!A:A,A97,CONFERÊNCIA!J:J)</f>
        <v>1016.96</v>
      </c>
      <c r="H97" s="118">
        <f t="shared" si="12"/>
        <v>0</v>
      </c>
      <c r="I97" s="240" t="s">
        <v>1229</v>
      </c>
    </row>
    <row r="98" spans="1:9" s="124" customFormat="1" ht="13.5" customHeight="1" x14ac:dyDescent="0.25">
      <c r="A98" s="230">
        <v>113151</v>
      </c>
      <c r="B98" s="162" t="s">
        <v>613</v>
      </c>
      <c r="C98" s="162" t="s">
        <v>5</v>
      </c>
      <c r="D98" s="162" t="s">
        <v>32</v>
      </c>
      <c r="E98" s="231">
        <v>43617</v>
      </c>
      <c r="F98" s="117">
        <v>1016.96</v>
      </c>
      <c r="G98" s="117">
        <f>SUMIF(CONFERÊNCIA!A:A,A98,CONFERÊNCIA!J:J)</f>
        <v>1016.96</v>
      </c>
      <c r="H98" s="119">
        <f t="shared" si="12"/>
        <v>0</v>
      </c>
      <c r="I98" s="240" t="s">
        <v>1229</v>
      </c>
    </row>
    <row r="99" spans="1:9" s="109" customFormat="1" ht="13.5" customHeight="1" x14ac:dyDescent="0.25">
      <c r="A99" s="230">
        <v>122440</v>
      </c>
      <c r="B99" s="162" t="s">
        <v>1677</v>
      </c>
      <c r="C99" s="162" t="s">
        <v>5</v>
      </c>
      <c r="D99" s="162" t="s">
        <v>1578</v>
      </c>
      <c r="E99" s="231">
        <v>45117</v>
      </c>
      <c r="F99" s="117">
        <v>1016.96</v>
      </c>
      <c r="G99" s="117">
        <f>SUMIF(CONFERÊNCIA!A:A,A99,CONFERÊNCIA!J:J)</f>
        <v>1016.96</v>
      </c>
      <c r="H99" s="118">
        <f t="shared" si="12"/>
        <v>0</v>
      </c>
      <c r="I99" s="240" t="s">
        <v>1229</v>
      </c>
    </row>
    <row r="100" spans="1:9" s="124" customFormat="1" ht="13.5" customHeight="1" x14ac:dyDescent="0.25">
      <c r="A100" s="230">
        <v>114968</v>
      </c>
      <c r="B100" s="162" t="s">
        <v>1130</v>
      </c>
      <c r="C100" s="162" t="s">
        <v>5</v>
      </c>
      <c r="D100" s="162" t="s">
        <v>1578</v>
      </c>
      <c r="E100" s="231">
        <v>43917</v>
      </c>
      <c r="F100" s="117">
        <v>1016.96</v>
      </c>
      <c r="G100" s="117">
        <f>SUMIF(CONFERÊNCIA!A:A,A100,CONFERÊNCIA!J:J)</f>
        <v>1016.96</v>
      </c>
      <c r="H100" s="119">
        <f t="shared" si="12"/>
        <v>0</v>
      </c>
      <c r="I100" s="240" t="s">
        <v>1229</v>
      </c>
    </row>
    <row r="101" spans="1:9" s="109" customFormat="1" ht="13.5" customHeight="1" x14ac:dyDescent="0.25">
      <c r="A101" s="230">
        <v>113171</v>
      </c>
      <c r="B101" s="162" t="s">
        <v>626</v>
      </c>
      <c r="C101" s="162" t="s">
        <v>5</v>
      </c>
      <c r="D101" s="162" t="s">
        <v>1578</v>
      </c>
      <c r="E101" s="231">
        <v>43617</v>
      </c>
      <c r="F101" s="117">
        <v>1016.96</v>
      </c>
      <c r="G101" s="117">
        <f>SUMIF(CONFERÊNCIA!A:A,A101,CONFERÊNCIA!J:J)</f>
        <v>1016.96</v>
      </c>
      <c r="H101" s="118">
        <f t="shared" si="12"/>
        <v>0</v>
      </c>
      <c r="I101" s="240" t="s">
        <v>1229</v>
      </c>
    </row>
    <row r="102" spans="1:9" s="124" customFormat="1" ht="13.5" customHeight="1" x14ac:dyDescent="0.25">
      <c r="A102" s="230">
        <v>114683</v>
      </c>
      <c r="B102" s="162" t="s">
        <v>1064</v>
      </c>
      <c r="C102" s="162" t="s">
        <v>2</v>
      </c>
      <c r="D102" s="162" t="s">
        <v>19</v>
      </c>
      <c r="E102" s="231">
        <v>43874</v>
      </c>
      <c r="F102" s="117">
        <v>1016.96</v>
      </c>
      <c r="G102" s="117">
        <f>SUMIF(CONFERÊNCIA!A:A,A102,CONFERÊNCIA!J:J)</f>
        <v>1016.96</v>
      </c>
      <c r="H102" s="119">
        <f t="shared" si="12"/>
        <v>0</v>
      </c>
      <c r="I102" s="240" t="s">
        <v>1229</v>
      </c>
    </row>
    <row r="103" spans="1:9" s="109" customFormat="1" ht="13.5" customHeight="1" x14ac:dyDescent="0.25">
      <c r="A103" s="230">
        <v>113173</v>
      </c>
      <c r="B103" s="162" t="s">
        <v>628</v>
      </c>
      <c r="C103" s="162" t="s">
        <v>5</v>
      </c>
      <c r="D103" s="162" t="s">
        <v>19</v>
      </c>
      <c r="E103" s="231">
        <v>43617</v>
      </c>
      <c r="F103" s="117">
        <v>1016.96</v>
      </c>
      <c r="G103" s="117">
        <f>SUMIF(CONFERÊNCIA!A:A,A103,CONFERÊNCIA!J:J)</f>
        <v>1016.96</v>
      </c>
      <c r="H103" s="118">
        <f t="shared" si="12"/>
        <v>0</v>
      </c>
      <c r="I103" s="240" t="s">
        <v>1229</v>
      </c>
    </row>
    <row r="104" spans="1:9" s="109" customFormat="1" ht="13.5" customHeight="1" x14ac:dyDescent="0.25">
      <c r="A104" s="230">
        <v>114616</v>
      </c>
      <c r="B104" s="162" t="s">
        <v>1060</v>
      </c>
      <c r="C104" s="162" t="s">
        <v>15</v>
      </c>
      <c r="D104" s="162" t="s">
        <v>1578</v>
      </c>
      <c r="E104" s="231">
        <v>43840</v>
      </c>
      <c r="F104" s="117">
        <v>359.46</v>
      </c>
      <c r="G104" s="117">
        <f>SUMIF(CONFERÊNCIA!A:A,A104,CONFERÊNCIA!J:J)</f>
        <v>359.46</v>
      </c>
      <c r="H104" s="118">
        <f t="shared" ref="H104:H110" si="13">G104-F104</f>
        <v>0</v>
      </c>
      <c r="I104" s="240" t="s">
        <v>1279</v>
      </c>
    </row>
    <row r="105" spans="1:9" s="124" customFormat="1" ht="13.5" customHeight="1" x14ac:dyDescent="0.25">
      <c r="A105" s="230">
        <v>122438</v>
      </c>
      <c r="B105" s="162" t="s">
        <v>1678</v>
      </c>
      <c r="C105" s="162" t="s">
        <v>5</v>
      </c>
      <c r="D105" s="162" t="s">
        <v>1578</v>
      </c>
      <c r="E105" s="231">
        <v>45117</v>
      </c>
      <c r="F105" s="117">
        <v>1016.96</v>
      </c>
      <c r="G105" s="117">
        <f>SUMIF(CONFERÊNCIA!A:A,A105,CONFERÊNCIA!J:J)</f>
        <v>1016.96</v>
      </c>
      <c r="H105" s="119">
        <f t="shared" si="13"/>
        <v>0</v>
      </c>
      <c r="I105" s="240" t="s">
        <v>1229</v>
      </c>
    </row>
    <row r="106" spans="1:9" s="109" customFormat="1" ht="13.5" customHeight="1" x14ac:dyDescent="0.25">
      <c r="A106" s="230">
        <v>114529</v>
      </c>
      <c r="B106" s="162" t="s">
        <v>1049</v>
      </c>
      <c r="C106" s="162" t="s">
        <v>5</v>
      </c>
      <c r="D106" s="162" t="s">
        <v>1578</v>
      </c>
      <c r="E106" s="231">
        <v>43813</v>
      </c>
      <c r="F106" s="117">
        <v>1016.96</v>
      </c>
      <c r="G106" s="117">
        <f>SUMIF(CONFERÊNCIA!A:A,A106,CONFERÊNCIA!J:J)</f>
        <v>1016.96</v>
      </c>
      <c r="H106" s="118">
        <f t="shared" si="13"/>
        <v>0</v>
      </c>
      <c r="I106" s="240" t="s">
        <v>1229</v>
      </c>
    </row>
    <row r="107" spans="1:9" s="124" customFormat="1" ht="13.5" customHeight="1" x14ac:dyDescent="0.25">
      <c r="A107" s="230">
        <v>113186</v>
      </c>
      <c r="B107" s="162" t="s">
        <v>634</v>
      </c>
      <c r="C107" s="162" t="s">
        <v>2</v>
      </c>
      <c r="D107" s="162" t="s">
        <v>8</v>
      </c>
      <c r="E107" s="231">
        <v>43617</v>
      </c>
      <c r="F107" s="117">
        <v>1016.96</v>
      </c>
      <c r="G107" s="117">
        <f>SUMIF(CONFERÊNCIA!A:A,A107,CONFERÊNCIA!J:J)</f>
        <v>1016.96</v>
      </c>
      <c r="H107" s="119">
        <f t="shared" si="13"/>
        <v>0</v>
      </c>
      <c r="I107" s="240" t="s">
        <v>1229</v>
      </c>
    </row>
    <row r="108" spans="1:9" s="109" customFormat="1" ht="13.5" customHeight="1" x14ac:dyDescent="0.25">
      <c r="A108" s="230">
        <v>120187</v>
      </c>
      <c r="B108" s="162" t="s">
        <v>1490</v>
      </c>
      <c r="C108" s="162" t="s">
        <v>5</v>
      </c>
      <c r="D108" s="162" t="s">
        <v>1578</v>
      </c>
      <c r="E108" s="231">
        <v>44791</v>
      </c>
      <c r="F108" s="117">
        <v>1016.96</v>
      </c>
      <c r="G108" s="117">
        <f>SUMIF(CONFERÊNCIA!A:A,A108,CONFERÊNCIA!J:J)</f>
        <v>1016.96</v>
      </c>
      <c r="H108" s="118">
        <f t="shared" si="13"/>
        <v>0</v>
      </c>
      <c r="I108" s="240" t="s">
        <v>1229</v>
      </c>
    </row>
    <row r="109" spans="1:9" s="124" customFormat="1" ht="13.5" customHeight="1" x14ac:dyDescent="0.25">
      <c r="A109" s="230">
        <v>113792</v>
      </c>
      <c r="B109" s="162" t="s">
        <v>980</v>
      </c>
      <c r="C109" s="162" t="s">
        <v>384</v>
      </c>
      <c r="D109" s="162" t="s">
        <v>1578</v>
      </c>
      <c r="E109" s="231">
        <v>43627</v>
      </c>
      <c r="F109" s="117">
        <v>1016.96</v>
      </c>
      <c r="G109" s="117">
        <f>SUMIF(CONFERÊNCIA!A:A,A109,CONFERÊNCIA!J:J)</f>
        <v>1016.96</v>
      </c>
      <c r="H109" s="119">
        <f t="shared" si="13"/>
        <v>0</v>
      </c>
      <c r="I109" s="240" t="s">
        <v>1229</v>
      </c>
    </row>
    <row r="110" spans="1:9" s="124" customFormat="1" ht="13.5" customHeight="1" x14ac:dyDescent="0.25">
      <c r="A110" s="230">
        <v>114760</v>
      </c>
      <c r="B110" s="162" t="s">
        <v>1093</v>
      </c>
      <c r="C110" s="162" t="s">
        <v>15</v>
      </c>
      <c r="D110" s="162" t="s">
        <v>1578</v>
      </c>
      <c r="E110" s="231">
        <v>43874</v>
      </c>
      <c r="F110" s="117">
        <v>1016.96</v>
      </c>
      <c r="G110" s="117">
        <f>SUMIF(CONFERÊNCIA!A:A,A110,CONFERÊNCIA!J:J)</f>
        <v>1016.96</v>
      </c>
      <c r="H110" s="119">
        <f t="shared" si="13"/>
        <v>0</v>
      </c>
      <c r="I110" s="240" t="s">
        <v>1229</v>
      </c>
    </row>
    <row r="111" spans="1:9" s="109" customFormat="1" ht="13.5" customHeight="1" x14ac:dyDescent="0.25">
      <c r="A111" s="230">
        <v>113213</v>
      </c>
      <c r="B111" s="162" t="s">
        <v>650</v>
      </c>
      <c r="C111" s="162" t="s">
        <v>15</v>
      </c>
      <c r="D111" s="162" t="s">
        <v>1578</v>
      </c>
      <c r="E111" s="231">
        <v>43617</v>
      </c>
      <c r="F111" s="117">
        <v>1016.96</v>
      </c>
      <c r="G111" s="117">
        <f>SUMIF(CONFERÊNCIA!A:A,A111,CONFERÊNCIA!J:J)</f>
        <v>1016.96</v>
      </c>
      <c r="H111" s="118">
        <f t="shared" ref="H111:H115" si="14">G111-F111</f>
        <v>0</v>
      </c>
      <c r="I111" s="240" t="s">
        <v>1230</v>
      </c>
    </row>
    <row r="112" spans="1:9" s="124" customFormat="1" ht="13.5" customHeight="1" x14ac:dyDescent="0.25">
      <c r="A112" s="230">
        <v>113219</v>
      </c>
      <c r="B112" s="162" t="s">
        <v>653</v>
      </c>
      <c r="C112" s="162" t="s">
        <v>15</v>
      </c>
      <c r="D112" s="162" t="s">
        <v>1578</v>
      </c>
      <c r="E112" s="231">
        <v>43617</v>
      </c>
      <c r="F112" s="117">
        <v>1016.96</v>
      </c>
      <c r="G112" s="117">
        <f>SUMIF(CONFERÊNCIA!A:A,A112,CONFERÊNCIA!J:J)</f>
        <v>1016.96</v>
      </c>
      <c r="H112" s="119">
        <f t="shared" si="14"/>
        <v>0</v>
      </c>
      <c r="I112" s="240" t="s">
        <v>1229</v>
      </c>
    </row>
    <row r="113" spans="1:9" s="124" customFormat="1" ht="13.5" customHeight="1" x14ac:dyDescent="0.25">
      <c r="A113" s="230">
        <v>113223</v>
      </c>
      <c r="B113" s="162" t="s">
        <v>654</v>
      </c>
      <c r="C113" s="162" t="s">
        <v>5</v>
      </c>
      <c r="D113" s="162" t="s">
        <v>8</v>
      </c>
      <c r="E113" s="231">
        <v>43617</v>
      </c>
      <c r="F113" s="117">
        <v>1016.96</v>
      </c>
      <c r="G113" s="117">
        <f>SUMIF(CONFERÊNCIA!A:A,A113,CONFERÊNCIA!J:J)</f>
        <v>1016.96</v>
      </c>
      <c r="H113" s="119">
        <f t="shared" si="14"/>
        <v>0</v>
      </c>
      <c r="I113" s="240" t="s">
        <v>1229</v>
      </c>
    </row>
    <row r="114" spans="1:9" s="124" customFormat="1" ht="13.5" customHeight="1" x14ac:dyDescent="0.25">
      <c r="A114" s="230">
        <v>114684</v>
      </c>
      <c r="B114" s="162" t="s">
        <v>1065</v>
      </c>
      <c r="C114" s="162" t="s">
        <v>2</v>
      </c>
      <c r="D114" s="162" t="s">
        <v>0</v>
      </c>
      <c r="E114" s="231">
        <v>43874</v>
      </c>
      <c r="F114" s="117">
        <v>1016.96</v>
      </c>
      <c r="G114" s="117">
        <f>SUMIF(CONFERÊNCIA!A:A,A114,CONFERÊNCIA!J:J)</f>
        <v>1016.96</v>
      </c>
      <c r="H114" s="119">
        <f t="shared" si="14"/>
        <v>0</v>
      </c>
      <c r="I114" s="240" t="s">
        <v>1229</v>
      </c>
    </row>
    <row r="115" spans="1:9" s="109" customFormat="1" ht="13.5" customHeight="1" x14ac:dyDescent="0.25">
      <c r="A115" s="230">
        <v>121449</v>
      </c>
      <c r="B115" s="162" t="s">
        <v>1548</v>
      </c>
      <c r="C115" s="162" t="s">
        <v>5</v>
      </c>
      <c r="D115" s="162" t="s">
        <v>1578</v>
      </c>
      <c r="E115" s="231">
        <v>44967</v>
      </c>
      <c r="F115" s="117">
        <v>1016.96</v>
      </c>
      <c r="G115" s="117">
        <f>SUMIF(CONFERÊNCIA!A:A,A115,CONFERÊNCIA!J:J)</f>
        <v>978.67000000000007</v>
      </c>
      <c r="H115" s="118">
        <f t="shared" si="14"/>
        <v>-38.289999999999964</v>
      </c>
      <c r="I115" s="240" t="s">
        <v>1229</v>
      </c>
    </row>
    <row r="116" spans="1:9" s="109" customFormat="1" ht="13.5" customHeight="1" x14ac:dyDescent="0.25">
      <c r="A116" s="230">
        <v>113226</v>
      </c>
      <c r="B116" s="162" t="s">
        <v>657</v>
      </c>
      <c r="C116" s="162" t="s">
        <v>2</v>
      </c>
      <c r="D116" s="162" t="s">
        <v>0</v>
      </c>
      <c r="E116" s="231">
        <v>43617</v>
      </c>
      <c r="F116" s="117">
        <v>1016.96</v>
      </c>
      <c r="G116" s="117">
        <f>SUMIF(CONFERÊNCIA!A:A,A116,CONFERÊNCIA!J:J)</f>
        <v>1016.96</v>
      </c>
      <c r="H116" s="118">
        <f t="shared" ref="H116:H121" si="15">G116-F116</f>
        <v>0</v>
      </c>
      <c r="I116" s="240" t="s">
        <v>1229</v>
      </c>
    </row>
    <row r="117" spans="1:9" s="109" customFormat="1" ht="13.5" customHeight="1" x14ac:dyDescent="0.25">
      <c r="A117" s="230">
        <v>114546</v>
      </c>
      <c r="B117" s="162" t="s">
        <v>1053</v>
      </c>
      <c r="C117" s="162" t="s">
        <v>2</v>
      </c>
      <c r="D117" s="162" t="s">
        <v>8</v>
      </c>
      <c r="E117" s="231">
        <v>43817</v>
      </c>
      <c r="F117" s="117">
        <v>1016.96</v>
      </c>
      <c r="G117" s="117">
        <f>SUMIF(CONFERÊNCIA!A:A,A117,CONFERÊNCIA!J:J)</f>
        <v>1016.96</v>
      </c>
      <c r="H117" s="118">
        <f t="shared" si="15"/>
        <v>0</v>
      </c>
      <c r="I117" s="240" t="s">
        <v>1229</v>
      </c>
    </row>
    <row r="118" spans="1:9" s="109" customFormat="1" ht="13.5" customHeight="1" x14ac:dyDescent="0.25">
      <c r="A118" s="230">
        <v>113232</v>
      </c>
      <c r="B118" s="162" t="s">
        <v>660</v>
      </c>
      <c r="C118" s="162" t="s">
        <v>7</v>
      </c>
      <c r="D118" s="162" t="s">
        <v>1578</v>
      </c>
      <c r="E118" s="231">
        <v>43617</v>
      </c>
      <c r="F118" s="117">
        <v>1016.96</v>
      </c>
      <c r="G118" s="117">
        <f>SUMIF(CONFERÊNCIA!A:A,A118,CONFERÊNCIA!J:J)</f>
        <v>1016.96</v>
      </c>
      <c r="H118" s="118">
        <f t="shared" si="15"/>
        <v>0</v>
      </c>
      <c r="I118" s="240" t="s">
        <v>1229</v>
      </c>
    </row>
    <row r="119" spans="1:9" s="124" customFormat="1" ht="13.5" customHeight="1" x14ac:dyDescent="0.25">
      <c r="A119" s="230">
        <v>114685</v>
      </c>
      <c r="B119" s="162" t="s">
        <v>1066</v>
      </c>
      <c r="C119" s="162" t="s">
        <v>2</v>
      </c>
      <c r="D119" s="162" t="s">
        <v>10</v>
      </c>
      <c r="E119" s="231">
        <v>43874</v>
      </c>
      <c r="F119" s="117">
        <v>1016.96</v>
      </c>
      <c r="G119" s="117">
        <f>SUMIF(CONFERÊNCIA!A:A,A119,CONFERÊNCIA!J:J)</f>
        <v>978.67000000000007</v>
      </c>
      <c r="H119" s="119">
        <f t="shared" si="15"/>
        <v>-38.289999999999964</v>
      </c>
      <c r="I119" s="240" t="s">
        <v>1229</v>
      </c>
    </row>
    <row r="120" spans="1:9" s="109" customFormat="1" ht="13.5" customHeight="1" x14ac:dyDescent="0.25">
      <c r="A120" s="230">
        <v>120163</v>
      </c>
      <c r="B120" s="162" t="s">
        <v>1491</v>
      </c>
      <c r="C120" s="162" t="s">
        <v>39</v>
      </c>
      <c r="D120" s="162" t="s">
        <v>8</v>
      </c>
      <c r="E120" s="231">
        <v>44791</v>
      </c>
      <c r="F120" s="117">
        <v>1016.96</v>
      </c>
      <c r="G120" s="117">
        <f>SUMIF(CONFERÊNCIA!A:A,A120,CONFERÊNCIA!J:J)</f>
        <v>1016.96</v>
      </c>
      <c r="H120" s="118">
        <f t="shared" si="15"/>
        <v>0</v>
      </c>
      <c r="I120" s="240" t="s">
        <v>1229</v>
      </c>
    </row>
    <row r="121" spans="1:9" s="109" customFormat="1" ht="13.5" customHeight="1" x14ac:dyDescent="0.25">
      <c r="A121" s="230">
        <v>113251</v>
      </c>
      <c r="B121" s="162" t="s">
        <v>669</v>
      </c>
      <c r="C121" s="162" t="s">
        <v>15</v>
      </c>
      <c r="D121" s="162" t="s">
        <v>1578</v>
      </c>
      <c r="E121" s="231">
        <v>43617</v>
      </c>
      <c r="F121" s="117">
        <v>1016.96</v>
      </c>
      <c r="G121" s="117">
        <f>SUMIF(CONFERÊNCIA!A:A,A121,CONFERÊNCIA!J:J)</f>
        <v>1016.96</v>
      </c>
      <c r="H121" s="118">
        <f t="shared" si="15"/>
        <v>0</v>
      </c>
      <c r="I121" s="240" t="s">
        <v>1229</v>
      </c>
    </row>
    <row r="122" spans="1:9" s="109" customFormat="1" ht="13.5" customHeight="1" x14ac:dyDescent="0.25">
      <c r="A122" s="230">
        <v>118646</v>
      </c>
      <c r="B122" s="162" t="s">
        <v>1393</v>
      </c>
      <c r="C122" s="162" t="s">
        <v>5</v>
      </c>
      <c r="D122" s="162" t="s">
        <v>0</v>
      </c>
      <c r="E122" s="231">
        <v>44582</v>
      </c>
      <c r="F122" s="117">
        <v>978.67000000000007</v>
      </c>
      <c r="G122" s="117">
        <f>SUMIF(CONFERÊNCIA!A:A,A122,CONFERÊNCIA!J:J)</f>
        <v>978.67000000000007</v>
      </c>
      <c r="H122" s="118">
        <f t="shared" ref="H122:H127" si="16">G122-F122</f>
        <v>0</v>
      </c>
      <c r="I122" s="240" t="s">
        <v>1230</v>
      </c>
    </row>
    <row r="123" spans="1:9" s="124" customFormat="1" ht="13.5" customHeight="1" x14ac:dyDescent="0.25">
      <c r="A123" s="230">
        <v>113253</v>
      </c>
      <c r="B123" s="162" t="s">
        <v>670</v>
      </c>
      <c r="C123" s="162" t="s">
        <v>146</v>
      </c>
      <c r="D123" s="162" t="s">
        <v>8</v>
      </c>
      <c r="E123" s="231">
        <v>43617</v>
      </c>
      <c r="F123" s="117">
        <v>1016.96</v>
      </c>
      <c r="G123" s="117">
        <f>SUMIF(CONFERÊNCIA!A:A,A123,CONFERÊNCIA!J:J)</f>
        <v>1016.96</v>
      </c>
      <c r="H123" s="119">
        <f t="shared" si="16"/>
        <v>0</v>
      </c>
      <c r="I123" s="240" t="s">
        <v>1230</v>
      </c>
    </row>
    <row r="124" spans="1:9" s="109" customFormat="1" ht="13.5" customHeight="1" x14ac:dyDescent="0.25">
      <c r="A124" s="230">
        <v>114687</v>
      </c>
      <c r="B124" s="162" t="s">
        <v>1067</v>
      </c>
      <c r="C124" s="162" t="s">
        <v>2</v>
      </c>
      <c r="D124" s="162" t="s">
        <v>19</v>
      </c>
      <c r="E124" s="231">
        <v>43874</v>
      </c>
      <c r="F124" s="117">
        <v>1016.96</v>
      </c>
      <c r="G124" s="117">
        <f>SUMIF(CONFERÊNCIA!A:A,A124,CONFERÊNCIA!J:J)</f>
        <v>1016.96</v>
      </c>
      <c r="H124" s="118">
        <f t="shared" si="16"/>
        <v>0</v>
      </c>
      <c r="I124" s="240" t="s">
        <v>1229</v>
      </c>
    </row>
    <row r="125" spans="1:9" s="109" customFormat="1" ht="13.5" customHeight="1" x14ac:dyDescent="0.25">
      <c r="A125" s="230">
        <v>113899</v>
      </c>
      <c r="B125" s="162" t="s">
        <v>986</v>
      </c>
      <c r="C125" s="162" t="s">
        <v>15</v>
      </c>
      <c r="D125" s="162" t="s">
        <v>1578</v>
      </c>
      <c r="E125" s="231">
        <v>43668</v>
      </c>
      <c r="F125" s="117">
        <v>1016.96</v>
      </c>
      <c r="G125" s="117">
        <f>SUMIF(CONFERÊNCIA!A:A,A125,CONFERÊNCIA!J:J)</f>
        <v>1016.96</v>
      </c>
      <c r="H125" s="118">
        <f t="shared" si="16"/>
        <v>0</v>
      </c>
      <c r="I125" s="240" t="s">
        <v>1229</v>
      </c>
    </row>
    <row r="126" spans="1:9" s="124" customFormat="1" ht="13.5" customHeight="1" x14ac:dyDescent="0.25">
      <c r="A126" s="230">
        <v>122832</v>
      </c>
      <c r="B126" s="162" t="s">
        <v>1714</v>
      </c>
      <c r="C126" s="162" t="s">
        <v>5</v>
      </c>
      <c r="D126" s="162" t="s">
        <v>1578</v>
      </c>
      <c r="E126" s="231">
        <v>45180</v>
      </c>
      <c r="F126" s="117">
        <v>0</v>
      </c>
      <c r="G126" s="117">
        <f>SUMIF(CONFERÊNCIA!A:A,A126,CONFERÊNCIA!J:J)</f>
        <v>1016.96</v>
      </c>
      <c r="H126" s="119">
        <f t="shared" si="16"/>
        <v>1016.96</v>
      </c>
      <c r="I126" s="240" t="s">
        <v>1231</v>
      </c>
    </row>
    <row r="127" spans="1:9" s="124" customFormat="1" ht="13.5" customHeight="1" x14ac:dyDescent="0.25">
      <c r="A127" s="230">
        <v>113258</v>
      </c>
      <c r="B127" s="162" t="s">
        <v>672</v>
      </c>
      <c r="C127" s="162" t="s">
        <v>5</v>
      </c>
      <c r="D127" s="162" t="s">
        <v>8</v>
      </c>
      <c r="E127" s="231">
        <v>43617</v>
      </c>
      <c r="F127" s="117">
        <v>1016.96</v>
      </c>
      <c r="G127" s="117">
        <f>SUMIF(CONFERÊNCIA!A:A,A127,CONFERÊNCIA!J:J)</f>
        <v>1016.96</v>
      </c>
      <c r="H127" s="119">
        <f t="shared" si="16"/>
        <v>0</v>
      </c>
      <c r="I127" s="240" t="s">
        <v>1229</v>
      </c>
    </row>
    <row r="128" spans="1:9" s="124" customFormat="1" ht="13.5" customHeight="1" x14ac:dyDescent="0.25">
      <c r="A128" s="230">
        <v>113302</v>
      </c>
      <c r="B128" s="162" t="s">
        <v>694</v>
      </c>
      <c r="C128" s="162" t="s">
        <v>2</v>
      </c>
      <c r="D128" s="162" t="s">
        <v>8</v>
      </c>
      <c r="E128" s="231">
        <v>43617</v>
      </c>
      <c r="F128" s="117">
        <v>1016.96</v>
      </c>
      <c r="G128" s="117">
        <f>SUMIF(CONFERÊNCIA!A:A,A128,CONFERÊNCIA!J:J)</f>
        <v>1016.96</v>
      </c>
      <c r="H128" s="119">
        <f t="shared" ref="H128:H134" si="17">G128-F128</f>
        <v>0</v>
      </c>
      <c r="I128" s="240" t="s">
        <v>1229</v>
      </c>
    </row>
    <row r="129" spans="1:9" s="124" customFormat="1" ht="13.5" customHeight="1" x14ac:dyDescent="0.25">
      <c r="A129" s="230">
        <v>113415</v>
      </c>
      <c r="B129" s="162" t="s">
        <v>764</v>
      </c>
      <c r="C129" s="162" t="s">
        <v>2</v>
      </c>
      <c r="D129" s="162" t="s">
        <v>0</v>
      </c>
      <c r="E129" s="231">
        <v>43617</v>
      </c>
      <c r="F129" s="117">
        <v>1016.96</v>
      </c>
      <c r="G129" s="117">
        <f>SUMIF(CONFERÊNCIA!A:A,A129,CONFERÊNCIA!J:J)</f>
        <v>1016.96</v>
      </c>
      <c r="H129" s="119">
        <f t="shared" si="17"/>
        <v>0</v>
      </c>
      <c r="I129" s="240" t="s">
        <v>1229</v>
      </c>
    </row>
    <row r="130" spans="1:9" s="109" customFormat="1" ht="13.5" customHeight="1" x14ac:dyDescent="0.25">
      <c r="A130" s="230">
        <v>113310</v>
      </c>
      <c r="B130" s="162" t="s">
        <v>700</v>
      </c>
      <c r="C130" s="162" t="s">
        <v>15</v>
      </c>
      <c r="D130" s="162" t="s">
        <v>1578</v>
      </c>
      <c r="E130" s="231">
        <v>43617</v>
      </c>
      <c r="F130" s="117">
        <v>1016.96</v>
      </c>
      <c r="G130" s="117">
        <f>SUMIF(CONFERÊNCIA!A:A,A130,CONFERÊNCIA!J:J)</f>
        <v>1016.96</v>
      </c>
      <c r="H130" s="118">
        <f t="shared" si="17"/>
        <v>0</v>
      </c>
      <c r="I130" s="240" t="s">
        <v>1229</v>
      </c>
    </row>
    <row r="131" spans="1:9" s="124" customFormat="1" ht="13.5" customHeight="1" x14ac:dyDescent="0.25">
      <c r="A131" s="230">
        <v>113419</v>
      </c>
      <c r="B131" s="162" t="s">
        <v>768</v>
      </c>
      <c r="C131" s="162" t="s">
        <v>769</v>
      </c>
      <c r="D131" s="162" t="s">
        <v>1578</v>
      </c>
      <c r="E131" s="231">
        <v>43617</v>
      </c>
      <c r="F131" s="117">
        <v>1016.96</v>
      </c>
      <c r="G131" s="117">
        <f>SUMIF(CONFERÊNCIA!A:A,A131,CONFERÊNCIA!J:J)</f>
        <v>1016.96</v>
      </c>
      <c r="H131" s="119">
        <f t="shared" si="17"/>
        <v>0</v>
      </c>
      <c r="I131" s="240" t="s">
        <v>1229</v>
      </c>
    </row>
    <row r="132" spans="1:9" s="109" customFormat="1" ht="13.5" customHeight="1" x14ac:dyDescent="0.25">
      <c r="A132" s="230">
        <v>113334</v>
      </c>
      <c r="B132" s="162" t="s">
        <v>712</v>
      </c>
      <c r="C132" s="162" t="s">
        <v>15</v>
      </c>
      <c r="D132" s="162" t="s">
        <v>1578</v>
      </c>
      <c r="E132" s="231">
        <v>43617</v>
      </c>
      <c r="F132" s="117">
        <v>1016.96</v>
      </c>
      <c r="G132" s="117">
        <f>SUMIF(CONFERÊNCIA!A:A,A132,CONFERÊNCIA!J:J)</f>
        <v>1016.96</v>
      </c>
      <c r="H132" s="118">
        <f t="shared" si="17"/>
        <v>0</v>
      </c>
      <c r="I132" s="240" t="s">
        <v>1229</v>
      </c>
    </row>
    <row r="133" spans="1:9" s="109" customFormat="1" ht="13.5" customHeight="1" x14ac:dyDescent="0.25">
      <c r="A133" s="230">
        <v>113355</v>
      </c>
      <c r="B133" s="162" t="s">
        <v>723</v>
      </c>
      <c r="C133" s="162" t="s">
        <v>5</v>
      </c>
      <c r="D133" s="162" t="s">
        <v>0</v>
      </c>
      <c r="E133" s="231">
        <v>43617</v>
      </c>
      <c r="F133" s="117">
        <v>1016.96</v>
      </c>
      <c r="G133" s="117">
        <f>SUMIF(CONFERÊNCIA!A:A,A133,CONFERÊNCIA!J:J)</f>
        <v>1016.96</v>
      </c>
      <c r="H133" s="118">
        <f t="shared" si="17"/>
        <v>0</v>
      </c>
      <c r="I133" s="240" t="s">
        <v>1229</v>
      </c>
    </row>
    <row r="134" spans="1:9" s="124" customFormat="1" ht="13.5" customHeight="1" x14ac:dyDescent="0.25">
      <c r="A134" s="230">
        <v>116969</v>
      </c>
      <c r="B134" s="162" t="s">
        <v>1233</v>
      </c>
      <c r="C134" s="162" t="s">
        <v>5</v>
      </c>
      <c r="D134" s="162" t="s">
        <v>8</v>
      </c>
      <c r="E134" s="231">
        <v>44419</v>
      </c>
      <c r="F134" s="117">
        <v>1016.96</v>
      </c>
      <c r="G134" s="117">
        <f>SUMIF(CONFERÊNCIA!A:A,A134,CONFERÊNCIA!J:J)</f>
        <v>1016.96</v>
      </c>
      <c r="H134" s="119">
        <f t="shared" si="17"/>
        <v>0</v>
      </c>
      <c r="I134" s="240" t="s">
        <v>1229</v>
      </c>
    </row>
    <row r="135" spans="1:9" s="124" customFormat="1" ht="13.5" customHeight="1" x14ac:dyDescent="0.25">
      <c r="A135" s="230">
        <v>113431</v>
      </c>
      <c r="B135" s="162" t="s">
        <v>774</v>
      </c>
      <c r="C135" s="162" t="s">
        <v>2</v>
      </c>
      <c r="D135" s="162" t="s">
        <v>0</v>
      </c>
      <c r="E135" s="231">
        <v>43617</v>
      </c>
      <c r="F135" s="117">
        <v>1016.96</v>
      </c>
      <c r="G135" s="117">
        <f>SUMIF(CONFERÊNCIA!A:A,A135,CONFERÊNCIA!J:J)</f>
        <v>1016.96</v>
      </c>
      <c r="H135" s="119">
        <f t="shared" ref="H135:H142" si="18">G135-F135</f>
        <v>0</v>
      </c>
      <c r="I135" s="240" t="s">
        <v>1229</v>
      </c>
    </row>
    <row r="136" spans="1:9" s="124" customFormat="1" ht="13.5" customHeight="1" x14ac:dyDescent="0.25">
      <c r="A136" s="230">
        <v>113369</v>
      </c>
      <c r="B136" s="162" t="s">
        <v>734</v>
      </c>
      <c r="C136" s="162" t="s">
        <v>2</v>
      </c>
      <c r="D136" s="162" t="s">
        <v>10</v>
      </c>
      <c r="E136" s="231">
        <v>43617</v>
      </c>
      <c r="F136" s="117">
        <v>1016.96</v>
      </c>
      <c r="G136" s="117">
        <f>SUMIF(CONFERÊNCIA!A:A,A136,CONFERÊNCIA!J:J)</f>
        <v>1016.96</v>
      </c>
      <c r="H136" s="119">
        <f t="shared" si="18"/>
        <v>0</v>
      </c>
      <c r="I136" s="240" t="s">
        <v>1229</v>
      </c>
    </row>
    <row r="137" spans="1:9" s="109" customFormat="1" ht="13.5" customHeight="1" x14ac:dyDescent="0.25">
      <c r="A137" s="230">
        <v>121673</v>
      </c>
      <c r="B137" s="162" t="s">
        <v>1583</v>
      </c>
      <c r="C137" s="162" t="s">
        <v>5</v>
      </c>
      <c r="D137" s="162" t="s">
        <v>0</v>
      </c>
      <c r="E137" s="231">
        <v>44994</v>
      </c>
      <c r="F137" s="117">
        <v>359.46</v>
      </c>
      <c r="G137" s="117">
        <f>SUMIF(CONFERÊNCIA!A:A,A137,CONFERÊNCIA!J:J)</f>
        <v>1270.31</v>
      </c>
      <c r="H137" s="118">
        <f t="shared" si="18"/>
        <v>910.84999999999991</v>
      </c>
      <c r="I137" s="240" t="s">
        <v>1229</v>
      </c>
    </row>
    <row r="138" spans="1:9" s="124" customFormat="1" ht="13.5" customHeight="1" x14ac:dyDescent="0.25">
      <c r="A138" s="230">
        <v>113438</v>
      </c>
      <c r="B138" s="162" t="s">
        <v>780</v>
      </c>
      <c r="C138" s="162" t="s">
        <v>5</v>
      </c>
      <c r="D138" s="162" t="s">
        <v>19</v>
      </c>
      <c r="E138" s="231">
        <v>43617</v>
      </c>
      <c r="F138" s="117">
        <v>1016.96</v>
      </c>
      <c r="G138" s="117">
        <f>SUMIF(CONFERÊNCIA!A:A,A138,CONFERÊNCIA!J:J)</f>
        <v>1016.96</v>
      </c>
      <c r="H138" s="119">
        <f t="shared" si="18"/>
        <v>0</v>
      </c>
      <c r="I138" s="240" t="s">
        <v>1229</v>
      </c>
    </row>
    <row r="139" spans="1:9" s="109" customFormat="1" ht="13.5" customHeight="1" x14ac:dyDescent="0.25">
      <c r="A139" s="230">
        <v>113379</v>
      </c>
      <c r="B139" s="162" t="s">
        <v>740</v>
      </c>
      <c r="C139" s="162" t="s">
        <v>39</v>
      </c>
      <c r="D139" s="162" t="s">
        <v>8</v>
      </c>
      <c r="E139" s="231">
        <v>43617</v>
      </c>
      <c r="F139" s="117">
        <v>1016.96</v>
      </c>
      <c r="G139" s="117">
        <f>SUMIF(CONFERÊNCIA!A:A,A139,CONFERÊNCIA!J:J)</f>
        <v>1016.96</v>
      </c>
      <c r="H139" s="118">
        <f t="shared" si="18"/>
        <v>0</v>
      </c>
      <c r="I139" s="240" t="s">
        <v>1229</v>
      </c>
    </row>
    <row r="140" spans="1:9" s="124" customFormat="1" ht="13.5" customHeight="1" x14ac:dyDescent="0.25">
      <c r="A140" s="230">
        <v>113445</v>
      </c>
      <c r="B140" s="162" t="s">
        <v>783</v>
      </c>
      <c r="C140" s="162" t="s">
        <v>5</v>
      </c>
      <c r="D140" s="162" t="s">
        <v>8</v>
      </c>
      <c r="E140" s="231">
        <v>43617</v>
      </c>
      <c r="F140" s="117">
        <v>1016.96</v>
      </c>
      <c r="G140" s="117">
        <f>SUMIF(CONFERÊNCIA!A:A,A140,CONFERÊNCIA!J:J)</f>
        <v>1016.96</v>
      </c>
      <c r="H140" s="119">
        <f t="shared" si="18"/>
        <v>0</v>
      </c>
      <c r="I140" s="240" t="s">
        <v>1229</v>
      </c>
    </row>
    <row r="141" spans="1:9" s="109" customFormat="1" ht="13.5" customHeight="1" x14ac:dyDescent="0.25">
      <c r="A141" s="230">
        <v>113388</v>
      </c>
      <c r="B141" s="162" t="s">
        <v>745</v>
      </c>
      <c r="C141" s="162" t="s">
        <v>2</v>
      </c>
      <c r="D141" s="162" t="s">
        <v>0</v>
      </c>
      <c r="E141" s="231">
        <v>43617</v>
      </c>
      <c r="F141" s="117">
        <v>1016.96</v>
      </c>
      <c r="G141" s="117">
        <f>SUMIF(CONFERÊNCIA!A:A,A141,CONFERÊNCIA!J:J)</f>
        <v>1016.96</v>
      </c>
      <c r="H141" s="118">
        <f t="shared" si="18"/>
        <v>0</v>
      </c>
      <c r="I141" s="240" t="s">
        <v>1229</v>
      </c>
    </row>
    <row r="142" spans="1:9" s="109" customFormat="1" ht="13.5" customHeight="1" x14ac:dyDescent="0.25">
      <c r="A142" s="230">
        <v>113396</v>
      </c>
      <c r="B142" s="162" t="s">
        <v>753</v>
      </c>
      <c r="C142" s="162" t="s">
        <v>5</v>
      </c>
      <c r="D142" s="162" t="s">
        <v>19</v>
      </c>
      <c r="E142" s="231">
        <v>43617</v>
      </c>
      <c r="F142" s="117">
        <v>1016.96</v>
      </c>
      <c r="G142" s="117">
        <f>SUMIF(CONFERÊNCIA!A:A,A142,CONFERÊNCIA!J:J)</f>
        <v>1016.96</v>
      </c>
      <c r="H142" s="118">
        <f t="shared" si="18"/>
        <v>0</v>
      </c>
      <c r="I142" s="240" t="s">
        <v>1229</v>
      </c>
    </row>
    <row r="143" spans="1:9" s="109" customFormat="1" ht="13.5" customHeight="1" x14ac:dyDescent="0.25">
      <c r="A143" s="230">
        <v>113400</v>
      </c>
      <c r="B143" s="162" t="s">
        <v>755</v>
      </c>
      <c r="C143" s="162" t="s">
        <v>22</v>
      </c>
      <c r="D143" s="162" t="s">
        <v>1578</v>
      </c>
      <c r="E143" s="231">
        <v>43617</v>
      </c>
      <c r="F143" s="117">
        <v>1016.96</v>
      </c>
      <c r="G143" s="117">
        <f>SUMIF(CONFERÊNCIA!A:A,A143,CONFERÊNCIA!J:J)</f>
        <v>1016.96</v>
      </c>
      <c r="H143" s="118">
        <f t="shared" ref="H143:H147" si="19">G143-F143</f>
        <v>0</v>
      </c>
      <c r="I143" s="240" t="s">
        <v>1229</v>
      </c>
    </row>
    <row r="144" spans="1:9" s="109" customFormat="1" ht="13.5" customHeight="1" x14ac:dyDescent="0.25">
      <c r="A144" s="230">
        <v>113482</v>
      </c>
      <c r="B144" s="162" t="s">
        <v>803</v>
      </c>
      <c r="C144" s="162" t="s">
        <v>580</v>
      </c>
      <c r="D144" s="162" t="s">
        <v>1578</v>
      </c>
      <c r="E144" s="231">
        <v>43617</v>
      </c>
      <c r="F144" s="117">
        <v>1016.96</v>
      </c>
      <c r="G144" s="117">
        <f>SUMIF(CONFERÊNCIA!A:A,A144,CONFERÊNCIA!J:J)</f>
        <v>1016.96</v>
      </c>
      <c r="H144" s="118">
        <f t="shared" si="19"/>
        <v>0</v>
      </c>
      <c r="I144" s="240" t="s">
        <v>1229</v>
      </c>
    </row>
    <row r="145" spans="1:9" s="124" customFormat="1" ht="13.5" customHeight="1" x14ac:dyDescent="0.25">
      <c r="A145" s="230">
        <v>116970</v>
      </c>
      <c r="B145" s="162" t="s">
        <v>1234</v>
      </c>
      <c r="C145" s="162" t="s">
        <v>5</v>
      </c>
      <c r="D145" s="162" t="s">
        <v>32</v>
      </c>
      <c r="E145" s="231">
        <v>44419</v>
      </c>
      <c r="F145" s="117">
        <v>1016.96</v>
      </c>
      <c r="G145" s="117">
        <f>SUMIF(CONFERÊNCIA!A:A,A145,CONFERÊNCIA!J:J)</f>
        <v>1016.96</v>
      </c>
      <c r="H145" s="119">
        <f t="shared" si="19"/>
        <v>0</v>
      </c>
      <c r="I145" s="240" t="s">
        <v>1229</v>
      </c>
    </row>
    <row r="146" spans="1:9" s="124" customFormat="1" ht="13.5" customHeight="1" x14ac:dyDescent="0.25">
      <c r="A146" s="230">
        <v>113490</v>
      </c>
      <c r="B146" s="162" t="s">
        <v>807</v>
      </c>
      <c r="C146" s="162" t="s">
        <v>384</v>
      </c>
      <c r="D146" s="162" t="s">
        <v>1578</v>
      </c>
      <c r="E146" s="231">
        <v>43617</v>
      </c>
      <c r="F146" s="117">
        <v>1016.96</v>
      </c>
      <c r="G146" s="117">
        <f>SUMIF(CONFERÊNCIA!A:A,A146,CONFERÊNCIA!J:J)</f>
        <v>1016.96</v>
      </c>
      <c r="H146" s="119">
        <f t="shared" si="19"/>
        <v>0</v>
      </c>
      <c r="I146" s="240" t="s">
        <v>1229</v>
      </c>
    </row>
    <row r="147" spans="1:9" s="109" customFormat="1" ht="13.5" customHeight="1" x14ac:dyDescent="0.25">
      <c r="A147" s="230">
        <v>113711</v>
      </c>
      <c r="B147" s="162" t="s">
        <v>926</v>
      </c>
      <c r="C147" s="162" t="s">
        <v>927</v>
      </c>
      <c r="D147" s="162" t="s">
        <v>1580</v>
      </c>
      <c r="E147" s="231">
        <v>43619</v>
      </c>
      <c r="F147" s="117">
        <v>1016.96</v>
      </c>
      <c r="G147" s="117">
        <f>SUMIF(CONFERÊNCIA!A:A,A147,CONFERÊNCIA!J:J)</f>
        <v>1016.96</v>
      </c>
      <c r="H147" s="118">
        <f t="shared" si="19"/>
        <v>0</v>
      </c>
      <c r="I147" s="240" t="s">
        <v>1229</v>
      </c>
    </row>
    <row r="148" spans="1:9" s="109" customFormat="1" ht="13.5" customHeight="1" x14ac:dyDescent="0.25">
      <c r="A148" s="230">
        <v>115225</v>
      </c>
      <c r="B148" s="162" t="s">
        <v>1145</v>
      </c>
      <c r="C148" s="162" t="s">
        <v>5</v>
      </c>
      <c r="D148" s="162" t="s">
        <v>19</v>
      </c>
      <c r="E148" s="231">
        <v>44018</v>
      </c>
      <c r="F148" s="117">
        <v>1016.96</v>
      </c>
      <c r="G148" s="117">
        <f>SUMIF(CONFERÊNCIA!A:A,A148,CONFERÊNCIA!J:J)</f>
        <v>1016.96</v>
      </c>
      <c r="H148" s="118">
        <f t="shared" ref="H148:H150" si="20">G148-F148</f>
        <v>0</v>
      </c>
      <c r="I148" s="240" t="s">
        <v>1229</v>
      </c>
    </row>
    <row r="149" spans="1:9" s="109" customFormat="1" ht="13.5" customHeight="1" x14ac:dyDescent="0.25">
      <c r="A149" s="230">
        <v>113922</v>
      </c>
      <c r="B149" s="162" t="s">
        <v>988</v>
      </c>
      <c r="C149" s="162" t="s">
        <v>989</v>
      </c>
      <c r="D149" s="162" t="s">
        <v>1578</v>
      </c>
      <c r="E149" s="231">
        <v>43682</v>
      </c>
      <c r="F149" s="117">
        <v>1016.96</v>
      </c>
      <c r="G149" s="117">
        <f>SUMIF(CONFERÊNCIA!A:A,A149,CONFERÊNCIA!J:J)</f>
        <v>1016.96</v>
      </c>
      <c r="H149" s="118">
        <f t="shared" si="20"/>
        <v>0</v>
      </c>
      <c r="I149" s="240" t="s">
        <v>1229</v>
      </c>
    </row>
    <row r="150" spans="1:9" s="109" customFormat="1" ht="13.5" customHeight="1" x14ac:dyDescent="0.25">
      <c r="A150" s="230">
        <v>118633</v>
      </c>
      <c r="B150" s="162" t="s">
        <v>1394</v>
      </c>
      <c r="C150" s="162" t="s">
        <v>5</v>
      </c>
      <c r="D150" s="162" t="s">
        <v>0</v>
      </c>
      <c r="E150" s="231">
        <v>44582</v>
      </c>
      <c r="F150" s="117">
        <v>1016.96</v>
      </c>
      <c r="G150" s="117">
        <f>SUMIF(CONFERÊNCIA!A:A,A150,CONFERÊNCIA!J:J)</f>
        <v>1016.96</v>
      </c>
      <c r="H150" s="118">
        <f t="shared" si="20"/>
        <v>0</v>
      </c>
      <c r="I150" s="240" t="s">
        <v>1229</v>
      </c>
    </row>
    <row r="151" spans="1:9" s="109" customFormat="1" ht="13.5" customHeight="1" x14ac:dyDescent="0.25">
      <c r="A151" s="230">
        <v>113508</v>
      </c>
      <c r="B151" s="162" t="s">
        <v>815</v>
      </c>
      <c r="C151" s="162" t="s">
        <v>15</v>
      </c>
      <c r="D151" s="162" t="s">
        <v>1578</v>
      </c>
      <c r="E151" s="231">
        <v>43617</v>
      </c>
      <c r="F151" s="117">
        <v>1016.96</v>
      </c>
      <c r="G151" s="117">
        <f>SUMIF(CONFERÊNCIA!A:A,A151,CONFERÊNCIA!J:J)</f>
        <v>1016.96</v>
      </c>
      <c r="H151" s="118">
        <f t="shared" ref="H151:H159" si="21">G151-F151</f>
        <v>0</v>
      </c>
      <c r="I151" s="240" t="s">
        <v>1229</v>
      </c>
    </row>
    <row r="152" spans="1:9" s="109" customFormat="1" ht="13.5" customHeight="1" x14ac:dyDescent="0.25">
      <c r="A152" s="230">
        <v>113699</v>
      </c>
      <c r="B152" s="162" t="s">
        <v>923</v>
      </c>
      <c r="C152" s="162" t="s">
        <v>2</v>
      </c>
      <c r="D152" s="162" t="s">
        <v>8</v>
      </c>
      <c r="E152" s="231">
        <v>43617</v>
      </c>
      <c r="F152" s="117">
        <v>1016.96</v>
      </c>
      <c r="G152" s="117">
        <f>SUMIF(CONFERÊNCIA!A:A,A152,CONFERÊNCIA!J:J)</f>
        <v>1016.96</v>
      </c>
      <c r="H152" s="118">
        <f t="shared" si="21"/>
        <v>0</v>
      </c>
      <c r="I152" s="240" t="s">
        <v>1229</v>
      </c>
    </row>
    <row r="153" spans="1:9" s="124" customFormat="1" ht="13.5" customHeight="1" x14ac:dyDescent="0.25">
      <c r="A153" s="230">
        <v>113515</v>
      </c>
      <c r="B153" s="162" t="s">
        <v>818</v>
      </c>
      <c r="C153" s="162" t="s">
        <v>2</v>
      </c>
      <c r="D153" s="162" t="s">
        <v>10</v>
      </c>
      <c r="E153" s="231">
        <v>43617</v>
      </c>
      <c r="F153" s="117">
        <v>1016.96</v>
      </c>
      <c r="G153" s="117">
        <f>SUMIF(CONFERÊNCIA!A:A,A153,CONFERÊNCIA!J:J)</f>
        <v>1016.96</v>
      </c>
      <c r="H153" s="119">
        <f t="shared" si="21"/>
        <v>0</v>
      </c>
      <c r="I153" s="240" t="s">
        <v>1229</v>
      </c>
    </row>
    <row r="154" spans="1:9" s="124" customFormat="1" ht="13.5" customHeight="1" x14ac:dyDescent="0.25">
      <c r="A154" s="230">
        <v>113679</v>
      </c>
      <c r="B154" s="162" t="s">
        <v>355</v>
      </c>
      <c r="C154" s="162" t="s">
        <v>2</v>
      </c>
      <c r="D154" s="162" t="s">
        <v>0</v>
      </c>
      <c r="E154" s="231">
        <v>43617</v>
      </c>
      <c r="F154" s="117">
        <v>1016.96</v>
      </c>
      <c r="G154" s="117">
        <f>SUMIF(CONFERÊNCIA!A:A,A154,CONFERÊNCIA!J:J)</f>
        <v>1016.96</v>
      </c>
      <c r="H154" s="119">
        <f t="shared" si="21"/>
        <v>0</v>
      </c>
      <c r="I154" s="240" t="s">
        <v>1230</v>
      </c>
    </row>
    <row r="155" spans="1:9" s="109" customFormat="1" ht="13.5" customHeight="1" x14ac:dyDescent="0.25">
      <c r="A155" s="230">
        <v>113529</v>
      </c>
      <c r="B155" s="162" t="s">
        <v>825</v>
      </c>
      <c r="C155" s="162" t="s">
        <v>15</v>
      </c>
      <c r="D155" s="162" t="s">
        <v>1578</v>
      </c>
      <c r="E155" s="231">
        <v>43617</v>
      </c>
      <c r="F155" s="117">
        <v>1016.96</v>
      </c>
      <c r="G155" s="117">
        <f>SUMIF(CONFERÊNCIA!A:A,A155,CONFERÊNCIA!J:J)</f>
        <v>1016.96</v>
      </c>
      <c r="H155" s="118">
        <f t="shared" si="21"/>
        <v>0</v>
      </c>
      <c r="I155" s="240" t="s">
        <v>1230</v>
      </c>
    </row>
    <row r="156" spans="1:9" s="124" customFormat="1" ht="13.5" customHeight="1" x14ac:dyDescent="0.25">
      <c r="A156" s="230">
        <v>113533</v>
      </c>
      <c r="B156" s="162" t="s">
        <v>829</v>
      </c>
      <c r="C156" s="162" t="s">
        <v>2</v>
      </c>
      <c r="D156" s="162" t="s">
        <v>10</v>
      </c>
      <c r="E156" s="231">
        <v>43617</v>
      </c>
      <c r="F156" s="117">
        <v>1016.96</v>
      </c>
      <c r="G156" s="117">
        <f>SUMIF(CONFERÊNCIA!A:A,A156,CONFERÊNCIA!J:J)</f>
        <v>1016.96</v>
      </c>
      <c r="H156" s="119">
        <f t="shared" si="21"/>
        <v>0</v>
      </c>
      <c r="I156" s="240" t="s">
        <v>1229</v>
      </c>
    </row>
    <row r="157" spans="1:9" s="109" customFormat="1" ht="13.5" customHeight="1" x14ac:dyDescent="0.25">
      <c r="A157" s="230">
        <v>113543</v>
      </c>
      <c r="B157" s="162" t="s">
        <v>835</v>
      </c>
      <c r="C157" s="162" t="s">
        <v>15</v>
      </c>
      <c r="D157" s="162" t="s">
        <v>1578</v>
      </c>
      <c r="E157" s="231">
        <v>43617</v>
      </c>
      <c r="F157" s="117">
        <v>1016.96</v>
      </c>
      <c r="G157" s="117">
        <f>SUMIF(CONFERÊNCIA!A:A,A157,CONFERÊNCIA!J:J)</f>
        <v>1016.96</v>
      </c>
      <c r="H157" s="118">
        <f t="shared" si="21"/>
        <v>0</v>
      </c>
      <c r="I157" s="240" t="s">
        <v>1229</v>
      </c>
    </row>
    <row r="158" spans="1:9" s="109" customFormat="1" ht="13.5" customHeight="1" x14ac:dyDescent="0.25">
      <c r="A158" s="230">
        <v>113549</v>
      </c>
      <c r="B158" s="162" t="s">
        <v>840</v>
      </c>
      <c r="C158" s="162" t="s">
        <v>5</v>
      </c>
      <c r="D158" s="162" t="s">
        <v>0</v>
      </c>
      <c r="E158" s="231">
        <v>43617</v>
      </c>
      <c r="F158" s="117">
        <v>902.11</v>
      </c>
      <c r="G158" s="117">
        <f>SUMIF(CONFERÊNCIA!A:A,A158,CONFERÊNCIA!J:J)</f>
        <v>902.11</v>
      </c>
      <c r="H158" s="118">
        <f t="shared" si="21"/>
        <v>0</v>
      </c>
      <c r="I158" s="240" t="s">
        <v>1229</v>
      </c>
    </row>
    <row r="159" spans="1:9" s="109" customFormat="1" ht="13.5" customHeight="1" x14ac:dyDescent="0.25">
      <c r="A159" s="230">
        <v>113553</v>
      </c>
      <c r="B159" s="162" t="s">
        <v>844</v>
      </c>
      <c r="C159" s="162" t="s">
        <v>2</v>
      </c>
      <c r="D159" s="162" t="s">
        <v>8</v>
      </c>
      <c r="E159" s="231">
        <v>43617</v>
      </c>
      <c r="F159" s="117">
        <v>1016.96</v>
      </c>
      <c r="G159" s="117">
        <f>SUMIF(CONFERÊNCIA!A:A,A159,CONFERÊNCIA!J:J)</f>
        <v>1016.96</v>
      </c>
      <c r="H159" s="118">
        <f t="shared" si="21"/>
        <v>0</v>
      </c>
      <c r="I159" s="240" t="s">
        <v>1229</v>
      </c>
    </row>
    <row r="160" spans="1:9" s="124" customFormat="1" ht="13.5" customHeight="1" x14ac:dyDescent="0.25">
      <c r="A160" s="230">
        <v>119644</v>
      </c>
      <c r="B160" s="162" t="s">
        <v>1454</v>
      </c>
      <c r="C160" s="162" t="s">
        <v>5</v>
      </c>
      <c r="D160" s="162" t="s">
        <v>19</v>
      </c>
      <c r="E160" s="231">
        <v>44725</v>
      </c>
      <c r="F160" s="117">
        <v>1016.96</v>
      </c>
      <c r="G160" s="117">
        <f>SUMIF(CONFERÊNCIA!A:A,A160,CONFERÊNCIA!J:J)</f>
        <v>1016.96</v>
      </c>
      <c r="H160" s="119">
        <f t="shared" ref="H160:H162" si="22">G160-F160</f>
        <v>0</v>
      </c>
      <c r="I160" s="240" t="s">
        <v>1229</v>
      </c>
    </row>
    <row r="161" spans="1:9" s="109" customFormat="1" ht="13.5" customHeight="1" x14ac:dyDescent="0.25">
      <c r="A161" s="230">
        <v>113558</v>
      </c>
      <c r="B161" s="162" t="s">
        <v>846</v>
      </c>
      <c r="C161" s="162" t="s">
        <v>2</v>
      </c>
      <c r="D161" s="162" t="s">
        <v>0</v>
      </c>
      <c r="E161" s="231">
        <v>43617</v>
      </c>
      <c r="F161" s="117">
        <v>1016.96</v>
      </c>
      <c r="G161" s="117">
        <f>SUMIF(CONFERÊNCIA!A:A,A161,CONFERÊNCIA!J:J)</f>
        <v>1016.96</v>
      </c>
      <c r="H161" s="118">
        <f t="shared" si="22"/>
        <v>0</v>
      </c>
      <c r="I161" s="240" t="s">
        <v>1229</v>
      </c>
    </row>
    <row r="162" spans="1:9" s="109" customFormat="1" ht="13.5" customHeight="1" x14ac:dyDescent="0.25">
      <c r="A162" s="230">
        <v>113561</v>
      </c>
      <c r="B162" s="162" t="s">
        <v>849</v>
      </c>
      <c r="C162" s="162" t="s">
        <v>2</v>
      </c>
      <c r="D162" s="162" t="s">
        <v>10</v>
      </c>
      <c r="E162" s="231">
        <v>43617</v>
      </c>
      <c r="F162" s="117">
        <v>1016.96</v>
      </c>
      <c r="G162" s="117">
        <f>SUMIF(CONFERÊNCIA!A:A,A162,CONFERÊNCIA!J:J)</f>
        <v>1016.96</v>
      </c>
      <c r="H162" s="118">
        <f t="shared" si="22"/>
        <v>0</v>
      </c>
      <c r="I162" s="240" t="s">
        <v>1230</v>
      </c>
    </row>
    <row r="163" spans="1:9" s="124" customFormat="1" ht="13.5" customHeight="1" x14ac:dyDescent="0.25">
      <c r="A163" s="230">
        <v>114973</v>
      </c>
      <c r="B163" s="162" t="s">
        <v>1131</v>
      </c>
      <c r="C163" s="162" t="s">
        <v>15</v>
      </c>
      <c r="D163" s="162" t="s">
        <v>1578</v>
      </c>
      <c r="E163" s="231">
        <v>43917</v>
      </c>
      <c r="F163" s="117">
        <v>1016.96</v>
      </c>
      <c r="G163" s="117">
        <f>SUMIF(CONFERÊNCIA!A:A,A163,CONFERÊNCIA!J:J)</f>
        <v>1016.96</v>
      </c>
      <c r="H163" s="119">
        <f t="shared" ref="H163" si="23">G163-F163</f>
        <v>0</v>
      </c>
      <c r="I163" s="240" t="s">
        <v>1229</v>
      </c>
    </row>
    <row r="164" spans="1:9" s="109" customFormat="1" ht="13.5" customHeight="1" x14ac:dyDescent="0.25">
      <c r="A164" s="230">
        <v>113588</v>
      </c>
      <c r="B164" s="162" t="s">
        <v>861</v>
      </c>
      <c r="C164" s="162" t="s">
        <v>2</v>
      </c>
      <c r="D164" s="162" t="s">
        <v>8</v>
      </c>
      <c r="E164" s="231">
        <v>43617</v>
      </c>
      <c r="F164" s="117">
        <v>1016.96</v>
      </c>
      <c r="G164" s="117">
        <f>SUMIF(CONFERÊNCIA!A:A,A164,CONFERÊNCIA!J:J)</f>
        <v>1016.96</v>
      </c>
      <c r="H164" s="118">
        <f t="shared" ref="H164:H166" si="24">G164-F164</f>
        <v>0</v>
      </c>
      <c r="I164" s="240" t="s">
        <v>1229</v>
      </c>
    </row>
    <row r="165" spans="1:9" s="124" customFormat="1" ht="13.5" customHeight="1" x14ac:dyDescent="0.25">
      <c r="A165" s="230">
        <v>113625</v>
      </c>
      <c r="B165" s="162" t="s">
        <v>878</v>
      </c>
      <c r="C165" s="162" t="s">
        <v>5</v>
      </c>
      <c r="D165" s="162" t="s">
        <v>0</v>
      </c>
      <c r="E165" s="231">
        <v>43617</v>
      </c>
      <c r="F165" s="117">
        <v>1016.96</v>
      </c>
      <c r="G165" s="117">
        <f>SUMIF(CONFERÊNCIA!A:A,A165,CONFERÊNCIA!J:J)</f>
        <v>1016.96</v>
      </c>
      <c r="H165" s="119">
        <f t="shared" si="24"/>
        <v>0</v>
      </c>
      <c r="I165" s="240" t="s">
        <v>1229</v>
      </c>
    </row>
    <row r="166" spans="1:9" s="124" customFormat="1" ht="13.5" customHeight="1" x14ac:dyDescent="0.25">
      <c r="A166" s="230">
        <v>113631</v>
      </c>
      <c r="B166" s="162" t="s">
        <v>883</v>
      </c>
      <c r="C166" s="162" t="s">
        <v>2</v>
      </c>
      <c r="D166" s="162" t="s">
        <v>10</v>
      </c>
      <c r="E166" s="231">
        <v>43617</v>
      </c>
      <c r="F166" s="117">
        <v>1016.96</v>
      </c>
      <c r="G166" s="117">
        <f>SUMIF(CONFERÊNCIA!A:A,A166,CONFERÊNCIA!J:J)</f>
        <v>1016.96</v>
      </c>
      <c r="H166" s="119">
        <f t="shared" si="24"/>
        <v>0</v>
      </c>
      <c r="I166" s="240" t="s">
        <v>1230</v>
      </c>
    </row>
    <row r="167" spans="1:9" s="109" customFormat="1" ht="13.5" customHeight="1" x14ac:dyDescent="0.25">
      <c r="A167" s="230">
        <v>113666</v>
      </c>
      <c r="B167" s="162" t="s">
        <v>903</v>
      </c>
      <c r="C167" s="162" t="s">
        <v>255</v>
      </c>
      <c r="D167" s="162" t="s">
        <v>1578</v>
      </c>
      <c r="E167" s="231">
        <v>43617</v>
      </c>
      <c r="F167" s="117">
        <v>1016.96</v>
      </c>
      <c r="G167" s="117">
        <f>SUMIF(CONFERÊNCIA!A:A,A167,CONFERÊNCIA!J:J)</f>
        <v>1016.96</v>
      </c>
      <c r="H167" s="118">
        <f t="shared" ref="H167:H175" si="25">G167-F167</f>
        <v>0</v>
      </c>
      <c r="I167" s="240" t="s">
        <v>1229</v>
      </c>
    </row>
    <row r="168" spans="1:9" s="109" customFormat="1" ht="13.5" customHeight="1" x14ac:dyDescent="0.25">
      <c r="A168" s="230">
        <v>113677</v>
      </c>
      <c r="B168" s="162" t="s">
        <v>910</v>
      </c>
      <c r="C168" s="162" t="s">
        <v>2</v>
      </c>
      <c r="D168" s="162" t="s">
        <v>10</v>
      </c>
      <c r="E168" s="231">
        <v>43617</v>
      </c>
      <c r="F168" s="117">
        <v>1016.96</v>
      </c>
      <c r="G168" s="117">
        <f>SUMIF(CONFERÊNCIA!A:A,A168,CONFERÊNCIA!J:J)</f>
        <v>1016.96</v>
      </c>
      <c r="H168" s="118">
        <f t="shared" si="25"/>
        <v>0</v>
      </c>
      <c r="I168" s="240" t="s">
        <v>1230</v>
      </c>
    </row>
    <row r="169" spans="1:9" s="109" customFormat="1" ht="13.5" customHeight="1" x14ac:dyDescent="0.25">
      <c r="A169" s="230">
        <v>113694</v>
      </c>
      <c r="B169" s="162" t="s">
        <v>920</v>
      </c>
      <c r="C169" s="162" t="s">
        <v>15</v>
      </c>
      <c r="D169" s="162" t="s">
        <v>1578</v>
      </c>
      <c r="E169" s="231">
        <v>43617</v>
      </c>
      <c r="F169" s="117">
        <v>1016.96</v>
      </c>
      <c r="G169" s="117">
        <f>SUMIF(CONFERÊNCIA!A:A,A169,CONFERÊNCIA!J:J)</f>
        <v>1016.96</v>
      </c>
      <c r="H169" s="118">
        <f t="shared" si="25"/>
        <v>0</v>
      </c>
      <c r="I169" s="240" t="s">
        <v>1229</v>
      </c>
    </row>
    <row r="170" spans="1:9" s="109" customFormat="1" ht="13.5" customHeight="1" x14ac:dyDescent="0.25">
      <c r="A170" s="230">
        <v>113696</v>
      </c>
      <c r="B170" s="162" t="s">
        <v>921</v>
      </c>
      <c r="C170" s="162" t="s">
        <v>5</v>
      </c>
      <c r="D170" s="162" t="s">
        <v>19</v>
      </c>
      <c r="E170" s="231">
        <v>43617</v>
      </c>
      <c r="F170" s="117">
        <v>1016.96</v>
      </c>
      <c r="G170" s="117">
        <f>SUMIF(CONFERÊNCIA!A:A,A170,CONFERÊNCIA!J:J)</f>
        <v>1016.96</v>
      </c>
      <c r="H170" s="118">
        <f t="shared" si="25"/>
        <v>0</v>
      </c>
      <c r="I170" s="240" t="s">
        <v>1229</v>
      </c>
    </row>
    <row r="171" spans="1:9" s="124" customFormat="1" ht="13.5" customHeight="1" x14ac:dyDescent="0.25">
      <c r="A171" s="230">
        <v>113693</v>
      </c>
      <c r="B171" s="162" t="s">
        <v>919</v>
      </c>
      <c r="C171" s="162" t="s">
        <v>2</v>
      </c>
      <c r="D171" s="162" t="s">
        <v>0</v>
      </c>
      <c r="E171" s="231">
        <v>43617</v>
      </c>
      <c r="F171" s="117">
        <v>1016.96</v>
      </c>
      <c r="G171" s="117">
        <f>SUMIF(CONFERÊNCIA!A:A,A171,CONFERÊNCIA!J:J)</f>
        <v>1016.96</v>
      </c>
      <c r="H171" s="119">
        <f t="shared" si="25"/>
        <v>0</v>
      </c>
      <c r="I171" s="240" t="s">
        <v>1229</v>
      </c>
    </row>
    <row r="172" spans="1:9" s="109" customFormat="1" ht="13.5" customHeight="1" x14ac:dyDescent="0.25">
      <c r="A172" s="230">
        <v>113686</v>
      </c>
      <c r="B172" s="162" t="s">
        <v>436</v>
      </c>
      <c r="C172" s="162" t="s">
        <v>2</v>
      </c>
      <c r="D172" s="162" t="s">
        <v>32</v>
      </c>
      <c r="E172" s="231">
        <v>43617</v>
      </c>
      <c r="F172" s="117">
        <v>1016.96</v>
      </c>
      <c r="G172" s="117">
        <f>SUMIF(CONFERÊNCIA!A:A,A172,CONFERÊNCIA!J:J)</f>
        <v>1016.96</v>
      </c>
      <c r="H172" s="118">
        <f t="shared" si="25"/>
        <v>0</v>
      </c>
      <c r="I172" s="240" t="s">
        <v>1229</v>
      </c>
    </row>
    <row r="173" spans="1:9" s="109" customFormat="1" ht="13.5" customHeight="1" x14ac:dyDescent="0.25">
      <c r="A173" s="230">
        <v>113681</v>
      </c>
      <c r="B173" s="162" t="s">
        <v>912</v>
      </c>
      <c r="C173" s="162" t="s">
        <v>2</v>
      </c>
      <c r="D173" s="162" t="s">
        <v>0</v>
      </c>
      <c r="E173" s="231">
        <v>43617</v>
      </c>
      <c r="F173" s="117">
        <v>1016.96</v>
      </c>
      <c r="G173" s="117">
        <f>SUMIF(CONFERÊNCIA!A:A,A173,CONFERÊNCIA!J:J)</f>
        <v>1016.96</v>
      </c>
      <c r="H173" s="118">
        <f t="shared" si="25"/>
        <v>0</v>
      </c>
      <c r="I173" s="240" t="s">
        <v>1229</v>
      </c>
    </row>
    <row r="174" spans="1:9" s="109" customFormat="1" ht="13.5" customHeight="1" x14ac:dyDescent="0.25">
      <c r="A174" s="230">
        <v>113698</v>
      </c>
      <c r="B174" s="162" t="s">
        <v>922</v>
      </c>
      <c r="C174" s="162" t="s">
        <v>5</v>
      </c>
      <c r="D174" s="162" t="s">
        <v>1578</v>
      </c>
      <c r="E174" s="231">
        <v>43617</v>
      </c>
      <c r="F174" s="117">
        <v>1016.96</v>
      </c>
      <c r="G174" s="117">
        <f>SUMIF(CONFERÊNCIA!A:A,A174,CONFERÊNCIA!J:J)</f>
        <v>1016.96</v>
      </c>
      <c r="H174" s="118">
        <f t="shared" si="25"/>
        <v>0</v>
      </c>
      <c r="I174" s="240" t="s">
        <v>1230</v>
      </c>
    </row>
    <row r="175" spans="1:9" s="109" customFormat="1" ht="13.5" customHeight="1" x14ac:dyDescent="0.25">
      <c r="A175" s="230">
        <v>114523</v>
      </c>
      <c r="B175" s="162" t="s">
        <v>1045</v>
      </c>
      <c r="C175" s="162" t="s">
        <v>15</v>
      </c>
      <c r="D175" s="162" t="s">
        <v>1578</v>
      </c>
      <c r="E175" s="231">
        <v>43813</v>
      </c>
      <c r="F175" s="117">
        <v>1016.96</v>
      </c>
      <c r="G175" s="117">
        <f>SUMIF(CONFERÊNCIA!A:A,A175,CONFERÊNCIA!J:J)</f>
        <v>1016.96</v>
      </c>
      <c r="H175" s="118">
        <f t="shared" si="25"/>
        <v>0</v>
      </c>
      <c r="I175" s="240" t="s">
        <v>1229</v>
      </c>
    </row>
    <row r="176" spans="1:9" s="124" customFormat="1" ht="13.5" customHeight="1" x14ac:dyDescent="0.25">
      <c r="A176" s="230">
        <v>113704</v>
      </c>
      <c r="B176" s="162" t="s">
        <v>924</v>
      </c>
      <c r="C176" s="162" t="s">
        <v>2</v>
      </c>
      <c r="D176" s="162" t="s">
        <v>8</v>
      </c>
      <c r="E176" s="231">
        <v>43617</v>
      </c>
      <c r="F176" s="117">
        <v>1016.96</v>
      </c>
      <c r="G176" s="117">
        <f>SUMIF(CONFERÊNCIA!A:A,A176,CONFERÊNCIA!J:J)</f>
        <v>1016.96</v>
      </c>
      <c r="H176" s="119">
        <f t="shared" ref="H176:H183" si="26">G176-F176</f>
        <v>0</v>
      </c>
      <c r="I176" s="240" t="s">
        <v>1229</v>
      </c>
    </row>
    <row r="177" spans="1:9" s="124" customFormat="1" ht="13.5" customHeight="1" x14ac:dyDescent="0.25">
      <c r="A177" s="230">
        <v>113690</v>
      </c>
      <c r="B177" s="162" t="s">
        <v>917</v>
      </c>
      <c r="C177" s="162" t="s">
        <v>2</v>
      </c>
      <c r="D177" s="162" t="s">
        <v>8</v>
      </c>
      <c r="E177" s="231">
        <v>43617</v>
      </c>
      <c r="F177" s="117">
        <v>1016.96</v>
      </c>
      <c r="G177" s="117">
        <f>SUMIF(CONFERÊNCIA!A:A,A177,CONFERÊNCIA!J:J)</f>
        <v>1016.96</v>
      </c>
      <c r="H177" s="119">
        <f t="shared" si="26"/>
        <v>0</v>
      </c>
      <c r="I177" s="240" t="s">
        <v>1229</v>
      </c>
    </row>
    <row r="178" spans="1:9" s="109" customFormat="1" ht="13.5" customHeight="1" x14ac:dyDescent="0.25">
      <c r="A178" s="230">
        <v>121849</v>
      </c>
      <c r="B178" s="162" t="s">
        <v>1602</v>
      </c>
      <c r="C178" s="162" t="s">
        <v>5</v>
      </c>
      <c r="D178" s="162" t="s">
        <v>0</v>
      </c>
      <c r="E178" s="231">
        <v>45022</v>
      </c>
      <c r="F178" s="117">
        <v>978.67000000000007</v>
      </c>
      <c r="G178" s="117">
        <f>SUMIF(CONFERÊNCIA!A:A,A178,CONFERÊNCIA!J:J)</f>
        <v>978.67000000000007</v>
      </c>
      <c r="H178" s="118">
        <f t="shared" si="26"/>
        <v>0</v>
      </c>
      <c r="I178" s="240" t="s">
        <v>1229</v>
      </c>
    </row>
    <row r="179" spans="1:9" s="109" customFormat="1" ht="13.5" customHeight="1" x14ac:dyDescent="0.25">
      <c r="A179" s="230">
        <v>119754</v>
      </c>
      <c r="B179" s="162" t="s">
        <v>1455</v>
      </c>
      <c r="C179" s="162" t="s">
        <v>1456</v>
      </c>
      <c r="D179" s="162" t="s">
        <v>1580</v>
      </c>
      <c r="E179" s="231">
        <v>44734</v>
      </c>
      <c r="F179" s="117">
        <v>657.5</v>
      </c>
      <c r="G179" s="117">
        <f>SUMIF(CONFERÊNCIA!A:A,A179,CONFERÊNCIA!J:J)</f>
        <v>657.5</v>
      </c>
      <c r="H179" s="118">
        <f t="shared" si="26"/>
        <v>0</v>
      </c>
      <c r="I179" s="240" t="s">
        <v>1229</v>
      </c>
    </row>
    <row r="180" spans="1:9" s="124" customFormat="1" ht="13.5" customHeight="1" x14ac:dyDescent="0.25">
      <c r="A180" s="230">
        <v>118056</v>
      </c>
      <c r="B180" s="162" t="s">
        <v>1395</v>
      </c>
      <c r="C180" s="162" t="s">
        <v>5</v>
      </c>
      <c r="D180" s="162" t="s">
        <v>0</v>
      </c>
      <c r="E180" s="231">
        <v>44567</v>
      </c>
      <c r="F180" s="117">
        <v>1016.96</v>
      </c>
      <c r="G180" s="117">
        <f>SUMIF(CONFERÊNCIA!A:A,A180,CONFERÊNCIA!J:J)</f>
        <v>1016.96</v>
      </c>
      <c r="H180" s="119">
        <f t="shared" si="26"/>
        <v>0</v>
      </c>
      <c r="I180" s="240" t="s">
        <v>1229</v>
      </c>
    </row>
    <row r="181" spans="1:9" s="109" customFormat="1" ht="13.5" customHeight="1" x14ac:dyDescent="0.25">
      <c r="A181" s="230">
        <v>122829</v>
      </c>
      <c r="B181" s="162" t="s">
        <v>1715</v>
      </c>
      <c r="C181" s="162" t="s">
        <v>5</v>
      </c>
      <c r="D181" s="162" t="s">
        <v>1578</v>
      </c>
      <c r="E181" s="231">
        <v>45180</v>
      </c>
      <c r="F181" s="117">
        <v>0</v>
      </c>
      <c r="G181" s="117">
        <f>SUMIF(CONFERÊNCIA!A:A,A181,CONFERÊNCIA!J:J)</f>
        <v>1016.96</v>
      </c>
      <c r="H181" s="118">
        <f t="shared" si="26"/>
        <v>1016.96</v>
      </c>
      <c r="I181" s="240" t="s">
        <v>1231</v>
      </c>
    </row>
    <row r="182" spans="1:9" s="109" customFormat="1" ht="13.5" customHeight="1" x14ac:dyDescent="0.25">
      <c r="A182" s="230">
        <v>113682</v>
      </c>
      <c r="B182" s="162" t="s">
        <v>913</v>
      </c>
      <c r="C182" s="162" t="s">
        <v>5</v>
      </c>
      <c r="D182" s="162" t="s">
        <v>1578</v>
      </c>
      <c r="E182" s="231">
        <v>43617</v>
      </c>
      <c r="F182" s="117">
        <v>1016.96</v>
      </c>
      <c r="G182" s="117">
        <f>SUMIF(CONFERÊNCIA!A:A,A182,CONFERÊNCIA!J:J)</f>
        <v>1016.96</v>
      </c>
      <c r="H182" s="118">
        <f t="shared" si="26"/>
        <v>0</v>
      </c>
      <c r="I182" s="240" t="s">
        <v>1229</v>
      </c>
    </row>
    <row r="183" spans="1:9" s="124" customFormat="1" ht="13.5" customHeight="1" x14ac:dyDescent="0.25">
      <c r="A183" s="230">
        <v>113678</v>
      </c>
      <c r="B183" s="162" t="s">
        <v>911</v>
      </c>
      <c r="C183" s="162" t="s">
        <v>5</v>
      </c>
      <c r="D183" s="162" t="s">
        <v>0</v>
      </c>
      <c r="E183" s="231">
        <v>43617</v>
      </c>
      <c r="F183" s="117">
        <v>978.67000000000007</v>
      </c>
      <c r="G183" s="117">
        <f>SUMIF(CONFERÊNCIA!A:A,A183,CONFERÊNCIA!J:J)</f>
        <v>1016.96</v>
      </c>
      <c r="H183" s="119">
        <f t="shared" si="26"/>
        <v>38.289999999999964</v>
      </c>
      <c r="I183" s="240" t="s">
        <v>1229</v>
      </c>
    </row>
    <row r="184" spans="1:9" s="109" customFormat="1" ht="13.5" customHeight="1" x14ac:dyDescent="0.25">
      <c r="A184" s="230">
        <v>113930</v>
      </c>
      <c r="B184" s="162" t="s">
        <v>991</v>
      </c>
      <c r="C184" s="162" t="s">
        <v>992</v>
      </c>
      <c r="D184" s="162" t="s">
        <v>1580</v>
      </c>
      <c r="E184" s="231">
        <v>43682</v>
      </c>
      <c r="F184" s="117">
        <v>1016.96</v>
      </c>
      <c r="G184" s="117">
        <f>SUMIF(CONFERÊNCIA!A:A,A184,CONFERÊNCIA!J:J)</f>
        <v>1016.96</v>
      </c>
      <c r="H184" s="118">
        <f t="shared" ref="H184:H189" si="27">G184-F184</f>
        <v>0</v>
      </c>
      <c r="I184" s="240" t="s">
        <v>1229</v>
      </c>
    </row>
    <row r="185" spans="1:9" s="109" customFormat="1" ht="13.5" customHeight="1" x14ac:dyDescent="0.25">
      <c r="A185" s="230">
        <v>113692</v>
      </c>
      <c r="B185" s="162" t="s">
        <v>918</v>
      </c>
      <c r="C185" s="162" t="s">
        <v>15</v>
      </c>
      <c r="D185" s="162" t="s">
        <v>1578</v>
      </c>
      <c r="E185" s="231">
        <v>43617</v>
      </c>
      <c r="F185" s="117">
        <v>1016.96</v>
      </c>
      <c r="G185" s="117">
        <f>SUMIF(CONFERÊNCIA!A:A,A185,CONFERÊNCIA!J:J)</f>
        <v>1016.96</v>
      </c>
      <c r="H185" s="118">
        <f t="shared" si="27"/>
        <v>0</v>
      </c>
      <c r="I185" s="240" t="s">
        <v>1230</v>
      </c>
    </row>
    <row r="186" spans="1:9" s="109" customFormat="1" ht="13.5" customHeight="1" x14ac:dyDescent="0.25">
      <c r="A186" s="230">
        <v>113683</v>
      </c>
      <c r="B186" s="162" t="s">
        <v>914</v>
      </c>
      <c r="C186" s="162" t="s">
        <v>2</v>
      </c>
      <c r="D186" s="162" t="s">
        <v>0</v>
      </c>
      <c r="E186" s="231">
        <v>43617</v>
      </c>
      <c r="F186" s="117">
        <v>1016.96</v>
      </c>
      <c r="G186" s="117">
        <f>SUMIF(CONFERÊNCIA!A:A,A186,CONFERÊNCIA!J:J)</f>
        <v>1016.96</v>
      </c>
      <c r="H186" s="118">
        <f t="shared" si="27"/>
        <v>0</v>
      </c>
      <c r="I186" s="240" t="s">
        <v>1229</v>
      </c>
    </row>
    <row r="187" spans="1:9" s="109" customFormat="1" ht="13.5" customHeight="1" x14ac:dyDescent="0.25">
      <c r="A187" s="230">
        <v>113585</v>
      </c>
      <c r="B187" s="162" t="s">
        <v>858</v>
      </c>
      <c r="C187" s="162" t="s">
        <v>2</v>
      </c>
      <c r="D187" s="162" t="s">
        <v>19</v>
      </c>
      <c r="E187" s="231">
        <v>43617</v>
      </c>
      <c r="F187" s="117">
        <v>1016.96</v>
      </c>
      <c r="G187" s="117">
        <f>SUMIF(CONFERÊNCIA!A:A,A187,CONFERÊNCIA!J:J)</f>
        <v>1016.96</v>
      </c>
      <c r="H187" s="118">
        <f t="shared" si="27"/>
        <v>0</v>
      </c>
      <c r="I187" s="240" t="s">
        <v>1229</v>
      </c>
    </row>
    <row r="188" spans="1:9" s="124" customFormat="1" ht="13.5" customHeight="1" x14ac:dyDescent="0.25">
      <c r="A188" s="230">
        <v>116972</v>
      </c>
      <c r="B188" s="162" t="s">
        <v>1235</v>
      </c>
      <c r="C188" s="162" t="s">
        <v>5</v>
      </c>
      <c r="D188" s="162" t="s">
        <v>0</v>
      </c>
      <c r="E188" s="231">
        <v>44419</v>
      </c>
      <c r="F188" s="117">
        <v>1016.96</v>
      </c>
      <c r="G188" s="117">
        <f>SUMIF(CONFERÊNCIA!A:A,A188,CONFERÊNCIA!J:J)</f>
        <v>1016.96</v>
      </c>
      <c r="H188" s="119">
        <f t="shared" si="27"/>
        <v>0</v>
      </c>
      <c r="I188" s="240" t="s">
        <v>1229</v>
      </c>
    </row>
    <row r="189" spans="1:9" s="109" customFormat="1" ht="13.5" customHeight="1" x14ac:dyDescent="0.25">
      <c r="A189" s="230">
        <v>113763</v>
      </c>
      <c r="B189" s="162" t="s">
        <v>965</v>
      </c>
      <c r="C189" s="162" t="s">
        <v>415</v>
      </c>
      <c r="D189" s="162" t="s">
        <v>1578</v>
      </c>
      <c r="E189" s="231">
        <v>43621</v>
      </c>
      <c r="F189" s="117">
        <v>1016.96</v>
      </c>
      <c r="G189" s="117">
        <f>SUMIF(CONFERÊNCIA!A:A,A189,CONFERÊNCIA!J:J)</f>
        <v>1016.96</v>
      </c>
      <c r="H189" s="118">
        <f t="shared" si="27"/>
        <v>0</v>
      </c>
      <c r="I189" s="240" t="s">
        <v>1229</v>
      </c>
    </row>
    <row r="190" spans="1:9" s="109" customFormat="1" ht="13.5" customHeight="1" x14ac:dyDescent="0.25">
      <c r="A190" s="230">
        <v>122028</v>
      </c>
      <c r="B190" s="162" t="s">
        <v>1625</v>
      </c>
      <c r="C190" s="162" t="s">
        <v>120</v>
      </c>
      <c r="D190" s="162" t="s">
        <v>1578</v>
      </c>
      <c r="E190" s="231">
        <v>45054</v>
      </c>
      <c r="F190" s="117">
        <v>1016.96</v>
      </c>
      <c r="G190" s="117">
        <f>SUMIF(CONFERÊNCIA!A:A,A190,CONFERÊNCIA!J:J)</f>
        <v>1016.96</v>
      </c>
      <c r="H190" s="118">
        <f t="shared" ref="H190:H193" si="28">G190-F190</f>
        <v>0</v>
      </c>
      <c r="I190" s="240" t="s">
        <v>1229</v>
      </c>
    </row>
    <row r="191" spans="1:9" s="109" customFormat="1" ht="13.5" customHeight="1" x14ac:dyDescent="0.25">
      <c r="A191" s="230">
        <v>117238</v>
      </c>
      <c r="B191" s="162" t="s">
        <v>1254</v>
      </c>
      <c r="C191" s="162" t="s">
        <v>5</v>
      </c>
      <c r="D191" s="162" t="s">
        <v>1578</v>
      </c>
      <c r="E191" s="231">
        <v>44487</v>
      </c>
      <c r="F191" s="117">
        <v>1016.96</v>
      </c>
      <c r="G191" s="117">
        <f>SUMIF(CONFERÊNCIA!A:A,A191,CONFERÊNCIA!J:J)</f>
        <v>1016.96</v>
      </c>
      <c r="H191" s="118">
        <f t="shared" si="28"/>
        <v>0</v>
      </c>
      <c r="I191" s="240" t="s">
        <v>1229</v>
      </c>
    </row>
    <row r="192" spans="1:9" s="124" customFormat="1" ht="13.5" customHeight="1" x14ac:dyDescent="0.25">
      <c r="A192" s="230">
        <v>121320</v>
      </c>
      <c r="B192" s="162" t="s">
        <v>1523</v>
      </c>
      <c r="C192" s="162" t="s">
        <v>2</v>
      </c>
      <c r="D192" s="162" t="s">
        <v>10</v>
      </c>
      <c r="E192" s="231">
        <v>44945</v>
      </c>
      <c r="F192" s="117">
        <v>1016.96</v>
      </c>
      <c r="G192" s="117">
        <f>SUMIF(CONFERÊNCIA!A:A,A192,CONFERÊNCIA!J:J)</f>
        <v>1016.96</v>
      </c>
      <c r="H192" s="119">
        <f t="shared" si="28"/>
        <v>0</v>
      </c>
      <c r="I192" s="240" t="s">
        <v>1229</v>
      </c>
    </row>
    <row r="193" spans="1:9" s="124" customFormat="1" ht="13.5" customHeight="1" x14ac:dyDescent="0.25">
      <c r="A193" s="230">
        <v>122830</v>
      </c>
      <c r="B193" s="162" t="s">
        <v>1716</v>
      </c>
      <c r="C193" s="162" t="s">
        <v>5</v>
      </c>
      <c r="D193" s="162" t="s">
        <v>32</v>
      </c>
      <c r="E193" s="231">
        <v>45180</v>
      </c>
      <c r="F193" s="117">
        <v>0</v>
      </c>
      <c r="G193" s="117">
        <f>SUMIF(CONFERÊNCIA!A:A,A193,CONFERÊNCIA!J:J)</f>
        <v>1016.96</v>
      </c>
      <c r="H193" s="119">
        <f t="shared" si="28"/>
        <v>1016.96</v>
      </c>
      <c r="I193" s="240" t="s">
        <v>1231</v>
      </c>
    </row>
    <row r="194" spans="1:9" s="124" customFormat="1" ht="13.5" customHeight="1" x14ac:dyDescent="0.25">
      <c r="A194" s="230">
        <v>114266</v>
      </c>
      <c r="B194" s="162" t="s">
        <v>1027</v>
      </c>
      <c r="C194" s="162" t="s">
        <v>2</v>
      </c>
      <c r="D194" s="162" t="s">
        <v>0</v>
      </c>
      <c r="E194" s="231">
        <v>43804</v>
      </c>
      <c r="F194" s="117">
        <v>1016.96</v>
      </c>
      <c r="G194" s="117">
        <f>SUMIF(CONFERÊNCIA!A:A,A194,CONFERÊNCIA!J:J)</f>
        <v>1016.96</v>
      </c>
      <c r="H194" s="119">
        <f t="shared" ref="H194" si="29">G194-F194</f>
        <v>0</v>
      </c>
      <c r="I194" s="240" t="s">
        <v>1229</v>
      </c>
    </row>
    <row r="195" spans="1:9" s="109" customFormat="1" ht="13.5" customHeight="1" x14ac:dyDescent="0.25">
      <c r="A195" s="230">
        <v>113568</v>
      </c>
      <c r="B195" s="162" t="s">
        <v>852</v>
      </c>
      <c r="C195" s="162" t="s">
        <v>15</v>
      </c>
      <c r="D195" s="162" t="s">
        <v>1578</v>
      </c>
      <c r="E195" s="231">
        <v>43617</v>
      </c>
      <c r="F195" s="117">
        <v>1016.96</v>
      </c>
      <c r="G195" s="117">
        <f>SUMIF(CONFERÊNCIA!A:A,A195,CONFERÊNCIA!J:J)</f>
        <v>1016.96</v>
      </c>
      <c r="H195" s="118">
        <f t="shared" ref="H195:H204" si="30">G195-F195</f>
        <v>0</v>
      </c>
      <c r="I195" s="240" t="s">
        <v>1229</v>
      </c>
    </row>
    <row r="196" spans="1:9" s="124" customFormat="1" ht="13.5" customHeight="1" x14ac:dyDescent="0.25">
      <c r="A196" s="230">
        <v>121857</v>
      </c>
      <c r="B196" s="162" t="s">
        <v>1603</v>
      </c>
      <c r="C196" s="162" t="s">
        <v>5</v>
      </c>
      <c r="D196" s="162" t="s">
        <v>0</v>
      </c>
      <c r="E196" s="231">
        <v>45022</v>
      </c>
      <c r="F196" s="117">
        <v>1016.96</v>
      </c>
      <c r="G196" s="117">
        <f>SUMIF(CONFERÊNCIA!A:A,A196,CONFERÊNCIA!J:J)</f>
        <v>1016.96</v>
      </c>
      <c r="H196" s="119">
        <f t="shared" si="30"/>
        <v>0</v>
      </c>
      <c r="I196" s="240" t="s">
        <v>1229</v>
      </c>
    </row>
    <row r="197" spans="1:9" s="109" customFormat="1" ht="13.5" customHeight="1" x14ac:dyDescent="0.25">
      <c r="A197" s="230">
        <v>113560</v>
      </c>
      <c r="B197" s="162" t="s">
        <v>848</v>
      </c>
      <c r="C197" s="162" t="s">
        <v>5</v>
      </c>
      <c r="D197" s="162" t="s">
        <v>10</v>
      </c>
      <c r="E197" s="231">
        <v>43617</v>
      </c>
      <c r="F197" s="117">
        <v>1016.96</v>
      </c>
      <c r="G197" s="117">
        <f>SUMIF(CONFERÊNCIA!A:A,A197,CONFERÊNCIA!J:J)</f>
        <v>1016.96</v>
      </c>
      <c r="H197" s="118">
        <f t="shared" si="30"/>
        <v>0</v>
      </c>
      <c r="I197" s="240" t="s">
        <v>1229</v>
      </c>
    </row>
    <row r="198" spans="1:9" s="109" customFormat="1" ht="13.5" customHeight="1" x14ac:dyDescent="0.25">
      <c r="A198" s="230">
        <v>113550</v>
      </c>
      <c r="B198" s="162" t="s">
        <v>841</v>
      </c>
      <c r="C198" s="162" t="s">
        <v>5</v>
      </c>
      <c r="D198" s="162" t="s">
        <v>0</v>
      </c>
      <c r="E198" s="231">
        <v>43617</v>
      </c>
      <c r="F198" s="117">
        <v>1016.96</v>
      </c>
      <c r="G198" s="117">
        <f>SUMIF(CONFERÊNCIA!A:A,A198,CONFERÊNCIA!J:J)</f>
        <v>1016.96</v>
      </c>
      <c r="H198" s="118">
        <f t="shared" si="30"/>
        <v>0</v>
      </c>
      <c r="I198" s="240" t="s">
        <v>1229</v>
      </c>
    </row>
    <row r="199" spans="1:9" s="109" customFormat="1" ht="13.5" customHeight="1" x14ac:dyDescent="0.25">
      <c r="A199" s="230">
        <v>113546</v>
      </c>
      <c r="B199" s="162" t="s">
        <v>837</v>
      </c>
      <c r="C199" s="162" t="s">
        <v>22</v>
      </c>
      <c r="D199" s="162" t="s">
        <v>1578</v>
      </c>
      <c r="E199" s="231">
        <v>43617</v>
      </c>
      <c r="F199" s="117">
        <v>1016.96</v>
      </c>
      <c r="G199" s="117">
        <f>SUMIF(CONFERÊNCIA!A:A,A199,CONFERÊNCIA!J:J)</f>
        <v>1016.96</v>
      </c>
      <c r="H199" s="118">
        <f t="shared" si="30"/>
        <v>0</v>
      </c>
      <c r="I199" s="240" t="s">
        <v>1229</v>
      </c>
    </row>
    <row r="200" spans="1:9" s="109" customFormat="1" ht="13.5" customHeight="1" x14ac:dyDescent="0.25">
      <c r="A200" s="230">
        <v>113545</v>
      </c>
      <c r="B200" s="162" t="s">
        <v>836</v>
      </c>
      <c r="C200" s="162" t="s">
        <v>2</v>
      </c>
      <c r="D200" s="162" t="s">
        <v>8</v>
      </c>
      <c r="E200" s="231">
        <v>43617</v>
      </c>
      <c r="F200" s="117">
        <v>1016.96</v>
      </c>
      <c r="G200" s="117">
        <f>SUMIF(CONFERÊNCIA!A:A,A200,CONFERÊNCIA!J:J)</f>
        <v>1016.96</v>
      </c>
      <c r="H200" s="118">
        <f t="shared" si="30"/>
        <v>0</v>
      </c>
      <c r="I200" s="240" t="s">
        <v>1229</v>
      </c>
    </row>
    <row r="201" spans="1:9" s="124" customFormat="1" ht="13.5" customHeight="1" x14ac:dyDescent="0.25">
      <c r="A201" s="230">
        <v>121947</v>
      </c>
      <c r="B201" s="162" t="s">
        <v>1604</v>
      </c>
      <c r="C201" s="162" t="s">
        <v>1456</v>
      </c>
      <c r="D201" s="162" t="s">
        <v>1580</v>
      </c>
      <c r="E201" s="231">
        <v>45040</v>
      </c>
      <c r="F201" s="117">
        <v>657.5</v>
      </c>
      <c r="G201" s="117">
        <f>SUMIF(CONFERÊNCIA!A:A,A201,CONFERÊNCIA!J:J)</f>
        <v>657.5</v>
      </c>
      <c r="H201" s="119">
        <f t="shared" si="30"/>
        <v>0</v>
      </c>
      <c r="I201" s="240" t="s">
        <v>1229</v>
      </c>
    </row>
    <row r="202" spans="1:9" s="109" customFormat="1" ht="13.5" customHeight="1" x14ac:dyDescent="0.25">
      <c r="A202" s="230">
        <v>113540</v>
      </c>
      <c r="B202" s="162" t="s">
        <v>833</v>
      </c>
      <c r="C202" s="162" t="s">
        <v>15</v>
      </c>
      <c r="D202" s="162" t="s">
        <v>1578</v>
      </c>
      <c r="E202" s="231">
        <v>43617</v>
      </c>
      <c r="F202" s="117">
        <v>1016.96</v>
      </c>
      <c r="G202" s="117">
        <f>SUMIF(CONFERÊNCIA!A:A,A202,CONFERÊNCIA!J:J)</f>
        <v>1016.96</v>
      </c>
      <c r="H202" s="118">
        <f t="shared" si="30"/>
        <v>0</v>
      </c>
      <c r="I202" s="240" t="s">
        <v>1229</v>
      </c>
    </row>
    <row r="203" spans="1:9" s="109" customFormat="1" ht="13.5" customHeight="1" x14ac:dyDescent="0.25">
      <c r="A203" s="230">
        <v>120356</v>
      </c>
      <c r="B203" s="162" t="s">
        <v>1503</v>
      </c>
      <c r="C203" s="162" t="s">
        <v>5</v>
      </c>
      <c r="D203" s="162" t="s">
        <v>32</v>
      </c>
      <c r="E203" s="231">
        <v>44820</v>
      </c>
      <c r="F203" s="117">
        <v>1016.96</v>
      </c>
      <c r="G203" s="117">
        <f>SUMIF(CONFERÊNCIA!A:A,A203,CONFERÊNCIA!J:J)</f>
        <v>1016.96</v>
      </c>
      <c r="H203" s="118">
        <f t="shared" si="30"/>
        <v>0</v>
      </c>
      <c r="I203" s="240" t="s">
        <v>1229</v>
      </c>
    </row>
    <row r="204" spans="1:9" s="109" customFormat="1" ht="13.5" customHeight="1" x14ac:dyDescent="0.25">
      <c r="A204" s="230">
        <v>122410</v>
      </c>
      <c r="B204" s="162" t="s">
        <v>1679</v>
      </c>
      <c r="C204" s="162" t="s">
        <v>5</v>
      </c>
      <c r="D204" s="162" t="s">
        <v>1578</v>
      </c>
      <c r="E204" s="231">
        <v>45117</v>
      </c>
      <c r="F204" s="117">
        <v>1016.96</v>
      </c>
      <c r="G204" s="117">
        <f>SUMIF(CONFERÊNCIA!A:A,A204,CONFERÊNCIA!J:J)</f>
        <v>1016.96</v>
      </c>
      <c r="H204" s="118">
        <f t="shared" si="30"/>
        <v>0</v>
      </c>
      <c r="I204" s="240" t="s">
        <v>1229</v>
      </c>
    </row>
    <row r="205" spans="1:9" s="109" customFormat="1" ht="13.5" customHeight="1" x14ac:dyDescent="0.25">
      <c r="A205" s="230">
        <v>121848</v>
      </c>
      <c r="B205" s="162" t="s">
        <v>1605</v>
      </c>
      <c r="C205" s="162" t="s">
        <v>5</v>
      </c>
      <c r="D205" s="162" t="s">
        <v>8</v>
      </c>
      <c r="E205" s="231">
        <v>45022</v>
      </c>
      <c r="F205" s="117">
        <v>1016.96</v>
      </c>
      <c r="G205" s="117">
        <f>SUMIF(CONFERÊNCIA!A:A,A205,CONFERÊNCIA!J:J)</f>
        <v>1016.96</v>
      </c>
      <c r="H205" s="118">
        <f t="shared" ref="H205:H212" si="31">G205-F205</f>
        <v>0</v>
      </c>
      <c r="I205" s="240" t="s">
        <v>1229</v>
      </c>
    </row>
    <row r="206" spans="1:9" s="124" customFormat="1" ht="13.5" customHeight="1" x14ac:dyDescent="0.25">
      <c r="A206" s="230">
        <v>112169</v>
      </c>
      <c r="B206" s="162" t="s">
        <v>1</v>
      </c>
      <c r="C206" s="162" t="s">
        <v>2</v>
      </c>
      <c r="D206" s="162" t="s">
        <v>0</v>
      </c>
      <c r="E206" s="231">
        <v>43617</v>
      </c>
      <c r="F206" s="117">
        <v>1016.96</v>
      </c>
      <c r="G206" s="117">
        <f>SUMIF(CONFERÊNCIA!A:A,A206,CONFERÊNCIA!J:J)</f>
        <v>1016.96</v>
      </c>
      <c r="H206" s="119">
        <f t="shared" si="31"/>
        <v>0</v>
      </c>
      <c r="I206" s="240" t="s">
        <v>1229</v>
      </c>
    </row>
    <row r="207" spans="1:9" s="109" customFormat="1" ht="13.5" customHeight="1" x14ac:dyDescent="0.25">
      <c r="A207" s="230">
        <v>112170</v>
      </c>
      <c r="B207" s="162" t="s">
        <v>3</v>
      </c>
      <c r="C207" s="162" t="s">
        <v>2</v>
      </c>
      <c r="D207" s="162" t="s">
        <v>0</v>
      </c>
      <c r="E207" s="231">
        <v>43617</v>
      </c>
      <c r="F207" s="117">
        <v>1016.96</v>
      </c>
      <c r="G207" s="117">
        <f>SUMIF(CONFERÊNCIA!A:A,A207,CONFERÊNCIA!J:J)</f>
        <v>1016.96</v>
      </c>
      <c r="H207" s="118">
        <f t="shared" si="31"/>
        <v>0</v>
      </c>
      <c r="I207" s="240" t="s">
        <v>1229</v>
      </c>
    </row>
    <row r="208" spans="1:9" s="124" customFormat="1" ht="13.5" customHeight="1" x14ac:dyDescent="0.25">
      <c r="A208" s="230">
        <v>114549</v>
      </c>
      <c r="B208" s="162" t="s">
        <v>1056</v>
      </c>
      <c r="C208" s="162" t="s">
        <v>2</v>
      </c>
      <c r="D208" s="162" t="s">
        <v>0</v>
      </c>
      <c r="E208" s="231">
        <v>43817</v>
      </c>
      <c r="F208" s="117">
        <v>1016.96</v>
      </c>
      <c r="G208" s="117">
        <f>SUMIF(CONFERÊNCIA!A:A,A208,CONFERÊNCIA!J:J)</f>
        <v>1016.96</v>
      </c>
      <c r="H208" s="119">
        <f t="shared" si="31"/>
        <v>0</v>
      </c>
      <c r="I208" s="240" t="s">
        <v>1229</v>
      </c>
    </row>
    <row r="209" spans="1:9" s="124" customFormat="1" ht="13.5" customHeight="1" x14ac:dyDescent="0.25">
      <c r="A209" s="230">
        <v>116026</v>
      </c>
      <c r="B209" s="162" t="s">
        <v>1175</v>
      </c>
      <c r="C209" s="162" t="s">
        <v>5</v>
      </c>
      <c r="D209" s="162" t="s">
        <v>0</v>
      </c>
      <c r="E209" s="231">
        <v>44207</v>
      </c>
      <c r="F209" s="117">
        <v>249.55</v>
      </c>
      <c r="G209" s="117">
        <f>SUMIF(CONFERÊNCIA!A:A,A209,CONFERÊNCIA!J:J)</f>
        <v>1016.96</v>
      </c>
      <c r="H209" s="119">
        <f t="shared" si="31"/>
        <v>767.41000000000008</v>
      </c>
      <c r="I209" s="240" t="s">
        <v>1229</v>
      </c>
    </row>
    <row r="210" spans="1:9" s="124" customFormat="1" ht="13.5" customHeight="1" x14ac:dyDescent="0.25">
      <c r="A210" s="230">
        <v>112177</v>
      </c>
      <c r="B210" s="162" t="s">
        <v>14</v>
      </c>
      <c r="C210" s="162" t="s">
        <v>15</v>
      </c>
      <c r="D210" s="162" t="s">
        <v>1578</v>
      </c>
      <c r="E210" s="231">
        <v>43617</v>
      </c>
      <c r="F210" s="117">
        <v>1016.96</v>
      </c>
      <c r="G210" s="117">
        <f>SUMIF(CONFERÊNCIA!A:A,A210,CONFERÊNCIA!J:J)</f>
        <v>1016.96</v>
      </c>
      <c r="H210" s="119">
        <f t="shared" si="31"/>
        <v>0</v>
      </c>
      <c r="I210" s="240" t="s">
        <v>1229</v>
      </c>
    </row>
    <row r="211" spans="1:9" s="124" customFormat="1" ht="13.5" customHeight="1" x14ac:dyDescent="0.25">
      <c r="A211" s="230">
        <v>112179</v>
      </c>
      <c r="B211" s="162" t="s">
        <v>17</v>
      </c>
      <c r="C211" s="162" t="s">
        <v>5</v>
      </c>
      <c r="D211" s="162" t="s">
        <v>10</v>
      </c>
      <c r="E211" s="231">
        <v>43617</v>
      </c>
      <c r="F211" s="117">
        <v>1016.96</v>
      </c>
      <c r="G211" s="117">
        <f>SUMIF(CONFERÊNCIA!A:A,A211,CONFERÊNCIA!J:J)</f>
        <v>1016.96</v>
      </c>
      <c r="H211" s="119">
        <f t="shared" si="31"/>
        <v>0</v>
      </c>
      <c r="I211" s="240" t="s">
        <v>1229</v>
      </c>
    </row>
    <row r="212" spans="1:9" s="124" customFormat="1" ht="13.5" customHeight="1" x14ac:dyDescent="0.25">
      <c r="A212" s="230">
        <v>115413</v>
      </c>
      <c r="B212" s="162" t="s">
        <v>1158</v>
      </c>
      <c r="C212" s="162" t="s">
        <v>5</v>
      </c>
      <c r="D212" s="162" t="s">
        <v>19</v>
      </c>
      <c r="E212" s="231">
        <v>44048</v>
      </c>
      <c r="F212" s="117">
        <v>1016.96</v>
      </c>
      <c r="G212" s="117">
        <f>SUMIF(CONFERÊNCIA!A:A,A212,CONFERÊNCIA!J:J)</f>
        <v>1016.96</v>
      </c>
      <c r="H212" s="119">
        <f t="shared" si="31"/>
        <v>0</v>
      </c>
      <c r="I212" s="240" t="s">
        <v>1229</v>
      </c>
    </row>
    <row r="213" spans="1:9" s="124" customFormat="1" ht="13.5" customHeight="1" x14ac:dyDescent="0.25">
      <c r="A213" s="230">
        <v>116008</v>
      </c>
      <c r="B213" s="162" t="s">
        <v>1170</v>
      </c>
      <c r="C213" s="162" t="s">
        <v>5</v>
      </c>
      <c r="D213" s="162" t="s">
        <v>0</v>
      </c>
      <c r="E213" s="231">
        <v>44207</v>
      </c>
      <c r="F213" s="117">
        <v>1016.96</v>
      </c>
      <c r="G213" s="117">
        <f>SUMIF(CONFERÊNCIA!A:A,A213,CONFERÊNCIA!J:J)</f>
        <v>1016.96</v>
      </c>
      <c r="H213" s="119">
        <f t="shared" ref="H213:H223" si="32">G213-F213</f>
        <v>0</v>
      </c>
      <c r="I213" s="240" t="s">
        <v>1229</v>
      </c>
    </row>
    <row r="214" spans="1:9" s="109" customFormat="1" ht="13.5" customHeight="1" x14ac:dyDescent="0.25">
      <c r="A214" s="230">
        <v>112183</v>
      </c>
      <c r="B214" s="162" t="s">
        <v>18</v>
      </c>
      <c r="C214" s="162" t="s">
        <v>5</v>
      </c>
      <c r="D214" s="162" t="s">
        <v>10</v>
      </c>
      <c r="E214" s="231">
        <v>43617</v>
      </c>
      <c r="F214" s="117">
        <v>1016.96</v>
      </c>
      <c r="G214" s="117">
        <f>SUMIF(CONFERÊNCIA!A:A,A214,CONFERÊNCIA!J:J)</f>
        <v>1016.96</v>
      </c>
      <c r="H214" s="118">
        <f t="shared" si="32"/>
        <v>0</v>
      </c>
      <c r="I214" s="240" t="s">
        <v>1229</v>
      </c>
    </row>
    <row r="215" spans="1:9" s="109" customFormat="1" ht="13.5" customHeight="1" x14ac:dyDescent="0.25">
      <c r="A215" s="230">
        <v>112184</v>
      </c>
      <c r="B215" s="162" t="s">
        <v>20</v>
      </c>
      <c r="C215" s="162" t="s">
        <v>2</v>
      </c>
      <c r="D215" s="162" t="s">
        <v>19</v>
      </c>
      <c r="E215" s="231">
        <v>43617</v>
      </c>
      <c r="F215" s="117">
        <v>1016.96</v>
      </c>
      <c r="G215" s="117">
        <f>SUMIF(CONFERÊNCIA!A:A,A215,CONFERÊNCIA!J:J)</f>
        <v>1016.96</v>
      </c>
      <c r="H215" s="118">
        <f t="shared" si="32"/>
        <v>0</v>
      </c>
      <c r="I215" s="240" t="s">
        <v>1229</v>
      </c>
    </row>
    <row r="216" spans="1:9" s="109" customFormat="1" ht="13.5" customHeight="1" x14ac:dyDescent="0.25">
      <c r="A216" s="230">
        <v>121436</v>
      </c>
      <c r="B216" s="162" t="s">
        <v>1550</v>
      </c>
      <c r="C216" s="162" t="s">
        <v>5</v>
      </c>
      <c r="D216" s="162" t="s">
        <v>1578</v>
      </c>
      <c r="E216" s="231">
        <v>44967</v>
      </c>
      <c r="F216" s="117">
        <v>1016.96</v>
      </c>
      <c r="G216" s="117">
        <f>SUMIF(CONFERÊNCIA!A:A,A216,CONFERÊNCIA!J:J)</f>
        <v>1016.96</v>
      </c>
      <c r="H216" s="118">
        <f t="shared" si="32"/>
        <v>0</v>
      </c>
      <c r="I216" s="240" t="s">
        <v>1229</v>
      </c>
    </row>
    <row r="217" spans="1:9" s="124" customFormat="1" ht="13.5" customHeight="1" x14ac:dyDescent="0.25">
      <c r="A217" s="230">
        <v>118650</v>
      </c>
      <c r="B217" s="162" t="s">
        <v>1396</v>
      </c>
      <c r="C217" s="162" t="s">
        <v>5</v>
      </c>
      <c r="D217" s="162" t="s">
        <v>1578</v>
      </c>
      <c r="E217" s="231">
        <v>44582</v>
      </c>
      <c r="F217" s="117">
        <v>1016.96</v>
      </c>
      <c r="G217" s="117">
        <f>SUMIF(CONFERÊNCIA!A:A,A217,CONFERÊNCIA!J:J)</f>
        <v>1016.96</v>
      </c>
      <c r="H217" s="119">
        <f t="shared" si="32"/>
        <v>0</v>
      </c>
      <c r="I217" s="240" t="s">
        <v>1229</v>
      </c>
    </row>
    <row r="218" spans="1:9" s="109" customFormat="1" ht="13.5" customHeight="1" x14ac:dyDescent="0.25">
      <c r="A218" s="230">
        <v>114253</v>
      </c>
      <c r="B218" s="162" t="s">
        <v>1017</v>
      </c>
      <c r="C218" s="162" t="s">
        <v>5</v>
      </c>
      <c r="D218" s="162" t="s">
        <v>0</v>
      </c>
      <c r="E218" s="231">
        <v>43804</v>
      </c>
      <c r="F218" s="117">
        <v>1016.96</v>
      </c>
      <c r="G218" s="117">
        <f>SUMIF(CONFERÊNCIA!A:A,A218,CONFERÊNCIA!J:J)</f>
        <v>1016.96</v>
      </c>
      <c r="H218" s="118">
        <f t="shared" si="32"/>
        <v>0</v>
      </c>
      <c r="I218" s="240" t="s">
        <v>1229</v>
      </c>
    </row>
    <row r="219" spans="1:9" s="124" customFormat="1" ht="13.5" customHeight="1" x14ac:dyDescent="0.25">
      <c r="A219" s="230">
        <v>114691</v>
      </c>
      <c r="B219" s="162" t="s">
        <v>1068</v>
      </c>
      <c r="C219" s="162" t="s">
        <v>5</v>
      </c>
      <c r="D219" s="162" t="s">
        <v>0</v>
      </c>
      <c r="E219" s="231">
        <v>43874</v>
      </c>
      <c r="F219" s="117">
        <v>969.03</v>
      </c>
      <c r="G219" s="117">
        <f>SUMIF(CONFERÊNCIA!A:A,A219,CONFERÊNCIA!J:J)</f>
        <v>442.73</v>
      </c>
      <c r="H219" s="119">
        <f t="shared" si="32"/>
        <v>-526.29999999999995</v>
      </c>
      <c r="I219" s="240" t="s">
        <v>1229</v>
      </c>
    </row>
    <row r="220" spans="1:9" s="124" customFormat="1" ht="13.5" customHeight="1" x14ac:dyDescent="0.25">
      <c r="A220" s="230">
        <v>112186</v>
      </c>
      <c r="B220" s="162" t="s">
        <v>1551</v>
      </c>
      <c r="C220" s="162" t="s">
        <v>5</v>
      </c>
      <c r="D220" s="162" t="s">
        <v>1578</v>
      </c>
      <c r="E220" s="231">
        <v>43620</v>
      </c>
      <c r="F220" s="117">
        <v>1016.96</v>
      </c>
      <c r="G220" s="117">
        <f>SUMIF(CONFERÊNCIA!A:A,A220,CONFERÊNCIA!J:J)</f>
        <v>1016.96</v>
      </c>
      <c r="H220" s="119">
        <f t="shared" si="32"/>
        <v>0</v>
      </c>
      <c r="I220" s="240" t="s">
        <v>1229</v>
      </c>
    </row>
    <row r="221" spans="1:9" s="109" customFormat="1" ht="13.5" customHeight="1" x14ac:dyDescent="0.25">
      <c r="A221" s="230">
        <v>112187</v>
      </c>
      <c r="B221" s="162" t="s">
        <v>21</v>
      </c>
      <c r="C221" s="162" t="s">
        <v>22</v>
      </c>
      <c r="D221" s="162" t="s">
        <v>1578</v>
      </c>
      <c r="E221" s="231">
        <v>43617</v>
      </c>
      <c r="F221" s="117">
        <v>1016.96</v>
      </c>
      <c r="G221" s="117">
        <f>SUMIF(CONFERÊNCIA!A:A,A221,CONFERÊNCIA!J:J)</f>
        <v>1016.96</v>
      </c>
      <c r="H221" s="118">
        <f t="shared" si="32"/>
        <v>0</v>
      </c>
      <c r="I221" s="240" t="s">
        <v>1229</v>
      </c>
    </row>
    <row r="222" spans="1:9" s="109" customFormat="1" ht="13.5" customHeight="1" x14ac:dyDescent="0.25">
      <c r="A222" s="230">
        <v>121674</v>
      </c>
      <c r="B222" s="162" t="s">
        <v>1584</v>
      </c>
      <c r="C222" s="162" t="s">
        <v>5</v>
      </c>
      <c r="D222" s="162" t="s">
        <v>1578</v>
      </c>
      <c r="E222" s="231">
        <v>44994</v>
      </c>
      <c r="F222" s="117">
        <v>1016.96</v>
      </c>
      <c r="G222" s="117">
        <f>SUMIF(CONFERÊNCIA!A:A,A222,CONFERÊNCIA!J:J)</f>
        <v>1016.96</v>
      </c>
      <c r="H222" s="118">
        <f t="shared" si="32"/>
        <v>0</v>
      </c>
      <c r="I222" s="240" t="s">
        <v>1229</v>
      </c>
    </row>
    <row r="223" spans="1:9" s="124" customFormat="1" ht="13.5" customHeight="1" x14ac:dyDescent="0.25">
      <c r="A223" s="230">
        <v>114504</v>
      </c>
      <c r="B223" s="162" t="s">
        <v>1041</v>
      </c>
      <c r="C223" s="162" t="s">
        <v>2</v>
      </c>
      <c r="D223" s="162" t="s">
        <v>0</v>
      </c>
      <c r="E223" s="231">
        <v>43811</v>
      </c>
      <c r="F223" s="117">
        <v>1016.96</v>
      </c>
      <c r="G223" s="117">
        <f>SUMIF(CONFERÊNCIA!A:A,A223,CONFERÊNCIA!J:J)</f>
        <v>1016.96</v>
      </c>
      <c r="H223" s="119">
        <f t="shared" si="32"/>
        <v>0</v>
      </c>
      <c r="I223" s="240" t="s">
        <v>1229</v>
      </c>
    </row>
    <row r="224" spans="1:9" s="109" customFormat="1" ht="13.5" customHeight="1" x14ac:dyDescent="0.25">
      <c r="A224" s="230">
        <v>112318</v>
      </c>
      <c r="B224" s="162" t="s">
        <v>104</v>
      </c>
      <c r="C224" s="162" t="s">
        <v>2</v>
      </c>
      <c r="D224" s="162" t="s">
        <v>8</v>
      </c>
      <c r="E224" s="231">
        <v>43617</v>
      </c>
      <c r="F224" s="117">
        <v>1016.96</v>
      </c>
      <c r="G224" s="117">
        <f>SUMIF(CONFERÊNCIA!A:A,A224,CONFERÊNCIA!J:J)</f>
        <v>1016.96</v>
      </c>
      <c r="H224" s="118">
        <f t="shared" ref="H224:H233" si="33">G224-F224</f>
        <v>0</v>
      </c>
      <c r="I224" s="240" t="s">
        <v>1229</v>
      </c>
    </row>
    <row r="225" spans="1:9" s="109" customFormat="1" ht="13.5" customHeight="1" x14ac:dyDescent="0.25">
      <c r="A225" s="230">
        <v>112324</v>
      </c>
      <c r="B225" s="162" t="s">
        <v>107</v>
      </c>
      <c r="C225" s="162" t="s">
        <v>2</v>
      </c>
      <c r="D225" s="162" t="s">
        <v>0</v>
      </c>
      <c r="E225" s="231">
        <v>43617</v>
      </c>
      <c r="F225" s="117">
        <v>1016.96</v>
      </c>
      <c r="G225" s="117">
        <f>SUMIF(CONFERÊNCIA!A:A,A225,CONFERÊNCIA!J:J)</f>
        <v>1016.96</v>
      </c>
      <c r="H225" s="118">
        <f t="shared" si="33"/>
        <v>0</v>
      </c>
      <c r="I225" s="240" t="s">
        <v>1229</v>
      </c>
    </row>
    <row r="226" spans="1:9" s="124" customFormat="1" ht="13.5" customHeight="1" x14ac:dyDescent="0.25">
      <c r="A226" s="230">
        <v>112327</v>
      </c>
      <c r="B226" s="162" t="s">
        <v>109</v>
      </c>
      <c r="C226" s="162" t="s">
        <v>5</v>
      </c>
      <c r="D226" s="162" t="s">
        <v>19</v>
      </c>
      <c r="E226" s="231">
        <v>43617</v>
      </c>
      <c r="F226" s="117">
        <v>1016.96</v>
      </c>
      <c r="G226" s="117">
        <f>SUMIF(CONFERÊNCIA!A:A,A226,CONFERÊNCIA!J:J)</f>
        <v>1016.96</v>
      </c>
      <c r="H226" s="119">
        <f t="shared" si="33"/>
        <v>0</v>
      </c>
      <c r="I226" s="240" t="s">
        <v>1230</v>
      </c>
    </row>
    <row r="227" spans="1:9" s="124" customFormat="1" ht="13.5" customHeight="1" x14ac:dyDescent="0.25">
      <c r="A227" s="230">
        <v>112334</v>
      </c>
      <c r="B227" s="162" t="s">
        <v>116</v>
      </c>
      <c r="C227" s="162" t="s">
        <v>2</v>
      </c>
      <c r="D227" s="162" t="s">
        <v>19</v>
      </c>
      <c r="E227" s="231">
        <v>43617</v>
      </c>
      <c r="F227" s="117">
        <v>1016.96</v>
      </c>
      <c r="G227" s="117">
        <f>SUMIF(CONFERÊNCIA!A:A,A227,CONFERÊNCIA!J:J)</f>
        <v>1016.96</v>
      </c>
      <c r="H227" s="119">
        <f t="shared" si="33"/>
        <v>0</v>
      </c>
      <c r="I227" s="240" t="s">
        <v>1229</v>
      </c>
    </row>
    <row r="228" spans="1:9" s="109" customFormat="1" ht="13.5" customHeight="1" x14ac:dyDescent="0.25">
      <c r="A228" s="230">
        <v>112340</v>
      </c>
      <c r="B228" s="162" t="s">
        <v>119</v>
      </c>
      <c r="C228" s="162" t="s">
        <v>146</v>
      </c>
      <c r="D228" s="162" t="s">
        <v>0</v>
      </c>
      <c r="E228" s="231">
        <v>43617</v>
      </c>
      <c r="F228" s="117">
        <v>1016.96</v>
      </c>
      <c r="G228" s="117">
        <f>SUMIF(CONFERÊNCIA!A:A,A228,CONFERÊNCIA!J:J)</f>
        <v>1016.96</v>
      </c>
      <c r="H228" s="118">
        <f t="shared" si="33"/>
        <v>0</v>
      </c>
      <c r="I228" s="240" t="s">
        <v>1229</v>
      </c>
    </row>
    <row r="229" spans="1:9" s="124" customFormat="1" ht="13.5" customHeight="1" x14ac:dyDescent="0.25">
      <c r="A229" s="230">
        <v>112348</v>
      </c>
      <c r="B229" s="162" t="s">
        <v>124</v>
      </c>
      <c r="C229" s="162" t="s">
        <v>2</v>
      </c>
      <c r="D229" s="162" t="s">
        <v>8</v>
      </c>
      <c r="E229" s="231">
        <v>43617</v>
      </c>
      <c r="F229" s="117">
        <v>1016.96</v>
      </c>
      <c r="G229" s="117">
        <f>SUMIF(CONFERÊNCIA!A:A,A229,CONFERÊNCIA!J:J)</f>
        <v>1016.96</v>
      </c>
      <c r="H229" s="119">
        <f t="shared" si="33"/>
        <v>0</v>
      </c>
      <c r="I229" s="240" t="s">
        <v>1229</v>
      </c>
    </row>
    <row r="230" spans="1:9" s="109" customFormat="1" ht="13.5" customHeight="1" x14ac:dyDescent="0.25">
      <c r="A230" s="230">
        <v>122343</v>
      </c>
      <c r="B230" s="162" t="s">
        <v>1651</v>
      </c>
      <c r="C230" s="162" t="s">
        <v>2</v>
      </c>
      <c r="D230" s="162" t="s">
        <v>8</v>
      </c>
      <c r="E230" s="231">
        <v>45098</v>
      </c>
      <c r="F230" s="117">
        <v>1016.96</v>
      </c>
      <c r="G230" s="117">
        <f>SUMIF(CONFERÊNCIA!A:A,A230,CONFERÊNCIA!J:J)</f>
        <v>1016.96</v>
      </c>
      <c r="H230" s="118">
        <f t="shared" si="33"/>
        <v>0</v>
      </c>
      <c r="I230" s="240" t="s">
        <v>1229</v>
      </c>
    </row>
    <row r="231" spans="1:9" s="124" customFormat="1" ht="13.5" customHeight="1" x14ac:dyDescent="0.25">
      <c r="A231" s="230">
        <v>112443</v>
      </c>
      <c r="B231" s="162" t="s">
        <v>184</v>
      </c>
      <c r="C231" s="162" t="s">
        <v>5</v>
      </c>
      <c r="D231" s="162" t="s">
        <v>19</v>
      </c>
      <c r="E231" s="231">
        <v>43617</v>
      </c>
      <c r="F231" s="117">
        <v>1016.96</v>
      </c>
      <c r="G231" s="117">
        <f>SUMIF(CONFERÊNCIA!A:A,A231,CONFERÊNCIA!J:J)</f>
        <v>1016.96</v>
      </c>
      <c r="H231" s="119">
        <f t="shared" si="33"/>
        <v>0</v>
      </c>
      <c r="I231" s="240" t="s">
        <v>1229</v>
      </c>
    </row>
    <row r="232" spans="1:9" s="124" customFormat="1" ht="13.5" customHeight="1" x14ac:dyDescent="0.25">
      <c r="A232" s="230">
        <v>112490</v>
      </c>
      <c r="B232" s="162" t="s">
        <v>212</v>
      </c>
      <c r="C232" s="162" t="s">
        <v>22</v>
      </c>
      <c r="D232" s="162" t="s">
        <v>1578</v>
      </c>
      <c r="E232" s="231">
        <v>43617</v>
      </c>
      <c r="F232" s="117">
        <v>1016.96</v>
      </c>
      <c r="G232" s="117">
        <f>SUMIF(CONFERÊNCIA!A:A,A232,CONFERÊNCIA!J:J)</f>
        <v>1016.96</v>
      </c>
      <c r="H232" s="119">
        <f t="shared" si="33"/>
        <v>0</v>
      </c>
      <c r="I232" s="240" t="s">
        <v>1229</v>
      </c>
    </row>
    <row r="233" spans="1:9" s="109" customFormat="1" ht="13.5" customHeight="1" x14ac:dyDescent="0.25">
      <c r="A233" s="230">
        <v>112502</v>
      </c>
      <c r="B233" s="162" t="s">
        <v>220</v>
      </c>
      <c r="C233" s="162" t="s">
        <v>15</v>
      </c>
      <c r="D233" s="162" t="s">
        <v>1578</v>
      </c>
      <c r="E233" s="231">
        <v>43617</v>
      </c>
      <c r="F233" s="117">
        <v>1016.96</v>
      </c>
      <c r="G233" s="117">
        <f>SUMIF(CONFERÊNCIA!A:A,A233,CONFERÊNCIA!J:J)</f>
        <v>1016.96</v>
      </c>
      <c r="H233" s="118">
        <f t="shared" si="33"/>
        <v>0</v>
      </c>
      <c r="I233" s="240" t="s">
        <v>1229</v>
      </c>
    </row>
    <row r="234" spans="1:9" s="109" customFormat="1" ht="13.5" customHeight="1" x14ac:dyDescent="0.25">
      <c r="A234" s="230">
        <v>112521</v>
      </c>
      <c r="B234" s="162" t="s">
        <v>236</v>
      </c>
      <c r="C234" s="162" t="s">
        <v>2</v>
      </c>
      <c r="D234" s="162" t="s">
        <v>8</v>
      </c>
      <c r="E234" s="231">
        <v>43617</v>
      </c>
      <c r="F234" s="117">
        <v>1016.96</v>
      </c>
      <c r="G234" s="117">
        <f>SUMIF(CONFERÊNCIA!A:A,A234,CONFERÊNCIA!J:J)</f>
        <v>1016.96</v>
      </c>
      <c r="H234" s="118">
        <f t="shared" ref="H234:H243" si="34">G234-F234</f>
        <v>0</v>
      </c>
      <c r="I234" s="240" t="s">
        <v>1229</v>
      </c>
    </row>
    <row r="235" spans="1:9" s="124" customFormat="1" ht="13.5" customHeight="1" x14ac:dyDescent="0.25">
      <c r="A235" s="230">
        <v>122824</v>
      </c>
      <c r="B235" s="162" t="s">
        <v>1717</v>
      </c>
      <c r="C235" s="162" t="s">
        <v>5</v>
      </c>
      <c r="D235" s="162" t="s">
        <v>0</v>
      </c>
      <c r="E235" s="231">
        <v>45180</v>
      </c>
      <c r="F235" s="117">
        <v>0</v>
      </c>
      <c r="G235" s="117">
        <f>SUMIF(CONFERÊNCIA!A:A,A235,CONFERÊNCIA!J:J)</f>
        <v>1016.96</v>
      </c>
      <c r="H235" s="119">
        <f t="shared" si="34"/>
        <v>1016.96</v>
      </c>
      <c r="I235" s="240" t="s">
        <v>1231</v>
      </c>
    </row>
    <row r="236" spans="1:9" s="124" customFormat="1" ht="13.5" customHeight="1" x14ac:dyDescent="0.25">
      <c r="A236" s="230">
        <v>113305</v>
      </c>
      <c r="B236" s="162" t="s">
        <v>696</v>
      </c>
      <c r="C236" s="162" t="s">
        <v>2</v>
      </c>
      <c r="D236" s="162" t="s">
        <v>0</v>
      </c>
      <c r="E236" s="231">
        <v>43617</v>
      </c>
      <c r="F236" s="117">
        <v>1016.96</v>
      </c>
      <c r="G236" s="117">
        <f>SUMIF(CONFERÊNCIA!A:A,A236,CONFERÊNCIA!J:J)</f>
        <v>1016.96</v>
      </c>
      <c r="H236" s="119">
        <f t="shared" si="34"/>
        <v>0</v>
      </c>
      <c r="I236" s="240" t="s">
        <v>1229</v>
      </c>
    </row>
    <row r="237" spans="1:9" s="109" customFormat="1" ht="13.5" customHeight="1" x14ac:dyDescent="0.25">
      <c r="A237" s="230">
        <v>112525</v>
      </c>
      <c r="B237" s="162" t="s">
        <v>238</v>
      </c>
      <c r="C237" s="162" t="s">
        <v>15</v>
      </c>
      <c r="D237" s="162" t="s">
        <v>1578</v>
      </c>
      <c r="E237" s="231">
        <v>43617</v>
      </c>
      <c r="F237" s="117">
        <v>1016.96</v>
      </c>
      <c r="G237" s="117">
        <f>SUMIF(CONFERÊNCIA!A:A,A237,CONFERÊNCIA!J:J)</f>
        <v>1016.96</v>
      </c>
      <c r="H237" s="118">
        <f t="shared" si="34"/>
        <v>0</v>
      </c>
      <c r="I237" s="240" t="s">
        <v>1229</v>
      </c>
    </row>
    <row r="238" spans="1:9" s="124" customFormat="1" ht="13.5" customHeight="1" x14ac:dyDescent="0.25">
      <c r="A238" s="230">
        <v>112527</v>
      </c>
      <c r="B238" s="162" t="s">
        <v>240</v>
      </c>
      <c r="C238" s="162" t="s">
        <v>15</v>
      </c>
      <c r="D238" s="162" t="s">
        <v>1578</v>
      </c>
      <c r="E238" s="231">
        <v>43617</v>
      </c>
      <c r="F238" s="117">
        <v>1016.96</v>
      </c>
      <c r="G238" s="117">
        <f>SUMIF(CONFERÊNCIA!A:A,A238,CONFERÊNCIA!J:J)</f>
        <v>1016.96</v>
      </c>
      <c r="H238" s="119">
        <f t="shared" si="34"/>
        <v>0</v>
      </c>
      <c r="I238" s="240" t="s">
        <v>1229</v>
      </c>
    </row>
    <row r="239" spans="1:9" s="124" customFormat="1" ht="13.5" customHeight="1" x14ac:dyDescent="0.25">
      <c r="A239" s="230">
        <v>112530</v>
      </c>
      <c r="B239" s="162" t="s">
        <v>242</v>
      </c>
      <c r="C239" s="162" t="s">
        <v>15</v>
      </c>
      <c r="D239" s="162" t="s">
        <v>1578</v>
      </c>
      <c r="E239" s="231">
        <v>43617</v>
      </c>
      <c r="F239" s="117">
        <v>1016.96</v>
      </c>
      <c r="G239" s="117">
        <f>SUMIF(CONFERÊNCIA!A:A,A239,CONFERÊNCIA!J:J)</f>
        <v>1016.96</v>
      </c>
      <c r="H239" s="119">
        <f t="shared" si="34"/>
        <v>0</v>
      </c>
      <c r="I239" s="240" t="s">
        <v>1229</v>
      </c>
    </row>
    <row r="240" spans="1:9" s="124" customFormat="1" ht="13.5" customHeight="1" x14ac:dyDescent="0.25">
      <c r="A240" s="230">
        <v>112532</v>
      </c>
      <c r="B240" s="162" t="s">
        <v>244</v>
      </c>
      <c r="C240" s="162" t="s">
        <v>2</v>
      </c>
      <c r="D240" s="162" t="s">
        <v>10</v>
      </c>
      <c r="E240" s="231">
        <v>43617</v>
      </c>
      <c r="F240" s="117">
        <v>1016.96</v>
      </c>
      <c r="G240" s="117">
        <f>SUMIF(CONFERÊNCIA!A:A,A240,CONFERÊNCIA!J:J)</f>
        <v>1016.96</v>
      </c>
      <c r="H240" s="119">
        <f t="shared" si="34"/>
        <v>0</v>
      </c>
      <c r="I240" s="240" t="s">
        <v>1229</v>
      </c>
    </row>
    <row r="241" spans="1:9" s="109" customFormat="1" ht="13.5" customHeight="1" x14ac:dyDescent="0.25">
      <c r="A241" s="230">
        <v>112533</v>
      </c>
      <c r="B241" s="162" t="s">
        <v>245</v>
      </c>
      <c r="C241" s="162" t="s">
        <v>2</v>
      </c>
      <c r="D241" s="162" t="s">
        <v>0</v>
      </c>
      <c r="E241" s="231">
        <v>43617</v>
      </c>
      <c r="F241" s="117">
        <v>1016.96</v>
      </c>
      <c r="G241" s="117">
        <f>SUMIF(CONFERÊNCIA!A:A,A241,CONFERÊNCIA!J:J)</f>
        <v>1016.96</v>
      </c>
      <c r="H241" s="118">
        <f t="shared" si="34"/>
        <v>0</v>
      </c>
      <c r="I241" s="240" t="s">
        <v>1229</v>
      </c>
    </row>
    <row r="242" spans="1:9" s="109" customFormat="1" ht="13.5" customHeight="1" x14ac:dyDescent="0.25">
      <c r="A242" s="230">
        <v>112535</v>
      </c>
      <c r="B242" s="162" t="s">
        <v>247</v>
      </c>
      <c r="C242" s="162" t="s">
        <v>2</v>
      </c>
      <c r="D242" s="162" t="s">
        <v>8</v>
      </c>
      <c r="E242" s="231">
        <v>43617</v>
      </c>
      <c r="F242" s="117">
        <v>1016.96</v>
      </c>
      <c r="G242" s="117">
        <f>SUMIF(CONFERÊNCIA!A:A,A242,CONFERÊNCIA!J:J)</f>
        <v>1016.96</v>
      </c>
      <c r="H242" s="118">
        <f t="shared" si="34"/>
        <v>0</v>
      </c>
      <c r="I242" s="240" t="s">
        <v>1229</v>
      </c>
    </row>
    <row r="243" spans="1:9" s="124" customFormat="1" ht="13.5" customHeight="1" x14ac:dyDescent="0.25">
      <c r="A243" s="230">
        <v>112538</v>
      </c>
      <c r="B243" s="162" t="s">
        <v>249</v>
      </c>
      <c r="C243" s="162" t="s">
        <v>2</v>
      </c>
      <c r="D243" s="162" t="s">
        <v>10</v>
      </c>
      <c r="E243" s="231">
        <v>43617</v>
      </c>
      <c r="F243" s="117">
        <v>1016.96</v>
      </c>
      <c r="G243" s="117">
        <f>SUMIF(CONFERÊNCIA!A:A,A243,CONFERÊNCIA!J:J)</f>
        <v>1016.96</v>
      </c>
      <c r="H243" s="119">
        <f t="shared" si="34"/>
        <v>0</v>
      </c>
      <c r="I243" s="240" t="s">
        <v>1229</v>
      </c>
    </row>
    <row r="244" spans="1:9" s="109" customFormat="1" ht="13.5" customHeight="1" x14ac:dyDescent="0.25">
      <c r="A244" s="230">
        <v>114537</v>
      </c>
      <c r="B244" s="162" t="s">
        <v>1050</v>
      </c>
      <c r="C244" s="162" t="s">
        <v>5</v>
      </c>
      <c r="D244" s="162" t="s">
        <v>8</v>
      </c>
      <c r="E244" s="231">
        <v>43817</v>
      </c>
      <c r="F244" s="117">
        <v>1016.96</v>
      </c>
      <c r="G244" s="117">
        <f>SUMIF(CONFERÊNCIA!A:A,A244,CONFERÊNCIA!J:J)</f>
        <v>1016.96</v>
      </c>
      <c r="H244" s="118">
        <f t="shared" ref="H244:H251" si="35">G244-F244</f>
        <v>0</v>
      </c>
      <c r="I244" s="240" t="s">
        <v>1229</v>
      </c>
    </row>
    <row r="245" spans="1:9" s="109" customFormat="1" ht="13.5" customHeight="1" x14ac:dyDescent="0.25">
      <c r="A245" s="230">
        <v>115218</v>
      </c>
      <c r="B245" s="162" t="s">
        <v>1142</v>
      </c>
      <c r="C245" s="162" t="s">
        <v>5</v>
      </c>
      <c r="D245" s="162" t="s">
        <v>19</v>
      </c>
      <c r="E245" s="231">
        <v>44018</v>
      </c>
      <c r="F245" s="117">
        <v>1016.96</v>
      </c>
      <c r="G245" s="117">
        <f>SUMIF(CONFERÊNCIA!A:A,A245,CONFERÊNCIA!J:J)</f>
        <v>1016.96</v>
      </c>
      <c r="H245" s="118">
        <f t="shared" si="35"/>
        <v>0</v>
      </c>
      <c r="I245" s="240" t="s">
        <v>1229</v>
      </c>
    </row>
    <row r="246" spans="1:9" s="124" customFormat="1" ht="13.5" customHeight="1" x14ac:dyDescent="0.25">
      <c r="A246" s="230">
        <v>112548</v>
      </c>
      <c r="B246" s="162" t="s">
        <v>258</v>
      </c>
      <c r="C246" s="162" t="s">
        <v>39</v>
      </c>
      <c r="D246" s="162" t="s">
        <v>32</v>
      </c>
      <c r="E246" s="231">
        <v>43617</v>
      </c>
      <c r="F246" s="117">
        <v>1016.96</v>
      </c>
      <c r="G246" s="117">
        <f>SUMIF(CONFERÊNCIA!A:A,A246,CONFERÊNCIA!J:J)</f>
        <v>1016.96</v>
      </c>
      <c r="H246" s="119">
        <f t="shared" si="35"/>
        <v>0</v>
      </c>
      <c r="I246" s="240" t="s">
        <v>1230</v>
      </c>
    </row>
    <row r="247" spans="1:9" s="109" customFormat="1" ht="13.5" customHeight="1" x14ac:dyDescent="0.25">
      <c r="A247" s="230">
        <v>116072</v>
      </c>
      <c r="B247" s="162" t="s">
        <v>1178</v>
      </c>
      <c r="C247" s="162" t="s">
        <v>228</v>
      </c>
      <c r="D247" s="162" t="s">
        <v>1578</v>
      </c>
      <c r="E247" s="231">
        <v>44216</v>
      </c>
      <c r="F247" s="117">
        <v>1016.96</v>
      </c>
      <c r="G247" s="117">
        <f>SUMIF(CONFERÊNCIA!A:A,A247,CONFERÊNCIA!J:J)</f>
        <v>1016.96</v>
      </c>
      <c r="H247" s="118">
        <f t="shared" si="35"/>
        <v>0</v>
      </c>
      <c r="I247" s="240" t="s">
        <v>1229</v>
      </c>
    </row>
    <row r="248" spans="1:9" s="124" customFormat="1" ht="13.5" customHeight="1" x14ac:dyDescent="0.25">
      <c r="A248" s="230">
        <v>112551</v>
      </c>
      <c r="B248" s="162" t="s">
        <v>260</v>
      </c>
      <c r="C248" s="162" t="s">
        <v>39</v>
      </c>
      <c r="D248" s="162" t="s">
        <v>19</v>
      </c>
      <c r="E248" s="231">
        <v>43617</v>
      </c>
      <c r="F248" s="117">
        <v>1016.96</v>
      </c>
      <c r="G248" s="117">
        <f>SUMIF(CONFERÊNCIA!A:A,A248,CONFERÊNCIA!J:J)</f>
        <v>1016.96</v>
      </c>
      <c r="H248" s="119">
        <f t="shared" si="35"/>
        <v>0</v>
      </c>
      <c r="I248" s="240" t="s">
        <v>1230</v>
      </c>
    </row>
    <row r="249" spans="1:9" s="124" customFormat="1" ht="13.5" customHeight="1" x14ac:dyDescent="0.25">
      <c r="A249" s="230">
        <v>115415</v>
      </c>
      <c r="B249" s="162" t="s">
        <v>1159</v>
      </c>
      <c r="C249" s="162" t="s">
        <v>5</v>
      </c>
      <c r="D249" s="162" t="s">
        <v>0</v>
      </c>
      <c r="E249" s="231">
        <v>44048</v>
      </c>
      <c r="F249" s="117">
        <v>1016.96</v>
      </c>
      <c r="G249" s="117">
        <f>SUMIF(CONFERÊNCIA!A:A,A249,CONFERÊNCIA!J:J)</f>
        <v>1016.96</v>
      </c>
      <c r="H249" s="119">
        <f t="shared" si="35"/>
        <v>0</v>
      </c>
      <c r="I249" s="240" t="s">
        <v>1229</v>
      </c>
    </row>
    <row r="250" spans="1:9" s="109" customFormat="1" ht="13.5" customHeight="1" x14ac:dyDescent="0.25">
      <c r="A250" s="230">
        <v>112553</v>
      </c>
      <c r="B250" s="162" t="s">
        <v>261</v>
      </c>
      <c r="C250" s="162" t="s">
        <v>2</v>
      </c>
      <c r="D250" s="162" t="s">
        <v>8</v>
      </c>
      <c r="E250" s="231">
        <v>43617</v>
      </c>
      <c r="F250" s="117">
        <v>1016.96</v>
      </c>
      <c r="G250" s="117">
        <f>SUMIF(CONFERÊNCIA!A:A,A250,CONFERÊNCIA!J:J)</f>
        <v>1016.96</v>
      </c>
      <c r="H250" s="118">
        <f t="shared" si="35"/>
        <v>0</v>
      </c>
      <c r="I250" s="240" t="s">
        <v>1229</v>
      </c>
    </row>
    <row r="251" spans="1:9" s="124" customFormat="1" ht="13.5" customHeight="1" x14ac:dyDescent="0.25">
      <c r="A251" s="230">
        <v>112555</v>
      </c>
      <c r="B251" s="162" t="s">
        <v>262</v>
      </c>
      <c r="C251" s="162" t="s">
        <v>2</v>
      </c>
      <c r="D251" s="162" t="s">
        <v>8</v>
      </c>
      <c r="E251" s="231">
        <v>43617</v>
      </c>
      <c r="F251" s="117">
        <v>1016.96</v>
      </c>
      <c r="G251" s="117">
        <f>SUMIF(CONFERÊNCIA!A:A,A251,CONFERÊNCIA!J:J)</f>
        <v>1016.96</v>
      </c>
      <c r="H251" s="119">
        <f t="shared" si="35"/>
        <v>0</v>
      </c>
      <c r="I251" s="240" t="s">
        <v>1229</v>
      </c>
    </row>
    <row r="252" spans="1:9" s="109" customFormat="1" ht="13.5" customHeight="1" x14ac:dyDescent="0.25">
      <c r="A252" s="230">
        <v>112557</v>
      </c>
      <c r="B252" s="162" t="s">
        <v>263</v>
      </c>
      <c r="C252" s="162" t="s">
        <v>22</v>
      </c>
      <c r="D252" s="162" t="s">
        <v>1578</v>
      </c>
      <c r="E252" s="231">
        <v>43617</v>
      </c>
      <c r="F252" s="117">
        <v>1016.96</v>
      </c>
      <c r="G252" s="117">
        <f>SUMIF(CONFERÊNCIA!A:A,A252,CONFERÊNCIA!J:J)</f>
        <v>1016.96</v>
      </c>
      <c r="H252" s="118">
        <f t="shared" ref="H252:H258" si="36">G252-F252</f>
        <v>0</v>
      </c>
      <c r="I252" s="240" t="s">
        <v>1229</v>
      </c>
    </row>
    <row r="253" spans="1:9" s="124" customFormat="1" ht="13.5" customHeight="1" x14ac:dyDescent="0.25">
      <c r="A253" s="230">
        <v>112559</v>
      </c>
      <c r="B253" s="162" t="s">
        <v>265</v>
      </c>
      <c r="C253" s="162" t="s">
        <v>2</v>
      </c>
      <c r="D253" s="162" t="s">
        <v>0</v>
      </c>
      <c r="E253" s="231">
        <v>43617</v>
      </c>
      <c r="F253" s="117">
        <v>1016.96</v>
      </c>
      <c r="G253" s="117">
        <f>SUMIF(CONFERÊNCIA!A:A,A253,CONFERÊNCIA!J:J)</f>
        <v>1016.96</v>
      </c>
      <c r="H253" s="119">
        <f t="shared" si="36"/>
        <v>0</v>
      </c>
      <c r="I253" s="240" t="s">
        <v>1230</v>
      </c>
    </row>
    <row r="254" spans="1:9" s="124" customFormat="1" ht="13.5" customHeight="1" x14ac:dyDescent="0.25">
      <c r="A254" s="230">
        <v>112561</v>
      </c>
      <c r="B254" s="162" t="s">
        <v>266</v>
      </c>
      <c r="C254" s="162" t="s">
        <v>2</v>
      </c>
      <c r="D254" s="162" t="s">
        <v>10</v>
      </c>
      <c r="E254" s="231">
        <v>43617</v>
      </c>
      <c r="F254" s="117">
        <v>1016.96</v>
      </c>
      <c r="G254" s="117">
        <f>SUMIF(CONFERÊNCIA!A:A,A254,CONFERÊNCIA!J:J)</f>
        <v>1016.96</v>
      </c>
      <c r="H254" s="119">
        <f t="shared" si="36"/>
        <v>0</v>
      </c>
      <c r="I254" s="240" t="s">
        <v>1230</v>
      </c>
    </row>
    <row r="255" spans="1:9" s="109" customFormat="1" ht="13.5" customHeight="1" x14ac:dyDescent="0.25">
      <c r="A255" s="230">
        <v>116731</v>
      </c>
      <c r="B255" s="162" t="s">
        <v>1222</v>
      </c>
      <c r="C255" s="162" t="s">
        <v>15</v>
      </c>
      <c r="D255" s="162" t="s">
        <v>1578</v>
      </c>
      <c r="E255" s="231">
        <v>44368</v>
      </c>
      <c r="F255" s="117">
        <v>1016.96</v>
      </c>
      <c r="G255" s="117">
        <f>SUMIF(CONFERÊNCIA!A:A,A255,CONFERÊNCIA!J:J)</f>
        <v>1016.96</v>
      </c>
      <c r="H255" s="118">
        <f t="shared" si="36"/>
        <v>0</v>
      </c>
      <c r="I255" s="240" t="s">
        <v>1229</v>
      </c>
    </row>
    <row r="256" spans="1:9" s="124" customFormat="1" ht="13.5" customHeight="1" x14ac:dyDescent="0.25">
      <c r="A256" s="230">
        <v>112563</v>
      </c>
      <c r="B256" s="162" t="s">
        <v>267</v>
      </c>
      <c r="C256" s="162" t="s">
        <v>2</v>
      </c>
      <c r="D256" s="162" t="s">
        <v>0</v>
      </c>
      <c r="E256" s="231">
        <v>43617</v>
      </c>
      <c r="F256" s="117">
        <v>1016.96</v>
      </c>
      <c r="G256" s="117">
        <f>SUMIF(CONFERÊNCIA!A:A,A256,CONFERÊNCIA!J:J)</f>
        <v>1016.96</v>
      </c>
      <c r="H256" s="119">
        <f t="shared" si="36"/>
        <v>0</v>
      </c>
      <c r="I256" s="240" t="s">
        <v>1229</v>
      </c>
    </row>
    <row r="257" spans="1:9" s="109" customFormat="1" ht="13.5" customHeight="1" x14ac:dyDescent="0.25">
      <c r="A257" s="230">
        <v>119109</v>
      </c>
      <c r="B257" s="162" t="s">
        <v>1432</v>
      </c>
      <c r="C257" s="162" t="s">
        <v>5</v>
      </c>
      <c r="D257" s="162" t="s">
        <v>1578</v>
      </c>
      <c r="E257" s="231">
        <v>44630</v>
      </c>
      <c r="F257" s="117">
        <v>1016.96</v>
      </c>
      <c r="G257" s="117">
        <f>SUMIF(CONFERÊNCIA!A:A,A257,CONFERÊNCIA!J:J)</f>
        <v>1016.96</v>
      </c>
      <c r="H257" s="118">
        <f t="shared" si="36"/>
        <v>0</v>
      </c>
      <c r="I257" s="240" t="s">
        <v>1229</v>
      </c>
    </row>
    <row r="258" spans="1:9" s="124" customFormat="1" ht="13.5" customHeight="1" x14ac:dyDescent="0.25">
      <c r="A258" s="230">
        <v>116315</v>
      </c>
      <c r="B258" s="162" t="s">
        <v>1199</v>
      </c>
      <c r="C258" s="162" t="s">
        <v>5</v>
      </c>
      <c r="D258" s="162" t="s">
        <v>32</v>
      </c>
      <c r="E258" s="231">
        <v>44308</v>
      </c>
      <c r="F258" s="117">
        <v>1016.96</v>
      </c>
      <c r="G258" s="117">
        <f>SUMIF(CONFERÊNCIA!A:A,A258,CONFERÊNCIA!J:J)</f>
        <v>1016.96</v>
      </c>
      <c r="H258" s="119">
        <f t="shared" si="36"/>
        <v>0</v>
      </c>
      <c r="I258" s="240" t="s">
        <v>1229</v>
      </c>
    </row>
    <row r="259" spans="1:9" s="124" customFormat="1" ht="13.5" customHeight="1" x14ac:dyDescent="0.25">
      <c r="A259" s="230">
        <v>112568</v>
      </c>
      <c r="B259" s="162" t="s">
        <v>270</v>
      </c>
      <c r="C259" s="162" t="s">
        <v>15</v>
      </c>
      <c r="D259" s="162" t="s">
        <v>1578</v>
      </c>
      <c r="E259" s="231">
        <v>43617</v>
      </c>
      <c r="F259" s="117">
        <v>1016.96</v>
      </c>
      <c r="G259" s="117">
        <f>SUMIF(CONFERÊNCIA!A:A,A259,CONFERÊNCIA!J:J)</f>
        <v>1016.96</v>
      </c>
      <c r="H259" s="119">
        <f t="shared" ref="H259:H267" si="37">G259-F259</f>
        <v>0</v>
      </c>
      <c r="I259" s="240" t="s">
        <v>1229</v>
      </c>
    </row>
    <row r="260" spans="1:9" s="109" customFormat="1" ht="13.5" customHeight="1" x14ac:dyDescent="0.25">
      <c r="A260" s="230">
        <v>115406</v>
      </c>
      <c r="B260" s="162" t="s">
        <v>1155</v>
      </c>
      <c r="C260" s="162" t="s">
        <v>5</v>
      </c>
      <c r="D260" s="162" t="s">
        <v>0</v>
      </c>
      <c r="E260" s="231">
        <v>44048</v>
      </c>
      <c r="F260" s="117">
        <v>1016.96</v>
      </c>
      <c r="G260" s="117">
        <f>SUMIF(CONFERÊNCIA!A:A,A260,CONFERÊNCIA!J:J)</f>
        <v>1016.96</v>
      </c>
      <c r="H260" s="118">
        <f t="shared" si="37"/>
        <v>0</v>
      </c>
      <c r="I260" s="240" t="s">
        <v>1229</v>
      </c>
    </row>
    <row r="261" spans="1:9" s="124" customFormat="1" ht="13.5" customHeight="1" x14ac:dyDescent="0.25">
      <c r="A261" s="230">
        <v>112576</v>
      </c>
      <c r="B261" s="162" t="s">
        <v>273</v>
      </c>
      <c r="C261" s="162" t="s">
        <v>2</v>
      </c>
      <c r="D261" s="162" t="s">
        <v>8</v>
      </c>
      <c r="E261" s="231">
        <v>43617</v>
      </c>
      <c r="F261" s="117">
        <v>1016.96</v>
      </c>
      <c r="G261" s="117">
        <f>SUMIF(CONFERÊNCIA!A:A,A261,CONFERÊNCIA!J:J)</f>
        <v>1016.96</v>
      </c>
      <c r="H261" s="119">
        <f t="shared" si="37"/>
        <v>0</v>
      </c>
      <c r="I261" s="240" t="s">
        <v>1229</v>
      </c>
    </row>
    <row r="262" spans="1:9" s="124" customFormat="1" ht="13.5" customHeight="1" x14ac:dyDescent="0.25">
      <c r="A262" s="230">
        <v>112581</v>
      </c>
      <c r="B262" s="162" t="s">
        <v>277</v>
      </c>
      <c r="C262" s="162" t="s">
        <v>5</v>
      </c>
      <c r="D262" s="162" t="s">
        <v>1578</v>
      </c>
      <c r="E262" s="231">
        <v>43617</v>
      </c>
      <c r="F262" s="117">
        <v>1016.96</v>
      </c>
      <c r="G262" s="117">
        <f>SUMIF(CONFERÊNCIA!A:A,A262,CONFERÊNCIA!J:J)</f>
        <v>1016.96</v>
      </c>
      <c r="H262" s="119">
        <f t="shared" si="37"/>
        <v>0</v>
      </c>
      <c r="I262" s="240" t="s">
        <v>1229</v>
      </c>
    </row>
    <row r="263" spans="1:9" s="124" customFormat="1" ht="13.5" customHeight="1" x14ac:dyDescent="0.25">
      <c r="A263" s="230">
        <v>112587</v>
      </c>
      <c r="B263" s="162" t="s">
        <v>280</v>
      </c>
      <c r="C263" s="162" t="s">
        <v>2</v>
      </c>
      <c r="D263" s="162" t="s">
        <v>0</v>
      </c>
      <c r="E263" s="231">
        <v>43617</v>
      </c>
      <c r="F263" s="117">
        <v>1016.96</v>
      </c>
      <c r="G263" s="117">
        <f>SUMIF(CONFERÊNCIA!A:A,A263,CONFERÊNCIA!J:J)</f>
        <v>1016.96</v>
      </c>
      <c r="H263" s="119">
        <f t="shared" si="37"/>
        <v>0</v>
      </c>
      <c r="I263" s="240" t="s">
        <v>1230</v>
      </c>
    </row>
    <row r="264" spans="1:9" s="109" customFormat="1" ht="13.5" customHeight="1" x14ac:dyDescent="0.25">
      <c r="A264" s="230">
        <v>114805</v>
      </c>
      <c r="B264" s="162" t="s">
        <v>1102</v>
      </c>
      <c r="C264" s="162" t="s">
        <v>15</v>
      </c>
      <c r="D264" s="162" t="s">
        <v>1578</v>
      </c>
      <c r="E264" s="231">
        <v>43881</v>
      </c>
      <c r="F264" s="117">
        <v>1016.96</v>
      </c>
      <c r="G264" s="117">
        <f>SUMIF(CONFERÊNCIA!A:A,A264,CONFERÊNCIA!J:J)</f>
        <v>1016.96</v>
      </c>
      <c r="H264" s="118">
        <f t="shared" si="37"/>
        <v>0</v>
      </c>
      <c r="I264" s="240" t="s">
        <v>1229</v>
      </c>
    </row>
    <row r="265" spans="1:9" s="124" customFormat="1" ht="13.5" customHeight="1" x14ac:dyDescent="0.25">
      <c r="A265" s="230">
        <v>114526</v>
      </c>
      <c r="B265" s="162" t="s">
        <v>1047</v>
      </c>
      <c r="C265" s="162" t="s">
        <v>15</v>
      </c>
      <c r="D265" s="162" t="s">
        <v>1578</v>
      </c>
      <c r="E265" s="231">
        <v>43813</v>
      </c>
      <c r="F265" s="117">
        <v>1016.96</v>
      </c>
      <c r="G265" s="117">
        <f>SUMIF(CONFERÊNCIA!A:A,A265,CONFERÊNCIA!J:J)</f>
        <v>1016.96</v>
      </c>
      <c r="H265" s="119">
        <f t="shared" si="37"/>
        <v>0</v>
      </c>
      <c r="I265" s="240" t="s">
        <v>1229</v>
      </c>
    </row>
    <row r="266" spans="1:9" s="124" customFormat="1" ht="13.5" customHeight="1" x14ac:dyDescent="0.25">
      <c r="A266" s="230">
        <v>121328</v>
      </c>
      <c r="B266" s="162" t="s">
        <v>1524</v>
      </c>
      <c r="C266" s="162" t="s">
        <v>5</v>
      </c>
      <c r="D266" s="162" t="s">
        <v>8</v>
      </c>
      <c r="E266" s="231">
        <v>44945</v>
      </c>
      <c r="F266" s="117">
        <v>1016.96</v>
      </c>
      <c r="G266" s="117">
        <f>SUMIF(CONFERÊNCIA!A:A,A266,CONFERÊNCIA!J:J)</f>
        <v>1016.96</v>
      </c>
      <c r="H266" s="119">
        <f t="shared" si="37"/>
        <v>0</v>
      </c>
      <c r="I266" s="240" t="s">
        <v>1229</v>
      </c>
    </row>
    <row r="267" spans="1:9" s="124" customFormat="1" ht="13.5" customHeight="1" x14ac:dyDescent="0.25">
      <c r="A267" s="230">
        <v>112594</v>
      </c>
      <c r="B267" s="162" t="s">
        <v>283</v>
      </c>
      <c r="C267" s="162" t="s">
        <v>2</v>
      </c>
      <c r="D267" s="162" t="s">
        <v>32</v>
      </c>
      <c r="E267" s="231">
        <v>43617</v>
      </c>
      <c r="F267" s="117">
        <v>1016.96</v>
      </c>
      <c r="G267" s="117">
        <f>SUMIF(CONFERÊNCIA!A:A,A267,CONFERÊNCIA!J:J)</f>
        <v>1016.96</v>
      </c>
      <c r="H267" s="119">
        <f t="shared" si="37"/>
        <v>0</v>
      </c>
      <c r="I267" s="240" t="s">
        <v>1230</v>
      </c>
    </row>
    <row r="268" spans="1:9" s="124" customFormat="1" ht="13.5" customHeight="1" x14ac:dyDescent="0.25">
      <c r="A268" s="230">
        <v>114693</v>
      </c>
      <c r="B268" s="162" t="s">
        <v>1069</v>
      </c>
      <c r="C268" s="162" t="s">
        <v>5</v>
      </c>
      <c r="D268" s="162" t="s">
        <v>0</v>
      </c>
      <c r="E268" s="231">
        <v>43874</v>
      </c>
      <c r="F268" s="117">
        <v>1016.96</v>
      </c>
      <c r="G268" s="117">
        <f>SUMIF(CONFERÊNCIA!A:A,A268,CONFERÊNCIA!J:J)</f>
        <v>1016.96</v>
      </c>
      <c r="H268" s="119">
        <f t="shared" ref="H268:H281" si="38">G268-F268</f>
        <v>0</v>
      </c>
      <c r="I268" s="240" t="s">
        <v>1229</v>
      </c>
    </row>
    <row r="269" spans="1:9" s="109" customFormat="1" ht="13.5" customHeight="1" x14ac:dyDescent="0.25">
      <c r="A269" s="230">
        <v>112610</v>
      </c>
      <c r="B269" s="162" t="s">
        <v>294</v>
      </c>
      <c r="C269" s="162" t="s">
        <v>5</v>
      </c>
      <c r="D269" s="162" t="s">
        <v>19</v>
      </c>
      <c r="E269" s="231">
        <v>43617</v>
      </c>
      <c r="F269" s="117">
        <v>1016.96</v>
      </c>
      <c r="G269" s="117">
        <f>SUMIF(CONFERÊNCIA!A:A,A269,CONFERÊNCIA!J:J)</f>
        <v>1016.96</v>
      </c>
      <c r="H269" s="118">
        <f t="shared" si="38"/>
        <v>0</v>
      </c>
      <c r="I269" s="240" t="s">
        <v>1230</v>
      </c>
    </row>
    <row r="270" spans="1:9" s="124" customFormat="1" ht="13.5" customHeight="1" x14ac:dyDescent="0.25">
      <c r="A270" s="230">
        <v>112613</v>
      </c>
      <c r="B270" s="162" t="s">
        <v>297</v>
      </c>
      <c r="C270" s="162" t="s">
        <v>5</v>
      </c>
      <c r="D270" s="162" t="s">
        <v>8</v>
      </c>
      <c r="E270" s="231">
        <v>43617</v>
      </c>
      <c r="F270" s="117">
        <v>1016.96</v>
      </c>
      <c r="G270" s="117">
        <f>SUMIF(CONFERÊNCIA!A:A,A270,CONFERÊNCIA!J:J)</f>
        <v>1016.96</v>
      </c>
      <c r="H270" s="119">
        <f t="shared" si="38"/>
        <v>0</v>
      </c>
      <c r="I270" s="240" t="s">
        <v>1229</v>
      </c>
    </row>
    <row r="271" spans="1:9" s="124" customFormat="1" ht="13.5" customHeight="1" x14ac:dyDescent="0.25">
      <c r="A271" s="230">
        <v>112620</v>
      </c>
      <c r="B271" s="162" t="s">
        <v>303</v>
      </c>
      <c r="C271" s="162" t="s">
        <v>5</v>
      </c>
      <c r="D271" s="162" t="s">
        <v>10</v>
      </c>
      <c r="E271" s="231">
        <v>43617</v>
      </c>
      <c r="F271" s="117">
        <v>1016.96</v>
      </c>
      <c r="G271" s="117">
        <f>SUMIF(CONFERÊNCIA!A:A,A271,CONFERÊNCIA!J:J)</f>
        <v>1016.96</v>
      </c>
      <c r="H271" s="119">
        <f t="shared" si="38"/>
        <v>0</v>
      </c>
      <c r="I271" s="240" t="s">
        <v>1229</v>
      </c>
    </row>
    <row r="272" spans="1:9" s="109" customFormat="1" ht="13.5" customHeight="1" x14ac:dyDescent="0.25">
      <c r="A272" s="230">
        <v>112634</v>
      </c>
      <c r="B272" s="162" t="s">
        <v>311</v>
      </c>
      <c r="C272" s="162" t="s">
        <v>2</v>
      </c>
      <c r="D272" s="162" t="s">
        <v>0</v>
      </c>
      <c r="E272" s="231">
        <v>43617</v>
      </c>
      <c r="F272" s="117">
        <v>1016.96</v>
      </c>
      <c r="G272" s="117">
        <f>SUMIF(CONFERÊNCIA!A:A,A272,CONFERÊNCIA!J:J)</f>
        <v>1016.96</v>
      </c>
      <c r="H272" s="118">
        <f t="shared" si="38"/>
        <v>0</v>
      </c>
      <c r="I272" s="240" t="s">
        <v>1229</v>
      </c>
    </row>
    <row r="273" spans="1:9" s="124" customFormat="1" ht="13.5" customHeight="1" x14ac:dyDescent="0.25">
      <c r="A273" s="230">
        <v>116712</v>
      </c>
      <c r="B273" s="162" t="s">
        <v>1213</v>
      </c>
      <c r="C273" s="162" t="s">
        <v>5</v>
      </c>
      <c r="D273" s="162" t="s">
        <v>10</v>
      </c>
      <c r="E273" s="231">
        <v>44368</v>
      </c>
      <c r="F273" s="117">
        <v>1016.96</v>
      </c>
      <c r="G273" s="117">
        <f>SUMIF(CONFERÊNCIA!A:A,A273,CONFERÊNCIA!J:J)</f>
        <v>1016.96</v>
      </c>
      <c r="H273" s="119">
        <f t="shared" si="38"/>
        <v>0</v>
      </c>
      <c r="I273" s="240" t="s">
        <v>1229</v>
      </c>
    </row>
    <row r="274" spans="1:9" s="124" customFormat="1" ht="13.5" customHeight="1" x14ac:dyDescent="0.25">
      <c r="A274" s="230">
        <v>116973</v>
      </c>
      <c r="B274" s="162" t="s">
        <v>1236</v>
      </c>
      <c r="C274" s="162" t="s">
        <v>5</v>
      </c>
      <c r="D274" s="162" t="s">
        <v>0</v>
      </c>
      <c r="E274" s="231">
        <v>44419</v>
      </c>
      <c r="F274" s="117">
        <v>940.39</v>
      </c>
      <c r="G274" s="117">
        <f>SUMIF(CONFERÊNCIA!A:A,A274,CONFERÊNCIA!J:J)</f>
        <v>0</v>
      </c>
      <c r="H274" s="119">
        <f t="shared" si="38"/>
        <v>-940.39</v>
      </c>
      <c r="I274" s="240" t="s">
        <v>1287</v>
      </c>
    </row>
    <row r="275" spans="1:9" s="109" customFormat="1" ht="13.5" customHeight="1" x14ac:dyDescent="0.25">
      <c r="A275" s="230">
        <v>112797</v>
      </c>
      <c r="B275" s="162" t="s">
        <v>416</v>
      </c>
      <c r="C275" s="162" t="s">
        <v>2</v>
      </c>
      <c r="D275" s="162" t="s">
        <v>0</v>
      </c>
      <c r="E275" s="231">
        <v>43617</v>
      </c>
      <c r="F275" s="117">
        <v>1016.96</v>
      </c>
      <c r="G275" s="117">
        <f>SUMIF(CONFERÊNCIA!A:A,A275,CONFERÊNCIA!J:J)</f>
        <v>1016.96</v>
      </c>
      <c r="H275" s="118">
        <f t="shared" si="38"/>
        <v>0</v>
      </c>
      <c r="I275" s="240" t="s">
        <v>1230</v>
      </c>
    </row>
    <row r="276" spans="1:9" s="109" customFormat="1" ht="13.5" customHeight="1" x14ac:dyDescent="0.25">
      <c r="A276" s="230">
        <v>112851</v>
      </c>
      <c r="B276" s="162" t="s">
        <v>453</v>
      </c>
      <c r="C276" s="162" t="s">
        <v>5</v>
      </c>
      <c r="D276" s="162" t="s">
        <v>8</v>
      </c>
      <c r="E276" s="231">
        <v>43617</v>
      </c>
      <c r="F276" s="117">
        <v>1016.96</v>
      </c>
      <c r="G276" s="117">
        <f>SUMIF(CONFERÊNCIA!A:A,A276,CONFERÊNCIA!J:J)</f>
        <v>1016.96</v>
      </c>
      <c r="H276" s="118">
        <f t="shared" si="38"/>
        <v>0</v>
      </c>
      <c r="I276" s="240" t="s">
        <v>1229</v>
      </c>
    </row>
    <row r="277" spans="1:9" s="124" customFormat="1" ht="13.5" customHeight="1" x14ac:dyDescent="0.25">
      <c r="A277" s="230">
        <v>112855</v>
      </c>
      <c r="B277" s="162" t="s">
        <v>455</v>
      </c>
      <c r="C277" s="162" t="s">
        <v>5</v>
      </c>
      <c r="D277" s="162" t="s">
        <v>0</v>
      </c>
      <c r="E277" s="231">
        <v>43617</v>
      </c>
      <c r="F277" s="117">
        <v>1016.96</v>
      </c>
      <c r="G277" s="117">
        <f>SUMIF(CONFERÊNCIA!A:A,A277,CONFERÊNCIA!J:J)</f>
        <v>1016.96</v>
      </c>
      <c r="H277" s="119">
        <f t="shared" si="38"/>
        <v>0</v>
      </c>
      <c r="I277" s="240" t="s">
        <v>1229</v>
      </c>
    </row>
    <row r="278" spans="1:9" s="109" customFormat="1" ht="13.5" customHeight="1" x14ac:dyDescent="0.25">
      <c r="A278" s="230">
        <v>112860</v>
      </c>
      <c r="B278" s="162" t="s">
        <v>457</v>
      </c>
      <c r="C278" s="162" t="s">
        <v>5</v>
      </c>
      <c r="D278" s="162" t="s">
        <v>1578</v>
      </c>
      <c r="E278" s="231">
        <v>43617</v>
      </c>
      <c r="F278" s="117">
        <v>1016.96</v>
      </c>
      <c r="G278" s="117">
        <f>SUMIF(CONFERÊNCIA!A:A,A278,CONFERÊNCIA!J:J)</f>
        <v>1016.96</v>
      </c>
      <c r="H278" s="118">
        <f t="shared" si="38"/>
        <v>0</v>
      </c>
      <c r="I278" s="240" t="s">
        <v>1229</v>
      </c>
    </row>
    <row r="279" spans="1:9" s="124" customFormat="1" ht="13.5" customHeight="1" x14ac:dyDescent="0.25">
      <c r="A279" s="230">
        <v>112865</v>
      </c>
      <c r="B279" s="162" t="s">
        <v>460</v>
      </c>
      <c r="C279" s="162" t="s">
        <v>2</v>
      </c>
      <c r="D279" s="162" t="s">
        <v>19</v>
      </c>
      <c r="E279" s="231">
        <v>43617</v>
      </c>
      <c r="F279" s="117">
        <v>1016.96</v>
      </c>
      <c r="G279" s="117">
        <f>SUMIF(CONFERÊNCIA!A:A,A279,CONFERÊNCIA!J:J)</f>
        <v>1016.96</v>
      </c>
      <c r="H279" s="119">
        <f t="shared" si="38"/>
        <v>0</v>
      </c>
      <c r="I279" s="240" t="s">
        <v>1229</v>
      </c>
    </row>
    <row r="280" spans="1:9" s="124" customFormat="1" ht="13.5" customHeight="1" x14ac:dyDescent="0.25">
      <c r="A280" s="230">
        <v>113769</v>
      </c>
      <c r="B280" s="162" t="s">
        <v>969</v>
      </c>
      <c r="C280" s="162" t="s">
        <v>970</v>
      </c>
      <c r="D280" s="162" t="s">
        <v>1578</v>
      </c>
      <c r="E280" s="231">
        <v>43622</v>
      </c>
      <c r="F280" s="117">
        <v>1016.96</v>
      </c>
      <c r="G280" s="117">
        <f>SUMIF(CONFERÊNCIA!A:A,A280,CONFERÊNCIA!J:J)</f>
        <v>1016.96</v>
      </c>
      <c r="H280" s="119">
        <f t="shared" si="38"/>
        <v>0</v>
      </c>
      <c r="I280" s="240" t="s">
        <v>1229</v>
      </c>
    </row>
    <row r="281" spans="1:9" s="124" customFormat="1" ht="13.5" customHeight="1" x14ac:dyDescent="0.25">
      <c r="A281" s="230">
        <v>114988</v>
      </c>
      <c r="B281" s="162" t="s">
        <v>1136</v>
      </c>
      <c r="C281" s="162" t="s">
        <v>15</v>
      </c>
      <c r="D281" s="162" t="s">
        <v>1578</v>
      </c>
      <c r="E281" s="231">
        <v>43918</v>
      </c>
      <c r="F281" s="117">
        <v>1016.96</v>
      </c>
      <c r="G281" s="117">
        <f>SUMIF(CONFERÊNCIA!A:A,A281,CONFERÊNCIA!J:J)</f>
        <v>1016.96</v>
      </c>
      <c r="H281" s="119">
        <f t="shared" si="38"/>
        <v>0</v>
      </c>
      <c r="I281" s="240" t="s">
        <v>1229</v>
      </c>
    </row>
    <row r="282" spans="1:9" s="109" customFormat="1" ht="13.5" customHeight="1" x14ac:dyDescent="0.25">
      <c r="A282" s="230">
        <v>112875</v>
      </c>
      <c r="B282" s="162" t="s">
        <v>467</v>
      </c>
      <c r="C282" s="162" t="s">
        <v>15</v>
      </c>
      <c r="D282" s="162" t="s">
        <v>1578</v>
      </c>
      <c r="E282" s="231">
        <v>43620</v>
      </c>
      <c r="F282" s="117">
        <v>1016.96</v>
      </c>
      <c r="G282" s="117">
        <f>SUMIF(CONFERÊNCIA!A:A,A282,CONFERÊNCIA!J:J)</f>
        <v>1016.96</v>
      </c>
      <c r="H282" s="118">
        <f t="shared" ref="H282:H291" si="39">G282-F282</f>
        <v>0</v>
      </c>
      <c r="I282" s="240" t="s">
        <v>1229</v>
      </c>
    </row>
    <row r="283" spans="1:9" s="124" customFormat="1" ht="13.5" customHeight="1" x14ac:dyDescent="0.25">
      <c r="A283" s="230">
        <v>113766</v>
      </c>
      <c r="B283" s="162" t="s">
        <v>967</v>
      </c>
      <c r="C283" s="162" t="s">
        <v>720</v>
      </c>
      <c r="D283" s="162" t="s">
        <v>1578</v>
      </c>
      <c r="E283" s="231">
        <v>43622</v>
      </c>
      <c r="F283" s="117">
        <v>1016.96</v>
      </c>
      <c r="G283" s="117">
        <f>SUMIF(CONFERÊNCIA!A:A,A283,CONFERÊNCIA!J:J)</f>
        <v>1016.96</v>
      </c>
      <c r="H283" s="119">
        <f t="shared" si="39"/>
        <v>0</v>
      </c>
      <c r="I283" s="240" t="s">
        <v>1229</v>
      </c>
    </row>
    <row r="284" spans="1:9" s="109" customFormat="1" ht="13.5" customHeight="1" x14ac:dyDescent="0.25">
      <c r="A284" s="230">
        <v>112883</v>
      </c>
      <c r="B284" s="162" t="s">
        <v>474</v>
      </c>
      <c r="C284" s="162" t="s">
        <v>5</v>
      </c>
      <c r="D284" s="162" t="s">
        <v>0</v>
      </c>
      <c r="E284" s="231">
        <v>43617</v>
      </c>
      <c r="F284" s="117">
        <v>1016.96</v>
      </c>
      <c r="G284" s="117">
        <f>SUMIF(CONFERÊNCIA!A:A,A284,CONFERÊNCIA!J:J)</f>
        <v>978.67000000000007</v>
      </c>
      <c r="H284" s="118">
        <f t="shared" si="39"/>
        <v>-38.289999999999964</v>
      </c>
      <c r="I284" s="240" t="s">
        <v>1229</v>
      </c>
    </row>
    <row r="285" spans="1:9" s="124" customFormat="1" ht="13.5" customHeight="1" x14ac:dyDescent="0.25">
      <c r="A285" s="230">
        <v>112891</v>
      </c>
      <c r="B285" s="162" t="s">
        <v>478</v>
      </c>
      <c r="C285" s="162" t="s">
        <v>2</v>
      </c>
      <c r="D285" s="162" t="s">
        <v>19</v>
      </c>
      <c r="E285" s="231">
        <v>43617</v>
      </c>
      <c r="F285" s="117">
        <v>1016.96</v>
      </c>
      <c r="G285" s="117">
        <f>SUMIF(CONFERÊNCIA!A:A,A285,CONFERÊNCIA!J:J)</f>
        <v>1016.96</v>
      </c>
      <c r="H285" s="119">
        <f t="shared" si="39"/>
        <v>0</v>
      </c>
      <c r="I285" s="240" t="s">
        <v>1229</v>
      </c>
    </row>
    <row r="286" spans="1:9" s="109" customFormat="1" ht="13.5" customHeight="1" x14ac:dyDescent="0.25">
      <c r="A286" s="230">
        <v>112900</v>
      </c>
      <c r="B286" s="162" t="s">
        <v>486</v>
      </c>
      <c r="C286" s="162" t="s">
        <v>5</v>
      </c>
      <c r="D286" s="162" t="s">
        <v>10</v>
      </c>
      <c r="E286" s="231">
        <v>43617</v>
      </c>
      <c r="F286" s="117">
        <v>1016.96</v>
      </c>
      <c r="G286" s="117">
        <f>SUMIF(CONFERÊNCIA!A:A,A286,CONFERÊNCIA!J:J)</f>
        <v>1016.96</v>
      </c>
      <c r="H286" s="118">
        <f t="shared" si="39"/>
        <v>0</v>
      </c>
      <c r="I286" s="240" t="s">
        <v>1229</v>
      </c>
    </row>
    <row r="287" spans="1:9" s="124" customFormat="1" ht="13.5" customHeight="1" x14ac:dyDescent="0.25">
      <c r="A287" s="230">
        <v>112916</v>
      </c>
      <c r="B287" s="162" t="s">
        <v>495</v>
      </c>
      <c r="C287" s="162" t="s">
        <v>2</v>
      </c>
      <c r="D287" s="162" t="s">
        <v>19</v>
      </c>
      <c r="E287" s="231">
        <v>43617</v>
      </c>
      <c r="F287" s="117">
        <v>1016.96</v>
      </c>
      <c r="G287" s="117">
        <f>SUMIF(CONFERÊNCIA!A:A,A287,CONFERÊNCIA!J:J)</f>
        <v>1016.96</v>
      </c>
      <c r="H287" s="119">
        <f t="shared" si="39"/>
        <v>0</v>
      </c>
      <c r="I287" s="240" t="s">
        <v>1229</v>
      </c>
    </row>
    <row r="288" spans="1:9" s="109" customFormat="1" ht="13.5" customHeight="1" x14ac:dyDescent="0.25">
      <c r="A288" s="230">
        <v>112534</v>
      </c>
      <c r="B288" s="162" t="s">
        <v>246</v>
      </c>
      <c r="C288" s="162" t="s">
        <v>5</v>
      </c>
      <c r="D288" s="162" t="s">
        <v>1578</v>
      </c>
      <c r="E288" s="231">
        <v>43617</v>
      </c>
      <c r="F288" s="117">
        <v>1016.96</v>
      </c>
      <c r="G288" s="117">
        <f>SUMIF(CONFERÊNCIA!A:A,A288,CONFERÊNCIA!J:J)</f>
        <v>1016.96</v>
      </c>
      <c r="H288" s="118">
        <f t="shared" si="39"/>
        <v>0</v>
      </c>
      <c r="I288" s="240" t="s">
        <v>1229</v>
      </c>
    </row>
    <row r="289" spans="1:9" s="109" customFormat="1" ht="13.5" customHeight="1" x14ac:dyDescent="0.25">
      <c r="A289" s="230">
        <v>114913</v>
      </c>
      <c r="B289" s="162" t="s">
        <v>1105</v>
      </c>
      <c r="C289" s="162" t="s">
        <v>480</v>
      </c>
      <c r="D289" s="162" t="s">
        <v>1578</v>
      </c>
      <c r="E289" s="231">
        <v>43916</v>
      </c>
      <c r="F289" s="117">
        <v>1016.96</v>
      </c>
      <c r="G289" s="117">
        <f>SUMIF(CONFERÊNCIA!A:A,A289,CONFERÊNCIA!J:J)</f>
        <v>1016.96</v>
      </c>
      <c r="H289" s="118">
        <f t="shared" si="39"/>
        <v>0</v>
      </c>
      <c r="I289" s="240" t="s">
        <v>1229</v>
      </c>
    </row>
    <row r="290" spans="1:9" s="109" customFormat="1" ht="13.5" customHeight="1" x14ac:dyDescent="0.25">
      <c r="A290" s="230">
        <v>112537</v>
      </c>
      <c r="B290" s="162" t="s">
        <v>248</v>
      </c>
      <c r="C290" s="162" t="s">
        <v>5</v>
      </c>
      <c r="D290" s="162" t="s">
        <v>10</v>
      </c>
      <c r="E290" s="231">
        <v>43617</v>
      </c>
      <c r="F290" s="117">
        <v>1016.96</v>
      </c>
      <c r="G290" s="117">
        <f>SUMIF(CONFERÊNCIA!A:A,A290,CONFERÊNCIA!J:J)</f>
        <v>1016.96</v>
      </c>
      <c r="H290" s="118">
        <f t="shared" si="39"/>
        <v>0</v>
      </c>
      <c r="I290" s="240" t="s">
        <v>1230</v>
      </c>
    </row>
    <row r="291" spans="1:9" s="124" customFormat="1" ht="13.5" customHeight="1" x14ac:dyDescent="0.25">
      <c r="A291" s="230">
        <v>112539</v>
      </c>
      <c r="B291" s="162" t="s">
        <v>250</v>
      </c>
      <c r="C291" s="162" t="s">
        <v>2</v>
      </c>
      <c r="D291" s="162" t="s">
        <v>0</v>
      </c>
      <c r="E291" s="231">
        <v>43617</v>
      </c>
      <c r="F291" s="117">
        <v>1016.96</v>
      </c>
      <c r="G291" s="117">
        <f>SUMIF(CONFERÊNCIA!A:A,A291,CONFERÊNCIA!J:J)</f>
        <v>1016.96</v>
      </c>
      <c r="H291" s="119">
        <f t="shared" si="39"/>
        <v>0</v>
      </c>
      <c r="I291" s="240" t="s">
        <v>1230</v>
      </c>
    </row>
    <row r="292" spans="1:9" s="124" customFormat="1" ht="13.5" customHeight="1" x14ac:dyDescent="0.25">
      <c r="A292" s="230">
        <v>112540</v>
      </c>
      <c r="B292" s="162" t="s">
        <v>251</v>
      </c>
      <c r="C292" s="162" t="s">
        <v>5</v>
      </c>
      <c r="D292" s="162" t="s">
        <v>0</v>
      </c>
      <c r="E292" s="231">
        <v>43617</v>
      </c>
      <c r="F292" s="117">
        <v>1016.96</v>
      </c>
      <c r="G292" s="117">
        <f>SUMIF(CONFERÊNCIA!A:A,A292,CONFERÊNCIA!J:J)</f>
        <v>1016.96</v>
      </c>
      <c r="H292" s="119">
        <f t="shared" ref="H292:H306" si="40">G292-F292</f>
        <v>0</v>
      </c>
      <c r="I292" s="240" t="s">
        <v>1229</v>
      </c>
    </row>
    <row r="293" spans="1:9" s="109" customFormat="1" ht="13.5" customHeight="1" x14ac:dyDescent="0.25">
      <c r="A293" s="230">
        <v>113775</v>
      </c>
      <c r="B293" s="162" t="s">
        <v>972</v>
      </c>
      <c r="C293" s="162" t="s">
        <v>973</v>
      </c>
      <c r="D293" s="162" t="s">
        <v>1578</v>
      </c>
      <c r="E293" s="231">
        <v>43623</v>
      </c>
      <c r="F293" s="117">
        <v>1016.96</v>
      </c>
      <c r="G293" s="117">
        <f>SUMIF(CONFERÊNCIA!A:A,A293,CONFERÊNCIA!J:J)</f>
        <v>1016.96</v>
      </c>
      <c r="H293" s="118">
        <f t="shared" si="40"/>
        <v>0</v>
      </c>
      <c r="I293" s="240" t="s">
        <v>1229</v>
      </c>
    </row>
    <row r="294" spans="1:9" s="109" customFormat="1" ht="13.5" customHeight="1" x14ac:dyDescent="0.25">
      <c r="A294" s="230">
        <v>122573</v>
      </c>
      <c r="B294" s="162" t="s">
        <v>1680</v>
      </c>
      <c r="C294" s="162" t="s">
        <v>15</v>
      </c>
      <c r="D294" s="162" t="s">
        <v>1578</v>
      </c>
      <c r="E294" s="231">
        <v>45131</v>
      </c>
      <c r="F294" s="117">
        <v>1016.96</v>
      </c>
      <c r="G294" s="117">
        <f>SUMIF(CONFERÊNCIA!A:A,A294,CONFERÊNCIA!J:J)</f>
        <v>1016.96</v>
      </c>
      <c r="H294" s="118">
        <f t="shared" si="40"/>
        <v>0</v>
      </c>
      <c r="I294" s="240" t="s">
        <v>1229</v>
      </c>
    </row>
    <row r="295" spans="1:9" s="124" customFormat="1" ht="13.5" customHeight="1" x14ac:dyDescent="0.25">
      <c r="A295" s="230">
        <v>112821</v>
      </c>
      <c r="B295" s="162" t="s">
        <v>434</v>
      </c>
      <c r="C295" s="162" t="s">
        <v>15</v>
      </c>
      <c r="D295" s="162" t="s">
        <v>1578</v>
      </c>
      <c r="E295" s="231">
        <v>43617</v>
      </c>
      <c r="F295" s="117">
        <v>1016.96</v>
      </c>
      <c r="G295" s="117">
        <f>SUMIF(CONFERÊNCIA!A:A,A295,CONFERÊNCIA!J:J)</f>
        <v>1016.96</v>
      </c>
      <c r="H295" s="119">
        <f t="shared" si="40"/>
        <v>0</v>
      </c>
      <c r="I295" s="240" t="s">
        <v>1229</v>
      </c>
    </row>
    <row r="296" spans="1:9" s="124" customFormat="1" ht="13.5" customHeight="1" x14ac:dyDescent="0.25">
      <c r="A296" s="230">
        <v>114907</v>
      </c>
      <c r="B296" s="162" t="s">
        <v>1103</v>
      </c>
      <c r="C296" s="162" t="s">
        <v>5</v>
      </c>
      <c r="D296" s="162" t="s">
        <v>1578</v>
      </c>
      <c r="E296" s="231">
        <v>43916</v>
      </c>
      <c r="F296" s="117">
        <v>1016.96</v>
      </c>
      <c r="G296" s="117">
        <f>SUMIF(CONFERÊNCIA!A:A,A296,CONFERÊNCIA!J:J)</f>
        <v>1016.96</v>
      </c>
      <c r="H296" s="119">
        <f t="shared" si="40"/>
        <v>0</v>
      </c>
      <c r="I296" s="240" t="s">
        <v>1229</v>
      </c>
    </row>
    <row r="297" spans="1:9" s="109" customFormat="1" ht="13.5" customHeight="1" x14ac:dyDescent="0.25">
      <c r="A297" s="230">
        <v>112827</v>
      </c>
      <c r="B297" s="162" t="s">
        <v>439</v>
      </c>
      <c r="C297" s="162" t="s">
        <v>22</v>
      </c>
      <c r="D297" s="162" t="s">
        <v>1578</v>
      </c>
      <c r="E297" s="231">
        <v>43617</v>
      </c>
      <c r="F297" s="117">
        <v>1016.96</v>
      </c>
      <c r="G297" s="117">
        <f>SUMIF(CONFERÊNCIA!A:A,A297,CONFERÊNCIA!J:J)</f>
        <v>1016.96</v>
      </c>
      <c r="H297" s="118">
        <f t="shared" si="40"/>
        <v>0</v>
      </c>
      <c r="I297" s="240" t="s">
        <v>1229</v>
      </c>
    </row>
    <row r="298" spans="1:9" s="109" customFormat="1" ht="13.5" customHeight="1" x14ac:dyDescent="0.25">
      <c r="A298" s="230">
        <v>112834</v>
      </c>
      <c r="B298" s="162" t="s">
        <v>444</v>
      </c>
      <c r="C298" s="162" t="s">
        <v>2</v>
      </c>
      <c r="D298" s="162" t="s">
        <v>8</v>
      </c>
      <c r="E298" s="231">
        <v>43617</v>
      </c>
      <c r="F298" s="117">
        <v>1016.96</v>
      </c>
      <c r="G298" s="117">
        <f>SUMIF(CONFERÊNCIA!A:A,A298,CONFERÊNCIA!J:J)</f>
        <v>1016.96</v>
      </c>
      <c r="H298" s="118">
        <f t="shared" si="40"/>
        <v>0</v>
      </c>
      <c r="I298" s="240" t="s">
        <v>1230</v>
      </c>
    </row>
    <row r="299" spans="1:9" s="124" customFormat="1" ht="13.5" customHeight="1" x14ac:dyDescent="0.25">
      <c r="A299" s="230">
        <v>112843</v>
      </c>
      <c r="B299" s="162" t="s">
        <v>448</v>
      </c>
      <c r="C299" s="162" t="s">
        <v>5</v>
      </c>
      <c r="D299" s="162" t="s">
        <v>0</v>
      </c>
      <c r="E299" s="231">
        <v>43617</v>
      </c>
      <c r="F299" s="117">
        <v>978.67000000000007</v>
      </c>
      <c r="G299" s="117">
        <f>SUMIF(CONFERÊNCIA!A:A,A299,CONFERÊNCIA!J:J)</f>
        <v>1055.25</v>
      </c>
      <c r="H299" s="119">
        <f t="shared" si="40"/>
        <v>76.579999999999927</v>
      </c>
      <c r="I299" s="240" t="s">
        <v>1229</v>
      </c>
    </row>
    <row r="300" spans="1:9" s="124" customFormat="1" ht="13.5" customHeight="1" x14ac:dyDescent="0.25">
      <c r="A300" s="230">
        <v>112922</v>
      </c>
      <c r="B300" s="162" t="s">
        <v>498</v>
      </c>
      <c r="C300" s="162" t="s">
        <v>22</v>
      </c>
      <c r="D300" s="162" t="s">
        <v>1578</v>
      </c>
      <c r="E300" s="231">
        <v>43617</v>
      </c>
      <c r="F300" s="117">
        <v>1016.96</v>
      </c>
      <c r="G300" s="117">
        <f>SUMIF(CONFERÊNCIA!A:A,A300,CONFERÊNCIA!J:J)</f>
        <v>1016.96</v>
      </c>
      <c r="H300" s="119">
        <f t="shared" si="40"/>
        <v>0</v>
      </c>
      <c r="I300" s="240" t="s">
        <v>1229</v>
      </c>
    </row>
    <row r="301" spans="1:9" s="109" customFormat="1" ht="13.5" customHeight="1" x14ac:dyDescent="0.25">
      <c r="A301" s="230">
        <v>112930</v>
      </c>
      <c r="B301" s="162" t="s">
        <v>503</v>
      </c>
      <c r="C301" s="162" t="s">
        <v>5</v>
      </c>
      <c r="D301" s="162" t="s">
        <v>10</v>
      </c>
      <c r="E301" s="231">
        <v>43617</v>
      </c>
      <c r="F301" s="117">
        <v>359.46</v>
      </c>
      <c r="G301" s="117">
        <f>SUMIF(CONFERÊNCIA!A:A,A301,CONFERÊNCIA!J:J)</f>
        <v>1385.16</v>
      </c>
      <c r="H301" s="118">
        <f t="shared" si="40"/>
        <v>1025.7</v>
      </c>
      <c r="I301" s="240" t="s">
        <v>1229</v>
      </c>
    </row>
    <row r="302" spans="1:9" s="124" customFormat="1" ht="13.5" customHeight="1" x14ac:dyDescent="0.25">
      <c r="A302" s="230">
        <v>116331</v>
      </c>
      <c r="B302" s="162" t="s">
        <v>1553</v>
      </c>
      <c r="C302" s="162" t="s">
        <v>5</v>
      </c>
      <c r="D302" s="162" t="s">
        <v>0</v>
      </c>
      <c r="E302" s="231">
        <v>44308</v>
      </c>
      <c r="F302" s="117">
        <v>174.75</v>
      </c>
      <c r="G302" s="117">
        <f>SUMIF(CONFERÊNCIA!A:A,A302,CONFERÊNCIA!J:J)</f>
        <v>0</v>
      </c>
      <c r="H302" s="119">
        <f t="shared" si="40"/>
        <v>-174.75</v>
      </c>
      <c r="I302" s="240" t="s">
        <v>1287</v>
      </c>
    </row>
    <row r="303" spans="1:9" s="109" customFormat="1" ht="13.5" customHeight="1" x14ac:dyDescent="0.25">
      <c r="A303" s="230">
        <v>114418</v>
      </c>
      <c r="B303" s="162" t="s">
        <v>1036</v>
      </c>
      <c r="C303" s="162" t="s">
        <v>2</v>
      </c>
      <c r="D303" s="162" t="s">
        <v>0</v>
      </c>
      <c r="E303" s="231">
        <v>43811</v>
      </c>
      <c r="F303" s="117">
        <v>1016.96</v>
      </c>
      <c r="G303" s="117">
        <f>SUMIF(CONFERÊNCIA!A:A,A303,CONFERÊNCIA!J:J)</f>
        <v>1016.96</v>
      </c>
      <c r="H303" s="118">
        <f t="shared" si="40"/>
        <v>0</v>
      </c>
      <c r="I303" s="240" t="s">
        <v>1229</v>
      </c>
    </row>
    <row r="304" spans="1:9" s="124" customFormat="1" ht="13.5" customHeight="1" x14ac:dyDescent="0.25">
      <c r="A304" s="230">
        <v>112936</v>
      </c>
      <c r="B304" s="162" t="s">
        <v>505</v>
      </c>
      <c r="C304" s="162" t="s">
        <v>2</v>
      </c>
      <c r="D304" s="162" t="s">
        <v>19</v>
      </c>
      <c r="E304" s="231">
        <v>43617</v>
      </c>
      <c r="F304" s="117">
        <v>1016.96</v>
      </c>
      <c r="G304" s="117">
        <f>SUMIF(CONFERÊNCIA!A:A,A304,CONFERÊNCIA!J:J)</f>
        <v>1016.96</v>
      </c>
      <c r="H304" s="119">
        <f t="shared" si="40"/>
        <v>0</v>
      </c>
      <c r="I304" s="240" t="s">
        <v>1229</v>
      </c>
    </row>
    <row r="305" spans="1:9" s="124" customFormat="1" ht="13.5" customHeight="1" x14ac:dyDescent="0.25">
      <c r="A305" s="230">
        <v>112942</v>
      </c>
      <c r="B305" s="162" t="s">
        <v>509</v>
      </c>
      <c r="C305" s="162" t="s">
        <v>15</v>
      </c>
      <c r="D305" s="162" t="s">
        <v>1578</v>
      </c>
      <c r="E305" s="231">
        <v>43620</v>
      </c>
      <c r="F305" s="117">
        <v>1016.96</v>
      </c>
      <c r="G305" s="117">
        <f>SUMIF(CONFERÊNCIA!A:A,A305,CONFERÊNCIA!J:J)</f>
        <v>1016.96</v>
      </c>
      <c r="H305" s="119">
        <f t="shared" si="40"/>
        <v>0</v>
      </c>
      <c r="I305" s="240" t="s">
        <v>1229</v>
      </c>
    </row>
    <row r="306" spans="1:9" s="109" customFormat="1" ht="13.5" customHeight="1" x14ac:dyDescent="0.25">
      <c r="A306" s="230">
        <v>113774</v>
      </c>
      <c r="B306" s="162" t="s">
        <v>971</v>
      </c>
      <c r="C306" s="162" t="s">
        <v>146</v>
      </c>
      <c r="D306" s="162" t="s">
        <v>10</v>
      </c>
      <c r="E306" s="231">
        <v>43623</v>
      </c>
      <c r="F306" s="117">
        <v>1016.96</v>
      </c>
      <c r="G306" s="117">
        <f>SUMIF(CONFERÊNCIA!A:A,A306,CONFERÊNCIA!J:J)</f>
        <v>1016.96</v>
      </c>
      <c r="H306" s="118">
        <f t="shared" si="40"/>
        <v>0</v>
      </c>
      <c r="I306" s="240" t="s">
        <v>1229</v>
      </c>
    </row>
    <row r="307" spans="1:9" s="124" customFormat="1" ht="13.5" customHeight="1" x14ac:dyDescent="0.25">
      <c r="A307" s="230">
        <v>116716</v>
      </c>
      <c r="B307" s="162" t="s">
        <v>1215</v>
      </c>
      <c r="C307" s="162" t="s">
        <v>2</v>
      </c>
      <c r="D307" s="162" t="s">
        <v>8</v>
      </c>
      <c r="E307" s="231">
        <v>44368</v>
      </c>
      <c r="F307" s="117">
        <v>1016.96</v>
      </c>
      <c r="G307" s="117">
        <f>SUMIF(CONFERÊNCIA!A:A,A307,CONFERÊNCIA!J:J)</f>
        <v>1016.96</v>
      </c>
      <c r="H307" s="119">
        <f t="shared" ref="H307:H315" si="41">G307-F307</f>
        <v>0</v>
      </c>
      <c r="I307" s="240" t="s">
        <v>1229</v>
      </c>
    </row>
    <row r="308" spans="1:9" s="109" customFormat="1" ht="13.5" customHeight="1" x14ac:dyDescent="0.25">
      <c r="A308" s="230">
        <v>121948</v>
      </c>
      <c r="B308" s="162" t="s">
        <v>1606</v>
      </c>
      <c r="C308" s="162" t="s">
        <v>1456</v>
      </c>
      <c r="D308" s="162" t="s">
        <v>1580</v>
      </c>
      <c r="E308" s="231">
        <v>45040</v>
      </c>
      <c r="F308" s="117">
        <v>657.5</v>
      </c>
      <c r="G308" s="117">
        <f>SUMIF(CONFERÊNCIA!A:A,A308,CONFERÊNCIA!J:J)</f>
        <v>657.5</v>
      </c>
      <c r="H308" s="118">
        <f t="shared" si="41"/>
        <v>0</v>
      </c>
      <c r="I308" s="240" t="s">
        <v>1229</v>
      </c>
    </row>
    <row r="309" spans="1:9" s="124" customFormat="1" ht="13.5" customHeight="1" x14ac:dyDescent="0.25">
      <c r="A309" s="230">
        <v>112950</v>
      </c>
      <c r="B309" s="162" t="s">
        <v>514</v>
      </c>
      <c r="C309" s="162" t="s">
        <v>2</v>
      </c>
      <c r="D309" s="162" t="s">
        <v>0</v>
      </c>
      <c r="E309" s="231">
        <v>43617</v>
      </c>
      <c r="F309" s="117">
        <v>1016.96</v>
      </c>
      <c r="G309" s="117">
        <f>SUMIF(CONFERÊNCIA!A:A,A309,CONFERÊNCIA!J:J)</f>
        <v>1016.96</v>
      </c>
      <c r="H309" s="119">
        <f t="shared" si="41"/>
        <v>0</v>
      </c>
      <c r="I309" s="240" t="s">
        <v>1229</v>
      </c>
    </row>
    <row r="310" spans="1:9" s="109" customFormat="1" ht="13.5" customHeight="1" x14ac:dyDescent="0.25">
      <c r="A310" s="230">
        <v>114695</v>
      </c>
      <c r="B310" s="162" t="s">
        <v>1070</v>
      </c>
      <c r="C310" s="162" t="s">
        <v>2</v>
      </c>
      <c r="D310" s="162" t="s">
        <v>19</v>
      </c>
      <c r="E310" s="231">
        <v>43874</v>
      </c>
      <c r="F310" s="117">
        <v>1016.96</v>
      </c>
      <c r="G310" s="117">
        <f>SUMIF(CONFERÊNCIA!A:A,A310,CONFERÊNCIA!J:J)</f>
        <v>1016.96</v>
      </c>
      <c r="H310" s="118">
        <f t="shared" si="41"/>
        <v>0</v>
      </c>
      <c r="I310" s="240" t="s">
        <v>1229</v>
      </c>
    </row>
    <row r="311" spans="1:9" s="109" customFormat="1" ht="13.5" customHeight="1" x14ac:dyDescent="0.25">
      <c r="A311" s="230">
        <v>112954</v>
      </c>
      <c r="B311" s="162" t="s">
        <v>517</v>
      </c>
      <c r="C311" s="162" t="s">
        <v>2</v>
      </c>
      <c r="D311" s="162" t="s">
        <v>8</v>
      </c>
      <c r="E311" s="231">
        <v>43617</v>
      </c>
      <c r="F311" s="117">
        <v>1016.96</v>
      </c>
      <c r="G311" s="117">
        <f>SUMIF(CONFERÊNCIA!A:A,A311,CONFERÊNCIA!J:J)</f>
        <v>1016.96</v>
      </c>
      <c r="H311" s="118">
        <f t="shared" si="41"/>
        <v>0</v>
      </c>
      <c r="I311" s="240" t="s">
        <v>1230</v>
      </c>
    </row>
    <row r="312" spans="1:9" s="109" customFormat="1" ht="13.5" customHeight="1" x14ac:dyDescent="0.25">
      <c r="A312" s="230">
        <v>112956</v>
      </c>
      <c r="B312" s="162" t="s">
        <v>518</v>
      </c>
      <c r="C312" s="162" t="s">
        <v>5</v>
      </c>
      <c r="D312" s="162" t="s">
        <v>19</v>
      </c>
      <c r="E312" s="231">
        <v>43617</v>
      </c>
      <c r="F312" s="117">
        <v>1016.96</v>
      </c>
      <c r="G312" s="117">
        <f>SUMIF(CONFERÊNCIA!A:A,A312,CONFERÊNCIA!J:J)</f>
        <v>978.67000000000007</v>
      </c>
      <c r="H312" s="118">
        <f t="shared" si="41"/>
        <v>-38.289999999999964</v>
      </c>
      <c r="I312" s="240" t="s">
        <v>1229</v>
      </c>
    </row>
    <row r="313" spans="1:9" s="109" customFormat="1" ht="13.5" customHeight="1" x14ac:dyDescent="0.25">
      <c r="A313" s="230">
        <v>112961</v>
      </c>
      <c r="B313" s="162" t="s">
        <v>521</v>
      </c>
      <c r="C313" s="162" t="s">
        <v>15</v>
      </c>
      <c r="D313" s="162" t="s">
        <v>1578</v>
      </c>
      <c r="E313" s="231">
        <v>43617</v>
      </c>
      <c r="F313" s="117">
        <v>1016.96</v>
      </c>
      <c r="G313" s="117">
        <f>SUMIF(CONFERÊNCIA!A:A,A313,CONFERÊNCIA!J:J)</f>
        <v>1016.96</v>
      </c>
      <c r="H313" s="118">
        <f t="shared" si="41"/>
        <v>0</v>
      </c>
      <c r="I313" s="240" t="s">
        <v>1229</v>
      </c>
    </row>
    <row r="314" spans="1:9" s="124" customFormat="1" ht="13.5" customHeight="1" x14ac:dyDescent="0.25">
      <c r="A314" s="230">
        <v>114500</v>
      </c>
      <c r="B314" s="162" t="s">
        <v>1040</v>
      </c>
      <c r="C314" s="162" t="s">
        <v>5</v>
      </c>
      <c r="D314" s="162" t="s">
        <v>0</v>
      </c>
      <c r="E314" s="231">
        <v>43811</v>
      </c>
      <c r="F314" s="117">
        <v>940.39</v>
      </c>
      <c r="G314" s="117">
        <f>SUMIF(CONFERÊNCIA!A:A,A314,CONFERÊNCIA!J:J)</f>
        <v>978.67000000000007</v>
      </c>
      <c r="H314" s="119">
        <f t="shared" si="41"/>
        <v>38.280000000000086</v>
      </c>
      <c r="I314" s="240" t="s">
        <v>1229</v>
      </c>
    </row>
    <row r="315" spans="1:9" s="109" customFormat="1" ht="13.5" customHeight="1" x14ac:dyDescent="0.25">
      <c r="A315" s="230">
        <v>116326</v>
      </c>
      <c r="B315" s="162" t="s">
        <v>1205</v>
      </c>
      <c r="C315" s="162" t="s">
        <v>5</v>
      </c>
      <c r="D315" s="162" t="s">
        <v>10</v>
      </c>
      <c r="E315" s="231">
        <v>44308</v>
      </c>
      <c r="F315" s="117">
        <v>1016.96</v>
      </c>
      <c r="G315" s="117">
        <f>SUMIF(CONFERÊNCIA!A:A,A315,CONFERÊNCIA!J:J)</f>
        <v>1016.96</v>
      </c>
      <c r="H315" s="118">
        <f t="shared" si="41"/>
        <v>0</v>
      </c>
      <c r="I315" s="240" t="s">
        <v>1229</v>
      </c>
    </row>
    <row r="316" spans="1:9" s="124" customFormat="1" ht="13.5" customHeight="1" x14ac:dyDescent="0.25">
      <c r="A316" s="230">
        <v>113023</v>
      </c>
      <c r="B316" s="162" t="s">
        <v>545</v>
      </c>
      <c r="C316" s="162" t="s">
        <v>15</v>
      </c>
      <c r="D316" s="162" t="s">
        <v>1578</v>
      </c>
      <c r="E316" s="231">
        <v>43617</v>
      </c>
      <c r="F316" s="117">
        <v>1016.96</v>
      </c>
      <c r="G316" s="117">
        <f>SUMIF(CONFERÊNCIA!A:A,A316,CONFERÊNCIA!J:J)</f>
        <v>1016.96</v>
      </c>
      <c r="H316" s="119">
        <f t="shared" ref="H316:H321" si="42">G316-F316</f>
        <v>0</v>
      </c>
      <c r="I316" s="240" t="s">
        <v>1229</v>
      </c>
    </row>
    <row r="317" spans="1:9" s="109" customFormat="1" ht="13.5" customHeight="1" x14ac:dyDescent="0.25">
      <c r="A317" s="230">
        <v>113068</v>
      </c>
      <c r="B317" s="162" t="s">
        <v>567</v>
      </c>
      <c r="C317" s="162" t="s">
        <v>22</v>
      </c>
      <c r="D317" s="162" t="s">
        <v>1578</v>
      </c>
      <c r="E317" s="231">
        <v>43617</v>
      </c>
      <c r="F317" s="117">
        <v>1016.96</v>
      </c>
      <c r="G317" s="117">
        <f>SUMIF(CONFERÊNCIA!A:A,A317,CONFERÊNCIA!J:J)</f>
        <v>1016.96</v>
      </c>
      <c r="H317" s="118">
        <f t="shared" si="42"/>
        <v>0</v>
      </c>
      <c r="I317" s="240" t="s">
        <v>1230</v>
      </c>
    </row>
    <row r="318" spans="1:9" s="124" customFormat="1" ht="13.5" customHeight="1" x14ac:dyDescent="0.25">
      <c r="A318" s="230">
        <v>121030</v>
      </c>
      <c r="B318" s="162" t="s">
        <v>1512</v>
      </c>
      <c r="C318" s="162" t="s">
        <v>2</v>
      </c>
      <c r="D318" s="162" t="s">
        <v>10</v>
      </c>
      <c r="E318" s="231">
        <v>44900</v>
      </c>
      <c r="F318" s="117">
        <v>1016.96</v>
      </c>
      <c r="G318" s="117">
        <f>SUMIF(CONFERÊNCIA!A:A,A318,CONFERÊNCIA!J:J)</f>
        <v>1016.96</v>
      </c>
      <c r="H318" s="119">
        <f t="shared" si="42"/>
        <v>0</v>
      </c>
      <c r="I318" s="240" t="s">
        <v>1229</v>
      </c>
    </row>
    <row r="319" spans="1:9" s="124" customFormat="1" ht="13.5" customHeight="1" x14ac:dyDescent="0.25">
      <c r="A319" s="230">
        <v>113107</v>
      </c>
      <c r="B319" s="162" t="s">
        <v>587</v>
      </c>
      <c r="C319" s="162" t="s">
        <v>2</v>
      </c>
      <c r="D319" s="162" t="s">
        <v>8</v>
      </c>
      <c r="E319" s="231">
        <v>43617</v>
      </c>
      <c r="F319" s="117">
        <v>1016.96</v>
      </c>
      <c r="G319" s="117">
        <f>SUMIF(CONFERÊNCIA!A:A,A319,CONFERÊNCIA!J:J)</f>
        <v>1016.96</v>
      </c>
      <c r="H319" s="119">
        <f t="shared" si="42"/>
        <v>0</v>
      </c>
      <c r="I319" s="240" t="s">
        <v>1230</v>
      </c>
    </row>
    <row r="320" spans="1:9" s="109" customFormat="1" ht="13.5" customHeight="1" x14ac:dyDescent="0.25">
      <c r="A320" s="230">
        <v>113119</v>
      </c>
      <c r="B320" s="162" t="s">
        <v>595</v>
      </c>
      <c r="C320" s="162" t="s">
        <v>22</v>
      </c>
      <c r="D320" s="162" t="s">
        <v>1578</v>
      </c>
      <c r="E320" s="231">
        <v>43617</v>
      </c>
      <c r="F320" s="117">
        <v>1016.96</v>
      </c>
      <c r="G320" s="117">
        <f>SUMIF(CONFERÊNCIA!A:A,A320,CONFERÊNCIA!J:J)</f>
        <v>1016.96</v>
      </c>
      <c r="H320" s="118">
        <f t="shared" si="42"/>
        <v>0</v>
      </c>
      <c r="I320" s="240" t="s">
        <v>1229</v>
      </c>
    </row>
    <row r="321" spans="1:9" s="109" customFormat="1" ht="13.5" customHeight="1" x14ac:dyDescent="0.25">
      <c r="A321" s="230">
        <v>113157</v>
      </c>
      <c r="B321" s="162" t="s">
        <v>616</v>
      </c>
      <c r="C321" s="162" t="s">
        <v>2</v>
      </c>
      <c r="D321" s="162" t="s">
        <v>32</v>
      </c>
      <c r="E321" s="231">
        <v>43617</v>
      </c>
      <c r="F321" s="117">
        <v>1016.96</v>
      </c>
      <c r="G321" s="117">
        <f>SUMIF(CONFERÊNCIA!A:A,A321,CONFERÊNCIA!J:J)</f>
        <v>1016.96</v>
      </c>
      <c r="H321" s="118">
        <f t="shared" si="42"/>
        <v>0</v>
      </c>
      <c r="I321" s="240" t="s">
        <v>1229</v>
      </c>
    </row>
    <row r="322" spans="1:9" s="109" customFormat="1" ht="13.5" customHeight="1" x14ac:dyDescent="0.25">
      <c r="A322" s="230">
        <v>113204</v>
      </c>
      <c r="B322" s="162" t="s">
        <v>644</v>
      </c>
      <c r="C322" s="162" t="s">
        <v>5</v>
      </c>
      <c r="D322" s="162" t="s">
        <v>0</v>
      </c>
      <c r="E322" s="231">
        <v>43617</v>
      </c>
      <c r="F322" s="117">
        <v>1016.96</v>
      </c>
      <c r="G322" s="117">
        <f>SUMIF(CONFERÊNCIA!A:A,A322,CONFERÊNCIA!J:J)</f>
        <v>1016.96</v>
      </c>
      <c r="H322" s="118">
        <f t="shared" ref="H322:H326" si="43">G322-F322</f>
        <v>0</v>
      </c>
      <c r="I322" s="240" t="s">
        <v>1229</v>
      </c>
    </row>
    <row r="323" spans="1:9" s="109" customFormat="1" ht="13.5" customHeight="1" x14ac:dyDescent="0.25">
      <c r="A323" s="230">
        <v>116001</v>
      </c>
      <c r="B323" s="162" t="s">
        <v>1165</v>
      </c>
      <c r="C323" s="162" t="s">
        <v>2</v>
      </c>
      <c r="D323" s="162" t="s">
        <v>0</v>
      </c>
      <c r="E323" s="231">
        <v>44207</v>
      </c>
      <c r="F323" s="117">
        <v>1016.96</v>
      </c>
      <c r="G323" s="117">
        <f>SUMIF(CONFERÊNCIA!A:A,A323,CONFERÊNCIA!J:J)</f>
        <v>0</v>
      </c>
      <c r="H323" s="118">
        <f t="shared" si="43"/>
        <v>-1016.96</v>
      </c>
      <c r="I323" s="240" t="s">
        <v>1287</v>
      </c>
    </row>
    <row r="324" spans="1:9" s="109" customFormat="1" ht="13.5" customHeight="1" x14ac:dyDescent="0.25">
      <c r="A324" s="230">
        <v>113712</v>
      </c>
      <c r="B324" s="162" t="s">
        <v>928</v>
      </c>
      <c r="C324" s="162" t="s">
        <v>5</v>
      </c>
      <c r="D324" s="162" t="s">
        <v>10</v>
      </c>
      <c r="E324" s="231">
        <v>43619</v>
      </c>
      <c r="F324" s="117">
        <v>1016.96</v>
      </c>
      <c r="G324" s="117">
        <f>SUMIF(CONFERÊNCIA!A:A,A324,CONFERÊNCIA!J:J)</f>
        <v>1016.96</v>
      </c>
      <c r="H324" s="118">
        <f t="shared" si="43"/>
        <v>0</v>
      </c>
      <c r="I324" s="240" t="s">
        <v>1229</v>
      </c>
    </row>
    <row r="325" spans="1:9" s="124" customFormat="1" ht="13.5" customHeight="1" x14ac:dyDescent="0.25">
      <c r="A325" s="230">
        <v>121486</v>
      </c>
      <c r="B325" s="162" t="s">
        <v>1554</v>
      </c>
      <c r="C325" s="162" t="s">
        <v>15</v>
      </c>
      <c r="D325" s="162" t="s">
        <v>1578</v>
      </c>
      <c r="E325" s="231">
        <v>44967</v>
      </c>
      <c r="F325" s="117">
        <v>1016.96</v>
      </c>
      <c r="G325" s="117">
        <f>SUMIF(CONFERÊNCIA!A:A,A325,CONFERÊNCIA!J:J)</f>
        <v>1016.96</v>
      </c>
      <c r="H325" s="119">
        <f t="shared" si="43"/>
        <v>0</v>
      </c>
      <c r="I325" s="240" t="s">
        <v>1229</v>
      </c>
    </row>
    <row r="326" spans="1:9" s="124" customFormat="1" ht="13.5" customHeight="1" x14ac:dyDescent="0.25">
      <c r="A326" s="230">
        <v>113309</v>
      </c>
      <c r="B326" s="162" t="s">
        <v>699</v>
      </c>
      <c r="C326" s="162" t="s">
        <v>2</v>
      </c>
      <c r="D326" s="162" t="s">
        <v>0</v>
      </c>
      <c r="E326" s="231">
        <v>43617</v>
      </c>
      <c r="F326" s="117">
        <v>1016.96</v>
      </c>
      <c r="G326" s="117">
        <f>SUMIF(CONFERÊNCIA!A:A,A326,CONFERÊNCIA!J:J)</f>
        <v>1016.96</v>
      </c>
      <c r="H326" s="119">
        <f t="shared" si="43"/>
        <v>0</v>
      </c>
      <c r="I326" s="240" t="s">
        <v>1229</v>
      </c>
    </row>
    <row r="327" spans="1:9" s="109" customFormat="1" ht="13.5" customHeight="1" x14ac:dyDescent="0.25">
      <c r="A327" s="230">
        <v>113318</v>
      </c>
      <c r="B327" s="162" t="s">
        <v>703</v>
      </c>
      <c r="C327" s="162" t="s">
        <v>2</v>
      </c>
      <c r="D327" s="162" t="s">
        <v>19</v>
      </c>
      <c r="E327" s="231">
        <v>43617</v>
      </c>
      <c r="F327" s="117">
        <v>1016.96</v>
      </c>
      <c r="G327" s="117">
        <f>SUMIF(CONFERÊNCIA!A:A,A327,CONFERÊNCIA!J:J)</f>
        <v>1016.96</v>
      </c>
      <c r="H327" s="118">
        <f t="shared" ref="H327:H330" si="44">G327-F327</f>
        <v>0</v>
      </c>
      <c r="I327" s="240" t="s">
        <v>1230</v>
      </c>
    </row>
    <row r="328" spans="1:9" s="124" customFormat="1" ht="13.5" customHeight="1" x14ac:dyDescent="0.25">
      <c r="A328" s="230">
        <v>122334</v>
      </c>
      <c r="B328" s="162" t="s">
        <v>1652</v>
      </c>
      <c r="C328" s="162" t="s">
        <v>15</v>
      </c>
      <c r="D328" s="162" t="s">
        <v>1578</v>
      </c>
      <c r="E328" s="231">
        <v>45098</v>
      </c>
      <c r="F328" s="117">
        <v>1016.96</v>
      </c>
      <c r="G328" s="117">
        <f>SUMIF(CONFERÊNCIA!A:A,A328,CONFERÊNCIA!J:J)</f>
        <v>1016.96</v>
      </c>
      <c r="H328" s="119">
        <f t="shared" si="44"/>
        <v>0</v>
      </c>
      <c r="I328" s="240" t="s">
        <v>1229</v>
      </c>
    </row>
    <row r="329" spans="1:9" s="109" customFormat="1" ht="13.5" customHeight="1" x14ac:dyDescent="0.25">
      <c r="A329" s="230">
        <v>116085</v>
      </c>
      <c r="B329" s="162" t="s">
        <v>1180</v>
      </c>
      <c r="C329" s="162" t="s">
        <v>15</v>
      </c>
      <c r="D329" s="162" t="s">
        <v>1578</v>
      </c>
      <c r="E329" s="231">
        <v>44235</v>
      </c>
      <c r="F329" s="117">
        <v>1016.96</v>
      </c>
      <c r="G329" s="117">
        <f>SUMIF(CONFERÊNCIA!A:A,A329,CONFERÊNCIA!J:J)</f>
        <v>1016.96</v>
      </c>
      <c r="H329" s="118">
        <f t="shared" si="44"/>
        <v>0</v>
      </c>
      <c r="I329" s="240" t="s">
        <v>1229</v>
      </c>
    </row>
    <row r="330" spans="1:9" s="124" customFormat="1" ht="13.5" customHeight="1" x14ac:dyDescent="0.25">
      <c r="A330" s="230">
        <v>116225</v>
      </c>
      <c r="B330" s="162" t="s">
        <v>1189</v>
      </c>
      <c r="C330" s="162" t="s">
        <v>5</v>
      </c>
      <c r="D330" s="162" t="s">
        <v>0</v>
      </c>
      <c r="E330" s="231">
        <v>44273</v>
      </c>
      <c r="F330" s="117">
        <v>359.46</v>
      </c>
      <c r="G330" s="117">
        <f>SUMIF(CONFERÊNCIA!A:A,A330,CONFERÊNCIA!J:J)</f>
        <v>1069.56</v>
      </c>
      <c r="H330" s="119">
        <f t="shared" si="44"/>
        <v>710.09999999999991</v>
      </c>
      <c r="I330" s="240" t="s">
        <v>1229</v>
      </c>
    </row>
    <row r="331" spans="1:9" x14ac:dyDescent="0.25">
      <c r="A331" s="230">
        <v>113331</v>
      </c>
      <c r="B331" s="162" t="s">
        <v>711</v>
      </c>
      <c r="C331" s="162" t="s">
        <v>5</v>
      </c>
      <c r="D331" s="162" t="s">
        <v>1578</v>
      </c>
      <c r="E331" s="231">
        <v>43617</v>
      </c>
      <c r="F331" s="117">
        <v>1016.96</v>
      </c>
      <c r="G331" s="117">
        <f>SUMIF(CONFERÊNCIA!A:A,A331,CONFERÊNCIA!J:J)</f>
        <v>1016.96</v>
      </c>
      <c r="H331" s="119">
        <f t="shared" ref="H331:H345" si="45">G331-F331</f>
        <v>0</v>
      </c>
      <c r="I331" s="240" t="s">
        <v>1229</v>
      </c>
    </row>
    <row r="332" spans="1:9" x14ac:dyDescent="0.25">
      <c r="A332" s="230">
        <v>113341</v>
      </c>
      <c r="B332" s="162" t="s">
        <v>716</v>
      </c>
      <c r="C332" s="162" t="s">
        <v>2</v>
      </c>
      <c r="D332" s="162" t="s">
        <v>8</v>
      </c>
      <c r="E332" s="231">
        <v>43617</v>
      </c>
      <c r="F332" s="117">
        <v>1016.96</v>
      </c>
      <c r="G332" s="117">
        <f>SUMIF(CONFERÊNCIA!A:A,A332,CONFERÊNCIA!J:J)</f>
        <v>1016.96</v>
      </c>
      <c r="H332" s="119">
        <f t="shared" si="45"/>
        <v>0</v>
      </c>
      <c r="I332" s="240" t="s">
        <v>1229</v>
      </c>
    </row>
    <row r="333" spans="1:9" x14ac:dyDescent="0.25">
      <c r="A333" s="230">
        <v>113349</v>
      </c>
      <c r="B333" s="162" t="s">
        <v>1281</v>
      </c>
      <c r="C333" s="162" t="s">
        <v>15</v>
      </c>
      <c r="D333" s="162" t="s">
        <v>1578</v>
      </c>
      <c r="E333" s="231">
        <v>43617</v>
      </c>
      <c r="F333" s="117">
        <v>1016.96</v>
      </c>
      <c r="G333" s="117">
        <f>SUMIF(CONFERÊNCIA!A:A,A333,CONFERÊNCIA!J:J)</f>
        <v>1016.96</v>
      </c>
      <c r="H333" s="119">
        <f t="shared" si="45"/>
        <v>0</v>
      </c>
      <c r="I333" s="240" t="s">
        <v>1229</v>
      </c>
    </row>
    <row r="334" spans="1:9" x14ac:dyDescent="0.25">
      <c r="A334" s="230">
        <v>113354</v>
      </c>
      <c r="B334" s="162" t="s">
        <v>722</v>
      </c>
      <c r="C334" s="162" t="s">
        <v>5</v>
      </c>
      <c r="D334" s="162" t="s">
        <v>19</v>
      </c>
      <c r="E334" s="231">
        <v>43617</v>
      </c>
      <c r="F334" s="117">
        <v>1016.96</v>
      </c>
      <c r="G334" s="117">
        <f>SUMIF(CONFERÊNCIA!A:A,A334,CONFERÊNCIA!J:J)</f>
        <v>1016.96</v>
      </c>
      <c r="H334" s="119">
        <f t="shared" si="45"/>
        <v>0</v>
      </c>
      <c r="I334" s="240" t="s">
        <v>1230</v>
      </c>
    </row>
    <row r="335" spans="1:9" x14ac:dyDescent="0.25">
      <c r="A335" s="230">
        <v>116974</v>
      </c>
      <c r="B335" s="162" t="s">
        <v>1237</v>
      </c>
      <c r="C335" s="162" t="s">
        <v>5</v>
      </c>
      <c r="D335" s="162" t="s">
        <v>10</v>
      </c>
      <c r="E335" s="231">
        <v>44419</v>
      </c>
      <c r="F335" s="117">
        <v>1016.96</v>
      </c>
      <c r="G335" s="117">
        <f>SUMIF(CONFERÊNCIA!A:A,A335,CONFERÊNCIA!J:J)</f>
        <v>1016.96</v>
      </c>
      <c r="H335" s="119">
        <f t="shared" si="45"/>
        <v>0</v>
      </c>
      <c r="I335" s="240" t="s">
        <v>1229</v>
      </c>
    </row>
    <row r="336" spans="1:9" x14ac:dyDescent="0.25">
      <c r="A336" s="230">
        <v>113739</v>
      </c>
      <c r="B336" s="162" t="s">
        <v>958</v>
      </c>
      <c r="C336" s="162" t="s">
        <v>1429</v>
      </c>
      <c r="D336" s="162" t="s">
        <v>1580</v>
      </c>
      <c r="E336" s="231">
        <v>43619</v>
      </c>
      <c r="F336" s="117">
        <v>1016.96</v>
      </c>
      <c r="G336" s="117">
        <f>SUMIF(CONFERÊNCIA!A:A,A336,CONFERÊNCIA!J:J)</f>
        <v>1016.96</v>
      </c>
      <c r="H336" s="119">
        <f t="shared" si="45"/>
        <v>0</v>
      </c>
      <c r="I336" s="240" t="s">
        <v>1229</v>
      </c>
    </row>
    <row r="337" spans="1:9" x14ac:dyDescent="0.25">
      <c r="A337" s="230">
        <v>113361</v>
      </c>
      <c r="B337" s="162" t="s">
        <v>727</v>
      </c>
      <c r="C337" s="162" t="s">
        <v>15</v>
      </c>
      <c r="D337" s="162" t="s">
        <v>1578</v>
      </c>
      <c r="E337" s="231">
        <v>43620</v>
      </c>
      <c r="F337" s="117">
        <v>1016.96</v>
      </c>
      <c r="G337" s="117">
        <f>SUMIF(CONFERÊNCIA!A:A,A337,CONFERÊNCIA!J:J)</f>
        <v>1016.96</v>
      </c>
      <c r="H337" s="119">
        <f t="shared" si="45"/>
        <v>0</v>
      </c>
      <c r="I337" s="240" t="s">
        <v>1229</v>
      </c>
    </row>
    <row r="338" spans="1:9" x14ac:dyDescent="0.25">
      <c r="A338" s="230">
        <v>113364</v>
      </c>
      <c r="B338" s="162" t="s">
        <v>730</v>
      </c>
      <c r="C338" s="162" t="s">
        <v>2</v>
      </c>
      <c r="D338" s="162" t="s">
        <v>19</v>
      </c>
      <c r="E338" s="231">
        <v>43617</v>
      </c>
      <c r="F338" s="117">
        <v>1016.96</v>
      </c>
      <c r="G338" s="117">
        <f>SUMIF(CONFERÊNCIA!A:A,A338,CONFERÊNCIA!J:J)</f>
        <v>1016.96</v>
      </c>
      <c r="H338" s="119">
        <f t="shared" si="45"/>
        <v>0</v>
      </c>
      <c r="I338" s="240" t="s">
        <v>1230</v>
      </c>
    </row>
    <row r="339" spans="1:9" x14ac:dyDescent="0.25">
      <c r="A339" s="230">
        <v>113368</v>
      </c>
      <c r="B339" s="162" t="s">
        <v>733</v>
      </c>
      <c r="C339" s="162" t="s">
        <v>2</v>
      </c>
      <c r="D339" s="162" t="s">
        <v>19</v>
      </c>
      <c r="E339" s="231">
        <v>43617</v>
      </c>
      <c r="F339" s="117">
        <v>1016.96</v>
      </c>
      <c r="G339" s="117">
        <f>SUMIF(CONFERÊNCIA!A:A,A339,CONFERÊNCIA!J:J)</f>
        <v>1016.96</v>
      </c>
      <c r="H339" s="119">
        <f t="shared" si="45"/>
        <v>0</v>
      </c>
      <c r="I339" s="240" t="s">
        <v>1230</v>
      </c>
    </row>
    <row r="340" spans="1:9" x14ac:dyDescent="0.25">
      <c r="A340" s="230">
        <v>113374</v>
      </c>
      <c r="B340" s="162" t="s">
        <v>736</v>
      </c>
      <c r="C340" s="162" t="s">
        <v>2</v>
      </c>
      <c r="D340" s="162" t="s">
        <v>8</v>
      </c>
      <c r="E340" s="231">
        <v>43617</v>
      </c>
      <c r="F340" s="117">
        <v>1016.96</v>
      </c>
      <c r="G340" s="117">
        <f>SUMIF(CONFERÊNCIA!A:A,A340,CONFERÊNCIA!J:J)</f>
        <v>1016.96</v>
      </c>
      <c r="H340" s="119">
        <f t="shared" si="45"/>
        <v>0</v>
      </c>
      <c r="I340" s="240" t="s">
        <v>1230</v>
      </c>
    </row>
    <row r="341" spans="1:9" x14ac:dyDescent="0.25">
      <c r="A341" s="230">
        <v>117358</v>
      </c>
      <c r="B341" s="162" t="s">
        <v>1262</v>
      </c>
      <c r="C341" s="162" t="s">
        <v>15</v>
      </c>
      <c r="D341" s="162" t="s">
        <v>1578</v>
      </c>
      <c r="E341" s="231">
        <v>44508</v>
      </c>
      <c r="F341" s="117">
        <v>1016.96</v>
      </c>
      <c r="G341" s="117">
        <f>SUMIF(CONFERÊNCIA!A:A,A341,CONFERÊNCIA!J:J)</f>
        <v>1016.96</v>
      </c>
      <c r="H341" s="119">
        <f t="shared" si="45"/>
        <v>0</v>
      </c>
      <c r="I341" s="240" t="s">
        <v>1229</v>
      </c>
    </row>
    <row r="342" spans="1:9" x14ac:dyDescent="0.25">
      <c r="A342" s="230">
        <v>121675</v>
      </c>
      <c r="B342" s="162" t="s">
        <v>1585</v>
      </c>
      <c r="C342" s="162" t="s">
        <v>5</v>
      </c>
      <c r="D342" s="162" t="s">
        <v>10</v>
      </c>
      <c r="E342" s="231">
        <v>44994</v>
      </c>
      <c r="F342" s="117">
        <v>1016.96</v>
      </c>
      <c r="G342" s="117">
        <f>SUMIF(CONFERÊNCIA!A:A,A342,CONFERÊNCIA!J:J)</f>
        <v>1016.96</v>
      </c>
      <c r="H342" s="119">
        <f t="shared" si="45"/>
        <v>0</v>
      </c>
      <c r="I342" s="240" t="s">
        <v>1229</v>
      </c>
    </row>
    <row r="343" spans="1:9" x14ac:dyDescent="0.25">
      <c r="A343" s="230">
        <v>119645</v>
      </c>
      <c r="B343" s="162" t="s">
        <v>1457</v>
      </c>
      <c r="C343" s="162" t="s">
        <v>5</v>
      </c>
      <c r="D343" s="162" t="s">
        <v>0</v>
      </c>
      <c r="E343" s="231">
        <v>44725</v>
      </c>
      <c r="F343" s="117">
        <v>1016.96</v>
      </c>
      <c r="G343" s="117">
        <f>SUMIF(CONFERÊNCIA!A:A,A343,CONFERÊNCIA!J:J)</f>
        <v>1016.96</v>
      </c>
      <c r="H343" s="119">
        <f t="shared" si="45"/>
        <v>0</v>
      </c>
      <c r="I343" s="240" t="s">
        <v>1229</v>
      </c>
    </row>
    <row r="344" spans="1:9" x14ac:dyDescent="0.25">
      <c r="A344" s="230">
        <v>116226</v>
      </c>
      <c r="B344" s="162" t="s">
        <v>1190</v>
      </c>
      <c r="C344" s="162" t="s">
        <v>5</v>
      </c>
      <c r="D344" s="162" t="s">
        <v>0</v>
      </c>
      <c r="E344" s="231">
        <v>44273</v>
      </c>
      <c r="F344" s="117">
        <v>863.83</v>
      </c>
      <c r="G344" s="117">
        <f>SUMIF(CONFERÊNCIA!A:A,A344,CONFERÊNCIA!J:J)</f>
        <v>1016.96</v>
      </c>
      <c r="H344" s="119">
        <f t="shared" si="45"/>
        <v>153.13</v>
      </c>
      <c r="I344" s="240" t="s">
        <v>1230</v>
      </c>
    </row>
    <row r="345" spans="1:9" x14ac:dyDescent="0.25">
      <c r="A345" s="230">
        <v>113390</v>
      </c>
      <c r="B345" s="162" t="s">
        <v>747</v>
      </c>
      <c r="C345" s="162" t="s">
        <v>469</v>
      </c>
      <c r="D345" s="162" t="s">
        <v>10</v>
      </c>
      <c r="E345" s="231">
        <v>43617</v>
      </c>
      <c r="F345" s="117">
        <v>1016.96</v>
      </c>
      <c r="G345" s="117">
        <f>SUMIF(CONFERÊNCIA!A:A,A345,CONFERÊNCIA!J:J)</f>
        <v>1016.96</v>
      </c>
      <c r="H345" s="119">
        <f t="shared" si="45"/>
        <v>0</v>
      </c>
      <c r="I345" s="240" t="s">
        <v>1229</v>
      </c>
    </row>
    <row r="346" spans="1:9" x14ac:dyDescent="0.25">
      <c r="A346" s="230">
        <v>113392</v>
      </c>
      <c r="B346" s="162" t="s">
        <v>750</v>
      </c>
      <c r="C346" s="162" t="s">
        <v>2</v>
      </c>
      <c r="D346" s="162" t="s">
        <v>10</v>
      </c>
      <c r="E346" s="231">
        <v>43617</v>
      </c>
      <c r="F346" s="117">
        <v>1016.96</v>
      </c>
      <c r="G346" s="117">
        <f>SUMIF(CONFERÊNCIA!A:A,A346,CONFERÊNCIA!J:J)</f>
        <v>1016.96</v>
      </c>
      <c r="H346" s="119">
        <f t="shared" ref="H346:H359" si="46">G346-F346</f>
        <v>0</v>
      </c>
      <c r="I346" s="240" t="s">
        <v>1229</v>
      </c>
    </row>
    <row r="347" spans="1:9" x14ac:dyDescent="0.25">
      <c r="A347" s="230">
        <v>113404</v>
      </c>
      <c r="B347" s="162" t="s">
        <v>748</v>
      </c>
      <c r="C347" s="162" t="s">
        <v>182</v>
      </c>
      <c r="D347" s="162" t="s">
        <v>8</v>
      </c>
      <c r="E347" s="231">
        <v>43617</v>
      </c>
      <c r="F347" s="117">
        <v>1016.96</v>
      </c>
      <c r="G347" s="117">
        <f>SUMIF(CONFERÊNCIA!A:A,A347,CONFERÊNCIA!J:J)</f>
        <v>1016.96</v>
      </c>
      <c r="H347" s="119">
        <f t="shared" si="46"/>
        <v>0</v>
      </c>
      <c r="I347" s="240" t="s">
        <v>1229</v>
      </c>
    </row>
    <row r="348" spans="1:9" x14ac:dyDescent="0.25">
      <c r="A348" s="230">
        <v>112825</v>
      </c>
      <c r="B348" s="162" t="s">
        <v>438</v>
      </c>
      <c r="C348" s="162" t="s">
        <v>15</v>
      </c>
      <c r="D348" s="162" t="s">
        <v>1578</v>
      </c>
      <c r="E348" s="231">
        <v>43617</v>
      </c>
      <c r="F348" s="117">
        <v>1016.96</v>
      </c>
      <c r="G348" s="117">
        <f>SUMIF(CONFERÊNCIA!A:A,A348,CONFERÊNCIA!J:J)</f>
        <v>1016.96</v>
      </c>
      <c r="H348" s="119">
        <f t="shared" si="46"/>
        <v>0</v>
      </c>
      <c r="I348" s="240" t="s">
        <v>1229</v>
      </c>
    </row>
    <row r="349" spans="1:9" x14ac:dyDescent="0.25">
      <c r="A349" s="230">
        <v>112830</v>
      </c>
      <c r="B349" s="162" t="s">
        <v>441</v>
      </c>
      <c r="C349" s="162" t="s">
        <v>5</v>
      </c>
      <c r="D349" s="162" t="s">
        <v>10</v>
      </c>
      <c r="E349" s="231">
        <v>43617</v>
      </c>
      <c r="F349" s="117">
        <v>1016.96</v>
      </c>
      <c r="G349" s="117">
        <f>SUMIF(CONFERÊNCIA!A:A,A349,CONFERÊNCIA!J:J)</f>
        <v>1016.96</v>
      </c>
      <c r="H349" s="119">
        <f t="shared" si="46"/>
        <v>0</v>
      </c>
      <c r="I349" s="240" t="s">
        <v>1230</v>
      </c>
    </row>
    <row r="350" spans="1:9" x14ac:dyDescent="0.25">
      <c r="A350" s="230">
        <v>112838</v>
      </c>
      <c r="B350" s="162" t="s">
        <v>446</v>
      </c>
      <c r="C350" s="162" t="s">
        <v>15</v>
      </c>
      <c r="D350" s="162" t="s">
        <v>1578</v>
      </c>
      <c r="E350" s="231">
        <v>43617</v>
      </c>
      <c r="F350" s="117">
        <v>1016.96</v>
      </c>
      <c r="G350" s="117">
        <f>SUMIF(CONFERÊNCIA!A:A,A350,CONFERÊNCIA!J:J)</f>
        <v>1016.96</v>
      </c>
      <c r="H350" s="119">
        <f t="shared" si="46"/>
        <v>0</v>
      </c>
      <c r="I350" s="240" t="s">
        <v>1229</v>
      </c>
    </row>
    <row r="351" spans="1:9" x14ac:dyDescent="0.25">
      <c r="A351" s="230">
        <v>113726</v>
      </c>
      <c r="B351" s="162" t="s">
        <v>942</v>
      </c>
      <c r="C351" s="162" t="s">
        <v>5</v>
      </c>
      <c r="D351" s="162" t="s">
        <v>0</v>
      </c>
      <c r="E351" s="231">
        <v>43619</v>
      </c>
      <c r="F351" s="117">
        <v>1016.96</v>
      </c>
      <c r="G351" s="117">
        <f>SUMIF(CONFERÊNCIA!A:A,A351,CONFERÊNCIA!J:J)</f>
        <v>1016.96</v>
      </c>
      <c r="H351" s="119">
        <f t="shared" si="46"/>
        <v>0</v>
      </c>
      <c r="I351" s="240" t="s">
        <v>1229</v>
      </c>
    </row>
    <row r="352" spans="1:9" x14ac:dyDescent="0.25">
      <c r="A352" s="230">
        <v>112847</v>
      </c>
      <c r="B352" s="162" t="s">
        <v>450</v>
      </c>
      <c r="C352" s="162" t="s">
        <v>39</v>
      </c>
      <c r="D352" s="162" t="s">
        <v>10</v>
      </c>
      <c r="E352" s="231">
        <v>43617</v>
      </c>
      <c r="F352" s="117">
        <v>1016.96</v>
      </c>
      <c r="G352" s="117">
        <f>SUMIF(CONFERÊNCIA!A:A,A352,CONFERÊNCIA!J:J)</f>
        <v>1016.96</v>
      </c>
      <c r="H352" s="119">
        <f t="shared" si="46"/>
        <v>0</v>
      </c>
      <c r="I352" s="240" t="s">
        <v>1229</v>
      </c>
    </row>
    <row r="353" spans="1:9" x14ac:dyDescent="0.25">
      <c r="A353" s="230">
        <v>112850</v>
      </c>
      <c r="B353" s="162" t="s">
        <v>452</v>
      </c>
      <c r="C353" s="162" t="s">
        <v>15</v>
      </c>
      <c r="D353" s="162" t="s">
        <v>1578</v>
      </c>
      <c r="E353" s="231">
        <v>43617</v>
      </c>
      <c r="F353" s="117">
        <v>1016.96</v>
      </c>
      <c r="G353" s="117">
        <f>SUMIF(CONFERÊNCIA!A:A,A353,CONFERÊNCIA!J:J)</f>
        <v>1016.96</v>
      </c>
      <c r="H353" s="119">
        <f t="shared" si="46"/>
        <v>0</v>
      </c>
      <c r="I353" s="240" t="s">
        <v>1229</v>
      </c>
    </row>
    <row r="354" spans="1:9" x14ac:dyDescent="0.25">
      <c r="A354" s="230">
        <v>112858</v>
      </c>
      <c r="B354" s="162" t="s">
        <v>456</v>
      </c>
      <c r="C354" s="162" t="s">
        <v>15</v>
      </c>
      <c r="D354" s="162" t="s">
        <v>1578</v>
      </c>
      <c r="E354" s="231">
        <v>43617</v>
      </c>
      <c r="F354" s="117">
        <v>1016.96</v>
      </c>
      <c r="G354" s="117">
        <f>SUMIF(CONFERÊNCIA!A:A,A354,CONFERÊNCIA!J:J)</f>
        <v>1016.96</v>
      </c>
      <c r="H354" s="119">
        <f t="shared" si="46"/>
        <v>0</v>
      </c>
      <c r="I354" s="240" t="s">
        <v>1230</v>
      </c>
    </row>
    <row r="355" spans="1:9" x14ac:dyDescent="0.25">
      <c r="A355" s="230">
        <v>112866</v>
      </c>
      <c r="B355" s="162" t="s">
        <v>461</v>
      </c>
      <c r="C355" s="162" t="s">
        <v>2</v>
      </c>
      <c r="D355" s="162" t="s">
        <v>8</v>
      </c>
      <c r="E355" s="231">
        <v>43617</v>
      </c>
      <c r="F355" s="117">
        <v>1016.96</v>
      </c>
      <c r="G355" s="117">
        <f>SUMIF(CONFERÊNCIA!A:A,A355,CONFERÊNCIA!J:J)</f>
        <v>1016.96</v>
      </c>
      <c r="H355" s="119">
        <f t="shared" si="46"/>
        <v>0</v>
      </c>
      <c r="I355" s="240" t="s">
        <v>1230</v>
      </c>
    </row>
    <row r="356" spans="1:9" x14ac:dyDescent="0.25">
      <c r="A356" s="230">
        <v>112867</v>
      </c>
      <c r="B356" s="162" t="s">
        <v>462</v>
      </c>
      <c r="C356" s="162" t="s">
        <v>2</v>
      </c>
      <c r="D356" s="162" t="s">
        <v>8</v>
      </c>
      <c r="E356" s="231">
        <v>43617</v>
      </c>
      <c r="F356" s="117">
        <v>1016.96</v>
      </c>
      <c r="G356" s="117">
        <f>SUMIF(CONFERÊNCIA!A:A,A356,CONFERÊNCIA!J:J)</f>
        <v>1016.96</v>
      </c>
      <c r="H356" s="119">
        <f t="shared" si="46"/>
        <v>0</v>
      </c>
      <c r="I356" s="240" t="s">
        <v>1230</v>
      </c>
    </row>
    <row r="357" spans="1:9" x14ac:dyDescent="0.25">
      <c r="A357" s="230">
        <v>112874</v>
      </c>
      <c r="B357" s="162" t="s">
        <v>466</v>
      </c>
      <c r="C357" s="162" t="s">
        <v>15</v>
      </c>
      <c r="D357" s="162" t="s">
        <v>1578</v>
      </c>
      <c r="E357" s="231">
        <v>43617</v>
      </c>
      <c r="F357" s="117">
        <v>1016.96</v>
      </c>
      <c r="G357" s="117">
        <f>SUMIF(CONFERÊNCIA!A:A,A357,CONFERÊNCIA!J:J)</f>
        <v>1016.96</v>
      </c>
      <c r="H357" s="119">
        <f t="shared" si="46"/>
        <v>0</v>
      </c>
      <c r="I357" s="240" t="s">
        <v>1229</v>
      </c>
    </row>
    <row r="358" spans="1:9" x14ac:dyDescent="0.25">
      <c r="A358" s="230">
        <v>112881</v>
      </c>
      <c r="B358" s="162" t="s">
        <v>472</v>
      </c>
      <c r="C358" s="162" t="s">
        <v>2</v>
      </c>
      <c r="D358" s="162" t="s">
        <v>0</v>
      </c>
      <c r="E358" s="231">
        <v>43617</v>
      </c>
      <c r="F358" s="117">
        <v>1016.96</v>
      </c>
      <c r="G358" s="117">
        <f>SUMIF(CONFERÊNCIA!A:A,A358,CONFERÊNCIA!J:J)</f>
        <v>1016.96</v>
      </c>
      <c r="H358" s="119">
        <f t="shared" si="46"/>
        <v>0</v>
      </c>
      <c r="I358" s="240" t="s">
        <v>1229</v>
      </c>
    </row>
    <row r="359" spans="1:9" x14ac:dyDescent="0.25">
      <c r="A359" s="230">
        <v>112878</v>
      </c>
      <c r="B359" s="162" t="s">
        <v>471</v>
      </c>
      <c r="C359" s="162" t="s">
        <v>15</v>
      </c>
      <c r="D359" s="162" t="s">
        <v>1578</v>
      </c>
      <c r="E359" s="231">
        <v>43617</v>
      </c>
      <c r="F359" s="117">
        <v>1016.96</v>
      </c>
      <c r="G359" s="117">
        <f>SUMIF(CONFERÊNCIA!A:A,A359,CONFERÊNCIA!J:J)</f>
        <v>1016.96</v>
      </c>
      <c r="H359" s="119">
        <f t="shared" si="46"/>
        <v>0</v>
      </c>
      <c r="I359" s="240" t="s">
        <v>1229</v>
      </c>
    </row>
    <row r="360" spans="1:9" x14ac:dyDescent="0.25">
      <c r="A360" s="230">
        <v>119662</v>
      </c>
      <c r="B360" s="162" t="s">
        <v>1458</v>
      </c>
      <c r="C360" s="162" t="s">
        <v>15</v>
      </c>
      <c r="D360" s="162" t="s">
        <v>1578</v>
      </c>
      <c r="E360" s="231">
        <v>44725</v>
      </c>
      <c r="F360" s="117">
        <v>1016.96</v>
      </c>
      <c r="G360" s="117">
        <f>SUMIF(CONFERÊNCIA!A:A,A360,CONFERÊNCIA!J:J)</f>
        <v>1016.96</v>
      </c>
      <c r="H360" s="119">
        <f t="shared" ref="H360:H373" si="47">G360-F360</f>
        <v>0</v>
      </c>
      <c r="I360" s="240" t="s">
        <v>1229</v>
      </c>
    </row>
    <row r="361" spans="1:9" x14ac:dyDescent="0.25">
      <c r="A361" s="230">
        <v>115231</v>
      </c>
      <c r="B361" s="162" t="s">
        <v>1147</v>
      </c>
      <c r="C361" s="162" t="s">
        <v>5</v>
      </c>
      <c r="D361" s="162" t="s">
        <v>1578</v>
      </c>
      <c r="E361" s="231">
        <v>44018</v>
      </c>
      <c r="F361" s="117">
        <v>1016.96</v>
      </c>
      <c r="G361" s="117">
        <f>SUMIF(CONFERÊNCIA!A:A,A361,CONFERÊNCIA!J:J)</f>
        <v>1016.96</v>
      </c>
      <c r="H361" s="119">
        <f t="shared" si="47"/>
        <v>0</v>
      </c>
      <c r="I361" s="240" t="s">
        <v>1229</v>
      </c>
    </row>
    <row r="362" spans="1:9" x14ac:dyDescent="0.25">
      <c r="A362" s="230">
        <v>113416</v>
      </c>
      <c r="B362" s="162" t="s">
        <v>765</v>
      </c>
      <c r="C362" s="162" t="s">
        <v>2</v>
      </c>
      <c r="D362" s="162" t="s">
        <v>0</v>
      </c>
      <c r="E362" s="231">
        <v>43617</v>
      </c>
      <c r="F362" s="117">
        <v>1016.96</v>
      </c>
      <c r="G362" s="117">
        <f>SUMIF(CONFERÊNCIA!A:A,A362,CONFERÊNCIA!J:J)</f>
        <v>1016.96</v>
      </c>
      <c r="H362" s="119">
        <f t="shared" si="47"/>
        <v>0</v>
      </c>
      <c r="I362" s="240" t="s">
        <v>1229</v>
      </c>
    </row>
    <row r="363" spans="1:9" x14ac:dyDescent="0.25">
      <c r="A363" s="230">
        <v>117359</v>
      </c>
      <c r="B363" s="162" t="s">
        <v>1263</v>
      </c>
      <c r="C363" s="162" t="s">
        <v>15</v>
      </c>
      <c r="D363" s="162" t="s">
        <v>1578</v>
      </c>
      <c r="E363" s="231">
        <v>44508</v>
      </c>
      <c r="F363" s="117">
        <v>1016.96</v>
      </c>
      <c r="G363" s="117">
        <f>SUMIF(CONFERÊNCIA!A:A,A363,CONFERÊNCIA!J:J)</f>
        <v>1016.96</v>
      </c>
      <c r="H363" s="119">
        <f t="shared" si="47"/>
        <v>0</v>
      </c>
      <c r="I363" s="240" t="s">
        <v>1229</v>
      </c>
    </row>
    <row r="364" spans="1:9" x14ac:dyDescent="0.25">
      <c r="A364" s="230">
        <v>114977</v>
      </c>
      <c r="B364" s="162" t="s">
        <v>1133</v>
      </c>
      <c r="C364" s="162" t="s">
        <v>5</v>
      </c>
      <c r="D364" s="162" t="s">
        <v>1578</v>
      </c>
      <c r="E364" s="231">
        <v>43917</v>
      </c>
      <c r="F364" s="117">
        <v>1016.96</v>
      </c>
      <c r="G364" s="117">
        <f>SUMIF(CONFERÊNCIA!A:A,A364,CONFERÊNCIA!J:J)</f>
        <v>1016.96</v>
      </c>
      <c r="H364" s="119">
        <f t="shared" si="47"/>
        <v>0</v>
      </c>
      <c r="I364" s="240" t="s">
        <v>1229</v>
      </c>
    </row>
    <row r="365" spans="1:9" x14ac:dyDescent="0.25">
      <c r="A365" s="230">
        <v>113442</v>
      </c>
      <c r="B365" s="162" t="s">
        <v>782</v>
      </c>
      <c r="C365" s="162" t="s">
        <v>2</v>
      </c>
      <c r="D365" s="162" t="s">
        <v>0</v>
      </c>
      <c r="E365" s="231">
        <v>43617</v>
      </c>
      <c r="F365" s="117">
        <v>1016.96</v>
      </c>
      <c r="G365" s="117">
        <f>SUMIF(CONFERÊNCIA!A:A,A365,CONFERÊNCIA!J:J)</f>
        <v>1016.96</v>
      </c>
      <c r="H365" s="119">
        <f t="shared" si="47"/>
        <v>0</v>
      </c>
      <c r="I365" s="240" t="s">
        <v>1229</v>
      </c>
    </row>
    <row r="366" spans="1:9" x14ac:dyDescent="0.25">
      <c r="A366" s="230">
        <v>115216</v>
      </c>
      <c r="B366" s="162" t="s">
        <v>1141</v>
      </c>
      <c r="C366" s="162" t="s">
        <v>5</v>
      </c>
      <c r="D366" s="162" t="s">
        <v>8</v>
      </c>
      <c r="E366" s="231">
        <v>44018</v>
      </c>
      <c r="F366" s="117">
        <v>1016.96</v>
      </c>
      <c r="G366" s="117">
        <f>SUMIF(CONFERÊNCIA!A:A,A366,CONFERÊNCIA!J:J)</f>
        <v>1016.96</v>
      </c>
      <c r="H366" s="119">
        <f t="shared" si="47"/>
        <v>0</v>
      </c>
      <c r="I366" s="240" t="s">
        <v>1229</v>
      </c>
    </row>
    <row r="367" spans="1:9" x14ac:dyDescent="0.25">
      <c r="A367" s="230">
        <v>113447</v>
      </c>
      <c r="B367" s="162" t="s">
        <v>784</v>
      </c>
      <c r="C367" s="162" t="s">
        <v>720</v>
      </c>
      <c r="D367" s="162" t="s">
        <v>1578</v>
      </c>
      <c r="E367" s="231">
        <v>43617</v>
      </c>
      <c r="F367" s="117">
        <v>1016.96</v>
      </c>
      <c r="G367" s="117">
        <f>SUMIF(CONFERÊNCIA!A:A,A367,CONFERÊNCIA!J:J)</f>
        <v>1016.96</v>
      </c>
      <c r="H367" s="119">
        <f t="shared" si="47"/>
        <v>0</v>
      </c>
      <c r="I367" s="240" t="s">
        <v>1229</v>
      </c>
    </row>
    <row r="368" spans="1:9" x14ac:dyDescent="0.25">
      <c r="A368" s="230">
        <v>113457</v>
      </c>
      <c r="B368" s="162" t="s">
        <v>788</v>
      </c>
      <c r="C368" s="162" t="s">
        <v>2</v>
      </c>
      <c r="D368" s="162" t="s">
        <v>32</v>
      </c>
      <c r="E368" s="231">
        <v>43617</v>
      </c>
      <c r="F368" s="117">
        <v>1016.96</v>
      </c>
      <c r="G368" s="117">
        <f>SUMIF(CONFERÊNCIA!A:A,A368,CONFERÊNCIA!J:J)</f>
        <v>1016.96</v>
      </c>
      <c r="H368" s="119">
        <f t="shared" si="47"/>
        <v>0</v>
      </c>
      <c r="I368" s="240" t="s">
        <v>1229</v>
      </c>
    </row>
    <row r="369" spans="1:9" x14ac:dyDescent="0.25">
      <c r="A369" s="230">
        <v>122574</v>
      </c>
      <c r="B369" s="162" t="s">
        <v>1681</v>
      </c>
      <c r="C369" s="162" t="s">
        <v>15</v>
      </c>
      <c r="D369" s="162" t="s">
        <v>1578</v>
      </c>
      <c r="E369" s="231">
        <v>45131</v>
      </c>
      <c r="F369" s="117">
        <v>1016.96</v>
      </c>
      <c r="G369" s="117">
        <f>SUMIF(CONFERÊNCIA!A:A,A369,CONFERÊNCIA!J:J)</f>
        <v>1016.96</v>
      </c>
      <c r="H369" s="119">
        <f t="shared" si="47"/>
        <v>0</v>
      </c>
      <c r="I369" s="240" t="s">
        <v>1229</v>
      </c>
    </row>
    <row r="370" spans="1:9" x14ac:dyDescent="0.25">
      <c r="A370" s="230">
        <v>113460</v>
      </c>
      <c r="B370" s="162" t="s">
        <v>791</v>
      </c>
      <c r="C370" s="162" t="s">
        <v>22</v>
      </c>
      <c r="D370" s="162" t="s">
        <v>1578</v>
      </c>
      <c r="E370" s="231">
        <v>43617</v>
      </c>
      <c r="F370" s="117">
        <v>1016.96</v>
      </c>
      <c r="G370" s="117">
        <f>SUMIF(CONFERÊNCIA!A:A,A370,CONFERÊNCIA!J:J)</f>
        <v>1016.96</v>
      </c>
      <c r="H370" s="119">
        <f t="shared" si="47"/>
        <v>0</v>
      </c>
      <c r="I370" s="240" t="s">
        <v>1229</v>
      </c>
    </row>
    <row r="371" spans="1:9" x14ac:dyDescent="0.25">
      <c r="A371" s="230">
        <v>113469</v>
      </c>
      <c r="B371" s="162" t="s">
        <v>796</v>
      </c>
      <c r="C371" s="162" t="s">
        <v>5</v>
      </c>
      <c r="D371" s="162" t="s">
        <v>0</v>
      </c>
      <c r="E371" s="231">
        <v>43617</v>
      </c>
      <c r="F371" s="117">
        <v>1016.96</v>
      </c>
      <c r="G371" s="117">
        <f>SUMIF(CONFERÊNCIA!A:A,A371,CONFERÊNCIA!J:J)</f>
        <v>1016.96</v>
      </c>
      <c r="H371" s="119">
        <f t="shared" si="47"/>
        <v>0</v>
      </c>
      <c r="I371" s="240" t="s">
        <v>1229</v>
      </c>
    </row>
    <row r="372" spans="1:9" x14ac:dyDescent="0.25">
      <c r="A372" s="230">
        <v>113491</v>
      </c>
      <c r="B372" s="162" t="s">
        <v>808</v>
      </c>
      <c r="C372" s="162" t="s">
        <v>5</v>
      </c>
      <c r="D372" s="162" t="s">
        <v>32</v>
      </c>
      <c r="E372" s="231">
        <v>43617</v>
      </c>
      <c r="F372" s="117">
        <v>1016.96</v>
      </c>
      <c r="G372" s="117">
        <f>SUMIF(CONFERÊNCIA!A:A,A372,CONFERÊNCIA!J:J)</f>
        <v>1016.96</v>
      </c>
      <c r="H372" s="119">
        <f t="shared" si="47"/>
        <v>0</v>
      </c>
      <c r="I372" s="240" t="s">
        <v>1229</v>
      </c>
    </row>
    <row r="373" spans="1:9" x14ac:dyDescent="0.25">
      <c r="A373" s="230">
        <v>113498</v>
      </c>
      <c r="B373" s="162" t="s">
        <v>810</v>
      </c>
      <c r="C373" s="162" t="s">
        <v>5</v>
      </c>
      <c r="D373" s="162" t="s">
        <v>19</v>
      </c>
      <c r="E373" s="231">
        <v>43617</v>
      </c>
      <c r="F373" s="117">
        <v>1016.96</v>
      </c>
      <c r="G373" s="117">
        <f>SUMIF(CONFERÊNCIA!A:A,A373,CONFERÊNCIA!J:J)</f>
        <v>978.67000000000007</v>
      </c>
      <c r="H373" s="119">
        <f t="shared" si="47"/>
        <v>-38.289999999999964</v>
      </c>
      <c r="I373" s="240" t="s">
        <v>1230</v>
      </c>
    </row>
    <row r="374" spans="1:9" x14ac:dyDescent="0.25">
      <c r="A374" s="230">
        <v>113510</v>
      </c>
      <c r="B374" s="162" t="s">
        <v>816</v>
      </c>
      <c r="C374" s="162" t="s">
        <v>15</v>
      </c>
      <c r="D374" s="162" t="s">
        <v>1578</v>
      </c>
      <c r="E374" s="231">
        <v>43617</v>
      </c>
      <c r="F374" s="117">
        <v>1016.96</v>
      </c>
      <c r="G374" s="117">
        <f>SUMIF(CONFERÊNCIA!A:A,A374,CONFERÊNCIA!J:J)</f>
        <v>1016.96</v>
      </c>
      <c r="H374" s="119">
        <f t="shared" ref="H374:H391" si="48">G374-F374</f>
        <v>0</v>
      </c>
      <c r="I374" s="240" t="s">
        <v>1229</v>
      </c>
    </row>
    <row r="375" spans="1:9" x14ac:dyDescent="0.25">
      <c r="A375" s="230">
        <v>113512</v>
      </c>
      <c r="B375" s="162" t="s">
        <v>817</v>
      </c>
      <c r="C375" s="162" t="s">
        <v>5</v>
      </c>
      <c r="D375" s="162" t="s">
        <v>8</v>
      </c>
      <c r="E375" s="231">
        <v>43617</v>
      </c>
      <c r="F375" s="117">
        <v>1016.96</v>
      </c>
      <c r="G375" s="117">
        <f>SUMIF(CONFERÊNCIA!A:A,A375,CONFERÊNCIA!J:J)</f>
        <v>1016.96</v>
      </c>
      <c r="H375" s="119">
        <f t="shared" si="48"/>
        <v>0</v>
      </c>
      <c r="I375" s="240" t="s">
        <v>1230</v>
      </c>
    </row>
    <row r="376" spans="1:9" x14ac:dyDescent="0.25">
      <c r="A376" s="230">
        <v>113516</v>
      </c>
      <c r="B376" s="162" t="s">
        <v>819</v>
      </c>
      <c r="C376" s="162" t="s">
        <v>2</v>
      </c>
      <c r="D376" s="162" t="s">
        <v>10</v>
      </c>
      <c r="E376" s="231">
        <v>43617</v>
      </c>
      <c r="F376" s="117">
        <v>1016.96</v>
      </c>
      <c r="G376" s="117">
        <f>SUMIF(CONFERÊNCIA!A:A,A376,CONFERÊNCIA!J:J)</f>
        <v>1016.96</v>
      </c>
      <c r="H376" s="119">
        <f t="shared" si="48"/>
        <v>0</v>
      </c>
      <c r="I376" s="240" t="s">
        <v>1229</v>
      </c>
    </row>
    <row r="377" spans="1:9" x14ac:dyDescent="0.25">
      <c r="A377" s="230">
        <v>114108</v>
      </c>
      <c r="B377" s="162" t="s">
        <v>1008</v>
      </c>
      <c r="C377" s="162" t="s">
        <v>5</v>
      </c>
      <c r="D377" s="162" t="s">
        <v>8</v>
      </c>
      <c r="E377" s="231">
        <v>43728</v>
      </c>
      <c r="F377" s="117">
        <v>1016.96</v>
      </c>
      <c r="G377" s="117">
        <f>SUMIF(CONFERÊNCIA!A:A,A377,CONFERÊNCIA!J:J)</f>
        <v>1016.96</v>
      </c>
      <c r="H377" s="119">
        <f t="shared" si="48"/>
        <v>0</v>
      </c>
      <c r="I377" s="240" t="s">
        <v>1229</v>
      </c>
    </row>
    <row r="378" spans="1:9" x14ac:dyDescent="0.25">
      <c r="A378" s="230">
        <v>113521</v>
      </c>
      <c r="B378" s="162" t="s">
        <v>822</v>
      </c>
      <c r="C378" s="162" t="s">
        <v>2</v>
      </c>
      <c r="D378" s="162" t="s">
        <v>0</v>
      </c>
      <c r="E378" s="231">
        <v>43617</v>
      </c>
      <c r="F378" s="117">
        <v>1016.96</v>
      </c>
      <c r="G378" s="117">
        <f>SUMIF(CONFERÊNCIA!A:A,A378,CONFERÊNCIA!J:J)</f>
        <v>1016.96</v>
      </c>
      <c r="H378" s="119">
        <f t="shared" si="48"/>
        <v>0</v>
      </c>
      <c r="I378" s="240" t="s">
        <v>1229</v>
      </c>
    </row>
    <row r="379" spans="1:9" x14ac:dyDescent="0.25">
      <c r="A379" s="230">
        <v>116327</v>
      </c>
      <c r="B379" s="162" t="s">
        <v>1513</v>
      </c>
      <c r="C379" s="162" t="s">
        <v>5</v>
      </c>
      <c r="D379" s="162" t="s">
        <v>0</v>
      </c>
      <c r="E379" s="231">
        <v>44308</v>
      </c>
      <c r="F379" s="117">
        <v>1016.96</v>
      </c>
      <c r="G379" s="117">
        <f>SUMIF(CONFERÊNCIA!A:A,A379,CONFERÊNCIA!J:J)</f>
        <v>1016.96</v>
      </c>
      <c r="H379" s="119">
        <f t="shared" si="48"/>
        <v>0</v>
      </c>
      <c r="I379" s="240" t="s">
        <v>1229</v>
      </c>
    </row>
    <row r="380" spans="1:9" x14ac:dyDescent="0.25">
      <c r="A380" s="230">
        <v>113524</v>
      </c>
      <c r="B380" s="162" t="s">
        <v>823</v>
      </c>
      <c r="C380" s="162" t="s">
        <v>5</v>
      </c>
      <c r="D380" s="162" t="s">
        <v>19</v>
      </c>
      <c r="E380" s="231">
        <v>43617</v>
      </c>
      <c r="F380" s="117">
        <v>1016.96</v>
      </c>
      <c r="G380" s="117">
        <f>SUMIF(CONFERÊNCIA!A:A,A380,CONFERÊNCIA!J:J)</f>
        <v>1016.96</v>
      </c>
      <c r="H380" s="119">
        <f t="shared" si="48"/>
        <v>0</v>
      </c>
      <c r="I380" s="240" t="s">
        <v>1229</v>
      </c>
    </row>
    <row r="381" spans="1:9" x14ac:dyDescent="0.25">
      <c r="A381" s="230">
        <v>113530</v>
      </c>
      <c r="B381" s="162" t="s">
        <v>826</v>
      </c>
      <c r="C381" s="162" t="s">
        <v>2</v>
      </c>
      <c r="D381" s="162" t="s">
        <v>0</v>
      </c>
      <c r="E381" s="231">
        <v>43617</v>
      </c>
      <c r="F381" s="117">
        <v>1016.96</v>
      </c>
      <c r="G381" s="117">
        <f>SUMIF(CONFERÊNCIA!A:A,A381,CONFERÊNCIA!J:J)</f>
        <v>1016.96</v>
      </c>
      <c r="H381" s="119">
        <f t="shared" si="48"/>
        <v>0</v>
      </c>
      <c r="I381" s="240" t="s">
        <v>1229</v>
      </c>
    </row>
    <row r="382" spans="1:9" x14ac:dyDescent="0.25">
      <c r="A382" s="230">
        <v>113532</v>
      </c>
      <c r="B382" s="162" t="s">
        <v>828</v>
      </c>
      <c r="C382" s="162" t="s">
        <v>5</v>
      </c>
      <c r="D382" s="162" t="s">
        <v>10</v>
      </c>
      <c r="E382" s="231">
        <v>43617</v>
      </c>
      <c r="F382" s="117">
        <v>1016.96</v>
      </c>
      <c r="G382" s="117">
        <f>SUMIF(CONFERÊNCIA!A:A,A382,CONFERÊNCIA!J:J)</f>
        <v>1016.96</v>
      </c>
      <c r="H382" s="119">
        <f t="shared" si="48"/>
        <v>0</v>
      </c>
      <c r="I382" s="240" t="s">
        <v>1229</v>
      </c>
    </row>
    <row r="383" spans="1:9" x14ac:dyDescent="0.25">
      <c r="A383" s="230">
        <v>113535</v>
      </c>
      <c r="B383" s="162" t="s">
        <v>830</v>
      </c>
      <c r="C383" s="162" t="s">
        <v>1441</v>
      </c>
      <c r="D383" s="162" t="s">
        <v>1578</v>
      </c>
      <c r="E383" s="231">
        <v>43617</v>
      </c>
      <c r="F383" s="117">
        <v>1016.96</v>
      </c>
      <c r="G383" s="117">
        <f>SUMIF(CONFERÊNCIA!A:A,A383,CONFERÊNCIA!J:J)</f>
        <v>1016.96</v>
      </c>
      <c r="H383" s="119">
        <f t="shared" si="48"/>
        <v>0</v>
      </c>
      <c r="I383" s="240" t="s">
        <v>1229</v>
      </c>
    </row>
    <row r="384" spans="1:9" x14ac:dyDescent="0.25">
      <c r="A384" s="230">
        <v>113537</v>
      </c>
      <c r="B384" s="162" t="s">
        <v>832</v>
      </c>
      <c r="C384" s="162" t="s">
        <v>2</v>
      </c>
      <c r="D384" s="162" t="s">
        <v>0</v>
      </c>
      <c r="E384" s="231">
        <v>43617</v>
      </c>
      <c r="F384" s="117">
        <v>1016.96</v>
      </c>
      <c r="G384" s="117">
        <f>SUMIF(CONFERÊNCIA!A:A,A384,CONFERÊNCIA!J:J)</f>
        <v>1016.96</v>
      </c>
      <c r="H384" s="119">
        <f t="shared" si="48"/>
        <v>0</v>
      </c>
      <c r="I384" s="240" t="s">
        <v>1230</v>
      </c>
    </row>
    <row r="385" spans="1:9" x14ac:dyDescent="0.25">
      <c r="A385" s="230">
        <v>113541</v>
      </c>
      <c r="B385" s="162" t="s">
        <v>834</v>
      </c>
      <c r="C385" s="162" t="s">
        <v>7</v>
      </c>
      <c r="D385" s="162" t="s">
        <v>1578</v>
      </c>
      <c r="E385" s="231">
        <v>43617</v>
      </c>
      <c r="F385" s="117">
        <v>1016.96</v>
      </c>
      <c r="G385" s="117">
        <f>SUMIF(CONFERÊNCIA!A:A,A385,CONFERÊNCIA!J:J)</f>
        <v>1016.96</v>
      </c>
      <c r="H385" s="119">
        <f t="shared" si="48"/>
        <v>0</v>
      </c>
      <c r="I385" s="240" t="s">
        <v>1229</v>
      </c>
    </row>
    <row r="386" spans="1:9" x14ac:dyDescent="0.25">
      <c r="A386" s="230">
        <v>113548</v>
      </c>
      <c r="B386" s="162" t="s">
        <v>839</v>
      </c>
      <c r="C386" s="162" t="s">
        <v>5</v>
      </c>
      <c r="D386" s="162" t="s">
        <v>0</v>
      </c>
      <c r="E386" s="231">
        <v>43617</v>
      </c>
      <c r="F386" s="117">
        <v>1016.96</v>
      </c>
      <c r="G386" s="117">
        <f>SUMIF(CONFERÊNCIA!A:A,A386,CONFERÊNCIA!J:J)</f>
        <v>1016.96</v>
      </c>
      <c r="H386" s="119">
        <f t="shared" si="48"/>
        <v>0</v>
      </c>
      <c r="I386" s="240" t="s">
        <v>1229</v>
      </c>
    </row>
    <row r="387" spans="1:9" x14ac:dyDescent="0.25">
      <c r="A387" s="230">
        <v>113551</v>
      </c>
      <c r="B387" s="162" t="s">
        <v>842</v>
      </c>
      <c r="C387" s="162" t="s">
        <v>2</v>
      </c>
      <c r="D387" s="162" t="s">
        <v>0</v>
      </c>
      <c r="E387" s="231">
        <v>43617</v>
      </c>
      <c r="F387" s="117">
        <v>1016.96</v>
      </c>
      <c r="G387" s="117">
        <f>SUMIF(CONFERÊNCIA!A:A,A387,CONFERÊNCIA!J:J)</f>
        <v>1016.96</v>
      </c>
      <c r="H387" s="119">
        <f t="shared" si="48"/>
        <v>0</v>
      </c>
      <c r="I387" s="240" t="s">
        <v>1230</v>
      </c>
    </row>
    <row r="388" spans="1:9" x14ac:dyDescent="0.25">
      <c r="A388" s="230">
        <v>114697</v>
      </c>
      <c r="B388" s="162" t="s">
        <v>1071</v>
      </c>
      <c r="C388" s="162" t="s">
        <v>39</v>
      </c>
      <c r="D388" s="162" t="s">
        <v>32</v>
      </c>
      <c r="E388" s="231">
        <v>43874</v>
      </c>
      <c r="F388" s="117">
        <v>1016.96</v>
      </c>
      <c r="G388" s="117">
        <f>SUMIF(CONFERÊNCIA!A:A,A388,CONFERÊNCIA!J:J)</f>
        <v>1016.96</v>
      </c>
      <c r="H388" s="119">
        <f t="shared" si="48"/>
        <v>0</v>
      </c>
      <c r="I388" s="240" t="s">
        <v>1229</v>
      </c>
    </row>
    <row r="389" spans="1:9" x14ac:dyDescent="0.25">
      <c r="A389" s="230">
        <v>113594</v>
      </c>
      <c r="B389" s="162" t="s">
        <v>864</v>
      </c>
      <c r="C389" s="162" t="s">
        <v>5</v>
      </c>
      <c r="D389" s="162" t="s">
        <v>0</v>
      </c>
      <c r="E389" s="231">
        <v>43617</v>
      </c>
      <c r="F389" s="117">
        <v>1016.96</v>
      </c>
      <c r="G389" s="117">
        <f>SUMIF(CONFERÊNCIA!A:A,A389,CONFERÊNCIA!J:J)</f>
        <v>1016.96</v>
      </c>
      <c r="H389" s="119">
        <f t="shared" si="48"/>
        <v>0</v>
      </c>
      <c r="I389" s="240" t="s">
        <v>1229</v>
      </c>
    </row>
    <row r="390" spans="1:9" x14ac:dyDescent="0.25">
      <c r="A390" s="230">
        <v>113566</v>
      </c>
      <c r="B390" s="162" t="s">
        <v>851</v>
      </c>
      <c r="C390" s="162" t="s">
        <v>2</v>
      </c>
      <c r="D390" s="162" t="s">
        <v>0</v>
      </c>
      <c r="E390" s="231">
        <v>43617</v>
      </c>
      <c r="F390" s="117">
        <v>1016.96</v>
      </c>
      <c r="G390" s="117">
        <f>SUMIF(CONFERÊNCIA!A:A,A390,CONFERÊNCIA!J:J)</f>
        <v>1016.96</v>
      </c>
      <c r="H390" s="119">
        <f t="shared" si="48"/>
        <v>0</v>
      </c>
      <c r="I390" s="240" t="s">
        <v>1229</v>
      </c>
    </row>
    <row r="391" spans="1:9" x14ac:dyDescent="0.25">
      <c r="A391" s="230">
        <v>113597</v>
      </c>
      <c r="B391" s="162" t="s">
        <v>865</v>
      </c>
      <c r="C391" s="162" t="s">
        <v>2</v>
      </c>
      <c r="D391" s="162" t="s">
        <v>8</v>
      </c>
      <c r="E391" s="231">
        <v>43617</v>
      </c>
      <c r="F391" s="117">
        <v>1016.96</v>
      </c>
      <c r="G391" s="117">
        <f>SUMIF(CONFERÊNCIA!A:A,A391,CONFERÊNCIA!J:J)</f>
        <v>1016.96</v>
      </c>
      <c r="H391" s="119">
        <f t="shared" si="48"/>
        <v>0</v>
      </c>
      <c r="I391" s="240" t="s">
        <v>1230</v>
      </c>
    </row>
    <row r="392" spans="1:9" x14ac:dyDescent="0.25">
      <c r="A392" s="230">
        <v>113579</v>
      </c>
      <c r="B392" s="162" t="s">
        <v>855</v>
      </c>
      <c r="C392" s="162" t="s">
        <v>2</v>
      </c>
      <c r="D392" s="162" t="s">
        <v>8</v>
      </c>
      <c r="E392" s="231">
        <v>43617</v>
      </c>
      <c r="F392" s="117">
        <v>1016.96</v>
      </c>
      <c r="G392" s="117">
        <f>SUMIF(CONFERÊNCIA!A:A,A392,CONFERÊNCIA!J:J)</f>
        <v>1016.96</v>
      </c>
      <c r="H392" s="119">
        <f t="shared" ref="H392:H402" si="49">G392-F392</f>
        <v>0</v>
      </c>
      <c r="I392" s="240" t="s">
        <v>1229</v>
      </c>
    </row>
    <row r="393" spans="1:9" x14ac:dyDescent="0.25">
      <c r="A393" s="230">
        <v>113584</v>
      </c>
      <c r="B393" s="162" t="s">
        <v>857</v>
      </c>
      <c r="C393" s="162" t="s">
        <v>39</v>
      </c>
      <c r="D393" s="162" t="s">
        <v>0</v>
      </c>
      <c r="E393" s="231">
        <v>43617</v>
      </c>
      <c r="F393" s="117">
        <v>1016.96</v>
      </c>
      <c r="G393" s="117">
        <f>SUMIF(CONFERÊNCIA!A:A,A393,CONFERÊNCIA!J:J)</f>
        <v>1016.96</v>
      </c>
      <c r="H393" s="119">
        <f t="shared" si="49"/>
        <v>0</v>
      </c>
      <c r="I393" s="240" t="s">
        <v>1229</v>
      </c>
    </row>
    <row r="394" spans="1:9" x14ac:dyDescent="0.25">
      <c r="A394" s="230">
        <v>113586</v>
      </c>
      <c r="B394" s="162" t="s">
        <v>859</v>
      </c>
      <c r="C394" s="162" t="s">
        <v>2</v>
      </c>
      <c r="D394" s="162" t="s">
        <v>10</v>
      </c>
      <c r="E394" s="231">
        <v>43617</v>
      </c>
      <c r="F394" s="117">
        <v>1016.96</v>
      </c>
      <c r="G394" s="117">
        <f>SUMIF(CONFERÊNCIA!A:A,A394,CONFERÊNCIA!J:J)</f>
        <v>1016.96</v>
      </c>
      <c r="H394" s="119">
        <f t="shared" si="49"/>
        <v>0</v>
      </c>
      <c r="I394" s="240" t="s">
        <v>1229</v>
      </c>
    </row>
    <row r="395" spans="1:9" x14ac:dyDescent="0.25">
      <c r="A395" s="230">
        <v>113589</v>
      </c>
      <c r="B395" s="162" t="s">
        <v>1397</v>
      </c>
      <c r="C395" s="162" t="s">
        <v>5</v>
      </c>
      <c r="D395" s="162" t="s">
        <v>10</v>
      </c>
      <c r="E395" s="231">
        <v>43617</v>
      </c>
      <c r="F395" s="117">
        <v>1016.96</v>
      </c>
      <c r="G395" s="117">
        <f>SUMIF(CONFERÊNCIA!A:A,A395,CONFERÊNCIA!J:J)</f>
        <v>1016.96</v>
      </c>
      <c r="H395" s="119">
        <f t="shared" si="49"/>
        <v>0</v>
      </c>
      <c r="I395" s="240" t="s">
        <v>1229</v>
      </c>
    </row>
    <row r="396" spans="1:9" x14ac:dyDescent="0.25">
      <c r="A396" s="230">
        <v>114525</v>
      </c>
      <c r="B396" s="162" t="s">
        <v>1046</v>
      </c>
      <c r="C396" s="162" t="s">
        <v>15</v>
      </c>
      <c r="D396" s="162" t="s">
        <v>1578</v>
      </c>
      <c r="E396" s="231">
        <v>43813</v>
      </c>
      <c r="F396" s="117">
        <v>1016.96</v>
      </c>
      <c r="G396" s="117">
        <f>SUMIF(CONFERÊNCIA!A:A,A396,CONFERÊNCIA!J:J)</f>
        <v>1016.96</v>
      </c>
      <c r="H396" s="119">
        <f t="shared" si="49"/>
        <v>0</v>
      </c>
      <c r="I396" s="240" t="s">
        <v>1229</v>
      </c>
    </row>
    <row r="397" spans="1:9" x14ac:dyDescent="0.25">
      <c r="A397" s="230">
        <v>113590</v>
      </c>
      <c r="B397" s="162" t="s">
        <v>862</v>
      </c>
      <c r="C397" s="162" t="s">
        <v>5</v>
      </c>
      <c r="D397" s="162" t="s">
        <v>10</v>
      </c>
      <c r="E397" s="231">
        <v>43617</v>
      </c>
      <c r="F397" s="117">
        <v>1016.96</v>
      </c>
      <c r="G397" s="117">
        <f>SUMIF(CONFERÊNCIA!A:A,A397,CONFERÊNCIA!J:J)</f>
        <v>1016.96</v>
      </c>
      <c r="H397" s="119">
        <f t="shared" si="49"/>
        <v>0</v>
      </c>
      <c r="I397" s="240" t="s">
        <v>1229</v>
      </c>
    </row>
    <row r="398" spans="1:9" x14ac:dyDescent="0.25">
      <c r="A398" s="230">
        <v>113592</v>
      </c>
      <c r="B398" s="162" t="s">
        <v>863</v>
      </c>
      <c r="C398" s="162" t="s">
        <v>15</v>
      </c>
      <c r="D398" s="162" t="s">
        <v>1578</v>
      </c>
      <c r="E398" s="231">
        <v>43617</v>
      </c>
      <c r="F398" s="117">
        <v>1016.96</v>
      </c>
      <c r="G398" s="117">
        <f>SUMIF(CONFERÊNCIA!A:A,A398,CONFERÊNCIA!J:J)</f>
        <v>1016.96</v>
      </c>
      <c r="H398" s="119">
        <f t="shared" si="49"/>
        <v>0</v>
      </c>
      <c r="I398" s="240" t="s">
        <v>1229</v>
      </c>
    </row>
    <row r="399" spans="1:9" x14ac:dyDescent="0.25">
      <c r="A399" s="230">
        <v>121428</v>
      </c>
      <c r="B399" s="162" t="s">
        <v>1556</v>
      </c>
      <c r="C399" s="162" t="s">
        <v>5</v>
      </c>
      <c r="D399" s="162" t="s">
        <v>1578</v>
      </c>
      <c r="E399" s="231">
        <v>44967</v>
      </c>
      <c r="F399" s="117">
        <v>1016.96</v>
      </c>
      <c r="G399" s="117">
        <f>SUMIF(CONFERÊNCIA!A:A,A399,CONFERÊNCIA!J:J)</f>
        <v>1016.96</v>
      </c>
      <c r="H399" s="119">
        <f t="shared" si="49"/>
        <v>0</v>
      </c>
      <c r="I399" s="240" t="s">
        <v>1229</v>
      </c>
    </row>
    <row r="400" spans="1:9" x14ac:dyDescent="0.25">
      <c r="A400" s="230">
        <v>113603</v>
      </c>
      <c r="B400" s="162" t="s">
        <v>868</v>
      </c>
      <c r="C400" s="162" t="s">
        <v>39</v>
      </c>
      <c r="D400" s="162" t="s">
        <v>8</v>
      </c>
      <c r="E400" s="231">
        <v>43617</v>
      </c>
      <c r="F400" s="117">
        <v>978.67000000000007</v>
      </c>
      <c r="G400" s="117">
        <f>SUMIF(CONFERÊNCIA!A:A,A400,CONFERÊNCIA!J:J)</f>
        <v>1016.96</v>
      </c>
      <c r="H400" s="119">
        <f t="shared" si="49"/>
        <v>38.289999999999964</v>
      </c>
      <c r="I400" s="240" t="s">
        <v>1229</v>
      </c>
    </row>
    <row r="401" spans="1:9" x14ac:dyDescent="0.25">
      <c r="A401" s="230">
        <v>113607</v>
      </c>
      <c r="B401" s="162" t="s">
        <v>869</v>
      </c>
      <c r="C401" s="162" t="s">
        <v>15</v>
      </c>
      <c r="D401" s="162" t="s">
        <v>1578</v>
      </c>
      <c r="E401" s="231">
        <v>43617</v>
      </c>
      <c r="F401" s="117">
        <v>1016.96</v>
      </c>
      <c r="G401" s="117">
        <f>SUMIF(CONFERÊNCIA!A:A,A401,CONFERÊNCIA!J:J)</f>
        <v>1016.96</v>
      </c>
      <c r="H401" s="119">
        <f t="shared" si="49"/>
        <v>0</v>
      </c>
      <c r="I401" s="240" t="s">
        <v>1229</v>
      </c>
    </row>
    <row r="402" spans="1:9" x14ac:dyDescent="0.25">
      <c r="A402" s="230">
        <v>113609</v>
      </c>
      <c r="B402" s="162" t="s">
        <v>871</v>
      </c>
      <c r="C402" s="162" t="s">
        <v>5</v>
      </c>
      <c r="D402" s="162" t="s">
        <v>10</v>
      </c>
      <c r="E402" s="231">
        <v>43617</v>
      </c>
      <c r="F402" s="117">
        <v>1016.96</v>
      </c>
      <c r="G402" s="117">
        <f>SUMIF(CONFERÊNCIA!A:A,A402,CONFERÊNCIA!J:J)</f>
        <v>1016.96</v>
      </c>
      <c r="H402" s="119">
        <f t="shared" si="49"/>
        <v>0</v>
      </c>
      <c r="I402" s="240" t="s">
        <v>1229</v>
      </c>
    </row>
    <row r="403" spans="1:9" x14ac:dyDescent="0.25">
      <c r="A403" s="230">
        <v>113661</v>
      </c>
      <c r="B403" s="162" t="s">
        <v>900</v>
      </c>
      <c r="C403" s="162" t="s">
        <v>2</v>
      </c>
      <c r="D403" s="162" t="s">
        <v>8</v>
      </c>
      <c r="E403" s="231">
        <v>43617</v>
      </c>
      <c r="F403" s="117">
        <v>1016.96</v>
      </c>
      <c r="G403" s="117">
        <f>SUMIF(CONFERÊNCIA!A:A,A403,CONFERÊNCIA!J:J)</f>
        <v>1016.96</v>
      </c>
      <c r="H403" s="119">
        <f t="shared" ref="H403:H415" si="50">G403-F403</f>
        <v>0</v>
      </c>
      <c r="I403" s="240" t="s">
        <v>1229</v>
      </c>
    </row>
    <row r="404" spans="1:9" x14ac:dyDescent="0.25">
      <c r="A404" s="230">
        <v>113612</v>
      </c>
      <c r="B404" s="162" t="s">
        <v>873</v>
      </c>
      <c r="C404" s="162" t="s">
        <v>2</v>
      </c>
      <c r="D404" s="162" t="s">
        <v>8</v>
      </c>
      <c r="E404" s="231">
        <v>43617</v>
      </c>
      <c r="F404" s="117">
        <v>1016.96</v>
      </c>
      <c r="G404" s="117">
        <f>SUMIF(CONFERÊNCIA!A:A,A404,CONFERÊNCIA!J:J)</f>
        <v>1016.96</v>
      </c>
      <c r="H404" s="119">
        <f t="shared" si="50"/>
        <v>0</v>
      </c>
      <c r="I404" s="240" t="s">
        <v>1229</v>
      </c>
    </row>
    <row r="405" spans="1:9" x14ac:dyDescent="0.25">
      <c r="A405" s="230">
        <v>113619</v>
      </c>
      <c r="B405" s="162" t="s">
        <v>876</v>
      </c>
      <c r="C405" s="162" t="s">
        <v>5</v>
      </c>
      <c r="D405" s="162" t="s">
        <v>8</v>
      </c>
      <c r="E405" s="231">
        <v>43617</v>
      </c>
      <c r="F405" s="117">
        <v>1016.96</v>
      </c>
      <c r="G405" s="117">
        <f>SUMIF(CONFERÊNCIA!A:A,A405,CONFERÊNCIA!J:J)</f>
        <v>1016.96</v>
      </c>
      <c r="H405" s="119">
        <f t="shared" si="50"/>
        <v>0</v>
      </c>
      <c r="I405" s="240" t="s">
        <v>1229</v>
      </c>
    </row>
    <row r="406" spans="1:9" x14ac:dyDescent="0.25">
      <c r="A406" s="230">
        <v>113623</v>
      </c>
      <c r="B406" s="162" t="s">
        <v>877</v>
      </c>
      <c r="C406" s="162" t="s">
        <v>2</v>
      </c>
      <c r="D406" s="162" t="s">
        <v>19</v>
      </c>
      <c r="E406" s="231">
        <v>43617</v>
      </c>
      <c r="F406" s="117">
        <v>1016.96</v>
      </c>
      <c r="G406" s="117">
        <f>SUMIF(CONFERÊNCIA!A:A,A406,CONFERÊNCIA!J:J)</f>
        <v>1016.96</v>
      </c>
      <c r="H406" s="119">
        <f t="shared" si="50"/>
        <v>0</v>
      </c>
      <c r="I406" s="240" t="s">
        <v>1230</v>
      </c>
    </row>
    <row r="407" spans="1:9" x14ac:dyDescent="0.25">
      <c r="A407" s="230">
        <v>113626</v>
      </c>
      <c r="B407" s="162" t="s">
        <v>879</v>
      </c>
      <c r="C407" s="162" t="s">
        <v>410</v>
      </c>
      <c r="D407" s="162" t="s">
        <v>1578</v>
      </c>
      <c r="E407" s="231">
        <v>43617</v>
      </c>
      <c r="F407" s="117">
        <v>1309.18</v>
      </c>
      <c r="G407" s="117">
        <f>SUMIF(CONFERÊNCIA!A:A,A407,CONFERÊNCIA!J:J)</f>
        <v>1016.96</v>
      </c>
      <c r="H407" s="119">
        <f t="shared" si="50"/>
        <v>-292.22000000000003</v>
      </c>
      <c r="I407" s="240" t="s">
        <v>1229</v>
      </c>
    </row>
    <row r="408" spans="1:9" x14ac:dyDescent="0.25">
      <c r="A408" s="230">
        <v>113636</v>
      </c>
      <c r="B408" s="162" t="s">
        <v>887</v>
      </c>
      <c r="C408" s="162" t="s">
        <v>5</v>
      </c>
      <c r="D408" s="162" t="s">
        <v>19</v>
      </c>
      <c r="E408" s="231">
        <v>43617</v>
      </c>
      <c r="F408" s="117">
        <v>1016.96</v>
      </c>
      <c r="G408" s="117">
        <f>SUMIF(CONFERÊNCIA!A:A,A408,CONFERÊNCIA!J:J)</f>
        <v>1016.96</v>
      </c>
      <c r="H408" s="119">
        <f t="shared" si="50"/>
        <v>0</v>
      </c>
      <c r="I408" s="240" t="s">
        <v>1230</v>
      </c>
    </row>
    <row r="409" spans="1:9" x14ac:dyDescent="0.25">
      <c r="A409" s="230">
        <v>113674</v>
      </c>
      <c r="B409" s="162" t="s">
        <v>908</v>
      </c>
      <c r="C409" s="162" t="s">
        <v>2</v>
      </c>
      <c r="D409" s="162" t="s">
        <v>8</v>
      </c>
      <c r="E409" s="231">
        <v>43617</v>
      </c>
      <c r="F409" s="117">
        <v>1016.96</v>
      </c>
      <c r="G409" s="117">
        <f>SUMIF(CONFERÊNCIA!A:A,A409,CONFERÊNCIA!J:J)</f>
        <v>1016.96</v>
      </c>
      <c r="H409" s="119">
        <f t="shared" si="50"/>
        <v>0</v>
      </c>
      <c r="I409" s="240" t="s">
        <v>1229</v>
      </c>
    </row>
    <row r="410" spans="1:9" x14ac:dyDescent="0.25">
      <c r="A410" s="230">
        <v>122081</v>
      </c>
      <c r="B410" s="162" t="s">
        <v>1626</v>
      </c>
      <c r="C410" s="162" t="s">
        <v>5</v>
      </c>
      <c r="D410" s="162" t="s">
        <v>10</v>
      </c>
      <c r="E410" s="231">
        <v>45061</v>
      </c>
      <c r="F410" s="117">
        <v>1016.96</v>
      </c>
      <c r="G410" s="117">
        <f>SUMIF(CONFERÊNCIA!A:A,A410,CONFERÊNCIA!J:J)</f>
        <v>1016.96</v>
      </c>
      <c r="H410" s="119">
        <f t="shared" si="50"/>
        <v>0</v>
      </c>
      <c r="I410" s="240" t="s">
        <v>1229</v>
      </c>
    </row>
    <row r="411" spans="1:9" x14ac:dyDescent="0.25">
      <c r="A411" s="230">
        <v>113785</v>
      </c>
      <c r="B411" s="162" t="s">
        <v>979</v>
      </c>
      <c r="C411" s="162" t="s">
        <v>15</v>
      </c>
      <c r="D411" s="162" t="s">
        <v>1578</v>
      </c>
      <c r="E411" s="231">
        <v>43624</v>
      </c>
      <c r="F411" s="117">
        <v>1016.96</v>
      </c>
      <c r="G411" s="117">
        <f>SUMIF(CONFERÊNCIA!A:A,A411,CONFERÊNCIA!J:J)</f>
        <v>1016.96</v>
      </c>
      <c r="H411" s="119">
        <f t="shared" si="50"/>
        <v>0</v>
      </c>
      <c r="I411" s="240" t="s">
        <v>1229</v>
      </c>
    </row>
    <row r="412" spans="1:9" x14ac:dyDescent="0.25">
      <c r="A412" s="230">
        <v>121404</v>
      </c>
      <c r="B412" s="162" t="s">
        <v>1557</v>
      </c>
      <c r="C412" s="162" t="s">
        <v>5</v>
      </c>
      <c r="D412" s="162" t="s">
        <v>1578</v>
      </c>
      <c r="E412" s="231">
        <v>44967</v>
      </c>
      <c r="F412" s="117">
        <v>1016.96</v>
      </c>
      <c r="G412" s="117">
        <f>SUMIF(CONFERÊNCIA!A:A,A412,CONFERÊNCIA!J:J)</f>
        <v>1016.96</v>
      </c>
      <c r="H412" s="119">
        <f t="shared" si="50"/>
        <v>0</v>
      </c>
      <c r="I412" s="240" t="s">
        <v>1229</v>
      </c>
    </row>
    <row r="413" spans="1:9" x14ac:dyDescent="0.25">
      <c r="A413" s="230">
        <v>113728</v>
      </c>
      <c r="B413" s="162" t="s">
        <v>943</v>
      </c>
      <c r="C413" s="162" t="s">
        <v>5</v>
      </c>
      <c r="D413" s="162" t="s">
        <v>19</v>
      </c>
      <c r="E413" s="231">
        <v>43619</v>
      </c>
      <c r="F413" s="117">
        <v>1016.96</v>
      </c>
      <c r="G413" s="117">
        <f>SUMIF(CONFERÊNCIA!A:A,A413,CONFERÊNCIA!J:J)</f>
        <v>1016.96</v>
      </c>
      <c r="H413" s="119">
        <f t="shared" si="50"/>
        <v>0</v>
      </c>
      <c r="I413" s="240" t="s">
        <v>1229</v>
      </c>
    </row>
    <row r="414" spans="1:9" x14ac:dyDescent="0.25">
      <c r="A414" s="230">
        <v>113646</v>
      </c>
      <c r="B414" s="162" t="s">
        <v>892</v>
      </c>
      <c r="C414" s="162" t="s">
        <v>2</v>
      </c>
      <c r="D414" s="162" t="s">
        <v>32</v>
      </c>
      <c r="E414" s="231">
        <v>43617</v>
      </c>
      <c r="F414" s="117">
        <v>1016.96</v>
      </c>
      <c r="G414" s="117">
        <f>SUMIF(CONFERÊNCIA!A:A,A414,CONFERÊNCIA!J:J)</f>
        <v>1016.96</v>
      </c>
      <c r="H414" s="119">
        <f t="shared" si="50"/>
        <v>0</v>
      </c>
      <c r="I414" s="240" t="s">
        <v>1229</v>
      </c>
    </row>
    <row r="415" spans="1:9" x14ac:dyDescent="0.25">
      <c r="A415" s="230">
        <v>113656</v>
      </c>
      <c r="B415" s="162" t="s">
        <v>898</v>
      </c>
      <c r="C415" s="162" t="s">
        <v>2</v>
      </c>
      <c r="D415" s="162" t="s">
        <v>0</v>
      </c>
      <c r="E415" s="231">
        <v>43617</v>
      </c>
      <c r="F415" s="117">
        <v>1016.96</v>
      </c>
      <c r="G415" s="117">
        <f>SUMIF(CONFERÊNCIA!A:A,A415,CONFERÊNCIA!J:J)</f>
        <v>1016.96</v>
      </c>
      <c r="H415" s="119">
        <f t="shared" si="50"/>
        <v>0</v>
      </c>
      <c r="I415" s="240" t="s">
        <v>1229</v>
      </c>
    </row>
    <row r="416" spans="1:9" x14ac:dyDescent="0.25">
      <c r="A416" s="230">
        <v>114698</v>
      </c>
      <c r="B416" s="162" t="s">
        <v>1072</v>
      </c>
      <c r="C416" s="162" t="s">
        <v>5</v>
      </c>
      <c r="D416" s="162" t="s">
        <v>0</v>
      </c>
      <c r="E416" s="231">
        <v>43874</v>
      </c>
      <c r="F416" s="117">
        <v>1016.96</v>
      </c>
      <c r="G416" s="117">
        <f>SUMIF(CONFERÊNCIA!A:A,A416,CONFERÊNCIA!J:J)</f>
        <v>1016.96</v>
      </c>
      <c r="H416" s="119">
        <f t="shared" ref="H416:H428" si="51">G416-F416</f>
        <v>0</v>
      </c>
      <c r="I416" s="240" t="s">
        <v>1229</v>
      </c>
    </row>
    <row r="417" spans="1:9" x14ac:dyDescent="0.25">
      <c r="A417" s="230">
        <v>114385</v>
      </c>
      <c r="B417" s="162" t="s">
        <v>1034</v>
      </c>
      <c r="C417" s="162" t="s">
        <v>120</v>
      </c>
      <c r="D417" s="162" t="s">
        <v>1578</v>
      </c>
      <c r="E417" s="231">
        <v>43811</v>
      </c>
      <c r="F417" s="117">
        <v>1016.96</v>
      </c>
      <c r="G417" s="117">
        <f>SUMIF(CONFERÊNCIA!A:A,A417,CONFERÊNCIA!J:J)</f>
        <v>1016.96</v>
      </c>
      <c r="H417" s="119">
        <f t="shared" si="51"/>
        <v>0</v>
      </c>
      <c r="I417" s="240" t="s">
        <v>1229</v>
      </c>
    </row>
    <row r="418" spans="1:9" x14ac:dyDescent="0.25">
      <c r="A418" s="230">
        <v>112288</v>
      </c>
      <c r="B418" s="162" t="s">
        <v>90</v>
      </c>
      <c r="C418" s="162" t="s">
        <v>2</v>
      </c>
      <c r="D418" s="162" t="s">
        <v>19</v>
      </c>
      <c r="E418" s="231">
        <v>43617</v>
      </c>
      <c r="F418" s="117">
        <v>1016.96</v>
      </c>
      <c r="G418" s="117">
        <f>SUMIF(CONFERÊNCIA!A:A,A418,CONFERÊNCIA!J:J)</f>
        <v>1016.96</v>
      </c>
      <c r="H418" s="119">
        <f t="shared" si="51"/>
        <v>0</v>
      </c>
      <c r="I418" s="240" t="s">
        <v>1229</v>
      </c>
    </row>
    <row r="419" spans="1:9" x14ac:dyDescent="0.25">
      <c r="A419" s="230">
        <v>118051</v>
      </c>
      <c r="B419" s="162" t="s">
        <v>1398</v>
      </c>
      <c r="C419" s="162" t="s">
        <v>5</v>
      </c>
      <c r="D419" s="162" t="s">
        <v>19</v>
      </c>
      <c r="E419" s="231">
        <v>44567</v>
      </c>
      <c r="F419" s="117">
        <v>1016.96</v>
      </c>
      <c r="G419" s="117">
        <f>SUMIF(CONFERÊNCIA!A:A,A419,CONFERÊNCIA!J:J)</f>
        <v>1016.96</v>
      </c>
      <c r="H419" s="119">
        <f t="shared" si="51"/>
        <v>0</v>
      </c>
      <c r="I419" s="240" t="s">
        <v>1229</v>
      </c>
    </row>
    <row r="420" spans="1:9" x14ac:dyDescent="0.25">
      <c r="A420" s="230">
        <v>112297</v>
      </c>
      <c r="B420" s="162" t="s">
        <v>95</v>
      </c>
      <c r="C420" s="162" t="s">
        <v>15</v>
      </c>
      <c r="D420" s="162" t="s">
        <v>1578</v>
      </c>
      <c r="E420" s="231">
        <v>43617</v>
      </c>
      <c r="F420" s="117">
        <v>1016.96</v>
      </c>
      <c r="G420" s="117">
        <f>SUMIF(CONFERÊNCIA!A:A,A420,CONFERÊNCIA!J:J)</f>
        <v>1016.96</v>
      </c>
      <c r="H420" s="119">
        <f t="shared" si="51"/>
        <v>0</v>
      </c>
      <c r="I420" s="240" t="s">
        <v>1229</v>
      </c>
    </row>
    <row r="421" spans="1:9" x14ac:dyDescent="0.25">
      <c r="A421" s="230">
        <v>112359</v>
      </c>
      <c r="B421" s="162" t="s">
        <v>130</v>
      </c>
      <c r="C421" s="162" t="s">
        <v>2</v>
      </c>
      <c r="D421" s="162" t="s">
        <v>0</v>
      </c>
      <c r="E421" s="231">
        <v>43617</v>
      </c>
      <c r="F421" s="117">
        <v>1016.96</v>
      </c>
      <c r="G421" s="117">
        <f>SUMIF(CONFERÊNCIA!A:A,A421,CONFERÊNCIA!J:J)</f>
        <v>1016.96</v>
      </c>
      <c r="H421" s="119">
        <f t="shared" si="51"/>
        <v>0</v>
      </c>
      <c r="I421" s="240" t="s">
        <v>1229</v>
      </c>
    </row>
    <row r="422" spans="1:9" x14ac:dyDescent="0.25">
      <c r="A422" s="230">
        <v>112366</v>
      </c>
      <c r="B422" s="162" t="s">
        <v>133</v>
      </c>
      <c r="C422" s="162" t="s">
        <v>15</v>
      </c>
      <c r="D422" s="162" t="s">
        <v>1578</v>
      </c>
      <c r="E422" s="231">
        <v>43617</v>
      </c>
      <c r="F422" s="117">
        <v>1016.96</v>
      </c>
      <c r="G422" s="117">
        <f>SUMIF(CONFERÊNCIA!A:A,A422,CONFERÊNCIA!J:J)</f>
        <v>1016.96</v>
      </c>
      <c r="H422" s="119">
        <f t="shared" si="51"/>
        <v>0</v>
      </c>
      <c r="I422" s="240" t="s">
        <v>1229</v>
      </c>
    </row>
    <row r="423" spans="1:9" x14ac:dyDescent="0.25">
      <c r="A423" s="230">
        <v>112372</v>
      </c>
      <c r="B423" s="162" t="s">
        <v>136</v>
      </c>
      <c r="C423" s="162" t="s">
        <v>2</v>
      </c>
      <c r="D423" s="162" t="s">
        <v>0</v>
      </c>
      <c r="E423" s="231">
        <v>43617</v>
      </c>
      <c r="F423" s="117">
        <v>1016.96</v>
      </c>
      <c r="G423" s="117">
        <f>SUMIF(CONFERÊNCIA!A:A,A423,CONFERÊNCIA!J:J)</f>
        <v>1016.96</v>
      </c>
      <c r="H423" s="119">
        <f t="shared" si="51"/>
        <v>0</v>
      </c>
      <c r="I423" s="240" t="s">
        <v>1229</v>
      </c>
    </row>
    <row r="424" spans="1:9" x14ac:dyDescent="0.25">
      <c r="A424" s="230">
        <v>112378</v>
      </c>
      <c r="B424" s="162" t="s">
        <v>141</v>
      </c>
      <c r="C424" s="162" t="s">
        <v>2</v>
      </c>
      <c r="D424" s="162" t="s">
        <v>0</v>
      </c>
      <c r="E424" s="231">
        <v>43617</v>
      </c>
      <c r="F424" s="117">
        <v>1016.96</v>
      </c>
      <c r="G424" s="117">
        <f>SUMIF(CONFERÊNCIA!A:A,A424,CONFERÊNCIA!J:J)</f>
        <v>1016.96</v>
      </c>
      <c r="H424" s="119">
        <f t="shared" si="51"/>
        <v>0</v>
      </c>
      <c r="I424" s="240" t="s">
        <v>1229</v>
      </c>
    </row>
    <row r="425" spans="1:9" x14ac:dyDescent="0.25">
      <c r="A425" s="230">
        <v>112382</v>
      </c>
      <c r="B425" s="162" t="s">
        <v>145</v>
      </c>
      <c r="C425" s="162" t="s">
        <v>146</v>
      </c>
      <c r="D425" s="162" t="s">
        <v>19</v>
      </c>
      <c r="E425" s="231">
        <v>43617</v>
      </c>
      <c r="F425" s="117">
        <v>1016.96</v>
      </c>
      <c r="G425" s="117">
        <f>SUMIF(CONFERÊNCIA!A:A,A425,CONFERÊNCIA!J:J)</f>
        <v>1016.96</v>
      </c>
      <c r="H425" s="119">
        <f t="shared" si="51"/>
        <v>0</v>
      </c>
      <c r="I425" s="240" t="s">
        <v>1229</v>
      </c>
    </row>
    <row r="426" spans="1:9" x14ac:dyDescent="0.25">
      <c r="A426" s="230">
        <v>114916</v>
      </c>
      <c r="B426" s="162" t="s">
        <v>1106</v>
      </c>
      <c r="C426" s="162" t="s">
        <v>377</v>
      </c>
      <c r="D426" s="162" t="s">
        <v>1578</v>
      </c>
      <c r="E426" s="231">
        <v>43916</v>
      </c>
      <c r="F426" s="117">
        <v>1016.96</v>
      </c>
      <c r="G426" s="117">
        <f>SUMIF(CONFERÊNCIA!A:A,A426,CONFERÊNCIA!J:J)</f>
        <v>1016.96</v>
      </c>
      <c r="H426" s="119">
        <f t="shared" si="51"/>
        <v>0</v>
      </c>
      <c r="I426" s="240" t="s">
        <v>1229</v>
      </c>
    </row>
    <row r="427" spans="1:9" x14ac:dyDescent="0.25">
      <c r="A427" s="230">
        <v>119649</v>
      </c>
      <c r="B427" s="162" t="s">
        <v>1459</v>
      </c>
      <c r="C427" s="162" t="s">
        <v>5</v>
      </c>
      <c r="D427" s="162" t="s">
        <v>0</v>
      </c>
      <c r="E427" s="231">
        <v>44725</v>
      </c>
      <c r="F427" s="117">
        <v>978.67000000000007</v>
      </c>
      <c r="G427" s="117">
        <f>SUMIF(CONFERÊNCIA!A:A,A427,CONFERÊNCIA!J:J)</f>
        <v>0</v>
      </c>
      <c r="H427" s="119">
        <f t="shared" si="51"/>
        <v>-978.67000000000007</v>
      </c>
      <c r="I427" s="240" t="s">
        <v>1287</v>
      </c>
    </row>
    <row r="428" spans="1:9" x14ac:dyDescent="0.25">
      <c r="A428" s="230">
        <v>122833</v>
      </c>
      <c r="B428" s="162" t="s">
        <v>1718</v>
      </c>
      <c r="C428" s="162" t="s">
        <v>5</v>
      </c>
      <c r="D428" s="162" t="s">
        <v>0</v>
      </c>
      <c r="E428" s="231">
        <v>45180</v>
      </c>
      <c r="F428" s="117">
        <v>0</v>
      </c>
      <c r="G428" s="117">
        <f>SUMIF(CONFERÊNCIA!A:A,A428,CONFERÊNCIA!J:J)</f>
        <v>1016.96</v>
      </c>
      <c r="H428" s="119">
        <f t="shared" si="51"/>
        <v>1016.96</v>
      </c>
      <c r="I428" s="240" t="s">
        <v>1231</v>
      </c>
    </row>
    <row r="429" spans="1:9" x14ac:dyDescent="0.25">
      <c r="A429" s="230">
        <v>114315</v>
      </c>
      <c r="B429" s="162" t="s">
        <v>1031</v>
      </c>
      <c r="C429" s="162" t="s">
        <v>5</v>
      </c>
      <c r="D429" s="162" t="s">
        <v>0</v>
      </c>
      <c r="E429" s="231">
        <v>43811</v>
      </c>
      <c r="F429" s="117">
        <v>1016.96</v>
      </c>
      <c r="G429" s="117">
        <f>SUMIF(CONFERÊNCIA!A:A,A429,CONFERÊNCIA!J:J)</f>
        <v>1016.96</v>
      </c>
      <c r="H429" s="119">
        <f t="shared" ref="H429:H443" si="52">G429-F429</f>
        <v>0</v>
      </c>
      <c r="I429" s="240" t="s">
        <v>1229</v>
      </c>
    </row>
    <row r="430" spans="1:9" x14ac:dyDescent="0.25">
      <c r="A430" s="230">
        <v>112400</v>
      </c>
      <c r="B430" s="162" t="s">
        <v>156</v>
      </c>
      <c r="C430" s="162" t="s">
        <v>963</v>
      </c>
      <c r="D430" s="162" t="s">
        <v>1578</v>
      </c>
      <c r="E430" s="231">
        <v>43617</v>
      </c>
      <c r="F430" s="117">
        <v>1016.96</v>
      </c>
      <c r="G430" s="117">
        <f>SUMIF(CONFERÊNCIA!A:A,A430,CONFERÊNCIA!J:J)</f>
        <v>1016.96</v>
      </c>
      <c r="H430" s="119">
        <f t="shared" si="52"/>
        <v>0</v>
      </c>
      <c r="I430" s="240" t="s">
        <v>1229</v>
      </c>
    </row>
    <row r="431" spans="1:9" x14ac:dyDescent="0.25">
      <c r="A431" s="230">
        <v>122415</v>
      </c>
      <c r="B431" s="162" t="s">
        <v>1682</v>
      </c>
      <c r="C431" s="162" t="s">
        <v>5</v>
      </c>
      <c r="D431" s="162" t="s">
        <v>1578</v>
      </c>
      <c r="E431" s="231">
        <v>45117</v>
      </c>
      <c r="F431" s="117">
        <v>1016.96</v>
      </c>
      <c r="G431" s="117">
        <f>SUMIF(CONFERÊNCIA!A:A,A431,CONFERÊNCIA!J:J)</f>
        <v>1016.96</v>
      </c>
      <c r="H431" s="119">
        <f t="shared" si="52"/>
        <v>0</v>
      </c>
      <c r="I431" s="240" t="s">
        <v>1229</v>
      </c>
    </row>
    <row r="432" spans="1:9" x14ac:dyDescent="0.25">
      <c r="A432" s="230">
        <v>112410</v>
      </c>
      <c r="B432" s="162" t="s">
        <v>163</v>
      </c>
      <c r="C432" s="162" t="s">
        <v>15</v>
      </c>
      <c r="D432" s="162" t="s">
        <v>1578</v>
      </c>
      <c r="E432" s="231">
        <v>43617</v>
      </c>
      <c r="F432" s="117">
        <v>1016.96</v>
      </c>
      <c r="G432" s="117">
        <f>SUMIF(CONFERÊNCIA!A:A,A432,CONFERÊNCIA!J:J)</f>
        <v>1016.96</v>
      </c>
      <c r="H432" s="119">
        <f t="shared" si="52"/>
        <v>0</v>
      </c>
      <c r="I432" s="240" t="s">
        <v>1229</v>
      </c>
    </row>
    <row r="433" spans="1:9" x14ac:dyDescent="0.25">
      <c r="A433" s="230">
        <v>114548</v>
      </c>
      <c r="B433" s="162" t="s">
        <v>1055</v>
      </c>
      <c r="C433" s="162" t="s">
        <v>2</v>
      </c>
      <c r="D433" s="162" t="s">
        <v>19</v>
      </c>
      <c r="E433" s="231">
        <v>43817</v>
      </c>
      <c r="F433" s="117">
        <v>978.67000000000007</v>
      </c>
      <c r="G433" s="117">
        <f>SUMIF(CONFERÊNCIA!A:A,A433,CONFERÊNCIA!J:J)</f>
        <v>1016.96</v>
      </c>
      <c r="H433" s="119">
        <f t="shared" si="52"/>
        <v>38.289999999999964</v>
      </c>
      <c r="I433" s="240" t="s">
        <v>1229</v>
      </c>
    </row>
    <row r="434" spans="1:9" x14ac:dyDescent="0.25">
      <c r="A434" s="230">
        <v>112413</v>
      </c>
      <c r="B434" s="162" t="s">
        <v>164</v>
      </c>
      <c r="C434" s="162" t="s">
        <v>15</v>
      </c>
      <c r="D434" s="162" t="s">
        <v>1578</v>
      </c>
      <c r="E434" s="231">
        <v>43617</v>
      </c>
      <c r="F434" s="117">
        <v>1016.96</v>
      </c>
      <c r="G434" s="117">
        <f>SUMIF(CONFERÊNCIA!A:A,A434,CONFERÊNCIA!J:J)</f>
        <v>1016.96</v>
      </c>
      <c r="H434" s="119">
        <f t="shared" si="52"/>
        <v>0</v>
      </c>
      <c r="I434" s="240" t="s">
        <v>1229</v>
      </c>
    </row>
    <row r="435" spans="1:9" x14ac:dyDescent="0.25">
      <c r="A435" s="230">
        <v>112417</v>
      </c>
      <c r="B435" s="162" t="s">
        <v>167</v>
      </c>
      <c r="C435" s="162" t="s">
        <v>2</v>
      </c>
      <c r="D435" s="162" t="s">
        <v>0</v>
      </c>
      <c r="E435" s="231">
        <v>43617</v>
      </c>
      <c r="F435" s="117">
        <v>1016.96</v>
      </c>
      <c r="G435" s="117">
        <f>SUMIF(CONFERÊNCIA!A:A,A435,CONFERÊNCIA!J:J)</f>
        <v>1016.96</v>
      </c>
      <c r="H435" s="119">
        <f t="shared" si="52"/>
        <v>0</v>
      </c>
      <c r="I435" s="240" t="s">
        <v>1229</v>
      </c>
    </row>
    <row r="436" spans="1:9" x14ac:dyDescent="0.25">
      <c r="A436" s="230">
        <v>112439</v>
      </c>
      <c r="B436" s="162" t="s">
        <v>180</v>
      </c>
      <c r="C436" s="162" t="s">
        <v>22</v>
      </c>
      <c r="D436" s="162" t="s">
        <v>1578</v>
      </c>
      <c r="E436" s="231">
        <v>43617</v>
      </c>
      <c r="F436" s="117">
        <v>1016.96</v>
      </c>
      <c r="G436" s="117">
        <f>SUMIF(CONFERÊNCIA!A:A,A436,CONFERÊNCIA!J:J)</f>
        <v>1016.96</v>
      </c>
      <c r="H436" s="119">
        <f t="shared" si="52"/>
        <v>0</v>
      </c>
      <c r="I436" s="240" t="s">
        <v>1229</v>
      </c>
    </row>
    <row r="437" spans="1:9" x14ac:dyDescent="0.25">
      <c r="A437" s="230">
        <v>112449</v>
      </c>
      <c r="B437" s="162" t="s">
        <v>188</v>
      </c>
      <c r="C437" s="162" t="s">
        <v>2</v>
      </c>
      <c r="D437" s="162" t="s">
        <v>0</v>
      </c>
      <c r="E437" s="231">
        <v>43617</v>
      </c>
      <c r="F437" s="117">
        <v>1016.96</v>
      </c>
      <c r="G437" s="117">
        <f>SUMIF(CONFERÊNCIA!A:A,A437,CONFERÊNCIA!J:J)</f>
        <v>1016.96</v>
      </c>
      <c r="H437" s="119">
        <f t="shared" si="52"/>
        <v>0</v>
      </c>
      <c r="I437" s="240" t="s">
        <v>1229</v>
      </c>
    </row>
    <row r="438" spans="1:9" x14ac:dyDescent="0.25">
      <c r="A438" s="230">
        <v>112471</v>
      </c>
      <c r="B438" s="162" t="s">
        <v>200</v>
      </c>
      <c r="C438" s="162" t="s">
        <v>5</v>
      </c>
      <c r="D438" s="162" t="s">
        <v>8</v>
      </c>
      <c r="E438" s="231">
        <v>43617</v>
      </c>
      <c r="F438" s="117">
        <v>1016.96</v>
      </c>
      <c r="G438" s="117">
        <f>SUMIF(CONFERÊNCIA!A:A,A438,CONFERÊNCIA!J:J)</f>
        <v>1016.96</v>
      </c>
      <c r="H438" s="119">
        <f t="shared" si="52"/>
        <v>0</v>
      </c>
      <c r="I438" s="240" t="s">
        <v>1229</v>
      </c>
    </row>
    <row r="439" spans="1:9" x14ac:dyDescent="0.25">
      <c r="A439" s="230">
        <v>114255</v>
      </c>
      <c r="B439" s="162" t="s">
        <v>1019</v>
      </c>
      <c r="C439" s="162" t="s">
        <v>5</v>
      </c>
      <c r="D439" s="162" t="s">
        <v>1578</v>
      </c>
      <c r="E439" s="231">
        <v>43804</v>
      </c>
      <c r="F439" s="117">
        <v>1016.96</v>
      </c>
      <c r="G439" s="117">
        <f>SUMIF(CONFERÊNCIA!A:A,A439,CONFERÊNCIA!J:J)</f>
        <v>1016.96</v>
      </c>
      <c r="H439" s="119">
        <f t="shared" si="52"/>
        <v>0</v>
      </c>
      <c r="I439" s="240" t="s">
        <v>1229</v>
      </c>
    </row>
    <row r="440" spans="1:9" x14ac:dyDescent="0.25">
      <c r="A440" s="230">
        <v>116726</v>
      </c>
      <c r="B440" s="162" t="s">
        <v>1218</v>
      </c>
      <c r="C440" s="162" t="s">
        <v>2</v>
      </c>
      <c r="D440" s="162" t="s">
        <v>19</v>
      </c>
      <c r="E440" s="231">
        <v>44368</v>
      </c>
      <c r="F440" s="117">
        <v>885.46</v>
      </c>
      <c r="G440" s="117">
        <f>SUMIF(CONFERÊNCIA!A:A,A440,CONFERÊNCIA!J:J)</f>
        <v>825.55</v>
      </c>
      <c r="H440" s="119">
        <f t="shared" si="52"/>
        <v>-59.910000000000082</v>
      </c>
      <c r="I440" s="240" t="s">
        <v>1229</v>
      </c>
    </row>
    <row r="441" spans="1:9" x14ac:dyDescent="0.25">
      <c r="A441" s="230">
        <v>112473</v>
      </c>
      <c r="B441" s="162" t="s">
        <v>202</v>
      </c>
      <c r="C441" s="162" t="s">
        <v>963</v>
      </c>
      <c r="D441" s="162" t="s">
        <v>1578</v>
      </c>
      <c r="E441" s="231">
        <v>43617</v>
      </c>
      <c r="F441" s="117">
        <v>1016.96</v>
      </c>
      <c r="G441" s="117">
        <f>SUMIF(CONFERÊNCIA!A:A,A441,CONFERÊNCIA!J:J)</f>
        <v>1016.96</v>
      </c>
      <c r="H441" s="119">
        <f t="shared" si="52"/>
        <v>0</v>
      </c>
      <c r="I441" s="240" t="s">
        <v>1229</v>
      </c>
    </row>
    <row r="442" spans="1:9" x14ac:dyDescent="0.25">
      <c r="A442" s="230">
        <v>114699</v>
      </c>
      <c r="B442" s="162" t="s">
        <v>1073</v>
      </c>
      <c r="C442" s="162" t="s">
        <v>5</v>
      </c>
      <c r="D442" s="162" t="s">
        <v>0</v>
      </c>
      <c r="E442" s="231">
        <v>43874</v>
      </c>
      <c r="F442" s="117">
        <v>1016.96</v>
      </c>
      <c r="G442" s="117">
        <f>SUMIF(CONFERÊNCIA!A:A,A442,CONFERÊNCIA!J:J)</f>
        <v>1016.96</v>
      </c>
      <c r="H442" s="119">
        <f t="shared" si="52"/>
        <v>0</v>
      </c>
      <c r="I442" s="240" t="s">
        <v>1229</v>
      </c>
    </row>
    <row r="443" spans="1:9" x14ac:dyDescent="0.25">
      <c r="A443" s="230">
        <v>119652</v>
      </c>
      <c r="B443" s="162" t="s">
        <v>1460</v>
      </c>
      <c r="C443" s="162" t="s">
        <v>2</v>
      </c>
      <c r="D443" s="162" t="s">
        <v>0</v>
      </c>
      <c r="E443" s="231">
        <v>44725</v>
      </c>
      <c r="F443" s="117">
        <v>1016.96</v>
      </c>
      <c r="G443" s="117">
        <f>SUMIF(CONFERÊNCIA!A:A,A443,CONFERÊNCIA!J:J)</f>
        <v>1016.96</v>
      </c>
      <c r="H443" s="119">
        <f t="shared" si="52"/>
        <v>0</v>
      </c>
      <c r="I443" s="240" t="s">
        <v>1230</v>
      </c>
    </row>
    <row r="444" spans="1:9" x14ac:dyDescent="0.25">
      <c r="A444" s="230">
        <v>112494</v>
      </c>
      <c r="B444" s="162" t="s">
        <v>214</v>
      </c>
      <c r="C444" s="162" t="s">
        <v>39</v>
      </c>
      <c r="D444" s="162" t="s">
        <v>0</v>
      </c>
      <c r="E444" s="231">
        <v>43617</v>
      </c>
      <c r="F444" s="117">
        <v>1016.96</v>
      </c>
      <c r="G444" s="117">
        <f>SUMIF(CONFERÊNCIA!A:A,A444,CONFERÊNCIA!J:J)</f>
        <v>1016.96</v>
      </c>
      <c r="H444" s="119">
        <f t="shared" ref="H444:H462" si="53">G444-F444</f>
        <v>0</v>
      </c>
      <c r="I444" s="240" t="s">
        <v>1229</v>
      </c>
    </row>
    <row r="445" spans="1:9" x14ac:dyDescent="0.25">
      <c r="A445" s="230">
        <v>113776</v>
      </c>
      <c r="B445" s="162" t="s">
        <v>974</v>
      </c>
      <c r="C445" s="162" t="s">
        <v>973</v>
      </c>
      <c r="D445" s="162" t="s">
        <v>1578</v>
      </c>
      <c r="E445" s="231">
        <v>43623</v>
      </c>
      <c r="F445" s="117">
        <v>1016.96</v>
      </c>
      <c r="G445" s="117">
        <f>SUMIF(CONFERÊNCIA!A:A,A445,CONFERÊNCIA!J:J)</f>
        <v>1016.96</v>
      </c>
      <c r="H445" s="119">
        <f t="shared" si="53"/>
        <v>0</v>
      </c>
      <c r="I445" s="240" t="s">
        <v>1229</v>
      </c>
    </row>
    <row r="446" spans="1:9" x14ac:dyDescent="0.25">
      <c r="A446" s="230">
        <v>112500</v>
      </c>
      <c r="B446" s="162" t="s">
        <v>219</v>
      </c>
      <c r="C446" s="162" t="s">
        <v>5</v>
      </c>
      <c r="D446" s="162" t="s">
        <v>19</v>
      </c>
      <c r="E446" s="231">
        <v>43617</v>
      </c>
      <c r="F446" s="117">
        <v>1016.96</v>
      </c>
      <c r="G446" s="117">
        <f>SUMIF(CONFERÊNCIA!A:A,A446,CONFERÊNCIA!J:J)</f>
        <v>1016.96</v>
      </c>
      <c r="H446" s="119">
        <f t="shared" si="53"/>
        <v>0</v>
      </c>
      <c r="I446" s="240" t="s">
        <v>1229</v>
      </c>
    </row>
    <row r="447" spans="1:9" x14ac:dyDescent="0.25">
      <c r="A447" s="230">
        <v>112506</v>
      </c>
      <c r="B447" s="162" t="s">
        <v>224</v>
      </c>
      <c r="C447" s="162" t="s">
        <v>15</v>
      </c>
      <c r="D447" s="162" t="s">
        <v>1578</v>
      </c>
      <c r="E447" s="231">
        <v>43617</v>
      </c>
      <c r="F447" s="117">
        <v>1016.96</v>
      </c>
      <c r="G447" s="117">
        <f>SUMIF(CONFERÊNCIA!A:A,A447,CONFERÊNCIA!J:J)</f>
        <v>1016.96</v>
      </c>
      <c r="H447" s="119">
        <f t="shared" si="53"/>
        <v>0</v>
      </c>
      <c r="I447" s="240" t="s">
        <v>1229</v>
      </c>
    </row>
    <row r="448" spans="1:9" x14ac:dyDescent="0.25">
      <c r="A448" s="230">
        <v>112510</v>
      </c>
      <c r="B448" s="162" t="s">
        <v>227</v>
      </c>
      <c r="C448" s="162" t="s">
        <v>5</v>
      </c>
      <c r="D448" s="162" t="s">
        <v>10</v>
      </c>
      <c r="E448" s="231">
        <v>43617</v>
      </c>
      <c r="F448" s="117">
        <v>1016.96</v>
      </c>
      <c r="G448" s="117">
        <f>SUMIF(CONFERÊNCIA!A:A,A448,CONFERÊNCIA!J:J)</f>
        <v>1016.96</v>
      </c>
      <c r="H448" s="119">
        <f t="shared" si="53"/>
        <v>0</v>
      </c>
      <c r="I448" s="240" t="s">
        <v>1229</v>
      </c>
    </row>
    <row r="449" spans="1:9" x14ac:dyDescent="0.25">
      <c r="A449" s="230">
        <v>112514</v>
      </c>
      <c r="B449" s="162" t="s">
        <v>231</v>
      </c>
      <c r="C449" s="162" t="s">
        <v>39</v>
      </c>
      <c r="D449" s="162" t="s">
        <v>8</v>
      </c>
      <c r="E449" s="231">
        <v>43617</v>
      </c>
      <c r="F449" s="117">
        <v>1016.96</v>
      </c>
      <c r="G449" s="117">
        <f>SUMIF(CONFERÊNCIA!A:A,A449,CONFERÊNCIA!J:J)</f>
        <v>1016.96</v>
      </c>
      <c r="H449" s="119">
        <f t="shared" si="53"/>
        <v>0</v>
      </c>
      <c r="I449" s="240" t="s">
        <v>1229</v>
      </c>
    </row>
    <row r="450" spans="1:9" x14ac:dyDescent="0.25">
      <c r="A450" s="230">
        <v>112518</v>
      </c>
      <c r="B450" s="162" t="s">
        <v>234</v>
      </c>
      <c r="C450" s="162" t="s">
        <v>15</v>
      </c>
      <c r="D450" s="162" t="s">
        <v>1578</v>
      </c>
      <c r="E450" s="231">
        <v>43617</v>
      </c>
      <c r="F450" s="117">
        <v>1016.96</v>
      </c>
      <c r="G450" s="117">
        <f>SUMIF(CONFERÊNCIA!A:A,A450,CONFERÊNCIA!J:J)</f>
        <v>1016.96</v>
      </c>
      <c r="H450" s="119">
        <f t="shared" si="53"/>
        <v>0</v>
      </c>
      <c r="I450" s="240" t="s">
        <v>1229</v>
      </c>
    </row>
    <row r="451" spans="1:9" x14ac:dyDescent="0.25">
      <c r="A451" s="230">
        <v>112520</v>
      </c>
      <c r="B451" s="162" t="s">
        <v>235</v>
      </c>
      <c r="C451" s="162" t="s">
        <v>2</v>
      </c>
      <c r="D451" s="162" t="s">
        <v>0</v>
      </c>
      <c r="E451" s="231">
        <v>43617</v>
      </c>
      <c r="F451" s="117">
        <v>1016.96</v>
      </c>
      <c r="G451" s="117">
        <f>SUMIF(CONFERÊNCIA!A:A,A451,CONFERÊNCIA!J:J)</f>
        <v>1016.96</v>
      </c>
      <c r="H451" s="119">
        <f t="shared" si="53"/>
        <v>0</v>
      </c>
      <c r="I451" s="240" t="s">
        <v>1229</v>
      </c>
    </row>
    <row r="452" spans="1:9" x14ac:dyDescent="0.25">
      <c r="A452" s="230">
        <v>112522</v>
      </c>
      <c r="B452" s="162" t="s">
        <v>237</v>
      </c>
      <c r="C452" s="162" t="s">
        <v>2</v>
      </c>
      <c r="D452" s="162" t="s">
        <v>10</v>
      </c>
      <c r="E452" s="231">
        <v>43617</v>
      </c>
      <c r="F452" s="117">
        <v>1016.96</v>
      </c>
      <c r="G452" s="117">
        <f>SUMIF(CONFERÊNCIA!A:A,A452,CONFERÊNCIA!J:J)</f>
        <v>1016.96</v>
      </c>
      <c r="H452" s="119">
        <f t="shared" si="53"/>
        <v>0</v>
      </c>
      <c r="I452" s="240" t="s">
        <v>1229</v>
      </c>
    </row>
    <row r="453" spans="1:9" x14ac:dyDescent="0.25">
      <c r="A453" s="230">
        <v>112586</v>
      </c>
      <c r="B453" s="162" t="s">
        <v>279</v>
      </c>
      <c r="C453" s="162" t="s">
        <v>2</v>
      </c>
      <c r="D453" s="162" t="s">
        <v>10</v>
      </c>
      <c r="E453" s="231">
        <v>43617</v>
      </c>
      <c r="F453" s="117">
        <v>1016.96</v>
      </c>
      <c r="G453" s="117">
        <f>SUMIF(CONFERÊNCIA!A:A,A453,CONFERÊNCIA!J:J)</f>
        <v>1016.96</v>
      </c>
      <c r="H453" s="119">
        <f t="shared" si="53"/>
        <v>0</v>
      </c>
      <c r="I453" s="240" t="s">
        <v>1229</v>
      </c>
    </row>
    <row r="454" spans="1:9" x14ac:dyDescent="0.25">
      <c r="A454" s="230">
        <v>112590</v>
      </c>
      <c r="B454" s="162" t="s">
        <v>282</v>
      </c>
      <c r="C454" s="162" t="s">
        <v>22</v>
      </c>
      <c r="D454" s="162" t="s">
        <v>1578</v>
      </c>
      <c r="E454" s="231">
        <v>43617</v>
      </c>
      <c r="F454" s="117">
        <v>1016.96</v>
      </c>
      <c r="G454" s="117">
        <f>SUMIF(CONFERÊNCIA!A:A,A454,CONFERÊNCIA!J:J)</f>
        <v>1016.96</v>
      </c>
      <c r="H454" s="119">
        <f t="shared" si="53"/>
        <v>0</v>
      </c>
      <c r="I454" s="240" t="s">
        <v>1230</v>
      </c>
    </row>
    <row r="455" spans="1:9" x14ac:dyDescent="0.25">
      <c r="A455" s="230">
        <v>112598</v>
      </c>
      <c r="B455" s="162" t="s">
        <v>286</v>
      </c>
      <c r="C455" s="162" t="s">
        <v>15</v>
      </c>
      <c r="D455" s="162" t="s">
        <v>1578</v>
      </c>
      <c r="E455" s="231">
        <v>43617</v>
      </c>
      <c r="F455" s="117">
        <v>1016.96</v>
      </c>
      <c r="G455" s="117">
        <f>SUMIF(CONFERÊNCIA!A:A,A455,CONFERÊNCIA!J:J)</f>
        <v>1016.96</v>
      </c>
      <c r="H455" s="119">
        <f t="shared" si="53"/>
        <v>0</v>
      </c>
      <c r="I455" s="240" t="s">
        <v>1230</v>
      </c>
    </row>
    <row r="456" spans="1:9" x14ac:dyDescent="0.25">
      <c r="A456" s="230">
        <v>112602</v>
      </c>
      <c r="B456" s="162" t="s">
        <v>288</v>
      </c>
      <c r="C456" s="162" t="s">
        <v>146</v>
      </c>
      <c r="D456" s="162" t="s">
        <v>8</v>
      </c>
      <c r="E456" s="231">
        <v>43617</v>
      </c>
      <c r="F456" s="117">
        <v>1016.96</v>
      </c>
      <c r="G456" s="117">
        <f>SUMIF(CONFERÊNCIA!A:A,A456,CONFERÊNCIA!J:J)</f>
        <v>1016.96</v>
      </c>
      <c r="H456" s="119">
        <f t="shared" si="53"/>
        <v>0</v>
      </c>
      <c r="I456" s="240" t="s">
        <v>1229</v>
      </c>
    </row>
    <row r="457" spans="1:9" x14ac:dyDescent="0.25">
      <c r="A457" s="230">
        <v>112606</v>
      </c>
      <c r="B457" s="162" t="s">
        <v>290</v>
      </c>
      <c r="C457" s="162" t="s">
        <v>22</v>
      </c>
      <c r="D457" s="162" t="s">
        <v>1578</v>
      </c>
      <c r="E457" s="231">
        <v>43617</v>
      </c>
      <c r="F457" s="117">
        <v>1016.96</v>
      </c>
      <c r="G457" s="117">
        <f>SUMIF(CONFERÊNCIA!A:A,A457,CONFERÊNCIA!J:J)</f>
        <v>1016.96</v>
      </c>
      <c r="H457" s="119">
        <f t="shared" si="53"/>
        <v>0</v>
      </c>
      <c r="I457" s="240" t="s">
        <v>1229</v>
      </c>
    </row>
    <row r="458" spans="1:9" x14ac:dyDescent="0.25">
      <c r="A458" s="230">
        <v>112609</v>
      </c>
      <c r="B458" s="162" t="s">
        <v>293</v>
      </c>
      <c r="C458" s="162" t="s">
        <v>2</v>
      </c>
      <c r="D458" s="162" t="s">
        <v>8</v>
      </c>
      <c r="E458" s="231">
        <v>43617</v>
      </c>
      <c r="F458" s="117">
        <v>1016.96</v>
      </c>
      <c r="G458" s="117">
        <f>SUMIF(CONFERÊNCIA!A:A,A458,CONFERÊNCIA!J:J)</f>
        <v>1016.96</v>
      </c>
      <c r="H458" s="119">
        <f t="shared" si="53"/>
        <v>0</v>
      </c>
      <c r="I458" s="240" t="s">
        <v>1229</v>
      </c>
    </row>
    <row r="459" spans="1:9" x14ac:dyDescent="0.25">
      <c r="A459" s="230">
        <v>112619</v>
      </c>
      <c r="B459" s="162" t="s">
        <v>302</v>
      </c>
      <c r="C459" s="162" t="s">
        <v>5</v>
      </c>
      <c r="D459" s="162" t="s">
        <v>8</v>
      </c>
      <c r="E459" s="231">
        <v>43617</v>
      </c>
      <c r="F459" s="117">
        <v>1016.96</v>
      </c>
      <c r="G459" s="117">
        <f>SUMIF(CONFERÊNCIA!A:A,A459,CONFERÊNCIA!J:J)</f>
        <v>1016.96</v>
      </c>
      <c r="H459" s="119">
        <f t="shared" si="53"/>
        <v>0</v>
      </c>
      <c r="I459" s="240" t="s">
        <v>1229</v>
      </c>
    </row>
    <row r="460" spans="1:9" x14ac:dyDescent="0.25">
      <c r="A460" s="230">
        <v>116027</v>
      </c>
      <c r="B460" s="162" t="s">
        <v>1176</v>
      </c>
      <c r="C460" s="162" t="s">
        <v>5</v>
      </c>
      <c r="D460" s="162" t="s">
        <v>10</v>
      </c>
      <c r="E460" s="231">
        <v>44207</v>
      </c>
      <c r="F460" s="117">
        <v>940.39</v>
      </c>
      <c r="G460" s="117">
        <f>SUMIF(CONFERÊNCIA!A:A,A460,CONFERÊNCIA!J:J)</f>
        <v>940.39</v>
      </c>
      <c r="H460" s="119">
        <f t="shared" si="53"/>
        <v>0</v>
      </c>
      <c r="I460" s="240" t="s">
        <v>1229</v>
      </c>
    </row>
    <row r="461" spans="1:9" x14ac:dyDescent="0.25">
      <c r="A461" s="230">
        <v>121525</v>
      </c>
      <c r="B461" s="162" t="s">
        <v>1558</v>
      </c>
      <c r="C461" s="162" t="s">
        <v>5</v>
      </c>
      <c r="D461" s="162" t="s">
        <v>19</v>
      </c>
      <c r="E461" s="231">
        <v>44972</v>
      </c>
      <c r="F461" s="117">
        <v>978.67000000000007</v>
      </c>
      <c r="G461" s="117">
        <f>SUMIF(CONFERÊNCIA!A:A,A461,CONFERÊNCIA!J:J)</f>
        <v>1016.96</v>
      </c>
      <c r="H461" s="119">
        <f t="shared" si="53"/>
        <v>38.289999999999964</v>
      </c>
      <c r="I461" s="240" t="s">
        <v>1229</v>
      </c>
    </row>
    <row r="462" spans="1:9" x14ac:dyDescent="0.25">
      <c r="A462" s="230">
        <v>112629</v>
      </c>
      <c r="B462" s="162" t="s">
        <v>308</v>
      </c>
      <c r="C462" s="162" t="s">
        <v>2</v>
      </c>
      <c r="D462" s="162" t="s">
        <v>0</v>
      </c>
      <c r="E462" s="231">
        <v>43617</v>
      </c>
      <c r="F462" s="117">
        <v>1016.96</v>
      </c>
      <c r="G462" s="117">
        <f>SUMIF(CONFERÊNCIA!A:A,A462,CONFERÊNCIA!J:J)</f>
        <v>1016.96</v>
      </c>
      <c r="H462" s="119">
        <f t="shared" si="53"/>
        <v>0</v>
      </c>
      <c r="I462" s="240" t="s">
        <v>1229</v>
      </c>
    </row>
    <row r="463" spans="1:9" x14ac:dyDescent="0.25">
      <c r="A463" s="230">
        <v>117398</v>
      </c>
      <c r="B463" s="162" t="s">
        <v>1267</v>
      </c>
      <c r="C463" s="162" t="s">
        <v>1265</v>
      </c>
      <c r="D463" s="162" t="s">
        <v>1578</v>
      </c>
      <c r="E463" s="231">
        <v>44522</v>
      </c>
      <c r="F463" s="117">
        <v>1016.96</v>
      </c>
      <c r="G463" s="117">
        <f>SUMIF(CONFERÊNCIA!A:A,A463,CONFERÊNCIA!J:J)</f>
        <v>1016.96</v>
      </c>
      <c r="H463" s="119">
        <f t="shared" ref="H463:H475" si="54">G463-F463</f>
        <v>0</v>
      </c>
      <c r="I463" s="240" t="s">
        <v>1229</v>
      </c>
    </row>
    <row r="464" spans="1:9" x14ac:dyDescent="0.25">
      <c r="A464" s="230">
        <v>114538</v>
      </c>
      <c r="B464" s="162" t="s">
        <v>1284</v>
      </c>
      <c r="C464" s="162" t="s">
        <v>182</v>
      </c>
      <c r="D464" s="162" t="s">
        <v>0</v>
      </c>
      <c r="E464" s="231">
        <v>43817</v>
      </c>
      <c r="F464" s="117">
        <v>1016.96</v>
      </c>
      <c r="G464" s="117">
        <f>SUMIF(CONFERÊNCIA!A:A,A464,CONFERÊNCIA!J:J)</f>
        <v>1016.96</v>
      </c>
      <c r="H464" s="119">
        <f t="shared" si="54"/>
        <v>0</v>
      </c>
      <c r="I464" s="240" t="s">
        <v>1229</v>
      </c>
    </row>
    <row r="465" spans="1:9" x14ac:dyDescent="0.25">
      <c r="A465" s="230">
        <v>112638</v>
      </c>
      <c r="B465" s="162" t="s">
        <v>313</v>
      </c>
      <c r="C465" s="162" t="s">
        <v>5</v>
      </c>
      <c r="D465" s="162" t="s">
        <v>8</v>
      </c>
      <c r="E465" s="231">
        <v>43617</v>
      </c>
      <c r="F465" s="117">
        <v>1016.96</v>
      </c>
      <c r="G465" s="117">
        <f>SUMIF(CONFERÊNCIA!A:A,A465,CONFERÊNCIA!J:J)</f>
        <v>1016.96</v>
      </c>
      <c r="H465" s="119">
        <f t="shared" si="54"/>
        <v>0</v>
      </c>
      <c r="I465" s="240" t="s">
        <v>1229</v>
      </c>
    </row>
    <row r="466" spans="1:9" x14ac:dyDescent="0.25">
      <c r="A466" s="230">
        <v>119642</v>
      </c>
      <c r="B466" s="162" t="s">
        <v>1461</v>
      </c>
      <c r="C466" s="162" t="s">
        <v>5</v>
      </c>
      <c r="D466" s="162" t="s">
        <v>19</v>
      </c>
      <c r="E466" s="231">
        <v>44725</v>
      </c>
      <c r="F466" s="117">
        <v>1016.96</v>
      </c>
      <c r="G466" s="117">
        <f>SUMIF(CONFERÊNCIA!A:A,A466,CONFERÊNCIA!J:J)</f>
        <v>1016.96</v>
      </c>
      <c r="H466" s="119">
        <f t="shared" si="54"/>
        <v>0</v>
      </c>
      <c r="I466" s="240" t="s">
        <v>1229</v>
      </c>
    </row>
    <row r="467" spans="1:9" x14ac:dyDescent="0.25">
      <c r="A467" s="230">
        <v>112643</v>
      </c>
      <c r="B467" s="162" t="s">
        <v>316</v>
      </c>
      <c r="C467" s="162" t="s">
        <v>146</v>
      </c>
      <c r="D467" s="162" t="s">
        <v>32</v>
      </c>
      <c r="E467" s="231">
        <v>43617</v>
      </c>
      <c r="F467" s="117">
        <v>1016.96</v>
      </c>
      <c r="G467" s="117">
        <f>SUMIF(CONFERÊNCIA!A:A,A467,CONFERÊNCIA!J:J)</f>
        <v>1016.96</v>
      </c>
      <c r="H467" s="119">
        <f t="shared" si="54"/>
        <v>0</v>
      </c>
      <c r="I467" s="240" t="s">
        <v>1229</v>
      </c>
    </row>
    <row r="468" spans="1:9" x14ac:dyDescent="0.25">
      <c r="A468" s="230">
        <v>112650</v>
      </c>
      <c r="B468" s="162" t="s">
        <v>319</v>
      </c>
      <c r="C468" s="162" t="s">
        <v>2</v>
      </c>
      <c r="D468" s="162" t="s">
        <v>8</v>
      </c>
      <c r="E468" s="231">
        <v>43617</v>
      </c>
      <c r="F468" s="117">
        <v>1016.96</v>
      </c>
      <c r="G468" s="117">
        <f>SUMIF(CONFERÊNCIA!A:A,A468,CONFERÊNCIA!J:J)</f>
        <v>1016.96</v>
      </c>
      <c r="H468" s="119">
        <f t="shared" si="54"/>
        <v>0</v>
      </c>
      <c r="I468" s="240" t="s">
        <v>1229</v>
      </c>
    </row>
    <row r="469" spans="1:9" x14ac:dyDescent="0.25">
      <c r="A469" s="230">
        <v>114702</v>
      </c>
      <c r="B469" s="162" t="s">
        <v>1075</v>
      </c>
      <c r="C469" s="162" t="s">
        <v>2</v>
      </c>
      <c r="D469" s="162" t="s">
        <v>10</v>
      </c>
      <c r="E469" s="231">
        <v>43874</v>
      </c>
      <c r="F469" s="117">
        <v>978.67000000000007</v>
      </c>
      <c r="G469" s="117">
        <f>SUMIF(CONFERÊNCIA!A:A,A469,CONFERÊNCIA!J:J)</f>
        <v>863.83</v>
      </c>
      <c r="H469" s="119">
        <f t="shared" si="54"/>
        <v>-114.84000000000003</v>
      </c>
      <c r="I469" s="240" t="s">
        <v>1229</v>
      </c>
    </row>
    <row r="470" spans="1:9" x14ac:dyDescent="0.25">
      <c r="A470" s="230">
        <v>114260</v>
      </c>
      <c r="B470" s="162" t="s">
        <v>1023</v>
      </c>
      <c r="C470" s="162" t="s">
        <v>5</v>
      </c>
      <c r="D470" s="162" t="s">
        <v>0</v>
      </c>
      <c r="E470" s="231">
        <v>43804</v>
      </c>
      <c r="F470" s="117">
        <v>1016.96</v>
      </c>
      <c r="G470" s="117">
        <f>SUMIF(CONFERÊNCIA!A:A,A470,CONFERÊNCIA!J:J)</f>
        <v>1016.96</v>
      </c>
      <c r="H470" s="119">
        <f t="shared" si="54"/>
        <v>0</v>
      </c>
      <c r="I470" s="240" t="s">
        <v>1229</v>
      </c>
    </row>
    <row r="471" spans="1:9" x14ac:dyDescent="0.25">
      <c r="A471" s="230">
        <v>112654</v>
      </c>
      <c r="B471" s="162" t="s">
        <v>321</v>
      </c>
      <c r="C471" s="162" t="s">
        <v>15</v>
      </c>
      <c r="D471" s="162" t="s">
        <v>1578</v>
      </c>
      <c r="E471" s="231">
        <v>43620</v>
      </c>
      <c r="F471" s="117">
        <v>1016.96</v>
      </c>
      <c r="G471" s="117">
        <f>SUMIF(CONFERÊNCIA!A:A,A471,CONFERÊNCIA!J:J)</f>
        <v>1016.96</v>
      </c>
      <c r="H471" s="119">
        <f t="shared" si="54"/>
        <v>0</v>
      </c>
      <c r="I471" s="240" t="s">
        <v>1229</v>
      </c>
    </row>
    <row r="472" spans="1:9" x14ac:dyDescent="0.25">
      <c r="A472" s="230">
        <v>113735</v>
      </c>
      <c r="B472" s="162" t="s">
        <v>950</v>
      </c>
      <c r="C472" s="162" t="s">
        <v>951</v>
      </c>
      <c r="D472" s="162" t="s">
        <v>1578</v>
      </c>
      <c r="E472" s="231">
        <v>43619</v>
      </c>
      <c r="F472" s="117">
        <v>1016.96</v>
      </c>
      <c r="G472" s="117">
        <f>SUMIF(CONFERÊNCIA!A:A,A472,CONFERÊNCIA!J:J)</f>
        <v>1016.96</v>
      </c>
      <c r="H472" s="119">
        <f t="shared" si="54"/>
        <v>0</v>
      </c>
      <c r="I472" s="240" t="s">
        <v>1229</v>
      </c>
    </row>
    <row r="473" spans="1:9" x14ac:dyDescent="0.25">
      <c r="A473" s="230">
        <v>112661</v>
      </c>
      <c r="B473" s="162" t="s">
        <v>325</v>
      </c>
      <c r="C473" s="162" t="s">
        <v>15</v>
      </c>
      <c r="D473" s="162" t="s">
        <v>1578</v>
      </c>
      <c r="E473" s="231">
        <v>43617</v>
      </c>
      <c r="F473" s="117">
        <v>1016.96</v>
      </c>
      <c r="G473" s="117">
        <f>SUMIF(CONFERÊNCIA!A:A,A473,CONFERÊNCIA!J:J)</f>
        <v>1016.96</v>
      </c>
      <c r="H473" s="119">
        <f t="shared" si="54"/>
        <v>0</v>
      </c>
      <c r="I473" s="240" t="s">
        <v>1230</v>
      </c>
    </row>
    <row r="474" spans="1:9" x14ac:dyDescent="0.25">
      <c r="A474" s="230">
        <v>112668</v>
      </c>
      <c r="B474" s="162" t="s">
        <v>329</v>
      </c>
      <c r="C474" s="162" t="s">
        <v>2</v>
      </c>
      <c r="D474" s="162" t="s">
        <v>19</v>
      </c>
      <c r="E474" s="231">
        <v>43617</v>
      </c>
      <c r="F474" s="117">
        <v>1016.96</v>
      </c>
      <c r="G474" s="117">
        <f>SUMIF(CONFERÊNCIA!A:A,A474,CONFERÊNCIA!J:J)</f>
        <v>1016.96</v>
      </c>
      <c r="H474" s="119">
        <f t="shared" si="54"/>
        <v>0</v>
      </c>
      <c r="I474" s="240" t="s">
        <v>1230</v>
      </c>
    </row>
    <row r="475" spans="1:9" x14ac:dyDescent="0.25">
      <c r="A475" s="230">
        <v>114700</v>
      </c>
      <c r="B475" s="162" t="s">
        <v>1074</v>
      </c>
      <c r="C475" s="162" t="s">
        <v>2</v>
      </c>
      <c r="D475" s="162" t="s">
        <v>0</v>
      </c>
      <c r="E475" s="231">
        <v>43874</v>
      </c>
      <c r="F475" s="117">
        <v>940.39</v>
      </c>
      <c r="G475" s="117">
        <f>SUMIF(CONFERÊNCIA!A:A,A475,CONFERÊNCIA!J:J)</f>
        <v>0</v>
      </c>
      <c r="H475" s="119">
        <f t="shared" si="54"/>
        <v>-940.39</v>
      </c>
      <c r="I475" s="240" t="s">
        <v>1287</v>
      </c>
    </row>
    <row r="476" spans="1:9" x14ac:dyDescent="0.25">
      <c r="A476" s="230">
        <v>112680</v>
      </c>
      <c r="B476" s="162" t="s">
        <v>335</v>
      </c>
      <c r="C476" s="162" t="s">
        <v>146</v>
      </c>
      <c r="D476" s="162" t="s">
        <v>0</v>
      </c>
      <c r="E476" s="231">
        <v>43617</v>
      </c>
      <c r="F476" s="117">
        <v>1016.96</v>
      </c>
      <c r="G476" s="117">
        <f>SUMIF(CONFERÊNCIA!A:A,A476,CONFERÊNCIA!J:J)</f>
        <v>1016.96</v>
      </c>
      <c r="H476" s="119">
        <f t="shared" ref="H476:H494" si="55">G476-F476</f>
        <v>0</v>
      </c>
      <c r="I476" s="240" t="s">
        <v>1229</v>
      </c>
    </row>
    <row r="477" spans="1:9" x14ac:dyDescent="0.25">
      <c r="A477" s="230">
        <v>114506</v>
      </c>
      <c r="B477" s="162" t="s">
        <v>1042</v>
      </c>
      <c r="C477" s="162" t="s">
        <v>1043</v>
      </c>
      <c r="D477" s="162" t="s">
        <v>1578</v>
      </c>
      <c r="E477" s="231">
        <v>43811</v>
      </c>
      <c r="F477" s="117">
        <v>1016.96</v>
      </c>
      <c r="G477" s="117">
        <f>SUMIF(CONFERÊNCIA!A:A,A477,CONFERÊNCIA!J:J)</f>
        <v>1016.96</v>
      </c>
      <c r="H477" s="119">
        <f t="shared" si="55"/>
        <v>0</v>
      </c>
      <c r="I477" s="240" t="s">
        <v>1229</v>
      </c>
    </row>
    <row r="478" spans="1:9" x14ac:dyDescent="0.25">
      <c r="A478" s="230">
        <v>112709</v>
      </c>
      <c r="B478" s="162" t="s">
        <v>1525</v>
      </c>
      <c r="C478" s="162" t="s">
        <v>15</v>
      </c>
      <c r="D478" s="162" t="s">
        <v>1578</v>
      </c>
      <c r="E478" s="231">
        <v>43617</v>
      </c>
      <c r="F478" s="117">
        <v>1016.96</v>
      </c>
      <c r="G478" s="117">
        <f>SUMIF(CONFERÊNCIA!A:A,A478,CONFERÊNCIA!J:J)</f>
        <v>1016.96</v>
      </c>
      <c r="H478" s="119">
        <f t="shared" si="55"/>
        <v>0</v>
      </c>
      <c r="I478" s="240" t="s">
        <v>1229</v>
      </c>
    </row>
    <row r="479" spans="1:9" x14ac:dyDescent="0.25">
      <c r="A479" s="230">
        <v>122821</v>
      </c>
      <c r="B479" s="162" t="s">
        <v>1719</v>
      </c>
      <c r="C479" s="162" t="s">
        <v>5</v>
      </c>
      <c r="D479" s="162" t="s">
        <v>32</v>
      </c>
      <c r="E479" s="231">
        <v>45180</v>
      </c>
      <c r="F479" s="117">
        <v>0</v>
      </c>
      <c r="G479" s="117">
        <f>SUMIF(CONFERÊNCIA!A:A,A479,CONFERÊNCIA!J:J)</f>
        <v>1016.96</v>
      </c>
      <c r="H479" s="119">
        <f t="shared" si="55"/>
        <v>1016.96</v>
      </c>
      <c r="I479" s="240" t="s">
        <v>1231</v>
      </c>
    </row>
    <row r="480" spans="1:9" x14ac:dyDescent="0.25">
      <c r="A480" s="230">
        <v>112713</v>
      </c>
      <c r="B480" s="162" t="s">
        <v>357</v>
      </c>
      <c r="C480" s="162" t="s">
        <v>15</v>
      </c>
      <c r="D480" s="162" t="s">
        <v>1578</v>
      </c>
      <c r="E480" s="231">
        <v>43617</v>
      </c>
      <c r="F480" s="117">
        <v>1016.96</v>
      </c>
      <c r="G480" s="117">
        <f>SUMIF(CONFERÊNCIA!A:A,A480,CONFERÊNCIA!J:J)</f>
        <v>1016.96</v>
      </c>
      <c r="H480" s="119">
        <f t="shared" si="55"/>
        <v>0</v>
      </c>
      <c r="I480" s="240" t="s">
        <v>1229</v>
      </c>
    </row>
    <row r="481" spans="1:9" x14ac:dyDescent="0.25">
      <c r="A481" s="230">
        <v>112716</v>
      </c>
      <c r="B481" s="162" t="s">
        <v>359</v>
      </c>
      <c r="C481" s="162" t="s">
        <v>2</v>
      </c>
      <c r="D481" s="162" t="s">
        <v>10</v>
      </c>
      <c r="E481" s="231">
        <v>43617</v>
      </c>
      <c r="F481" s="117">
        <v>1016.96</v>
      </c>
      <c r="G481" s="117">
        <f>SUMIF(CONFERÊNCIA!A:A,A481,CONFERÊNCIA!J:J)</f>
        <v>1016.96</v>
      </c>
      <c r="H481" s="119">
        <f t="shared" si="55"/>
        <v>0</v>
      </c>
      <c r="I481" s="240" t="s">
        <v>1229</v>
      </c>
    </row>
    <row r="482" spans="1:9" x14ac:dyDescent="0.25">
      <c r="A482" s="230">
        <v>112720</v>
      </c>
      <c r="B482" s="162" t="s">
        <v>363</v>
      </c>
      <c r="C482" s="162" t="s">
        <v>2</v>
      </c>
      <c r="D482" s="162" t="s">
        <v>0</v>
      </c>
      <c r="E482" s="231">
        <v>43617</v>
      </c>
      <c r="F482" s="117">
        <v>1016.96</v>
      </c>
      <c r="G482" s="117">
        <f>SUMIF(CONFERÊNCIA!A:A,A482,CONFERÊNCIA!J:J)</f>
        <v>1016.96</v>
      </c>
      <c r="H482" s="119">
        <f t="shared" si="55"/>
        <v>0</v>
      </c>
      <c r="I482" s="240" t="s">
        <v>1229</v>
      </c>
    </row>
    <row r="483" spans="1:9" x14ac:dyDescent="0.25">
      <c r="A483" s="230">
        <v>112724</v>
      </c>
      <c r="B483" s="162" t="s">
        <v>365</v>
      </c>
      <c r="C483" s="162" t="s">
        <v>5</v>
      </c>
      <c r="D483" s="162" t="s">
        <v>32</v>
      </c>
      <c r="E483" s="231">
        <v>43617</v>
      </c>
      <c r="F483" s="117">
        <v>1016.96</v>
      </c>
      <c r="G483" s="117">
        <f>SUMIF(CONFERÊNCIA!A:A,A483,CONFERÊNCIA!J:J)</f>
        <v>1016.96</v>
      </c>
      <c r="H483" s="119">
        <f t="shared" si="55"/>
        <v>0</v>
      </c>
      <c r="I483" s="240" t="s">
        <v>1229</v>
      </c>
    </row>
    <row r="484" spans="1:9" x14ac:dyDescent="0.25">
      <c r="A484" s="230">
        <v>114120</v>
      </c>
      <c r="B484" s="162" t="s">
        <v>1010</v>
      </c>
      <c r="C484" s="162" t="s">
        <v>412</v>
      </c>
      <c r="D484" s="162" t="s">
        <v>1578</v>
      </c>
      <c r="E484" s="231">
        <v>43739</v>
      </c>
      <c r="F484" s="117">
        <v>1016.96</v>
      </c>
      <c r="G484" s="117">
        <f>SUMIF(CONFERÊNCIA!A:A,A484,CONFERÊNCIA!J:J)</f>
        <v>1016.96</v>
      </c>
      <c r="H484" s="119">
        <f t="shared" si="55"/>
        <v>0</v>
      </c>
      <c r="I484" s="240" t="s">
        <v>1229</v>
      </c>
    </row>
    <row r="485" spans="1:9" x14ac:dyDescent="0.25">
      <c r="A485" s="230">
        <v>112737</v>
      </c>
      <c r="B485" s="162" t="s">
        <v>374</v>
      </c>
      <c r="C485" s="162" t="s">
        <v>2</v>
      </c>
      <c r="D485" s="162" t="s">
        <v>0</v>
      </c>
      <c r="E485" s="231">
        <v>43617</v>
      </c>
      <c r="F485" s="117">
        <v>1016.96</v>
      </c>
      <c r="G485" s="117">
        <f>SUMIF(CONFERÊNCIA!A:A,A485,CONFERÊNCIA!J:J)</f>
        <v>1016.96</v>
      </c>
      <c r="H485" s="119">
        <f t="shared" si="55"/>
        <v>0</v>
      </c>
      <c r="I485" s="240" t="s">
        <v>1230</v>
      </c>
    </row>
    <row r="486" spans="1:9" x14ac:dyDescent="0.25">
      <c r="A486" s="230">
        <v>112742</v>
      </c>
      <c r="B486" s="162" t="s">
        <v>376</v>
      </c>
      <c r="C486" s="162" t="s">
        <v>146</v>
      </c>
      <c r="D486" s="162" t="s">
        <v>1578</v>
      </c>
      <c r="E486" s="231">
        <v>43617</v>
      </c>
      <c r="F486" s="117">
        <v>1016.96</v>
      </c>
      <c r="G486" s="117">
        <f>SUMIF(CONFERÊNCIA!A:A,A486,CONFERÊNCIA!J:J)</f>
        <v>1016.96</v>
      </c>
      <c r="H486" s="119">
        <f t="shared" si="55"/>
        <v>0</v>
      </c>
      <c r="I486" s="240" t="s">
        <v>1229</v>
      </c>
    </row>
    <row r="487" spans="1:9" x14ac:dyDescent="0.25">
      <c r="A487" s="230">
        <v>121956</v>
      </c>
      <c r="B487" s="162" t="s">
        <v>1607</v>
      </c>
      <c r="C487" s="162" t="s">
        <v>5</v>
      </c>
      <c r="D487" s="162" t="s">
        <v>8</v>
      </c>
      <c r="E487" s="231">
        <v>45040</v>
      </c>
      <c r="F487" s="117">
        <v>1016.96</v>
      </c>
      <c r="G487" s="117">
        <f>SUMIF(CONFERÊNCIA!A:A,A487,CONFERÊNCIA!J:J)</f>
        <v>1016.96</v>
      </c>
      <c r="H487" s="119">
        <f t="shared" si="55"/>
        <v>0</v>
      </c>
      <c r="I487" s="240" t="s">
        <v>1229</v>
      </c>
    </row>
    <row r="488" spans="1:9" x14ac:dyDescent="0.25">
      <c r="A488" s="230">
        <v>112745</v>
      </c>
      <c r="B488" s="162" t="s">
        <v>379</v>
      </c>
      <c r="C488" s="162" t="s">
        <v>139</v>
      </c>
      <c r="D488" s="162" t="s">
        <v>1578</v>
      </c>
      <c r="E488" s="231">
        <v>43617</v>
      </c>
      <c r="F488" s="117">
        <v>1016.96</v>
      </c>
      <c r="G488" s="117">
        <f>SUMIF(CONFERÊNCIA!A:A,A488,CONFERÊNCIA!J:J)</f>
        <v>1016.96</v>
      </c>
      <c r="H488" s="119">
        <f t="shared" si="55"/>
        <v>0</v>
      </c>
      <c r="I488" s="240" t="s">
        <v>1229</v>
      </c>
    </row>
    <row r="489" spans="1:9" x14ac:dyDescent="0.25">
      <c r="A489" s="230">
        <v>114606</v>
      </c>
      <c r="B489" s="162" t="s">
        <v>1058</v>
      </c>
      <c r="C489" s="162" t="s">
        <v>2</v>
      </c>
      <c r="D489" s="162" t="s">
        <v>0</v>
      </c>
      <c r="E489" s="231">
        <v>43836</v>
      </c>
      <c r="F489" s="117">
        <v>1016.96</v>
      </c>
      <c r="G489" s="117">
        <f>SUMIF(CONFERÊNCIA!A:A,A489,CONFERÊNCIA!J:J)</f>
        <v>1016.96</v>
      </c>
      <c r="H489" s="119">
        <f t="shared" si="55"/>
        <v>0</v>
      </c>
      <c r="I489" s="240" t="s">
        <v>1229</v>
      </c>
    </row>
    <row r="490" spans="1:9" x14ac:dyDescent="0.25">
      <c r="A490" s="230">
        <v>112749</v>
      </c>
      <c r="B490" s="162" t="s">
        <v>382</v>
      </c>
      <c r="C490" s="162" t="s">
        <v>2</v>
      </c>
      <c r="D490" s="162" t="s">
        <v>0</v>
      </c>
      <c r="E490" s="231">
        <v>43617</v>
      </c>
      <c r="F490" s="117">
        <v>1016.96</v>
      </c>
      <c r="G490" s="117">
        <f>SUMIF(CONFERÊNCIA!A:A,A490,CONFERÊNCIA!J:J)</f>
        <v>1016.96</v>
      </c>
      <c r="H490" s="119">
        <f t="shared" si="55"/>
        <v>0</v>
      </c>
      <c r="I490" s="240" t="s">
        <v>1229</v>
      </c>
    </row>
    <row r="491" spans="1:9" x14ac:dyDescent="0.25">
      <c r="A491" s="230">
        <v>112753</v>
      </c>
      <c r="B491" s="162" t="s">
        <v>383</v>
      </c>
      <c r="C491" s="162" t="s">
        <v>384</v>
      </c>
      <c r="D491" s="162" t="s">
        <v>1578</v>
      </c>
      <c r="E491" s="231">
        <v>43617</v>
      </c>
      <c r="F491" s="117">
        <v>1016.96</v>
      </c>
      <c r="G491" s="117">
        <f>SUMIF(CONFERÊNCIA!A:A,A491,CONFERÊNCIA!J:J)</f>
        <v>1016.96</v>
      </c>
      <c r="H491" s="119">
        <f t="shared" si="55"/>
        <v>0</v>
      </c>
      <c r="I491" s="240" t="s">
        <v>1229</v>
      </c>
    </row>
    <row r="492" spans="1:9" x14ac:dyDescent="0.25">
      <c r="A492" s="230">
        <v>112757</v>
      </c>
      <c r="B492" s="162" t="s">
        <v>386</v>
      </c>
      <c r="C492" s="162" t="s">
        <v>15</v>
      </c>
      <c r="D492" s="162" t="s">
        <v>1578</v>
      </c>
      <c r="E492" s="231">
        <v>43617</v>
      </c>
      <c r="F492" s="117">
        <v>1016.96</v>
      </c>
      <c r="G492" s="117">
        <f>SUMIF(CONFERÊNCIA!A:A,A492,CONFERÊNCIA!J:J)</f>
        <v>1016.96</v>
      </c>
      <c r="H492" s="119">
        <f t="shared" si="55"/>
        <v>0</v>
      </c>
      <c r="I492" s="240" t="s">
        <v>1230</v>
      </c>
    </row>
    <row r="493" spans="1:9" x14ac:dyDescent="0.25">
      <c r="A493" s="230">
        <v>114918</v>
      </c>
      <c r="B493" s="162" t="s">
        <v>1107</v>
      </c>
      <c r="C493" s="162" t="s">
        <v>5</v>
      </c>
      <c r="D493" s="162" t="s">
        <v>1578</v>
      </c>
      <c r="E493" s="231">
        <v>43916</v>
      </c>
      <c r="F493" s="117">
        <v>1016.96</v>
      </c>
      <c r="G493" s="117">
        <f>SUMIF(CONFERÊNCIA!A:A,A493,CONFERÊNCIA!J:J)</f>
        <v>1016.96</v>
      </c>
      <c r="H493" s="119">
        <f t="shared" si="55"/>
        <v>0</v>
      </c>
      <c r="I493" s="240" t="s">
        <v>1229</v>
      </c>
    </row>
    <row r="494" spans="1:9" x14ac:dyDescent="0.25">
      <c r="A494" s="230">
        <v>115214</v>
      </c>
      <c r="B494" s="162" t="s">
        <v>1140</v>
      </c>
      <c r="C494" s="162" t="s">
        <v>5</v>
      </c>
      <c r="D494" s="162" t="s">
        <v>8</v>
      </c>
      <c r="E494" s="231">
        <v>44018</v>
      </c>
      <c r="F494" s="117">
        <v>1016.96</v>
      </c>
      <c r="G494" s="117">
        <f>SUMIF(CONFERÊNCIA!A:A,A494,CONFERÊNCIA!J:J)</f>
        <v>1016.96</v>
      </c>
      <c r="H494" s="119">
        <f t="shared" si="55"/>
        <v>0</v>
      </c>
      <c r="I494" s="240" t="s">
        <v>1229</v>
      </c>
    </row>
    <row r="495" spans="1:9" x14ac:dyDescent="0.25">
      <c r="A495" s="230">
        <v>115397</v>
      </c>
      <c r="B495" s="162" t="s">
        <v>1150</v>
      </c>
      <c r="C495" s="162" t="s">
        <v>5</v>
      </c>
      <c r="D495" s="162" t="s">
        <v>1578</v>
      </c>
      <c r="E495" s="231">
        <v>44048</v>
      </c>
      <c r="F495" s="117">
        <v>1016.96</v>
      </c>
      <c r="G495" s="117">
        <f>SUMIF(CONFERÊNCIA!A:A,A495,CONFERÊNCIA!J:J)</f>
        <v>863.83</v>
      </c>
      <c r="H495" s="119">
        <f t="shared" ref="H495:H512" si="56">G495-F495</f>
        <v>-153.13</v>
      </c>
      <c r="I495" s="240" t="s">
        <v>1230</v>
      </c>
    </row>
    <row r="496" spans="1:9" x14ac:dyDescent="0.25">
      <c r="A496" s="230">
        <v>115378</v>
      </c>
      <c r="B496" s="162" t="s">
        <v>1149</v>
      </c>
      <c r="C496" s="162" t="s">
        <v>5</v>
      </c>
      <c r="D496" s="162" t="s">
        <v>0</v>
      </c>
      <c r="E496" s="231">
        <v>44046</v>
      </c>
      <c r="F496" s="117">
        <v>978.67000000000007</v>
      </c>
      <c r="G496" s="117">
        <f>SUMIF(CONFERÊNCIA!A:A,A496,CONFERÊNCIA!J:J)</f>
        <v>1016.96</v>
      </c>
      <c r="H496" s="119">
        <f t="shared" si="56"/>
        <v>38.289999999999964</v>
      </c>
      <c r="I496" s="240" t="s">
        <v>1229</v>
      </c>
    </row>
    <row r="497" spans="1:9" x14ac:dyDescent="0.25">
      <c r="A497" s="230">
        <v>114729</v>
      </c>
      <c r="B497" s="162" t="s">
        <v>1080</v>
      </c>
      <c r="C497" s="162" t="s">
        <v>2</v>
      </c>
      <c r="D497" s="162" t="s">
        <v>8</v>
      </c>
      <c r="E497" s="231">
        <v>43874</v>
      </c>
      <c r="F497" s="117">
        <v>1016.96</v>
      </c>
      <c r="G497" s="117">
        <f>SUMIF(CONFERÊNCIA!A:A,A497,CONFERÊNCIA!J:J)</f>
        <v>1016.96</v>
      </c>
      <c r="H497" s="119">
        <f t="shared" si="56"/>
        <v>0</v>
      </c>
      <c r="I497" s="240" t="s">
        <v>1229</v>
      </c>
    </row>
    <row r="498" spans="1:9" x14ac:dyDescent="0.25">
      <c r="A498" s="230">
        <v>119665</v>
      </c>
      <c r="B498" s="162" t="s">
        <v>1462</v>
      </c>
      <c r="C498" s="162" t="s">
        <v>2</v>
      </c>
      <c r="D498" s="162" t="s">
        <v>10</v>
      </c>
      <c r="E498" s="231">
        <v>44725</v>
      </c>
      <c r="F498" s="117">
        <v>1016.96</v>
      </c>
      <c r="G498" s="117">
        <f>SUMIF(CONFERÊNCIA!A:A,A498,CONFERÊNCIA!J:J)</f>
        <v>1016.96</v>
      </c>
      <c r="H498" s="119">
        <f t="shared" si="56"/>
        <v>0</v>
      </c>
      <c r="I498" s="240" t="s">
        <v>1229</v>
      </c>
    </row>
    <row r="499" spans="1:9" x14ac:dyDescent="0.25">
      <c r="A499" s="230">
        <v>112764</v>
      </c>
      <c r="B499" s="162" t="s">
        <v>390</v>
      </c>
      <c r="C499" s="162" t="s">
        <v>146</v>
      </c>
      <c r="D499" s="162" t="s">
        <v>19</v>
      </c>
      <c r="E499" s="231">
        <v>43617</v>
      </c>
      <c r="F499" s="117">
        <v>1016.96</v>
      </c>
      <c r="G499" s="117">
        <f>SUMIF(CONFERÊNCIA!A:A,A499,CONFERÊNCIA!J:J)</f>
        <v>1016.96</v>
      </c>
      <c r="H499" s="119">
        <f t="shared" si="56"/>
        <v>0</v>
      </c>
      <c r="I499" s="240" t="s">
        <v>1229</v>
      </c>
    </row>
    <row r="500" spans="1:9" x14ac:dyDescent="0.25">
      <c r="A500" s="230">
        <v>114316</v>
      </c>
      <c r="B500" s="162" t="s">
        <v>1032</v>
      </c>
      <c r="C500" s="162" t="s">
        <v>5</v>
      </c>
      <c r="D500" s="162" t="s">
        <v>0</v>
      </c>
      <c r="E500" s="231">
        <v>43811</v>
      </c>
      <c r="F500" s="117">
        <v>940.39</v>
      </c>
      <c r="G500" s="117">
        <f>SUMIF(CONFERÊNCIA!A:A,A500,CONFERÊNCIA!J:J)</f>
        <v>940.39</v>
      </c>
      <c r="H500" s="119">
        <f t="shared" si="56"/>
        <v>0</v>
      </c>
      <c r="I500" s="240" t="s">
        <v>1229</v>
      </c>
    </row>
    <row r="501" spans="1:9" x14ac:dyDescent="0.25">
      <c r="A501" s="230">
        <v>115818</v>
      </c>
      <c r="B501" s="162" t="s">
        <v>1164</v>
      </c>
      <c r="C501" s="162" t="s">
        <v>5</v>
      </c>
      <c r="D501" s="162" t="s">
        <v>0</v>
      </c>
      <c r="E501" s="231">
        <v>44154</v>
      </c>
      <c r="F501" s="117">
        <v>1016.96</v>
      </c>
      <c r="G501" s="117">
        <f>SUMIF(CONFERÊNCIA!A:A,A501,CONFERÊNCIA!J:J)</f>
        <v>1016.96</v>
      </c>
      <c r="H501" s="119">
        <f t="shared" si="56"/>
        <v>0</v>
      </c>
      <c r="I501" s="240" t="s">
        <v>1229</v>
      </c>
    </row>
    <row r="502" spans="1:9" x14ac:dyDescent="0.25">
      <c r="A502" s="230">
        <v>112766</v>
      </c>
      <c r="B502" s="162" t="s">
        <v>392</v>
      </c>
      <c r="C502" s="162" t="s">
        <v>5</v>
      </c>
      <c r="D502" s="162" t="s">
        <v>8</v>
      </c>
      <c r="E502" s="231">
        <v>43617</v>
      </c>
      <c r="F502" s="117">
        <v>978.67000000000007</v>
      </c>
      <c r="G502" s="117">
        <f>SUMIF(CONFERÊNCIA!A:A,A502,CONFERÊNCIA!J:J)</f>
        <v>1016.96</v>
      </c>
      <c r="H502" s="119">
        <f t="shared" si="56"/>
        <v>38.289999999999964</v>
      </c>
      <c r="I502" s="240" t="s">
        <v>1229</v>
      </c>
    </row>
    <row r="503" spans="1:9" x14ac:dyDescent="0.25">
      <c r="A503" s="230">
        <v>112768</v>
      </c>
      <c r="B503" s="162" t="s">
        <v>394</v>
      </c>
      <c r="C503" s="162" t="s">
        <v>22</v>
      </c>
      <c r="D503" s="162" t="s">
        <v>1578</v>
      </c>
      <c r="E503" s="231">
        <v>43617</v>
      </c>
      <c r="F503" s="117">
        <v>1016.96</v>
      </c>
      <c r="G503" s="117">
        <f>SUMIF(CONFERÊNCIA!A:A,A503,CONFERÊNCIA!J:J)</f>
        <v>1016.96</v>
      </c>
      <c r="H503" s="119">
        <f t="shared" si="56"/>
        <v>0</v>
      </c>
      <c r="I503" s="240" t="s">
        <v>1229</v>
      </c>
    </row>
    <row r="504" spans="1:9" x14ac:dyDescent="0.25">
      <c r="A504" s="230">
        <v>112799</v>
      </c>
      <c r="B504" s="162" t="s">
        <v>418</v>
      </c>
      <c r="C504" s="162" t="s">
        <v>5</v>
      </c>
      <c r="D504" s="162" t="s">
        <v>32</v>
      </c>
      <c r="E504" s="231">
        <v>43617</v>
      </c>
      <c r="F504" s="117">
        <v>1016.96</v>
      </c>
      <c r="G504" s="117">
        <f>SUMIF(CONFERÊNCIA!A:A,A504,CONFERÊNCIA!J:J)</f>
        <v>1016.96</v>
      </c>
      <c r="H504" s="119">
        <f t="shared" si="56"/>
        <v>0</v>
      </c>
      <c r="I504" s="240" t="s">
        <v>1229</v>
      </c>
    </row>
    <row r="505" spans="1:9" x14ac:dyDescent="0.25">
      <c r="A505" s="230">
        <v>116738</v>
      </c>
      <c r="B505" s="162" t="s">
        <v>1223</v>
      </c>
      <c r="C505" s="162" t="s">
        <v>1650</v>
      </c>
      <c r="D505" s="162" t="s">
        <v>1578</v>
      </c>
      <c r="E505" s="231">
        <v>44370</v>
      </c>
      <c r="F505" s="117">
        <v>1016.96</v>
      </c>
      <c r="G505" s="117">
        <f>SUMIF(CONFERÊNCIA!A:A,A505,CONFERÊNCIA!J:J)</f>
        <v>1016.96</v>
      </c>
      <c r="H505" s="119">
        <f t="shared" si="56"/>
        <v>0</v>
      </c>
      <c r="I505" s="240" t="s">
        <v>1229</v>
      </c>
    </row>
    <row r="506" spans="1:9" x14ac:dyDescent="0.25">
      <c r="A506" s="230">
        <v>113714</v>
      </c>
      <c r="B506" s="162" t="s">
        <v>930</v>
      </c>
      <c r="C506" s="162" t="s">
        <v>901</v>
      </c>
      <c r="D506" s="162" t="s">
        <v>1578</v>
      </c>
      <c r="E506" s="231">
        <v>43619</v>
      </c>
      <c r="F506" s="117">
        <v>1016.96</v>
      </c>
      <c r="G506" s="117">
        <f>SUMIF(CONFERÊNCIA!A:A,A506,CONFERÊNCIA!J:J)</f>
        <v>1016.96</v>
      </c>
      <c r="H506" s="119">
        <f t="shared" si="56"/>
        <v>0</v>
      </c>
      <c r="I506" s="240" t="s">
        <v>1229</v>
      </c>
    </row>
    <row r="507" spans="1:9" x14ac:dyDescent="0.25">
      <c r="A507" s="230">
        <v>114765</v>
      </c>
      <c r="B507" s="162" t="s">
        <v>1096</v>
      </c>
      <c r="C507" s="162" t="s">
        <v>15</v>
      </c>
      <c r="D507" s="162" t="s">
        <v>1578</v>
      </c>
      <c r="E507" s="231">
        <v>43874</v>
      </c>
      <c r="F507" s="117">
        <v>1016.96</v>
      </c>
      <c r="G507" s="117">
        <f>SUMIF(CONFERÊNCIA!A:A,A507,CONFERÊNCIA!J:J)</f>
        <v>1016.96</v>
      </c>
      <c r="H507" s="119">
        <f t="shared" si="56"/>
        <v>0</v>
      </c>
      <c r="I507" s="240" t="s">
        <v>1229</v>
      </c>
    </row>
    <row r="508" spans="1:9" x14ac:dyDescent="0.25">
      <c r="A508" s="230">
        <v>122822</v>
      </c>
      <c r="B508" s="162" t="s">
        <v>1720</v>
      </c>
      <c r="C508" s="162" t="s">
        <v>5</v>
      </c>
      <c r="D508" s="162" t="s">
        <v>8</v>
      </c>
      <c r="E508" s="231">
        <v>45180</v>
      </c>
      <c r="F508" s="117">
        <v>0</v>
      </c>
      <c r="G508" s="117">
        <f>SUMIF(CONFERÊNCIA!A:A,A508,CONFERÊNCIA!J:J)</f>
        <v>1016.96</v>
      </c>
      <c r="H508" s="119">
        <f t="shared" si="56"/>
        <v>1016.96</v>
      </c>
      <c r="I508" s="240" t="s">
        <v>1231</v>
      </c>
    </row>
    <row r="509" spans="1:9" x14ac:dyDescent="0.25">
      <c r="A509" s="230">
        <v>112818</v>
      </c>
      <c r="B509" s="162" t="s">
        <v>432</v>
      </c>
      <c r="C509" s="162" t="s">
        <v>146</v>
      </c>
      <c r="D509" s="162" t="s">
        <v>10</v>
      </c>
      <c r="E509" s="231">
        <v>43617</v>
      </c>
      <c r="F509" s="117">
        <v>1016.96</v>
      </c>
      <c r="G509" s="117">
        <f>SUMIF(CONFERÊNCIA!A:A,A509,CONFERÊNCIA!J:J)</f>
        <v>1016.96</v>
      </c>
      <c r="H509" s="119">
        <f t="shared" si="56"/>
        <v>0</v>
      </c>
      <c r="I509" s="240" t="s">
        <v>1229</v>
      </c>
    </row>
    <row r="510" spans="1:9" x14ac:dyDescent="0.25">
      <c r="A510" s="230">
        <v>115409</v>
      </c>
      <c r="B510" s="162" t="s">
        <v>1157</v>
      </c>
      <c r="C510" s="162" t="s">
        <v>5</v>
      </c>
      <c r="D510" s="162" t="s">
        <v>19</v>
      </c>
      <c r="E510" s="231">
        <v>44048</v>
      </c>
      <c r="F510" s="117">
        <v>863.83</v>
      </c>
      <c r="G510" s="117">
        <f>SUMIF(CONFERÊNCIA!A:A,A510,CONFERÊNCIA!J:J)</f>
        <v>1016.96</v>
      </c>
      <c r="H510" s="119">
        <f t="shared" si="56"/>
        <v>153.13</v>
      </c>
      <c r="I510" s="240" t="s">
        <v>1229</v>
      </c>
    </row>
    <row r="511" spans="1:9" x14ac:dyDescent="0.25">
      <c r="A511" s="230">
        <v>122089</v>
      </c>
      <c r="B511" s="162" t="s">
        <v>1627</v>
      </c>
      <c r="C511" s="162" t="s">
        <v>5</v>
      </c>
      <c r="D511" s="162" t="s">
        <v>0</v>
      </c>
      <c r="E511" s="231">
        <v>45061</v>
      </c>
      <c r="F511" s="117">
        <v>1016.96</v>
      </c>
      <c r="G511" s="117">
        <f>SUMIF(CONFERÊNCIA!A:A,A511,CONFERÊNCIA!J:J)</f>
        <v>1016.96</v>
      </c>
      <c r="H511" s="119">
        <f t="shared" si="56"/>
        <v>0</v>
      </c>
      <c r="I511" s="240" t="s">
        <v>1229</v>
      </c>
    </row>
    <row r="512" spans="1:9" x14ac:dyDescent="0.25">
      <c r="A512" s="230">
        <v>112829</v>
      </c>
      <c r="B512" s="162" t="s">
        <v>440</v>
      </c>
      <c r="C512" s="162" t="s">
        <v>15</v>
      </c>
      <c r="D512" s="162" t="s">
        <v>1578</v>
      </c>
      <c r="E512" s="231">
        <v>43617</v>
      </c>
      <c r="F512" s="117">
        <v>1016.96</v>
      </c>
      <c r="G512" s="117">
        <f>SUMIF(CONFERÊNCIA!A:A,A512,CONFERÊNCIA!J:J)</f>
        <v>1016.96</v>
      </c>
      <c r="H512" s="119">
        <f t="shared" si="56"/>
        <v>0</v>
      </c>
      <c r="I512" s="240" t="s">
        <v>1229</v>
      </c>
    </row>
    <row r="513" spans="1:9" x14ac:dyDescent="0.25">
      <c r="A513" s="230">
        <v>112832</v>
      </c>
      <c r="B513" s="162" t="s">
        <v>442</v>
      </c>
      <c r="C513" s="162" t="s">
        <v>22</v>
      </c>
      <c r="D513" s="162" t="s">
        <v>1578</v>
      </c>
      <c r="E513" s="231">
        <v>43617</v>
      </c>
      <c r="F513" s="117">
        <v>1016.96</v>
      </c>
      <c r="G513" s="117">
        <f>SUMIF(CONFERÊNCIA!A:A,A513,CONFERÊNCIA!J:J)</f>
        <v>1016.96</v>
      </c>
      <c r="H513" s="119">
        <f t="shared" ref="H513:H527" si="57">G513-F513</f>
        <v>0</v>
      </c>
      <c r="I513" s="240" t="s">
        <v>1229</v>
      </c>
    </row>
    <row r="514" spans="1:9" x14ac:dyDescent="0.25">
      <c r="A514" s="230">
        <v>112840</v>
      </c>
      <c r="B514" s="162" t="s">
        <v>447</v>
      </c>
      <c r="C514" s="162" t="s">
        <v>2</v>
      </c>
      <c r="D514" s="162" t="s">
        <v>8</v>
      </c>
      <c r="E514" s="231">
        <v>43617</v>
      </c>
      <c r="F514" s="117">
        <v>1016.96</v>
      </c>
      <c r="G514" s="117">
        <f>SUMIF(CONFERÊNCIA!A:A,A514,CONFERÊNCIA!J:J)</f>
        <v>1016.96</v>
      </c>
      <c r="H514" s="119">
        <f t="shared" si="57"/>
        <v>0</v>
      </c>
      <c r="I514" s="240" t="s">
        <v>1229</v>
      </c>
    </row>
    <row r="515" spans="1:9" x14ac:dyDescent="0.25">
      <c r="A515" s="230">
        <v>112849</v>
      </c>
      <c r="B515" s="162" t="s">
        <v>451</v>
      </c>
      <c r="C515" s="162" t="s">
        <v>2</v>
      </c>
      <c r="D515" s="162" t="s">
        <v>8</v>
      </c>
      <c r="E515" s="231">
        <v>43617</v>
      </c>
      <c r="F515" s="117">
        <v>1016.96</v>
      </c>
      <c r="G515" s="117">
        <f>SUMIF(CONFERÊNCIA!A:A,A515,CONFERÊNCIA!J:J)</f>
        <v>1016.96</v>
      </c>
      <c r="H515" s="119">
        <f t="shared" si="57"/>
        <v>0</v>
      </c>
      <c r="I515" s="240" t="s">
        <v>1229</v>
      </c>
    </row>
    <row r="516" spans="1:9" x14ac:dyDescent="0.25">
      <c r="A516" s="230">
        <v>112864</v>
      </c>
      <c r="B516" s="162" t="s">
        <v>459</v>
      </c>
      <c r="C516" s="162" t="s">
        <v>2</v>
      </c>
      <c r="D516" s="162" t="s">
        <v>0</v>
      </c>
      <c r="E516" s="231">
        <v>43617</v>
      </c>
      <c r="F516" s="117">
        <v>1016.96</v>
      </c>
      <c r="G516" s="117">
        <f>SUMIF(CONFERÊNCIA!A:A,A516,CONFERÊNCIA!J:J)</f>
        <v>1016.96</v>
      </c>
      <c r="H516" s="119">
        <f t="shared" si="57"/>
        <v>0</v>
      </c>
      <c r="I516" s="240" t="s">
        <v>1229</v>
      </c>
    </row>
    <row r="517" spans="1:9" x14ac:dyDescent="0.25">
      <c r="A517" s="230">
        <v>112870</v>
      </c>
      <c r="B517" s="162" t="s">
        <v>463</v>
      </c>
      <c r="C517" s="162" t="s">
        <v>2</v>
      </c>
      <c r="D517" s="162" t="s">
        <v>10</v>
      </c>
      <c r="E517" s="231">
        <v>43617</v>
      </c>
      <c r="F517" s="117">
        <v>1016.96</v>
      </c>
      <c r="G517" s="117">
        <f>SUMIF(CONFERÊNCIA!A:A,A517,CONFERÊNCIA!J:J)</f>
        <v>1016.96</v>
      </c>
      <c r="H517" s="119">
        <f t="shared" si="57"/>
        <v>0</v>
      </c>
      <c r="I517" s="240" t="s">
        <v>1229</v>
      </c>
    </row>
    <row r="518" spans="1:9" x14ac:dyDescent="0.25">
      <c r="A518" s="230">
        <v>112886</v>
      </c>
      <c r="B518" s="162" t="s">
        <v>475</v>
      </c>
      <c r="C518" s="162" t="s">
        <v>2</v>
      </c>
      <c r="D518" s="162" t="s">
        <v>8</v>
      </c>
      <c r="E518" s="231">
        <v>43617</v>
      </c>
      <c r="F518" s="117">
        <v>1016.96</v>
      </c>
      <c r="G518" s="117">
        <f>SUMIF(CONFERÊNCIA!A:A,A518,CONFERÊNCIA!J:J)</f>
        <v>1016.96</v>
      </c>
      <c r="H518" s="119">
        <f t="shared" si="57"/>
        <v>0</v>
      </c>
      <c r="I518" s="240" t="s">
        <v>1229</v>
      </c>
    </row>
    <row r="519" spans="1:9" x14ac:dyDescent="0.25">
      <c r="A519" s="230">
        <v>114954</v>
      </c>
      <c r="B519" s="162" t="s">
        <v>1125</v>
      </c>
      <c r="C519" s="162" t="s">
        <v>15</v>
      </c>
      <c r="D519" s="162" t="s">
        <v>1578</v>
      </c>
      <c r="E519" s="231">
        <v>43916</v>
      </c>
      <c r="F519" s="117">
        <v>1016.96</v>
      </c>
      <c r="G519" s="117">
        <f>SUMIF(CONFERÊNCIA!A:A,A519,CONFERÊNCIA!J:J)</f>
        <v>1016.96</v>
      </c>
      <c r="H519" s="119">
        <f t="shared" si="57"/>
        <v>0</v>
      </c>
      <c r="I519" s="240" t="s">
        <v>1229</v>
      </c>
    </row>
    <row r="520" spans="1:9" x14ac:dyDescent="0.25">
      <c r="A520" s="230">
        <v>112904</v>
      </c>
      <c r="B520" s="162" t="s">
        <v>488</v>
      </c>
      <c r="C520" s="162" t="s">
        <v>15</v>
      </c>
      <c r="D520" s="162" t="s">
        <v>1578</v>
      </c>
      <c r="E520" s="231">
        <v>43620</v>
      </c>
      <c r="F520" s="117">
        <v>1016.96</v>
      </c>
      <c r="G520" s="117">
        <f>SUMIF(CONFERÊNCIA!A:A,A520,CONFERÊNCIA!J:J)</f>
        <v>1016.96</v>
      </c>
      <c r="H520" s="119">
        <f t="shared" si="57"/>
        <v>0</v>
      </c>
      <c r="I520" s="240" t="s">
        <v>1229</v>
      </c>
    </row>
    <row r="521" spans="1:9" x14ac:dyDescent="0.25">
      <c r="A521" s="230">
        <v>112912</v>
      </c>
      <c r="B521" s="162" t="s">
        <v>494</v>
      </c>
      <c r="C521" s="162" t="s">
        <v>2</v>
      </c>
      <c r="D521" s="162" t="s">
        <v>0</v>
      </c>
      <c r="E521" s="231">
        <v>43617</v>
      </c>
      <c r="F521" s="117">
        <v>1016.96</v>
      </c>
      <c r="G521" s="117">
        <f>SUMIF(CONFERÊNCIA!A:A,A521,CONFERÊNCIA!J:J)</f>
        <v>1016.96</v>
      </c>
      <c r="H521" s="119">
        <f t="shared" si="57"/>
        <v>0</v>
      </c>
      <c r="I521" s="240" t="s">
        <v>1229</v>
      </c>
    </row>
    <row r="522" spans="1:9" x14ac:dyDescent="0.25">
      <c r="A522" s="230">
        <v>112974</v>
      </c>
      <c r="B522" s="162" t="s">
        <v>526</v>
      </c>
      <c r="C522" s="162" t="s">
        <v>2</v>
      </c>
      <c r="D522" s="162" t="s">
        <v>0</v>
      </c>
      <c r="E522" s="231">
        <v>43617</v>
      </c>
      <c r="F522" s="117">
        <v>1016.96</v>
      </c>
      <c r="G522" s="117">
        <f>SUMIF(CONFERÊNCIA!A:A,A522,CONFERÊNCIA!J:J)</f>
        <v>1016.96</v>
      </c>
      <c r="H522" s="119">
        <f t="shared" si="57"/>
        <v>0</v>
      </c>
      <c r="I522" s="240" t="s">
        <v>1229</v>
      </c>
    </row>
    <row r="523" spans="1:9" x14ac:dyDescent="0.25">
      <c r="A523" s="230">
        <v>112978</v>
      </c>
      <c r="B523" s="162" t="s">
        <v>528</v>
      </c>
      <c r="C523" s="162" t="s">
        <v>2</v>
      </c>
      <c r="D523" s="162" t="s">
        <v>0</v>
      </c>
      <c r="E523" s="231">
        <v>43617</v>
      </c>
      <c r="F523" s="117">
        <v>1016.96</v>
      </c>
      <c r="G523" s="117">
        <f>SUMIF(CONFERÊNCIA!A:A,A523,CONFERÊNCIA!J:J)</f>
        <v>1016.96</v>
      </c>
      <c r="H523" s="119">
        <f t="shared" si="57"/>
        <v>0</v>
      </c>
      <c r="I523" s="240" t="s">
        <v>1229</v>
      </c>
    </row>
    <row r="524" spans="1:9" x14ac:dyDescent="0.25">
      <c r="A524" s="230">
        <v>119632</v>
      </c>
      <c r="B524" s="162" t="s">
        <v>1463</v>
      </c>
      <c r="C524" s="162" t="s">
        <v>15</v>
      </c>
      <c r="D524" s="162" t="s">
        <v>1578</v>
      </c>
      <c r="E524" s="231">
        <v>44725</v>
      </c>
      <c r="F524" s="117">
        <v>1016.96</v>
      </c>
      <c r="G524" s="117">
        <f>SUMIF(CONFERÊNCIA!A:A,A524,CONFERÊNCIA!J:J)</f>
        <v>1016.96</v>
      </c>
      <c r="H524" s="119">
        <f t="shared" si="57"/>
        <v>0</v>
      </c>
      <c r="I524" s="240" t="s">
        <v>1229</v>
      </c>
    </row>
    <row r="525" spans="1:9" x14ac:dyDescent="0.25">
      <c r="A525" s="230">
        <v>114770</v>
      </c>
      <c r="B525" s="162" t="s">
        <v>1099</v>
      </c>
      <c r="C525" s="162" t="s">
        <v>15</v>
      </c>
      <c r="D525" s="162" t="s">
        <v>1578</v>
      </c>
      <c r="E525" s="231">
        <v>43874</v>
      </c>
      <c r="F525" s="117">
        <v>1016.96</v>
      </c>
      <c r="G525" s="117">
        <f>SUMIF(CONFERÊNCIA!A:A,A525,CONFERÊNCIA!J:J)</f>
        <v>1016.96</v>
      </c>
      <c r="H525" s="119">
        <f t="shared" si="57"/>
        <v>0</v>
      </c>
      <c r="I525" s="240" t="s">
        <v>1229</v>
      </c>
    </row>
    <row r="526" spans="1:9" x14ac:dyDescent="0.25">
      <c r="A526" s="230">
        <v>113029</v>
      </c>
      <c r="B526" s="162" t="s">
        <v>549</v>
      </c>
      <c r="C526" s="162" t="s">
        <v>15</v>
      </c>
      <c r="D526" s="162" t="s">
        <v>1578</v>
      </c>
      <c r="E526" s="231">
        <v>43617</v>
      </c>
      <c r="F526" s="117">
        <v>1016.96</v>
      </c>
      <c r="G526" s="117">
        <f>SUMIF(CONFERÊNCIA!A:A,A526,CONFERÊNCIA!J:J)</f>
        <v>1016.96</v>
      </c>
      <c r="H526" s="119">
        <f t="shared" si="57"/>
        <v>0</v>
      </c>
      <c r="I526" s="240" t="s">
        <v>1229</v>
      </c>
    </row>
    <row r="527" spans="1:9" x14ac:dyDescent="0.25">
      <c r="A527" s="230">
        <v>113035</v>
      </c>
      <c r="B527" s="162" t="s">
        <v>553</v>
      </c>
      <c r="C527" s="162" t="s">
        <v>22</v>
      </c>
      <c r="D527" s="162" t="s">
        <v>1578</v>
      </c>
      <c r="E527" s="231">
        <v>43617</v>
      </c>
      <c r="F527" s="117">
        <v>1016.96</v>
      </c>
      <c r="G527" s="117">
        <f>SUMIF(CONFERÊNCIA!A:A,A527,CONFERÊNCIA!J:J)</f>
        <v>1016.96</v>
      </c>
      <c r="H527" s="119">
        <f t="shared" si="57"/>
        <v>0</v>
      </c>
      <c r="I527" s="240" t="s">
        <v>1229</v>
      </c>
    </row>
    <row r="528" spans="1:9" x14ac:dyDescent="0.25">
      <c r="A528" s="230">
        <v>120172</v>
      </c>
      <c r="B528" s="162" t="s">
        <v>1492</v>
      </c>
      <c r="C528" s="162" t="s">
        <v>5</v>
      </c>
      <c r="D528" s="162" t="s">
        <v>19</v>
      </c>
      <c r="E528" s="231">
        <v>44791</v>
      </c>
      <c r="F528" s="117">
        <v>1016.96</v>
      </c>
      <c r="G528" s="117">
        <f>SUMIF(CONFERÊNCIA!A:A,A528,CONFERÊNCIA!J:J)</f>
        <v>1016.96</v>
      </c>
      <c r="H528" s="119">
        <f t="shared" ref="H528:H539" si="58">G528-F528</f>
        <v>0</v>
      </c>
      <c r="I528" s="240" t="s">
        <v>1229</v>
      </c>
    </row>
    <row r="529" spans="1:9" x14ac:dyDescent="0.25">
      <c r="A529" s="230">
        <v>113064</v>
      </c>
      <c r="B529" s="162" t="s">
        <v>566</v>
      </c>
      <c r="C529" s="162" t="s">
        <v>5</v>
      </c>
      <c r="D529" s="162" t="s">
        <v>1578</v>
      </c>
      <c r="E529" s="231">
        <v>43617</v>
      </c>
      <c r="F529" s="117">
        <v>978.67000000000007</v>
      </c>
      <c r="G529" s="117">
        <f>SUMIF(CONFERÊNCIA!A:A,A529,CONFERÊNCIA!J:J)</f>
        <v>1016.96</v>
      </c>
      <c r="H529" s="119">
        <f t="shared" si="58"/>
        <v>38.289999999999964</v>
      </c>
      <c r="I529" s="240" t="s">
        <v>1229</v>
      </c>
    </row>
    <row r="530" spans="1:9" x14ac:dyDescent="0.25">
      <c r="A530" s="230">
        <v>113071</v>
      </c>
      <c r="B530" s="162" t="s">
        <v>568</v>
      </c>
      <c r="C530" s="162" t="s">
        <v>146</v>
      </c>
      <c r="D530" s="162" t="s">
        <v>0</v>
      </c>
      <c r="E530" s="231">
        <v>43617</v>
      </c>
      <c r="F530" s="117">
        <v>1016.96</v>
      </c>
      <c r="G530" s="117">
        <f>SUMIF(CONFERÊNCIA!A:A,A530,CONFERÊNCIA!J:J)</f>
        <v>1016.96</v>
      </c>
      <c r="H530" s="119">
        <f t="shared" si="58"/>
        <v>0</v>
      </c>
      <c r="I530" s="240" t="s">
        <v>1230</v>
      </c>
    </row>
    <row r="531" spans="1:9" x14ac:dyDescent="0.25">
      <c r="A531" s="230">
        <v>113075</v>
      </c>
      <c r="B531" s="162" t="s">
        <v>572</v>
      </c>
      <c r="C531" s="162" t="s">
        <v>2</v>
      </c>
      <c r="D531" s="162" t="s">
        <v>0</v>
      </c>
      <c r="E531" s="231">
        <v>43617</v>
      </c>
      <c r="F531" s="117">
        <v>1016.96</v>
      </c>
      <c r="G531" s="117">
        <f>SUMIF(CONFERÊNCIA!A:A,A531,CONFERÊNCIA!J:J)</f>
        <v>1016.96</v>
      </c>
      <c r="H531" s="119">
        <f t="shared" si="58"/>
        <v>0</v>
      </c>
      <c r="I531" s="240" t="s">
        <v>1229</v>
      </c>
    </row>
    <row r="532" spans="1:9" x14ac:dyDescent="0.25">
      <c r="A532" s="230">
        <v>117407</v>
      </c>
      <c r="B532" s="162" t="s">
        <v>1269</v>
      </c>
      <c r="C532" s="162" t="s">
        <v>2</v>
      </c>
      <c r="D532" s="162" t="s">
        <v>8</v>
      </c>
      <c r="E532" s="231">
        <v>44522</v>
      </c>
      <c r="F532" s="117">
        <v>1016.96</v>
      </c>
      <c r="G532" s="117">
        <f>SUMIF(CONFERÊNCIA!A:A,A532,CONFERÊNCIA!J:J)</f>
        <v>1016.96</v>
      </c>
      <c r="H532" s="119">
        <f t="shared" si="58"/>
        <v>0</v>
      </c>
      <c r="I532" s="240" t="s">
        <v>1229</v>
      </c>
    </row>
    <row r="533" spans="1:9" x14ac:dyDescent="0.25">
      <c r="A533" s="230">
        <v>113079</v>
      </c>
      <c r="B533" s="162" t="s">
        <v>574</v>
      </c>
      <c r="C533" s="162" t="s">
        <v>5</v>
      </c>
      <c r="D533" s="162" t="s">
        <v>8</v>
      </c>
      <c r="E533" s="231">
        <v>43617</v>
      </c>
      <c r="F533" s="117">
        <v>1016.96</v>
      </c>
      <c r="G533" s="117">
        <f>SUMIF(CONFERÊNCIA!A:A,A533,CONFERÊNCIA!J:J)</f>
        <v>1016.96</v>
      </c>
      <c r="H533" s="119">
        <f t="shared" si="58"/>
        <v>0</v>
      </c>
      <c r="I533" s="240" t="s">
        <v>1229</v>
      </c>
    </row>
    <row r="534" spans="1:9" x14ac:dyDescent="0.25">
      <c r="A534" s="230">
        <v>116323</v>
      </c>
      <c r="B534" s="162" t="s">
        <v>1204</v>
      </c>
      <c r="C534" s="162" t="s">
        <v>5</v>
      </c>
      <c r="D534" s="162" t="s">
        <v>0</v>
      </c>
      <c r="E534" s="231">
        <v>44308</v>
      </c>
      <c r="F534" s="117">
        <v>1016.96</v>
      </c>
      <c r="G534" s="117">
        <f>SUMIF(CONFERÊNCIA!A:A,A534,CONFERÊNCIA!J:J)</f>
        <v>1016.96</v>
      </c>
      <c r="H534" s="119">
        <f t="shared" si="58"/>
        <v>0</v>
      </c>
      <c r="I534" s="240" t="s">
        <v>1229</v>
      </c>
    </row>
    <row r="535" spans="1:9" x14ac:dyDescent="0.25">
      <c r="A535" s="230">
        <v>116003</v>
      </c>
      <c r="B535" s="162" t="s">
        <v>1167</v>
      </c>
      <c r="C535" s="162" t="s">
        <v>5</v>
      </c>
      <c r="D535" s="162" t="s">
        <v>0</v>
      </c>
      <c r="E535" s="231">
        <v>44207</v>
      </c>
      <c r="F535" s="117">
        <v>1016.96</v>
      </c>
      <c r="G535" s="117">
        <f>SUMIF(CONFERÊNCIA!A:A,A535,CONFERÊNCIA!J:J)</f>
        <v>1016.96</v>
      </c>
      <c r="H535" s="119">
        <f t="shared" si="58"/>
        <v>0</v>
      </c>
      <c r="I535" s="240" t="s">
        <v>1229</v>
      </c>
    </row>
    <row r="536" spans="1:9" x14ac:dyDescent="0.25">
      <c r="A536" s="230">
        <v>119679</v>
      </c>
      <c r="B536" s="162" t="s">
        <v>1464</v>
      </c>
      <c r="C536" s="162" t="s">
        <v>5</v>
      </c>
      <c r="D536" s="162" t="s">
        <v>0</v>
      </c>
      <c r="E536" s="231">
        <v>44725</v>
      </c>
      <c r="F536" s="117">
        <v>1016.96</v>
      </c>
      <c r="G536" s="117">
        <f>SUMIF(CONFERÊNCIA!A:A,A536,CONFERÊNCIA!J:J)</f>
        <v>1016.96</v>
      </c>
      <c r="H536" s="119">
        <f t="shared" si="58"/>
        <v>0</v>
      </c>
      <c r="I536" s="240" t="s">
        <v>1229</v>
      </c>
    </row>
    <row r="537" spans="1:9" x14ac:dyDescent="0.25">
      <c r="A537" s="230">
        <v>113111</v>
      </c>
      <c r="B537" s="162" t="s">
        <v>590</v>
      </c>
      <c r="C537" s="162" t="s">
        <v>5</v>
      </c>
      <c r="D537" s="162" t="s">
        <v>0</v>
      </c>
      <c r="E537" s="231">
        <v>43617</v>
      </c>
      <c r="F537" s="117">
        <v>940.39</v>
      </c>
      <c r="G537" s="117">
        <f>SUMIF(CONFERÊNCIA!A:A,A537,CONFERÊNCIA!J:J)</f>
        <v>1016.96</v>
      </c>
      <c r="H537" s="119">
        <f t="shared" si="58"/>
        <v>76.57000000000005</v>
      </c>
      <c r="I537" s="240" t="s">
        <v>1229</v>
      </c>
    </row>
    <row r="538" spans="1:9" x14ac:dyDescent="0.25">
      <c r="A538" s="230">
        <v>117412</v>
      </c>
      <c r="B538" s="162" t="s">
        <v>1273</v>
      </c>
      <c r="C538" s="162" t="s">
        <v>2</v>
      </c>
      <c r="D538" s="162" t="s">
        <v>19</v>
      </c>
      <c r="E538" s="231">
        <v>44522</v>
      </c>
      <c r="F538" s="117">
        <v>1016.96</v>
      </c>
      <c r="G538" s="117">
        <f>SUMIF(CONFERÊNCIA!A:A,A538,CONFERÊNCIA!J:J)</f>
        <v>1016.96</v>
      </c>
      <c r="H538" s="119">
        <f t="shared" si="58"/>
        <v>0</v>
      </c>
      <c r="I538" s="240" t="s">
        <v>1229</v>
      </c>
    </row>
    <row r="539" spans="1:9" x14ac:dyDescent="0.25">
      <c r="A539" s="230">
        <v>114269</v>
      </c>
      <c r="B539" s="162" t="s">
        <v>1510</v>
      </c>
      <c r="C539" s="162" t="s">
        <v>5</v>
      </c>
      <c r="D539" s="162" t="s">
        <v>0</v>
      </c>
      <c r="E539" s="231">
        <v>43804</v>
      </c>
      <c r="F539" s="117">
        <v>1016.96</v>
      </c>
      <c r="G539" s="117">
        <f>SUMIF(CONFERÊNCIA!A:A,A539,CONFERÊNCIA!J:J)</f>
        <v>1016.96</v>
      </c>
      <c r="H539" s="119">
        <f t="shared" si="58"/>
        <v>0</v>
      </c>
      <c r="I539" s="240" t="s">
        <v>1229</v>
      </c>
    </row>
    <row r="540" spans="1:9" x14ac:dyDescent="0.25">
      <c r="A540" s="230">
        <v>113121</v>
      </c>
      <c r="B540" s="162" t="s">
        <v>1285</v>
      </c>
      <c r="C540" s="162" t="s">
        <v>15</v>
      </c>
      <c r="D540" s="162" t="s">
        <v>1578</v>
      </c>
      <c r="E540" s="231">
        <v>43617</v>
      </c>
      <c r="F540" s="117">
        <v>1016.96</v>
      </c>
      <c r="G540" s="117">
        <f>SUMIF(CONFERÊNCIA!A:A,A540,CONFERÊNCIA!J:J)</f>
        <v>1016.96</v>
      </c>
      <c r="H540" s="119">
        <f t="shared" ref="H540:H546" si="59">G540-F540</f>
        <v>0</v>
      </c>
      <c r="I540" s="240" t="s">
        <v>1229</v>
      </c>
    </row>
    <row r="541" spans="1:9" x14ac:dyDescent="0.25">
      <c r="A541" s="230">
        <v>113131</v>
      </c>
      <c r="B541" s="162" t="s">
        <v>600</v>
      </c>
      <c r="C541" s="162" t="s">
        <v>2</v>
      </c>
      <c r="D541" s="162" t="s">
        <v>19</v>
      </c>
      <c r="E541" s="231">
        <v>43617</v>
      </c>
      <c r="F541" s="117">
        <v>1016.96</v>
      </c>
      <c r="G541" s="117">
        <f>SUMIF(CONFERÊNCIA!A:A,A541,CONFERÊNCIA!J:J)</f>
        <v>1016.96</v>
      </c>
      <c r="H541" s="119">
        <f t="shared" si="59"/>
        <v>0</v>
      </c>
      <c r="I541" s="240" t="s">
        <v>1229</v>
      </c>
    </row>
    <row r="542" spans="1:9" x14ac:dyDescent="0.25">
      <c r="A542" s="230">
        <v>113136</v>
      </c>
      <c r="B542" s="162" t="s">
        <v>604</v>
      </c>
      <c r="C542" s="162" t="s">
        <v>22</v>
      </c>
      <c r="D542" s="162" t="s">
        <v>1578</v>
      </c>
      <c r="E542" s="231">
        <v>43617</v>
      </c>
      <c r="F542" s="117">
        <v>1016.96</v>
      </c>
      <c r="G542" s="117">
        <f>SUMIF(CONFERÊNCIA!A:A,A542,CONFERÊNCIA!J:J)</f>
        <v>1016.96</v>
      </c>
      <c r="H542" s="119">
        <f t="shared" si="59"/>
        <v>0</v>
      </c>
      <c r="I542" s="240" t="s">
        <v>1229</v>
      </c>
    </row>
    <row r="543" spans="1:9" x14ac:dyDescent="0.25">
      <c r="A543" s="230">
        <v>113150</v>
      </c>
      <c r="B543" s="162" t="s">
        <v>612</v>
      </c>
      <c r="C543" s="162" t="s">
        <v>22</v>
      </c>
      <c r="D543" s="162" t="s">
        <v>1578</v>
      </c>
      <c r="E543" s="231">
        <v>43617</v>
      </c>
      <c r="F543" s="117">
        <v>1016.96</v>
      </c>
      <c r="G543" s="117">
        <f>SUMIF(CONFERÊNCIA!A:A,A543,CONFERÊNCIA!J:J)</f>
        <v>1016.96</v>
      </c>
      <c r="H543" s="119">
        <f t="shared" si="59"/>
        <v>0</v>
      </c>
      <c r="I543" s="240" t="s">
        <v>1229</v>
      </c>
    </row>
    <row r="544" spans="1:9" x14ac:dyDescent="0.25">
      <c r="A544" s="230">
        <v>113153</v>
      </c>
      <c r="B544" s="162" t="s">
        <v>614</v>
      </c>
      <c r="C544" s="162" t="s">
        <v>5</v>
      </c>
      <c r="D544" s="162" t="s">
        <v>10</v>
      </c>
      <c r="E544" s="231">
        <v>43617</v>
      </c>
      <c r="F544" s="117">
        <v>1016.96</v>
      </c>
      <c r="G544" s="117">
        <f>SUMIF(CONFERÊNCIA!A:A,A544,CONFERÊNCIA!J:J)</f>
        <v>1016.96</v>
      </c>
      <c r="H544" s="119">
        <f t="shared" si="59"/>
        <v>0</v>
      </c>
      <c r="I544" s="240" t="s">
        <v>1229</v>
      </c>
    </row>
    <row r="545" spans="1:9" x14ac:dyDescent="0.25">
      <c r="A545" s="230">
        <v>113179</v>
      </c>
      <c r="B545" s="162" t="s">
        <v>630</v>
      </c>
      <c r="C545" s="162" t="s">
        <v>5</v>
      </c>
      <c r="D545" s="162" t="s">
        <v>0</v>
      </c>
      <c r="E545" s="231">
        <v>43617</v>
      </c>
      <c r="F545" s="117">
        <v>1016.96</v>
      </c>
      <c r="G545" s="117">
        <f>SUMIF(CONFERÊNCIA!A:A,A545,CONFERÊNCIA!J:J)</f>
        <v>1016.96</v>
      </c>
      <c r="H545" s="119">
        <f t="shared" si="59"/>
        <v>0</v>
      </c>
      <c r="I545" s="240" t="s">
        <v>1229</v>
      </c>
    </row>
    <row r="546" spans="1:9" x14ac:dyDescent="0.25">
      <c r="A546" s="230">
        <v>113181</v>
      </c>
      <c r="B546" s="162" t="s">
        <v>631</v>
      </c>
      <c r="C546" s="162" t="s">
        <v>5</v>
      </c>
      <c r="D546" s="162" t="s">
        <v>0</v>
      </c>
      <c r="E546" s="231">
        <v>43617</v>
      </c>
      <c r="F546" s="117">
        <v>1016.96</v>
      </c>
      <c r="G546" s="117">
        <f>SUMIF(CONFERÊNCIA!A:A,A546,CONFERÊNCIA!J:J)</f>
        <v>1016.96</v>
      </c>
      <c r="H546" s="119">
        <f t="shared" si="59"/>
        <v>0</v>
      </c>
      <c r="I546" s="240" t="s">
        <v>1229</v>
      </c>
    </row>
    <row r="547" spans="1:9" x14ac:dyDescent="0.25">
      <c r="A547" s="230">
        <v>116235</v>
      </c>
      <c r="B547" s="162" t="s">
        <v>1195</v>
      </c>
      <c r="C547" s="162" t="s">
        <v>2</v>
      </c>
      <c r="D547" s="162" t="s">
        <v>8</v>
      </c>
      <c r="E547" s="231">
        <v>44273</v>
      </c>
      <c r="F547" s="117">
        <v>1016.96</v>
      </c>
      <c r="G547" s="117">
        <f>SUMIF(CONFERÊNCIA!A:A,A547,CONFERÊNCIA!J:J)</f>
        <v>1016.96</v>
      </c>
      <c r="H547" s="119">
        <f t="shared" ref="H547:H573" si="60">G547-F547</f>
        <v>0</v>
      </c>
      <c r="I547" s="240" t="s">
        <v>1229</v>
      </c>
    </row>
    <row r="548" spans="1:9" x14ac:dyDescent="0.25">
      <c r="A548" s="230">
        <v>113194</v>
      </c>
      <c r="B548" s="162" t="s">
        <v>638</v>
      </c>
      <c r="C548" s="162" t="s">
        <v>2</v>
      </c>
      <c r="D548" s="162" t="s">
        <v>8</v>
      </c>
      <c r="E548" s="231">
        <v>43617</v>
      </c>
      <c r="F548" s="117">
        <v>1016.96</v>
      </c>
      <c r="G548" s="117">
        <f>SUMIF(CONFERÊNCIA!A:A,A548,CONFERÊNCIA!J:J)</f>
        <v>1016.96</v>
      </c>
      <c r="H548" s="119">
        <f t="shared" si="60"/>
        <v>0</v>
      </c>
      <c r="I548" s="240" t="s">
        <v>1229</v>
      </c>
    </row>
    <row r="549" spans="1:9" x14ac:dyDescent="0.25">
      <c r="A549" s="230">
        <v>113199</v>
      </c>
      <c r="B549" s="162" t="s">
        <v>640</v>
      </c>
      <c r="C549" s="162" t="s">
        <v>2</v>
      </c>
      <c r="D549" s="162" t="s">
        <v>8</v>
      </c>
      <c r="E549" s="231">
        <v>43617</v>
      </c>
      <c r="F549" s="117">
        <v>1016.96</v>
      </c>
      <c r="G549" s="117">
        <f>SUMIF(CONFERÊNCIA!A:A,A549,CONFERÊNCIA!J:J)</f>
        <v>1016.96</v>
      </c>
      <c r="H549" s="119">
        <f t="shared" si="60"/>
        <v>0</v>
      </c>
      <c r="I549" s="240" t="s">
        <v>1229</v>
      </c>
    </row>
    <row r="550" spans="1:9" x14ac:dyDescent="0.25">
      <c r="A550" s="230">
        <v>113202</v>
      </c>
      <c r="B550" s="162" t="s">
        <v>642</v>
      </c>
      <c r="C550" s="162" t="s">
        <v>5</v>
      </c>
      <c r="D550" s="162" t="s">
        <v>32</v>
      </c>
      <c r="E550" s="231">
        <v>43617</v>
      </c>
      <c r="F550" s="117">
        <v>1016.96</v>
      </c>
      <c r="G550" s="117">
        <f>SUMIF(CONFERÊNCIA!A:A,A550,CONFERÊNCIA!J:J)</f>
        <v>1016.96</v>
      </c>
      <c r="H550" s="119">
        <f t="shared" si="60"/>
        <v>0</v>
      </c>
      <c r="I550" s="240" t="s">
        <v>1229</v>
      </c>
    </row>
    <row r="551" spans="1:9" x14ac:dyDescent="0.25">
      <c r="A551" s="230">
        <v>113206</v>
      </c>
      <c r="B551" s="162" t="s">
        <v>647</v>
      </c>
      <c r="C551" s="162" t="s">
        <v>2</v>
      </c>
      <c r="D551" s="162" t="s">
        <v>10</v>
      </c>
      <c r="E551" s="231">
        <v>43617</v>
      </c>
      <c r="F551" s="117">
        <v>1016.96</v>
      </c>
      <c r="G551" s="117">
        <f>SUMIF(CONFERÊNCIA!A:A,A551,CONFERÊNCIA!J:J)</f>
        <v>1016.96</v>
      </c>
      <c r="H551" s="119">
        <f t="shared" si="60"/>
        <v>0</v>
      </c>
      <c r="I551" s="240" t="s">
        <v>1229</v>
      </c>
    </row>
    <row r="552" spans="1:9" x14ac:dyDescent="0.25">
      <c r="A552" s="230">
        <v>113209</v>
      </c>
      <c r="B552" s="162" t="s">
        <v>649</v>
      </c>
      <c r="C552" s="162" t="s">
        <v>2</v>
      </c>
      <c r="D552" s="162" t="s">
        <v>0</v>
      </c>
      <c r="E552" s="231">
        <v>43617</v>
      </c>
      <c r="F552" s="117">
        <v>1016.96</v>
      </c>
      <c r="G552" s="117">
        <f>SUMIF(CONFERÊNCIA!A:A,A552,CONFERÊNCIA!J:J)</f>
        <v>1016.96</v>
      </c>
      <c r="H552" s="119">
        <f t="shared" si="60"/>
        <v>0</v>
      </c>
      <c r="I552" s="240" t="s">
        <v>1229</v>
      </c>
    </row>
    <row r="553" spans="1:9" x14ac:dyDescent="0.25">
      <c r="A553" s="230">
        <v>116804</v>
      </c>
      <c r="B553" s="162" t="s">
        <v>1224</v>
      </c>
      <c r="C553" s="162" t="s">
        <v>120</v>
      </c>
      <c r="D553" s="162" t="s">
        <v>1578</v>
      </c>
      <c r="E553" s="231">
        <v>44390</v>
      </c>
      <c r="F553" s="117">
        <v>978.67000000000007</v>
      </c>
      <c r="G553" s="117">
        <f>SUMIF(CONFERÊNCIA!A:A,A553,CONFERÊNCIA!J:J)</f>
        <v>1016.96</v>
      </c>
      <c r="H553" s="119">
        <f t="shared" si="60"/>
        <v>38.289999999999964</v>
      </c>
      <c r="I553" s="240" t="s">
        <v>1230</v>
      </c>
    </row>
    <row r="554" spans="1:9" x14ac:dyDescent="0.25">
      <c r="A554" s="230">
        <v>113225</v>
      </c>
      <c r="B554" s="162" t="s">
        <v>656</v>
      </c>
      <c r="C554" s="162" t="s">
        <v>2</v>
      </c>
      <c r="D554" s="162" t="s">
        <v>0</v>
      </c>
      <c r="E554" s="231">
        <v>43617</v>
      </c>
      <c r="F554" s="117">
        <v>1016.96</v>
      </c>
      <c r="G554" s="117">
        <f>SUMIF(CONFERÊNCIA!A:A,A554,CONFERÊNCIA!J:J)</f>
        <v>1016.96</v>
      </c>
      <c r="H554" s="119">
        <f t="shared" si="60"/>
        <v>0</v>
      </c>
      <c r="I554" s="240" t="s">
        <v>1229</v>
      </c>
    </row>
    <row r="555" spans="1:9" x14ac:dyDescent="0.25">
      <c r="A555" s="230">
        <v>113228</v>
      </c>
      <c r="B555" s="162" t="s">
        <v>659</v>
      </c>
      <c r="C555" s="162" t="s">
        <v>22</v>
      </c>
      <c r="D555" s="162" t="s">
        <v>1578</v>
      </c>
      <c r="E555" s="231">
        <v>43617</v>
      </c>
      <c r="F555" s="117">
        <v>1016.96</v>
      </c>
      <c r="G555" s="117">
        <f>SUMIF(CONFERÊNCIA!A:A,A555,CONFERÊNCIA!J:J)</f>
        <v>1016.96</v>
      </c>
      <c r="H555" s="119">
        <f t="shared" si="60"/>
        <v>0</v>
      </c>
      <c r="I555" s="240" t="s">
        <v>1229</v>
      </c>
    </row>
    <row r="556" spans="1:9" x14ac:dyDescent="0.25">
      <c r="A556" s="230">
        <v>113233</v>
      </c>
      <c r="B556" s="162" t="s">
        <v>661</v>
      </c>
      <c r="C556" s="162" t="s">
        <v>5</v>
      </c>
      <c r="D556" s="162" t="s">
        <v>0</v>
      </c>
      <c r="E556" s="231">
        <v>43617</v>
      </c>
      <c r="F556" s="117">
        <v>1016.96</v>
      </c>
      <c r="G556" s="117">
        <f>SUMIF(CONFERÊNCIA!A:A,A556,CONFERÊNCIA!J:J)</f>
        <v>1016.96</v>
      </c>
      <c r="H556" s="119">
        <f t="shared" si="60"/>
        <v>0</v>
      </c>
      <c r="I556" s="240" t="s">
        <v>1229</v>
      </c>
    </row>
    <row r="557" spans="1:9" x14ac:dyDescent="0.25">
      <c r="A557" s="230">
        <v>113246</v>
      </c>
      <c r="B557" s="162" t="s">
        <v>666</v>
      </c>
      <c r="C557" s="162" t="s">
        <v>15</v>
      </c>
      <c r="D557" s="162" t="s">
        <v>1578</v>
      </c>
      <c r="E557" s="231">
        <v>43617</v>
      </c>
      <c r="F557" s="117">
        <v>1016.96</v>
      </c>
      <c r="G557" s="117">
        <f>SUMIF(CONFERÊNCIA!A:A,A557,CONFERÊNCIA!J:J)</f>
        <v>1016.96</v>
      </c>
      <c r="H557" s="119">
        <f t="shared" si="60"/>
        <v>0</v>
      </c>
      <c r="I557" s="240" t="s">
        <v>1229</v>
      </c>
    </row>
    <row r="558" spans="1:9" x14ac:dyDescent="0.25">
      <c r="A558" s="230">
        <v>113249</v>
      </c>
      <c r="B558" s="162" t="s">
        <v>667</v>
      </c>
      <c r="C558" s="162" t="s">
        <v>2</v>
      </c>
      <c r="D558" s="162" t="s">
        <v>19</v>
      </c>
      <c r="E558" s="231">
        <v>43617</v>
      </c>
      <c r="F558" s="117">
        <v>1016.96</v>
      </c>
      <c r="G558" s="117">
        <f>SUMIF(CONFERÊNCIA!A:A,A558,CONFERÊNCIA!J:J)</f>
        <v>1016.96</v>
      </c>
      <c r="H558" s="119">
        <f t="shared" si="60"/>
        <v>0</v>
      </c>
      <c r="I558" s="240" t="s">
        <v>1229</v>
      </c>
    </row>
    <row r="559" spans="1:9" x14ac:dyDescent="0.25">
      <c r="A559" s="230">
        <v>118057</v>
      </c>
      <c r="B559" s="162" t="s">
        <v>1399</v>
      </c>
      <c r="C559" s="162" t="s">
        <v>5</v>
      </c>
      <c r="D559" s="162" t="s">
        <v>0</v>
      </c>
      <c r="E559" s="231">
        <v>44567</v>
      </c>
      <c r="F559" s="117">
        <v>978.67000000000007</v>
      </c>
      <c r="G559" s="117">
        <f>SUMIF(CONFERÊNCIA!A:A,A559,CONFERÊNCIA!J:J)</f>
        <v>1016.96</v>
      </c>
      <c r="H559" s="119">
        <f t="shared" si="60"/>
        <v>38.289999999999964</v>
      </c>
      <c r="I559" s="240" t="s">
        <v>1229</v>
      </c>
    </row>
    <row r="560" spans="1:9" x14ac:dyDescent="0.25">
      <c r="A560" s="230">
        <v>113260</v>
      </c>
      <c r="B560" s="162" t="s">
        <v>673</v>
      </c>
      <c r="C560" s="162" t="s">
        <v>5</v>
      </c>
      <c r="D560" s="162" t="s">
        <v>19</v>
      </c>
      <c r="E560" s="231">
        <v>43617</v>
      </c>
      <c r="F560" s="117">
        <v>1016.96</v>
      </c>
      <c r="G560" s="117">
        <f>SUMIF(CONFERÊNCIA!A:A,A560,CONFERÊNCIA!J:J)</f>
        <v>1016.96</v>
      </c>
      <c r="H560" s="119">
        <f t="shared" si="60"/>
        <v>0</v>
      </c>
      <c r="I560" s="240" t="s">
        <v>1229</v>
      </c>
    </row>
    <row r="561" spans="1:9" x14ac:dyDescent="0.25">
      <c r="A561" s="230">
        <v>113264</v>
      </c>
      <c r="B561" s="162" t="s">
        <v>676</v>
      </c>
      <c r="C561" s="162" t="s">
        <v>2</v>
      </c>
      <c r="D561" s="162" t="s">
        <v>19</v>
      </c>
      <c r="E561" s="231">
        <v>43617</v>
      </c>
      <c r="F561" s="117">
        <v>1016.96</v>
      </c>
      <c r="G561" s="117">
        <f>SUMIF(CONFERÊNCIA!A:A,A561,CONFERÊNCIA!J:J)</f>
        <v>1016.96</v>
      </c>
      <c r="H561" s="119">
        <f t="shared" si="60"/>
        <v>0</v>
      </c>
      <c r="I561" s="240" t="s">
        <v>1229</v>
      </c>
    </row>
    <row r="562" spans="1:9" x14ac:dyDescent="0.25">
      <c r="A562" s="230">
        <v>113268</v>
      </c>
      <c r="B562" s="162" t="s">
        <v>677</v>
      </c>
      <c r="C562" s="162" t="s">
        <v>5</v>
      </c>
      <c r="D562" s="162" t="s">
        <v>8</v>
      </c>
      <c r="E562" s="231">
        <v>43617</v>
      </c>
      <c r="F562" s="117">
        <v>1016.96</v>
      </c>
      <c r="G562" s="117">
        <f>SUMIF(CONFERÊNCIA!A:A,A562,CONFERÊNCIA!J:J)</f>
        <v>1016.96</v>
      </c>
      <c r="H562" s="119">
        <f t="shared" si="60"/>
        <v>0</v>
      </c>
      <c r="I562" s="240" t="s">
        <v>1229</v>
      </c>
    </row>
    <row r="563" spans="1:9" x14ac:dyDescent="0.25">
      <c r="A563" s="230">
        <v>113272</v>
      </c>
      <c r="B563" s="162" t="s">
        <v>679</v>
      </c>
      <c r="C563" s="162" t="s">
        <v>2</v>
      </c>
      <c r="D563" s="162" t="s">
        <v>0</v>
      </c>
      <c r="E563" s="231">
        <v>43617</v>
      </c>
      <c r="F563" s="117">
        <v>1016.96</v>
      </c>
      <c r="G563" s="117">
        <f>SUMIF(CONFERÊNCIA!A:A,A563,CONFERÊNCIA!J:J)</f>
        <v>1016.96</v>
      </c>
      <c r="H563" s="119">
        <f t="shared" si="60"/>
        <v>0</v>
      </c>
      <c r="I563" s="240" t="s">
        <v>1229</v>
      </c>
    </row>
    <row r="564" spans="1:9" x14ac:dyDescent="0.25">
      <c r="A564" s="230">
        <v>113274</v>
      </c>
      <c r="B564" s="162" t="s">
        <v>681</v>
      </c>
      <c r="C564" s="162" t="s">
        <v>2</v>
      </c>
      <c r="D564" s="162" t="s">
        <v>8</v>
      </c>
      <c r="E564" s="231">
        <v>43617</v>
      </c>
      <c r="F564" s="117">
        <v>1016.96</v>
      </c>
      <c r="G564" s="117">
        <f>SUMIF(CONFERÊNCIA!A:A,A564,CONFERÊNCIA!J:J)</f>
        <v>1016.96</v>
      </c>
      <c r="H564" s="119">
        <f t="shared" si="60"/>
        <v>0</v>
      </c>
      <c r="I564" s="240" t="s">
        <v>1229</v>
      </c>
    </row>
    <row r="565" spans="1:9" x14ac:dyDescent="0.25">
      <c r="A565" s="230">
        <v>113278</v>
      </c>
      <c r="B565" s="162" t="s">
        <v>683</v>
      </c>
      <c r="C565" s="162" t="s">
        <v>5</v>
      </c>
      <c r="D565" s="162" t="s">
        <v>10</v>
      </c>
      <c r="E565" s="231">
        <v>43617</v>
      </c>
      <c r="F565" s="117">
        <v>1016.96</v>
      </c>
      <c r="G565" s="117">
        <f>SUMIF(CONFERÊNCIA!A:A,A565,CONFERÊNCIA!J:J)</f>
        <v>1016.96</v>
      </c>
      <c r="H565" s="119">
        <f t="shared" si="60"/>
        <v>0</v>
      </c>
      <c r="I565" s="240" t="s">
        <v>1230</v>
      </c>
    </row>
    <row r="566" spans="1:9" x14ac:dyDescent="0.25">
      <c r="A566" s="230">
        <v>113280</v>
      </c>
      <c r="B566" s="162" t="s">
        <v>685</v>
      </c>
      <c r="C566" s="162" t="s">
        <v>5</v>
      </c>
      <c r="D566" s="162" t="s">
        <v>19</v>
      </c>
      <c r="E566" s="231">
        <v>43617</v>
      </c>
      <c r="F566" s="117">
        <v>1016.96</v>
      </c>
      <c r="G566" s="117">
        <f>SUMIF(CONFERÊNCIA!A:A,A566,CONFERÊNCIA!J:J)</f>
        <v>1016.96</v>
      </c>
      <c r="H566" s="119">
        <f t="shared" si="60"/>
        <v>0</v>
      </c>
      <c r="I566" s="240" t="s">
        <v>1229</v>
      </c>
    </row>
    <row r="567" spans="1:9" x14ac:dyDescent="0.25">
      <c r="A567" s="230">
        <v>113287</v>
      </c>
      <c r="B567" s="162" t="s">
        <v>688</v>
      </c>
      <c r="C567" s="162" t="s">
        <v>2</v>
      </c>
      <c r="D567" s="162" t="s">
        <v>8</v>
      </c>
      <c r="E567" s="231">
        <v>43617</v>
      </c>
      <c r="F567" s="117">
        <v>1016.96</v>
      </c>
      <c r="G567" s="117">
        <f>SUMIF(CONFERÊNCIA!A:A,A567,CONFERÊNCIA!J:J)</f>
        <v>1016.96</v>
      </c>
      <c r="H567" s="119">
        <f t="shared" si="60"/>
        <v>0</v>
      </c>
      <c r="I567" s="240" t="s">
        <v>1229</v>
      </c>
    </row>
    <row r="568" spans="1:9" x14ac:dyDescent="0.25">
      <c r="A568" s="230">
        <v>122570</v>
      </c>
      <c r="B568" s="162" t="s">
        <v>1683</v>
      </c>
      <c r="C568" s="162" t="s">
        <v>15</v>
      </c>
      <c r="D568" s="162" t="s">
        <v>1578</v>
      </c>
      <c r="E568" s="231">
        <v>45131</v>
      </c>
      <c r="F568" s="117">
        <v>1016.96</v>
      </c>
      <c r="G568" s="117">
        <f>SUMIF(CONFERÊNCIA!A:A,A568,CONFERÊNCIA!J:J)</f>
        <v>1016.96</v>
      </c>
      <c r="H568" s="119">
        <f t="shared" si="60"/>
        <v>0</v>
      </c>
      <c r="I568" s="240" t="s">
        <v>1229</v>
      </c>
    </row>
    <row r="569" spans="1:9" x14ac:dyDescent="0.25">
      <c r="A569" s="230">
        <v>113289</v>
      </c>
      <c r="B569" s="162" t="s">
        <v>690</v>
      </c>
      <c r="C569" s="162" t="s">
        <v>2</v>
      </c>
      <c r="D569" s="162" t="s">
        <v>10</v>
      </c>
      <c r="E569" s="231">
        <v>43617</v>
      </c>
      <c r="F569" s="117">
        <v>1016.96</v>
      </c>
      <c r="G569" s="117">
        <f>SUMIF(CONFERÊNCIA!A:A,A569,CONFERÊNCIA!J:J)</f>
        <v>1016.96</v>
      </c>
      <c r="H569" s="119">
        <f t="shared" si="60"/>
        <v>0</v>
      </c>
      <c r="I569" s="240" t="s">
        <v>1229</v>
      </c>
    </row>
    <row r="570" spans="1:9" x14ac:dyDescent="0.25">
      <c r="A570" s="230">
        <v>116389</v>
      </c>
      <c r="B570" s="162" t="s">
        <v>1212</v>
      </c>
      <c r="C570" s="162" t="s">
        <v>2</v>
      </c>
      <c r="D570" s="162" t="s">
        <v>0</v>
      </c>
      <c r="E570" s="231">
        <v>44328</v>
      </c>
      <c r="F570" s="117">
        <v>1016.96</v>
      </c>
      <c r="G570" s="117">
        <f>SUMIF(CONFERÊNCIA!A:A,A570,CONFERÊNCIA!J:J)</f>
        <v>359.46</v>
      </c>
      <c r="H570" s="119">
        <f t="shared" si="60"/>
        <v>-657.5</v>
      </c>
      <c r="I570" s="240" t="s">
        <v>1279</v>
      </c>
    </row>
    <row r="571" spans="1:9" x14ac:dyDescent="0.25">
      <c r="A571" s="230">
        <v>122079</v>
      </c>
      <c r="B571" s="162" t="s">
        <v>1628</v>
      </c>
      <c r="C571" s="162" t="s">
        <v>5</v>
      </c>
      <c r="D571" s="162" t="s">
        <v>8</v>
      </c>
      <c r="E571" s="231">
        <v>45061</v>
      </c>
      <c r="F571" s="117">
        <v>1016.96</v>
      </c>
      <c r="G571" s="117">
        <f>SUMIF(CONFERÊNCIA!A:A,A571,CONFERÊNCIA!J:J)</f>
        <v>1016.96</v>
      </c>
      <c r="H571" s="119">
        <f t="shared" si="60"/>
        <v>0</v>
      </c>
      <c r="I571" s="240" t="s">
        <v>1229</v>
      </c>
    </row>
    <row r="572" spans="1:9" x14ac:dyDescent="0.25">
      <c r="A572" s="230">
        <v>113298</v>
      </c>
      <c r="B572" s="162" t="s">
        <v>693</v>
      </c>
      <c r="C572" s="162" t="s">
        <v>22</v>
      </c>
      <c r="D572" s="162" t="s">
        <v>1578</v>
      </c>
      <c r="E572" s="231">
        <v>43617</v>
      </c>
      <c r="F572" s="117">
        <v>1016.96</v>
      </c>
      <c r="G572" s="117">
        <f>SUMIF(CONFERÊNCIA!A:A,A572,CONFERÊNCIA!J:J)</f>
        <v>1016.96</v>
      </c>
      <c r="H572" s="119">
        <f t="shared" si="60"/>
        <v>0</v>
      </c>
      <c r="I572" s="240" t="s">
        <v>1229</v>
      </c>
    </row>
    <row r="573" spans="1:9" x14ac:dyDescent="0.25">
      <c r="A573" s="230">
        <v>113308</v>
      </c>
      <c r="B573" s="162" t="s">
        <v>697</v>
      </c>
      <c r="C573" s="162" t="s">
        <v>698</v>
      </c>
      <c r="D573" s="162" t="s">
        <v>1578</v>
      </c>
      <c r="E573" s="231">
        <v>43617</v>
      </c>
      <c r="F573" s="117">
        <v>1016.96</v>
      </c>
      <c r="G573" s="117">
        <f>SUMIF(CONFERÊNCIA!A:A,A573,CONFERÊNCIA!J:J)</f>
        <v>1016.96</v>
      </c>
      <c r="H573" s="119">
        <f t="shared" si="60"/>
        <v>0</v>
      </c>
      <c r="I573" s="240" t="s">
        <v>1229</v>
      </c>
    </row>
    <row r="574" spans="1:9" x14ac:dyDescent="0.25">
      <c r="A574" s="230">
        <v>113317</v>
      </c>
      <c r="B574" s="162" t="s">
        <v>702</v>
      </c>
      <c r="C574" s="162" t="s">
        <v>2</v>
      </c>
      <c r="D574" s="162" t="s">
        <v>0</v>
      </c>
      <c r="E574" s="231">
        <v>43617</v>
      </c>
      <c r="F574" s="117">
        <v>1016.96</v>
      </c>
      <c r="G574" s="117">
        <f>SUMIF(CONFERÊNCIA!A:A,A574,CONFERÊNCIA!J:J)</f>
        <v>1016.96</v>
      </c>
      <c r="H574" s="119">
        <f t="shared" ref="H574:H593" si="61">G574-F574</f>
        <v>0</v>
      </c>
      <c r="I574" s="240" t="s">
        <v>1229</v>
      </c>
    </row>
    <row r="575" spans="1:9" x14ac:dyDescent="0.25">
      <c r="A575" s="230">
        <v>113323</v>
      </c>
      <c r="B575" s="162" t="s">
        <v>705</v>
      </c>
      <c r="C575" s="162" t="s">
        <v>5</v>
      </c>
      <c r="D575" s="162" t="s">
        <v>10</v>
      </c>
      <c r="E575" s="231">
        <v>43617</v>
      </c>
      <c r="F575" s="117">
        <v>1016.96</v>
      </c>
      <c r="G575" s="117">
        <f>SUMIF(CONFERÊNCIA!A:A,A575,CONFERÊNCIA!J:J)</f>
        <v>1016.96</v>
      </c>
      <c r="H575" s="119">
        <f t="shared" si="61"/>
        <v>0</v>
      </c>
      <c r="I575" s="240" t="s">
        <v>1229</v>
      </c>
    </row>
    <row r="576" spans="1:9" x14ac:dyDescent="0.25">
      <c r="A576" s="230">
        <v>113328</v>
      </c>
      <c r="B576" s="162" t="s">
        <v>709</v>
      </c>
      <c r="C576" s="162" t="s">
        <v>2</v>
      </c>
      <c r="D576" s="162" t="s">
        <v>8</v>
      </c>
      <c r="E576" s="231">
        <v>43617</v>
      </c>
      <c r="F576" s="117">
        <v>1016.96</v>
      </c>
      <c r="G576" s="117">
        <f>SUMIF(CONFERÊNCIA!A:A,A576,CONFERÊNCIA!J:J)</f>
        <v>1016.96</v>
      </c>
      <c r="H576" s="119">
        <f t="shared" si="61"/>
        <v>0</v>
      </c>
      <c r="I576" s="240" t="s">
        <v>1229</v>
      </c>
    </row>
    <row r="577" spans="1:9" x14ac:dyDescent="0.25">
      <c r="A577" s="230">
        <v>113353</v>
      </c>
      <c r="B577" s="162" t="s">
        <v>721</v>
      </c>
      <c r="C577" s="162" t="s">
        <v>15</v>
      </c>
      <c r="D577" s="162" t="s">
        <v>1578</v>
      </c>
      <c r="E577" s="231">
        <v>43617</v>
      </c>
      <c r="F577" s="117">
        <v>1016.96</v>
      </c>
      <c r="G577" s="117">
        <f>SUMIF(CONFERÊNCIA!A:A,A577,CONFERÊNCIA!J:J)</f>
        <v>1016.96</v>
      </c>
      <c r="H577" s="119">
        <f t="shared" si="61"/>
        <v>0</v>
      </c>
      <c r="I577" s="240" t="s">
        <v>1230</v>
      </c>
    </row>
    <row r="578" spans="1:9" x14ac:dyDescent="0.25">
      <c r="A578" s="230">
        <v>117235</v>
      </c>
      <c r="B578" s="162" t="s">
        <v>1252</v>
      </c>
      <c r="C578" s="162" t="s">
        <v>5</v>
      </c>
      <c r="D578" s="162" t="s">
        <v>0</v>
      </c>
      <c r="E578" s="231">
        <v>44487</v>
      </c>
      <c r="F578" s="117">
        <v>978.67000000000007</v>
      </c>
      <c r="G578" s="117">
        <f>SUMIF(CONFERÊNCIA!A:A,A578,CONFERÊNCIA!J:J)</f>
        <v>940.39</v>
      </c>
      <c r="H578" s="119">
        <f t="shared" si="61"/>
        <v>-38.280000000000086</v>
      </c>
      <c r="I578" s="240" t="s">
        <v>1229</v>
      </c>
    </row>
    <row r="579" spans="1:9" x14ac:dyDescent="0.25">
      <c r="A579" s="230">
        <v>113357</v>
      </c>
      <c r="B579" s="162" t="s">
        <v>724</v>
      </c>
      <c r="C579" s="162" t="s">
        <v>2</v>
      </c>
      <c r="D579" s="162" t="s">
        <v>32</v>
      </c>
      <c r="E579" s="231">
        <v>43617</v>
      </c>
      <c r="F579" s="117">
        <v>1016.96</v>
      </c>
      <c r="G579" s="117">
        <f>SUMIF(CONFERÊNCIA!A:A,A579,CONFERÊNCIA!J:J)</f>
        <v>1016.96</v>
      </c>
      <c r="H579" s="119">
        <f t="shared" si="61"/>
        <v>0</v>
      </c>
      <c r="I579" s="240" t="s">
        <v>1229</v>
      </c>
    </row>
    <row r="580" spans="1:9" x14ac:dyDescent="0.25">
      <c r="A580" s="230">
        <v>113367</v>
      </c>
      <c r="B580" s="162" t="s">
        <v>732</v>
      </c>
      <c r="C580" s="162" t="s">
        <v>22</v>
      </c>
      <c r="D580" s="162" t="s">
        <v>1578</v>
      </c>
      <c r="E580" s="231">
        <v>43617</v>
      </c>
      <c r="F580" s="117">
        <v>1016.96</v>
      </c>
      <c r="G580" s="117">
        <f>SUMIF(CONFERÊNCIA!A:A,A580,CONFERÊNCIA!J:J)</f>
        <v>1016.96</v>
      </c>
      <c r="H580" s="119">
        <f t="shared" si="61"/>
        <v>0</v>
      </c>
      <c r="I580" s="240" t="s">
        <v>1229</v>
      </c>
    </row>
    <row r="581" spans="1:9" x14ac:dyDescent="0.25">
      <c r="A581" s="230">
        <v>114547</v>
      </c>
      <c r="B581" s="162" t="s">
        <v>1054</v>
      </c>
      <c r="C581" s="162" t="s">
        <v>2</v>
      </c>
      <c r="D581" s="162" t="s">
        <v>8</v>
      </c>
      <c r="E581" s="231">
        <v>43817</v>
      </c>
      <c r="F581" s="117">
        <v>787.26</v>
      </c>
      <c r="G581" s="117">
        <f>SUMIF(CONFERÊNCIA!A:A,A581,CONFERÊNCIA!J:J)</f>
        <v>1016.96</v>
      </c>
      <c r="H581" s="119">
        <f t="shared" si="61"/>
        <v>229.70000000000005</v>
      </c>
      <c r="I581" s="240" t="s">
        <v>1229</v>
      </c>
    </row>
    <row r="582" spans="1:9" x14ac:dyDescent="0.25">
      <c r="A582" s="230">
        <v>113376</v>
      </c>
      <c r="B582" s="162" t="s">
        <v>738</v>
      </c>
      <c r="C582" s="162" t="s">
        <v>2</v>
      </c>
      <c r="D582" s="162" t="s">
        <v>19</v>
      </c>
      <c r="E582" s="231">
        <v>43617</v>
      </c>
      <c r="F582" s="117">
        <v>1016.96</v>
      </c>
      <c r="G582" s="117">
        <f>SUMIF(CONFERÊNCIA!A:A,A582,CONFERÊNCIA!J:J)</f>
        <v>1016.96</v>
      </c>
      <c r="H582" s="119">
        <f t="shared" si="61"/>
        <v>0</v>
      </c>
      <c r="I582" s="240" t="s">
        <v>1229</v>
      </c>
    </row>
    <row r="583" spans="1:9" x14ac:dyDescent="0.25">
      <c r="A583" s="230">
        <v>114107</v>
      </c>
      <c r="B583" s="162" t="s">
        <v>1007</v>
      </c>
      <c r="C583" s="162" t="s">
        <v>2</v>
      </c>
      <c r="D583" s="162" t="s">
        <v>19</v>
      </c>
      <c r="E583" s="231">
        <v>43728</v>
      </c>
      <c r="F583" s="117">
        <v>1016.96</v>
      </c>
      <c r="G583" s="117">
        <f>SUMIF(CONFERÊNCIA!A:A,A583,CONFERÊNCIA!J:J)</f>
        <v>1016.96</v>
      </c>
      <c r="H583" s="119">
        <f t="shared" si="61"/>
        <v>0</v>
      </c>
      <c r="I583" s="240" t="s">
        <v>1229</v>
      </c>
    </row>
    <row r="584" spans="1:9" x14ac:dyDescent="0.25">
      <c r="A584" s="230">
        <v>116316</v>
      </c>
      <c r="B584" s="162" t="s">
        <v>1200</v>
      </c>
      <c r="C584" s="162" t="s">
        <v>5</v>
      </c>
      <c r="D584" s="162" t="s">
        <v>10</v>
      </c>
      <c r="E584" s="231">
        <v>44308</v>
      </c>
      <c r="F584" s="117">
        <v>1016.96</v>
      </c>
      <c r="G584" s="117">
        <f>SUMIF(CONFERÊNCIA!A:A,A584,CONFERÊNCIA!J:J)</f>
        <v>1016.96</v>
      </c>
      <c r="H584" s="119">
        <f t="shared" si="61"/>
        <v>0</v>
      </c>
      <c r="I584" s="240" t="s">
        <v>1229</v>
      </c>
    </row>
    <row r="585" spans="1:9" x14ac:dyDescent="0.25">
      <c r="A585" s="230">
        <v>120357</v>
      </c>
      <c r="B585" s="162" t="s">
        <v>1504</v>
      </c>
      <c r="C585" s="162" t="s">
        <v>5</v>
      </c>
      <c r="D585" s="162" t="s">
        <v>10</v>
      </c>
      <c r="E585" s="231">
        <v>44820</v>
      </c>
      <c r="F585" s="117">
        <v>1016.96</v>
      </c>
      <c r="G585" s="117">
        <f>SUMIF(CONFERÊNCIA!A:A,A585,CONFERÊNCIA!J:J)</f>
        <v>1016.96</v>
      </c>
      <c r="H585" s="119">
        <f t="shared" si="61"/>
        <v>0</v>
      </c>
      <c r="I585" s="240" t="s">
        <v>1229</v>
      </c>
    </row>
    <row r="586" spans="1:9" x14ac:dyDescent="0.25">
      <c r="A586" s="230">
        <v>116728</v>
      </c>
      <c r="B586" s="162" t="s">
        <v>1219</v>
      </c>
      <c r="C586" s="162" t="s">
        <v>5</v>
      </c>
      <c r="D586" s="162" t="s">
        <v>0</v>
      </c>
      <c r="E586" s="231">
        <v>44368</v>
      </c>
      <c r="F586" s="117">
        <v>335.49</v>
      </c>
      <c r="G586" s="117">
        <f>SUMIF(CONFERÊNCIA!A:A,A586,CONFERÊNCIA!J:J)</f>
        <v>1016.96</v>
      </c>
      <c r="H586" s="119">
        <f t="shared" si="61"/>
        <v>681.47</v>
      </c>
      <c r="I586" s="240" t="s">
        <v>1229</v>
      </c>
    </row>
    <row r="587" spans="1:9" x14ac:dyDescent="0.25">
      <c r="A587" s="230">
        <v>113391</v>
      </c>
      <c r="B587" s="162" t="s">
        <v>749</v>
      </c>
      <c r="C587" s="162" t="s">
        <v>2</v>
      </c>
      <c r="D587" s="162" t="s">
        <v>19</v>
      </c>
      <c r="E587" s="231">
        <v>43617</v>
      </c>
      <c r="F587" s="117">
        <v>1016.96</v>
      </c>
      <c r="G587" s="117">
        <f>SUMIF(CONFERÊNCIA!A:A,A587,CONFERÊNCIA!J:J)</f>
        <v>1016.96</v>
      </c>
      <c r="H587" s="119">
        <f t="shared" si="61"/>
        <v>0</v>
      </c>
      <c r="I587" s="240" t="s">
        <v>1229</v>
      </c>
    </row>
    <row r="588" spans="1:9" x14ac:dyDescent="0.25">
      <c r="A588" s="230">
        <v>117245</v>
      </c>
      <c r="B588" s="162" t="s">
        <v>1076</v>
      </c>
      <c r="C588" s="162" t="s">
        <v>5</v>
      </c>
      <c r="D588" s="162" t="s">
        <v>1578</v>
      </c>
      <c r="E588" s="231">
        <v>44487</v>
      </c>
      <c r="F588" s="117">
        <v>1016.96</v>
      </c>
      <c r="G588" s="117">
        <f>SUMIF(CONFERÊNCIA!A:A,A588,CONFERÊNCIA!J:J)</f>
        <v>1016.96</v>
      </c>
      <c r="H588" s="119">
        <f t="shared" si="61"/>
        <v>0</v>
      </c>
      <c r="I588" s="240" t="s">
        <v>1229</v>
      </c>
    </row>
    <row r="589" spans="1:9" x14ac:dyDescent="0.25">
      <c r="A589" s="230">
        <v>113394</v>
      </c>
      <c r="B589" s="162" t="s">
        <v>751</v>
      </c>
      <c r="C589" s="162" t="s">
        <v>39</v>
      </c>
      <c r="D589" s="162" t="s">
        <v>8</v>
      </c>
      <c r="E589" s="231">
        <v>43617</v>
      </c>
      <c r="F589" s="117">
        <v>1016.96</v>
      </c>
      <c r="G589" s="117">
        <f>SUMIF(CONFERÊNCIA!A:A,A589,CONFERÊNCIA!J:J)</f>
        <v>1016.96</v>
      </c>
      <c r="H589" s="119">
        <f t="shared" si="61"/>
        <v>0</v>
      </c>
      <c r="I589" s="240" t="s">
        <v>1229</v>
      </c>
    </row>
    <row r="590" spans="1:9" x14ac:dyDescent="0.25">
      <c r="A590" s="230">
        <v>121024</v>
      </c>
      <c r="B590" s="162" t="s">
        <v>1514</v>
      </c>
      <c r="C590" s="162" t="s">
        <v>2</v>
      </c>
      <c r="D590" s="162" t="s">
        <v>19</v>
      </c>
      <c r="E590" s="231">
        <v>44900</v>
      </c>
      <c r="F590" s="117">
        <v>1016.96</v>
      </c>
      <c r="G590" s="117">
        <f>SUMIF(CONFERÊNCIA!A:A,A590,CONFERÊNCIA!J:J)</f>
        <v>1016.96</v>
      </c>
      <c r="H590" s="119">
        <f t="shared" si="61"/>
        <v>0</v>
      </c>
      <c r="I590" s="240" t="s">
        <v>1229</v>
      </c>
    </row>
    <row r="591" spans="1:9" x14ac:dyDescent="0.25">
      <c r="A591" s="230">
        <v>116652</v>
      </c>
      <c r="B591" s="162" t="s">
        <v>952</v>
      </c>
      <c r="C591" s="162" t="s">
        <v>953</v>
      </c>
      <c r="D591" s="162" t="s">
        <v>1246</v>
      </c>
      <c r="E591" s="231">
        <v>44370</v>
      </c>
      <c r="F591" s="117">
        <v>1016.96</v>
      </c>
      <c r="G591" s="117">
        <f>SUMIF(CONFERÊNCIA!A:A,A591,CONFERÊNCIA!J:J)</f>
        <v>1016.96</v>
      </c>
      <c r="H591" s="119">
        <f t="shared" si="61"/>
        <v>0</v>
      </c>
      <c r="I591" s="240" t="s">
        <v>1229</v>
      </c>
    </row>
    <row r="592" spans="1:9" x14ac:dyDescent="0.25">
      <c r="A592" s="230">
        <v>113405</v>
      </c>
      <c r="B592" s="162" t="s">
        <v>757</v>
      </c>
      <c r="C592" s="162" t="s">
        <v>2</v>
      </c>
      <c r="D592" s="162" t="s">
        <v>8</v>
      </c>
      <c r="E592" s="231">
        <v>43617</v>
      </c>
      <c r="F592" s="117">
        <v>1016.96</v>
      </c>
      <c r="G592" s="117">
        <f>SUMIF(CONFERÊNCIA!A:A,A592,CONFERÊNCIA!J:J)</f>
        <v>1016.96</v>
      </c>
      <c r="H592" s="119">
        <f t="shared" si="61"/>
        <v>0</v>
      </c>
      <c r="I592" s="240" t="s">
        <v>1229</v>
      </c>
    </row>
    <row r="593" spans="1:9" x14ac:dyDescent="0.25">
      <c r="A593" s="230">
        <v>113413</v>
      </c>
      <c r="B593" s="162" t="s">
        <v>762</v>
      </c>
      <c r="C593" s="162" t="s">
        <v>2</v>
      </c>
      <c r="D593" s="162" t="s">
        <v>0</v>
      </c>
      <c r="E593" s="231">
        <v>43617</v>
      </c>
      <c r="F593" s="117">
        <v>1016.96</v>
      </c>
      <c r="G593" s="117">
        <f>SUMIF(CONFERÊNCIA!A:A,A593,CONFERÊNCIA!J:J)</f>
        <v>1016.96</v>
      </c>
      <c r="H593" s="119">
        <f t="shared" si="61"/>
        <v>0</v>
      </c>
      <c r="I593" s="240" t="s">
        <v>1229</v>
      </c>
    </row>
    <row r="594" spans="1:9" x14ac:dyDescent="0.25">
      <c r="A594" s="230">
        <v>114948</v>
      </c>
      <c r="B594" s="162" t="s">
        <v>1097</v>
      </c>
      <c r="C594" s="162" t="s">
        <v>15</v>
      </c>
      <c r="D594" s="162" t="s">
        <v>1578</v>
      </c>
      <c r="E594" s="231">
        <v>43916</v>
      </c>
      <c r="F594" s="117">
        <v>1016.96</v>
      </c>
      <c r="G594" s="117">
        <f>SUMIF(CONFERÊNCIA!A:A,A594,CONFERÊNCIA!J:J)</f>
        <v>1016.96</v>
      </c>
      <c r="H594" s="119">
        <f t="shared" ref="H594:H616" si="62">G594-F594</f>
        <v>0</v>
      </c>
      <c r="I594" s="240" t="s">
        <v>1229</v>
      </c>
    </row>
    <row r="595" spans="1:9" x14ac:dyDescent="0.25">
      <c r="A595" s="230">
        <v>113418</v>
      </c>
      <c r="B595" s="162" t="s">
        <v>767</v>
      </c>
      <c r="C595" s="162" t="s">
        <v>2</v>
      </c>
      <c r="D595" s="162" t="s">
        <v>8</v>
      </c>
      <c r="E595" s="231">
        <v>43617</v>
      </c>
      <c r="F595" s="117">
        <v>1016.96</v>
      </c>
      <c r="G595" s="117">
        <f>SUMIF(CONFERÊNCIA!A:A,A595,CONFERÊNCIA!J:J)</f>
        <v>1016.96</v>
      </c>
      <c r="H595" s="119">
        <f t="shared" si="62"/>
        <v>0</v>
      </c>
      <c r="I595" s="240" t="s">
        <v>1229</v>
      </c>
    </row>
    <row r="596" spans="1:9" x14ac:dyDescent="0.25">
      <c r="A596" s="230">
        <v>113421</v>
      </c>
      <c r="B596" s="162" t="s">
        <v>770</v>
      </c>
      <c r="C596" s="162" t="s">
        <v>15</v>
      </c>
      <c r="D596" s="162" t="s">
        <v>1578</v>
      </c>
      <c r="E596" s="231">
        <v>43617</v>
      </c>
      <c r="F596" s="117">
        <v>1016.96</v>
      </c>
      <c r="G596" s="117">
        <f>SUMIF(CONFERÊNCIA!A:A,A596,CONFERÊNCIA!J:J)</f>
        <v>1016.96</v>
      </c>
      <c r="H596" s="119">
        <f t="shared" si="62"/>
        <v>0</v>
      </c>
      <c r="I596" s="240" t="s">
        <v>1229</v>
      </c>
    </row>
    <row r="597" spans="1:9" x14ac:dyDescent="0.25">
      <c r="A597" s="230">
        <v>113433</v>
      </c>
      <c r="B597" s="162" t="s">
        <v>776</v>
      </c>
      <c r="C597" s="162" t="s">
        <v>7</v>
      </c>
      <c r="D597" s="162" t="s">
        <v>1578</v>
      </c>
      <c r="E597" s="231">
        <v>43617</v>
      </c>
      <c r="F597" s="117">
        <v>1016.96</v>
      </c>
      <c r="G597" s="117">
        <f>SUMIF(CONFERÊNCIA!A:A,A597,CONFERÊNCIA!J:J)</f>
        <v>1016.96</v>
      </c>
      <c r="H597" s="119">
        <f t="shared" si="62"/>
        <v>0</v>
      </c>
      <c r="I597" s="240" t="s">
        <v>1229</v>
      </c>
    </row>
    <row r="598" spans="1:9" x14ac:dyDescent="0.25">
      <c r="A598" s="230">
        <v>113441</v>
      </c>
      <c r="B598" s="162" t="s">
        <v>781</v>
      </c>
      <c r="C598" s="162" t="s">
        <v>15</v>
      </c>
      <c r="D598" s="162" t="s">
        <v>1578</v>
      </c>
      <c r="E598" s="231">
        <v>43617</v>
      </c>
      <c r="F598" s="117">
        <v>1016.96</v>
      </c>
      <c r="G598" s="117">
        <f>SUMIF(CONFERÊNCIA!A:A,A598,CONFERÊNCIA!J:J)</f>
        <v>1016.96</v>
      </c>
      <c r="H598" s="119">
        <f t="shared" si="62"/>
        <v>0</v>
      </c>
      <c r="I598" s="240" t="s">
        <v>1229</v>
      </c>
    </row>
    <row r="599" spans="1:9" x14ac:dyDescent="0.25">
      <c r="A599" s="230">
        <v>116238</v>
      </c>
      <c r="B599" s="162" t="s">
        <v>1198</v>
      </c>
      <c r="C599" s="162" t="s">
        <v>2</v>
      </c>
      <c r="D599" s="162" t="s">
        <v>8</v>
      </c>
      <c r="E599" s="231">
        <v>44273</v>
      </c>
      <c r="F599" s="117">
        <v>1016.96</v>
      </c>
      <c r="G599" s="117">
        <f>SUMIF(CONFERÊNCIA!A:A,A599,CONFERÊNCIA!J:J)</f>
        <v>1016.96</v>
      </c>
      <c r="H599" s="119">
        <f t="shared" si="62"/>
        <v>0</v>
      </c>
      <c r="I599" s="240" t="s">
        <v>1229</v>
      </c>
    </row>
    <row r="600" spans="1:9" x14ac:dyDescent="0.25">
      <c r="A600" s="230">
        <v>113455</v>
      </c>
      <c r="B600" s="162" t="s">
        <v>787</v>
      </c>
      <c r="C600" s="162" t="s">
        <v>5</v>
      </c>
      <c r="D600" s="162" t="s">
        <v>8</v>
      </c>
      <c r="E600" s="231">
        <v>43617</v>
      </c>
      <c r="F600" s="117">
        <v>1016.96</v>
      </c>
      <c r="G600" s="117">
        <f>SUMIF(CONFERÊNCIA!A:A,A600,CONFERÊNCIA!J:J)</f>
        <v>1016.96</v>
      </c>
      <c r="H600" s="119">
        <f t="shared" si="62"/>
        <v>0</v>
      </c>
      <c r="I600" s="240" t="s">
        <v>1229</v>
      </c>
    </row>
    <row r="601" spans="1:9" x14ac:dyDescent="0.25">
      <c r="A601" s="230">
        <v>113459</v>
      </c>
      <c r="B601" s="162" t="s">
        <v>790</v>
      </c>
      <c r="C601" s="162" t="s">
        <v>5</v>
      </c>
      <c r="D601" s="162" t="s">
        <v>32</v>
      </c>
      <c r="E601" s="231">
        <v>43617</v>
      </c>
      <c r="F601" s="117">
        <v>1016.96</v>
      </c>
      <c r="G601" s="117">
        <f>SUMIF(CONFERÊNCIA!A:A,A601,CONFERÊNCIA!J:J)</f>
        <v>1016.96</v>
      </c>
      <c r="H601" s="119">
        <f t="shared" si="62"/>
        <v>0</v>
      </c>
      <c r="I601" s="240" t="s">
        <v>1229</v>
      </c>
    </row>
    <row r="602" spans="1:9" x14ac:dyDescent="0.25">
      <c r="A602" s="230">
        <v>113464</v>
      </c>
      <c r="B602" s="162" t="s">
        <v>794</v>
      </c>
      <c r="C602" s="162" t="s">
        <v>39</v>
      </c>
      <c r="D602" s="162" t="s">
        <v>10</v>
      </c>
      <c r="E602" s="231">
        <v>43617</v>
      </c>
      <c r="F602" s="117">
        <v>1016.96</v>
      </c>
      <c r="G602" s="117">
        <f>SUMIF(CONFERÊNCIA!A:A,A602,CONFERÊNCIA!J:J)</f>
        <v>1016.96</v>
      </c>
      <c r="H602" s="119">
        <f t="shared" si="62"/>
        <v>0</v>
      </c>
      <c r="I602" s="240" t="s">
        <v>1229</v>
      </c>
    </row>
    <row r="603" spans="1:9" x14ac:dyDescent="0.25">
      <c r="A603" s="230">
        <v>122425</v>
      </c>
      <c r="B603" s="162" t="s">
        <v>1684</v>
      </c>
      <c r="C603" s="162" t="s">
        <v>5</v>
      </c>
      <c r="D603" s="162" t="s">
        <v>1578</v>
      </c>
      <c r="E603" s="231">
        <v>45117</v>
      </c>
      <c r="F603" s="117">
        <v>1016.96</v>
      </c>
      <c r="G603" s="117">
        <f>SUMIF(CONFERÊNCIA!A:A,A603,CONFERÊNCIA!J:J)</f>
        <v>1016.96</v>
      </c>
      <c r="H603" s="119">
        <f t="shared" si="62"/>
        <v>0</v>
      </c>
      <c r="I603" s="240" t="s">
        <v>1229</v>
      </c>
    </row>
    <row r="604" spans="1:9" x14ac:dyDescent="0.25">
      <c r="A604" s="230">
        <v>114990</v>
      </c>
      <c r="B604" s="162" t="s">
        <v>1559</v>
      </c>
      <c r="C604" s="162" t="s">
        <v>15</v>
      </c>
      <c r="D604" s="162" t="s">
        <v>1578</v>
      </c>
      <c r="E604" s="231">
        <v>43918</v>
      </c>
      <c r="F604" s="117">
        <v>1016.96</v>
      </c>
      <c r="G604" s="117">
        <f>SUMIF(CONFERÊNCIA!A:A,A604,CONFERÊNCIA!J:J)</f>
        <v>0</v>
      </c>
      <c r="H604" s="119">
        <f t="shared" si="62"/>
        <v>-1016.96</v>
      </c>
      <c r="I604" s="240" t="s">
        <v>1287</v>
      </c>
    </row>
    <row r="605" spans="1:9" x14ac:dyDescent="0.25">
      <c r="A605" s="230">
        <v>113471</v>
      </c>
      <c r="B605" s="162" t="s">
        <v>798</v>
      </c>
      <c r="C605" s="162" t="s">
        <v>5</v>
      </c>
      <c r="D605" s="162" t="s">
        <v>10</v>
      </c>
      <c r="E605" s="231">
        <v>43617</v>
      </c>
      <c r="F605" s="117">
        <v>1016.96</v>
      </c>
      <c r="G605" s="117">
        <f>SUMIF(CONFERÊNCIA!A:A,A605,CONFERÊNCIA!J:J)</f>
        <v>1016.96</v>
      </c>
      <c r="H605" s="119">
        <f t="shared" si="62"/>
        <v>0</v>
      </c>
      <c r="I605" s="240" t="s">
        <v>1229</v>
      </c>
    </row>
    <row r="606" spans="1:9" x14ac:dyDescent="0.25">
      <c r="A606" s="230">
        <v>120191</v>
      </c>
      <c r="B606" s="162" t="s">
        <v>1493</v>
      </c>
      <c r="C606" s="162" t="s">
        <v>15</v>
      </c>
      <c r="D606" s="162" t="s">
        <v>1578</v>
      </c>
      <c r="E606" s="231">
        <v>44791</v>
      </c>
      <c r="F606" s="117">
        <v>1016.96</v>
      </c>
      <c r="G606" s="117">
        <f>SUMIF(CONFERÊNCIA!A:A,A606,CONFERÊNCIA!J:J)</f>
        <v>978.67000000000007</v>
      </c>
      <c r="H606" s="119">
        <f t="shared" si="62"/>
        <v>-38.289999999999964</v>
      </c>
      <c r="I606" s="240" t="s">
        <v>1229</v>
      </c>
    </row>
    <row r="607" spans="1:9" x14ac:dyDescent="0.25">
      <c r="A607" s="230">
        <v>121950</v>
      </c>
      <c r="B607" s="162" t="s">
        <v>1608</v>
      </c>
      <c r="C607" s="162" t="s">
        <v>1456</v>
      </c>
      <c r="D607" s="162" t="s">
        <v>1580</v>
      </c>
      <c r="E607" s="231">
        <v>45040</v>
      </c>
      <c r="F607" s="117">
        <v>657.5</v>
      </c>
      <c r="G607" s="117">
        <f>SUMIF(CONFERÊNCIA!A:A,A607,CONFERÊNCIA!J:J)</f>
        <v>657.5</v>
      </c>
      <c r="H607" s="119">
        <f t="shared" si="62"/>
        <v>0</v>
      </c>
      <c r="I607" s="240" t="s">
        <v>1229</v>
      </c>
    </row>
    <row r="608" spans="1:9" x14ac:dyDescent="0.25">
      <c r="A608" s="230">
        <v>121322</v>
      </c>
      <c r="B608" s="162" t="s">
        <v>1526</v>
      </c>
      <c r="C608" s="162" t="s">
        <v>5</v>
      </c>
      <c r="D608" s="162" t="s">
        <v>1578</v>
      </c>
      <c r="E608" s="231">
        <v>44945</v>
      </c>
      <c r="F608" s="117">
        <v>978.67000000000007</v>
      </c>
      <c r="G608" s="117">
        <f>SUMIF(CONFERÊNCIA!A:A,A608,CONFERÊNCIA!J:J)</f>
        <v>1016.96</v>
      </c>
      <c r="H608" s="119">
        <f t="shared" si="62"/>
        <v>38.289999999999964</v>
      </c>
      <c r="I608" s="240" t="s">
        <v>1229</v>
      </c>
    </row>
    <row r="609" spans="1:9" x14ac:dyDescent="0.25">
      <c r="A609" s="230">
        <v>119113</v>
      </c>
      <c r="B609" s="162" t="s">
        <v>1433</v>
      </c>
      <c r="C609" s="162" t="s">
        <v>5</v>
      </c>
      <c r="D609" s="162" t="s">
        <v>1578</v>
      </c>
      <c r="E609" s="231">
        <v>44630</v>
      </c>
      <c r="F609" s="117">
        <v>1016.96</v>
      </c>
      <c r="G609" s="117">
        <f>SUMIF(CONFERÊNCIA!A:A,A609,CONFERÊNCIA!J:J)</f>
        <v>1016.96</v>
      </c>
      <c r="H609" s="119">
        <f t="shared" si="62"/>
        <v>0</v>
      </c>
      <c r="I609" s="240" t="s">
        <v>1230</v>
      </c>
    </row>
    <row r="610" spans="1:9" x14ac:dyDescent="0.25">
      <c r="A610" s="230">
        <v>113474</v>
      </c>
      <c r="B610" s="162" t="s">
        <v>799</v>
      </c>
      <c r="C610" s="162" t="s">
        <v>5</v>
      </c>
      <c r="D610" s="162" t="s">
        <v>8</v>
      </c>
      <c r="E610" s="231">
        <v>43617</v>
      </c>
      <c r="F610" s="117">
        <v>1016.96</v>
      </c>
      <c r="G610" s="117">
        <f>SUMIF(CONFERÊNCIA!A:A,A610,CONFERÊNCIA!J:J)</f>
        <v>1016.96</v>
      </c>
      <c r="H610" s="119">
        <f t="shared" si="62"/>
        <v>0</v>
      </c>
      <c r="I610" s="240" t="s">
        <v>1229</v>
      </c>
    </row>
    <row r="611" spans="1:9" x14ac:dyDescent="0.25">
      <c r="A611" s="230">
        <v>121323</v>
      </c>
      <c r="B611" s="162" t="s">
        <v>1527</v>
      </c>
      <c r="C611" s="162" t="s">
        <v>5</v>
      </c>
      <c r="D611" s="162" t="s">
        <v>1578</v>
      </c>
      <c r="E611" s="231">
        <v>44945</v>
      </c>
      <c r="F611" s="117">
        <v>1016.96</v>
      </c>
      <c r="G611" s="117">
        <f>SUMIF(CONFERÊNCIA!A:A,A611,CONFERÊNCIA!J:J)</f>
        <v>1016.96</v>
      </c>
      <c r="H611" s="119">
        <f t="shared" si="62"/>
        <v>0</v>
      </c>
      <c r="I611" s="240" t="s">
        <v>1229</v>
      </c>
    </row>
    <row r="612" spans="1:9" x14ac:dyDescent="0.25">
      <c r="A612" s="230">
        <v>113478</v>
      </c>
      <c r="B612" s="162" t="s">
        <v>801</v>
      </c>
      <c r="C612" s="162" t="s">
        <v>406</v>
      </c>
      <c r="D612" s="162" t="s">
        <v>1578</v>
      </c>
      <c r="E612" s="231">
        <v>43617</v>
      </c>
      <c r="F612" s="117">
        <v>1016.96</v>
      </c>
      <c r="G612" s="117">
        <f>SUMIF(CONFERÊNCIA!A:A,A612,CONFERÊNCIA!J:J)</f>
        <v>1016.96</v>
      </c>
      <c r="H612" s="119">
        <f t="shared" si="62"/>
        <v>0</v>
      </c>
      <c r="I612" s="240" t="s">
        <v>1229</v>
      </c>
    </row>
    <row r="613" spans="1:9" x14ac:dyDescent="0.25">
      <c r="A613" s="230">
        <v>114942</v>
      </c>
      <c r="B613" s="162" t="s">
        <v>1121</v>
      </c>
      <c r="C613" s="162" t="s">
        <v>22</v>
      </c>
      <c r="D613" s="162" t="s">
        <v>1578</v>
      </c>
      <c r="E613" s="231">
        <v>43916</v>
      </c>
      <c r="F613" s="117">
        <v>1016.96</v>
      </c>
      <c r="G613" s="117">
        <f>SUMIF(CONFERÊNCIA!A:A,A613,CONFERÊNCIA!J:J)</f>
        <v>1016.96</v>
      </c>
      <c r="H613" s="119">
        <f t="shared" si="62"/>
        <v>0</v>
      </c>
      <c r="I613" s="240" t="s">
        <v>1229</v>
      </c>
    </row>
    <row r="614" spans="1:9" x14ac:dyDescent="0.25">
      <c r="A614" s="230">
        <v>113480</v>
      </c>
      <c r="B614" s="162" t="s">
        <v>802</v>
      </c>
      <c r="C614" s="162" t="s">
        <v>2</v>
      </c>
      <c r="D614" s="162" t="s">
        <v>10</v>
      </c>
      <c r="E614" s="231">
        <v>43617</v>
      </c>
      <c r="F614" s="117">
        <v>1016.96</v>
      </c>
      <c r="G614" s="117">
        <f>SUMIF(CONFERÊNCIA!A:A,A614,CONFERÊNCIA!J:J)</f>
        <v>1016.96</v>
      </c>
      <c r="H614" s="119">
        <f t="shared" si="62"/>
        <v>0</v>
      </c>
      <c r="I614" s="240" t="s">
        <v>1229</v>
      </c>
    </row>
    <row r="615" spans="1:9" x14ac:dyDescent="0.25">
      <c r="A615" s="230">
        <v>114944</v>
      </c>
      <c r="B615" s="162" t="s">
        <v>1123</v>
      </c>
      <c r="C615" s="162" t="s">
        <v>5</v>
      </c>
      <c r="D615" s="162" t="s">
        <v>1578</v>
      </c>
      <c r="E615" s="231">
        <v>43916</v>
      </c>
      <c r="F615" s="117">
        <v>1016.96</v>
      </c>
      <c r="G615" s="117">
        <f>SUMIF(CONFERÊNCIA!A:A,A615,CONFERÊNCIA!J:J)</f>
        <v>1016.96</v>
      </c>
      <c r="H615" s="119">
        <f t="shared" si="62"/>
        <v>0</v>
      </c>
      <c r="I615" s="240" t="s">
        <v>1229</v>
      </c>
    </row>
    <row r="616" spans="1:9" x14ac:dyDescent="0.25">
      <c r="A616" s="230">
        <v>117234</v>
      </c>
      <c r="B616" s="162" t="s">
        <v>1251</v>
      </c>
      <c r="C616" s="162" t="s">
        <v>5</v>
      </c>
      <c r="D616" s="162" t="s">
        <v>8</v>
      </c>
      <c r="E616" s="231">
        <v>44487</v>
      </c>
      <c r="F616" s="117">
        <v>1016.96</v>
      </c>
      <c r="G616" s="117">
        <f>SUMIF(CONFERÊNCIA!A:A,A616,CONFERÊNCIA!J:J)</f>
        <v>1016.96</v>
      </c>
      <c r="H616" s="119">
        <f t="shared" si="62"/>
        <v>0</v>
      </c>
      <c r="I616" s="240" t="s">
        <v>1229</v>
      </c>
    </row>
    <row r="617" spans="1:9" x14ac:dyDescent="0.25">
      <c r="A617" s="230">
        <v>113486</v>
      </c>
      <c r="B617" s="162" t="s">
        <v>804</v>
      </c>
      <c r="C617" s="162" t="s">
        <v>15</v>
      </c>
      <c r="D617" s="162" t="s">
        <v>1578</v>
      </c>
      <c r="E617" s="231">
        <v>43617</v>
      </c>
      <c r="F617" s="117">
        <v>1016.96</v>
      </c>
      <c r="G617" s="117">
        <f>SUMIF(CONFERÊNCIA!A:A,A617,CONFERÊNCIA!J:J)</f>
        <v>0</v>
      </c>
      <c r="H617" s="119">
        <f t="shared" ref="H617:H639" si="63">G617-F617</f>
        <v>-1016.96</v>
      </c>
      <c r="I617" s="240" t="s">
        <v>1287</v>
      </c>
    </row>
    <row r="618" spans="1:9" x14ac:dyDescent="0.25">
      <c r="A618" s="230">
        <v>121677</v>
      </c>
      <c r="B618" s="162" t="s">
        <v>1586</v>
      </c>
      <c r="C618" s="162" t="s">
        <v>5</v>
      </c>
      <c r="D618" s="162" t="s">
        <v>0</v>
      </c>
      <c r="E618" s="231">
        <v>44994</v>
      </c>
      <c r="F618" s="117">
        <v>1016.96</v>
      </c>
      <c r="G618" s="117">
        <f>SUMIF(CONFERÊNCIA!A:A,A618,CONFERÊNCIA!J:J)</f>
        <v>1016.96</v>
      </c>
      <c r="H618" s="119">
        <f t="shared" si="63"/>
        <v>0</v>
      </c>
      <c r="I618" s="240" t="s">
        <v>1229</v>
      </c>
    </row>
    <row r="619" spans="1:9" x14ac:dyDescent="0.25">
      <c r="A619" s="230">
        <v>113489</v>
      </c>
      <c r="B619" s="162" t="s">
        <v>806</v>
      </c>
      <c r="C619" s="162" t="s">
        <v>2</v>
      </c>
      <c r="D619" s="162" t="s">
        <v>19</v>
      </c>
      <c r="E619" s="231">
        <v>43617</v>
      </c>
      <c r="F619" s="117">
        <v>1016.96</v>
      </c>
      <c r="G619" s="117">
        <f>SUMIF(CONFERÊNCIA!A:A,A619,CONFERÊNCIA!J:J)</f>
        <v>1016.96</v>
      </c>
      <c r="H619" s="119">
        <f t="shared" si="63"/>
        <v>0</v>
      </c>
      <c r="I619" s="240" t="s">
        <v>1229</v>
      </c>
    </row>
    <row r="620" spans="1:9" x14ac:dyDescent="0.25">
      <c r="A620" s="230">
        <v>113499</v>
      </c>
      <c r="B620" s="162" t="s">
        <v>811</v>
      </c>
      <c r="C620" s="162" t="s">
        <v>2</v>
      </c>
      <c r="D620" s="162" t="s">
        <v>0</v>
      </c>
      <c r="E620" s="231">
        <v>43617</v>
      </c>
      <c r="F620" s="117">
        <v>1016.96</v>
      </c>
      <c r="G620" s="117">
        <f>SUMIF(CONFERÊNCIA!A:A,A620,CONFERÊNCIA!J:J)</f>
        <v>1016.96</v>
      </c>
      <c r="H620" s="119">
        <f t="shared" si="63"/>
        <v>0</v>
      </c>
      <c r="I620" s="240" t="s">
        <v>1229</v>
      </c>
    </row>
    <row r="621" spans="1:9" x14ac:dyDescent="0.25">
      <c r="A621" s="230">
        <v>113505</v>
      </c>
      <c r="B621" s="162" t="s">
        <v>814</v>
      </c>
      <c r="C621" s="162" t="s">
        <v>2</v>
      </c>
      <c r="D621" s="162" t="s">
        <v>0</v>
      </c>
      <c r="E621" s="231">
        <v>43617</v>
      </c>
      <c r="F621" s="117">
        <v>1016.96</v>
      </c>
      <c r="G621" s="117">
        <f>SUMIF(CONFERÊNCIA!A:A,A621,CONFERÊNCIA!J:J)</f>
        <v>1016.96</v>
      </c>
      <c r="H621" s="119">
        <f t="shared" si="63"/>
        <v>0</v>
      </c>
      <c r="I621" s="240" t="s">
        <v>1229</v>
      </c>
    </row>
    <row r="622" spans="1:9" x14ac:dyDescent="0.25">
      <c r="A622" s="230">
        <v>116229</v>
      </c>
      <c r="B622" s="162" t="s">
        <v>1192</v>
      </c>
      <c r="C622" s="162" t="s">
        <v>5</v>
      </c>
      <c r="D622" s="162" t="s">
        <v>8</v>
      </c>
      <c r="E622" s="231">
        <v>44273</v>
      </c>
      <c r="F622" s="117">
        <v>1016.96</v>
      </c>
      <c r="G622" s="117">
        <f>SUMIF(CONFERÊNCIA!A:A,A622,CONFERÊNCIA!J:J)</f>
        <v>1016.96</v>
      </c>
      <c r="H622" s="119">
        <f t="shared" si="63"/>
        <v>0</v>
      </c>
      <c r="I622" s="240" t="s">
        <v>1229</v>
      </c>
    </row>
    <row r="623" spans="1:9" x14ac:dyDescent="0.25">
      <c r="A623" s="230">
        <v>113519</v>
      </c>
      <c r="B623" s="162" t="s">
        <v>820</v>
      </c>
      <c r="C623" s="162" t="s">
        <v>39</v>
      </c>
      <c r="D623" s="162" t="s">
        <v>0</v>
      </c>
      <c r="E623" s="231">
        <v>43617</v>
      </c>
      <c r="F623" s="117">
        <v>1016.96</v>
      </c>
      <c r="G623" s="117">
        <f>SUMIF(CONFERÊNCIA!A:A,A623,CONFERÊNCIA!J:J)</f>
        <v>1016.96</v>
      </c>
      <c r="H623" s="119">
        <f t="shared" si="63"/>
        <v>0</v>
      </c>
      <c r="I623" s="240" t="s">
        <v>1229</v>
      </c>
    </row>
    <row r="624" spans="1:9" x14ac:dyDescent="0.25">
      <c r="A624" s="230">
        <v>112529</v>
      </c>
      <c r="B624" s="162" t="s">
        <v>241</v>
      </c>
      <c r="C624" s="162" t="s">
        <v>2</v>
      </c>
      <c r="D624" s="162" t="s">
        <v>8</v>
      </c>
      <c r="E624" s="231">
        <v>43617</v>
      </c>
      <c r="F624" s="117">
        <v>1016.96</v>
      </c>
      <c r="G624" s="117">
        <f>SUMIF(CONFERÊNCIA!A:A,A624,CONFERÊNCIA!J:J)</f>
        <v>1016.96</v>
      </c>
      <c r="H624" s="119">
        <f t="shared" si="63"/>
        <v>0</v>
      </c>
      <c r="I624" s="240" t="s">
        <v>1229</v>
      </c>
    </row>
    <row r="625" spans="1:9" x14ac:dyDescent="0.25">
      <c r="A625" s="230">
        <v>114963</v>
      </c>
      <c r="B625" s="162" t="s">
        <v>1128</v>
      </c>
      <c r="C625" s="162" t="s">
        <v>5</v>
      </c>
      <c r="D625" s="162" t="s">
        <v>1578</v>
      </c>
      <c r="E625" s="231">
        <v>43917</v>
      </c>
      <c r="F625" s="117">
        <v>1016.96</v>
      </c>
      <c r="G625" s="117">
        <f>SUMIF(CONFERÊNCIA!A:A,A625,CONFERÊNCIA!J:J)</f>
        <v>1016.96</v>
      </c>
      <c r="H625" s="119">
        <f t="shared" si="63"/>
        <v>0</v>
      </c>
      <c r="I625" s="240" t="s">
        <v>1229</v>
      </c>
    </row>
    <row r="626" spans="1:9" x14ac:dyDescent="0.25">
      <c r="A626" s="230">
        <v>122559</v>
      </c>
      <c r="B626" s="162" t="s">
        <v>1685</v>
      </c>
      <c r="C626" s="162" t="s">
        <v>5</v>
      </c>
      <c r="D626" s="162" t="s">
        <v>32</v>
      </c>
      <c r="E626" s="231">
        <v>45131</v>
      </c>
      <c r="F626" s="117">
        <v>1016.96</v>
      </c>
      <c r="G626" s="117">
        <f>SUMIF(CONFERÊNCIA!A:A,A626,CONFERÊNCIA!J:J)</f>
        <v>1016.96</v>
      </c>
      <c r="H626" s="119">
        <f t="shared" si="63"/>
        <v>0</v>
      </c>
      <c r="I626" s="240" t="s">
        <v>1229</v>
      </c>
    </row>
    <row r="627" spans="1:9" x14ac:dyDescent="0.25">
      <c r="A627" s="230">
        <v>121689</v>
      </c>
      <c r="B627" s="162" t="s">
        <v>1587</v>
      </c>
      <c r="C627" s="162" t="s">
        <v>5</v>
      </c>
      <c r="D627" s="162" t="s">
        <v>32</v>
      </c>
      <c r="E627" s="231">
        <v>44994</v>
      </c>
      <c r="F627" s="117">
        <v>1016.96</v>
      </c>
      <c r="G627" s="117">
        <f>SUMIF(CONFERÊNCIA!A:A,A627,CONFERÊNCIA!J:J)</f>
        <v>940.39</v>
      </c>
      <c r="H627" s="119">
        <f t="shared" si="63"/>
        <v>-76.57000000000005</v>
      </c>
      <c r="I627" s="240" t="s">
        <v>1229</v>
      </c>
    </row>
    <row r="628" spans="1:9" x14ac:dyDescent="0.25">
      <c r="A628" s="230">
        <v>121330</v>
      </c>
      <c r="B628" s="162" t="s">
        <v>1528</v>
      </c>
      <c r="C628" s="162" t="s">
        <v>2</v>
      </c>
      <c r="D628" s="162" t="s">
        <v>8</v>
      </c>
      <c r="E628" s="231">
        <v>44945</v>
      </c>
      <c r="F628" s="117">
        <v>1016.96</v>
      </c>
      <c r="G628" s="117">
        <f>SUMIF(CONFERÊNCIA!A:A,A628,CONFERÊNCIA!J:J)</f>
        <v>1016.96</v>
      </c>
      <c r="H628" s="119">
        <f t="shared" si="63"/>
        <v>0</v>
      </c>
      <c r="I628" s="240" t="s">
        <v>1229</v>
      </c>
    </row>
    <row r="629" spans="1:9" x14ac:dyDescent="0.25">
      <c r="A629" s="230">
        <v>112531</v>
      </c>
      <c r="B629" s="162" t="s">
        <v>243</v>
      </c>
      <c r="C629" s="162" t="s">
        <v>2</v>
      </c>
      <c r="D629" s="162" t="s">
        <v>32</v>
      </c>
      <c r="E629" s="231">
        <v>43617</v>
      </c>
      <c r="F629" s="117">
        <v>1016.96</v>
      </c>
      <c r="G629" s="117">
        <f>SUMIF(CONFERÊNCIA!A:A,A629,CONFERÊNCIA!J:J)</f>
        <v>1016.96</v>
      </c>
      <c r="H629" s="119">
        <f t="shared" si="63"/>
        <v>0</v>
      </c>
      <c r="I629" s="240" t="s">
        <v>1229</v>
      </c>
    </row>
    <row r="630" spans="1:9" x14ac:dyDescent="0.25">
      <c r="A630" s="230">
        <v>113426</v>
      </c>
      <c r="B630" s="162" t="s">
        <v>772</v>
      </c>
      <c r="C630" s="162" t="s">
        <v>2</v>
      </c>
      <c r="D630" s="162" t="s">
        <v>0</v>
      </c>
      <c r="E630" s="231">
        <v>43617</v>
      </c>
      <c r="F630" s="117">
        <v>1016.96</v>
      </c>
      <c r="G630" s="117">
        <f>SUMIF(CONFERÊNCIA!A:A,A630,CONFERÊNCIA!J:J)</f>
        <v>1016.96</v>
      </c>
      <c r="H630" s="119">
        <f t="shared" si="63"/>
        <v>0</v>
      </c>
      <c r="I630" s="240" t="s">
        <v>1229</v>
      </c>
    </row>
    <row r="631" spans="1:9" x14ac:dyDescent="0.25">
      <c r="A631" s="230">
        <v>113050</v>
      </c>
      <c r="B631" s="162" t="s">
        <v>560</v>
      </c>
      <c r="C631" s="162" t="s">
        <v>2</v>
      </c>
      <c r="D631" s="162" t="s">
        <v>19</v>
      </c>
      <c r="E631" s="231">
        <v>43617</v>
      </c>
      <c r="F631" s="117">
        <v>1016.96</v>
      </c>
      <c r="G631" s="117">
        <f>SUMIF(CONFERÊNCIA!A:A,A631,CONFERÊNCIA!J:J)</f>
        <v>1016.96</v>
      </c>
      <c r="H631" s="119">
        <f t="shared" si="63"/>
        <v>0</v>
      </c>
      <c r="I631" s="240" t="s">
        <v>1229</v>
      </c>
    </row>
    <row r="632" spans="1:9" x14ac:dyDescent="0.25">
      <c r="A632" s="230">
        <v>113093</v>
      </c>
      <c r="B632" s="162" t="s">
        <v>581</v>
      </c>
      <c r="C632" s="162" t="s">
        <v>5</v>
      </c>
      <c r="D632" s="162" t="s">
        <v>0</v>
      </c>
      <c r="E632" s="231">
        <v>43617</v>
      </c>
      <c r="F632" s="117">
        <v>1016.96</v>
      </c>
      <c r="G632" s="117">
        <f>SUMIF(CONFERÊNCIA!A:A,A632,CONFERÊNCIA!J:J)</f>
        <v>1016.96</v>
      </c>
      <c r="H632" s="119">
        <f t="shared" si="63"/>
        <v>0</v>
      </c>
      <c r="I632" s="240" t="s">
        <v>1229</v>
      </c>
    </row>
    <row r="633" spans="1:9" x14ac:dyDescent="0.25">
      <c r="A633" s="230">
        <v>113094</v>
      </c>
      <c r="B633" s="162" t="s">
        <v>582</v>
      </c>
      <c r="C633" s="162" t="s">
        <v>5</v>
      </c>
      <c r="D633" s="162" t="s">
        <v>1578</v>
      </c>
      <c r="E633" s="231">
        <v>43617</v>
      </c>
      <c r="F633" s="117">
        <v>1016.96</v>
      </c>
      <c r="G633" s="117">
        <f>SUMIF(CONFERÊNCIA!A:A,A633,CONFERÊNCIA!J:J)</f>
        <v>1016.96</v>
      </c>
      <c r="H633" s="119">
        <f t="shared" si="63"/>
        <v>0</v>
      </c>
      <c r="I633" s="240" t="s">
        <v>1229</v>
      </c>
    </row>
    <row r="634" spans="1:9" x14ac:dyDescent="0.25">
      <c r="A634" s="230">
        <v>112178</v>
      </c>
      <c r="B634" s="162" t="s">
        <v>16</v>
      </c>
      <c r="C634" s="162" t="s">
        <v>5</v>
      </c>
      <c r="D634" s="162" t="s">
        <v>10</v>
      </c>
      <c r="E634" s="231">
        <v>43617</v>
      </c>
      <c r="F634" s="117">
        <v>1016.96</v>
      </c>
      <c r="G634" s="117">
        <f>SUMIF(CONFERÊNCIA!A:A,A634,CONFERÊNCIA!J:J)</f>
        <v>1016.96</v>
      </c>
      <c r="H634" s="119">
        <f t="shared" si="63"/>
        <v>0</v>
      </c>
      <c r="I634" s="240" t="s">
        <v>1229</v>
      </c>
    </row>
    <row r="635" spans="1:9" x14ac:dyDescent="0.25">
      <c r="A635" s="230">
        <v>113098</v>
      </c>
      <c r="B635" s="162" t="s">
        <v>584</v>
      </c>
      <c r="C635" s="162" t="s">
        <v>22</v>
      </c>
      <c r="D635" s="162" t="s">
        <v>1578</v>
      </c>
      <c r="E635" s="231">
        <v>43617</v>
      </c>
      <c r="F635" s="117">
        <v>1016.96</v>
      </c>
      <c r="G635" s="117">
        <f>SUMIF(CONFERÊNCIA!A:A,A635,CONFERÊNCIA!J:J)</f>
        <v>1016.96</v>
      </c>
      <c r="H635" s="119">
        <f t="shared" si="63"/>
        <v>0</v>
      </c>
      <c r="I635" s="240" t="s">
        <v>1230</v>
      </c>
    </row>
    <row r="636" spans="1:9" x14ac:dyDescent="0.25">
      <c r="A636" s="230">
        <v>116236</v>
      </c>
      <c r="B636" s="162" t="s">
        <v>1196</v>
      </c>
      <c r="C636" s="162" t="s">
        <v>2</v>
      </c>
      <c r="D636" s="162" t="s">
        <v>8</v>
      </c>
      <c r="E636" s="231">
        <v>44273</v>
      </c>
      <c r="F636" s="117">
        <v>1016.96</v>
      </c>
      <c r="G636" s="117">
        <f>SUMIF(CONFERÊNCIA!A:A,A636,CONFERÊNCIA!J:J)</f>
        <v>1016.96</v>
      </c>
      <c r="H636" s="119">
        <f t="shared" si="63"/>
        <v>0</v>
      </c>
      <c r="I636" s="240" t="s">
        <v>1229</v>
      </c>
    </row>
    <row r="637" spans="1:9" x14ac:dyDescent="0.25">
      <c r="A637" s="230">
        <v>113072</v>
      </c>
      <c r="B637" s="162" t="s">
        <v>569</v>
      </c>
      <c r="C637" s="162" t="s">
        <v>5</v>
      </c>
      <c r="D637" s="162" t="s">
        <v>0</v>
      </c>
      <c r="E637" s="231">
        <v>43617</v>
      </c>
      <c r="F637" s="117">
        <v>1016.96</v>
      </c>
      <c r="G637" s="117">
        <f>SUMIF(CONFERÊNCIA!A:A,A637,CONFERÊNCIA!J:J)</f>
        <v>1016.96</v>
      </c>
      <c r="H637" s="119">
        <f t="shared" si="63"/>
        <v>0</v>
      </c>
      <c r="I637" s="240" t="s">
        <v>1229</v>
      </c>
    </row>
    <row r="638" spans="1:9" x14ac:dyDescent="0.25">
      <c r="A638" s="230">
        <v>112774</v>
      </c>
      <c r="B638" s="162" t="s">
        <v>398</v>
      </c>
      <c r="C638" s="162" t="s">
        <v>2</v>
      </c>
      <c r="D638" s="162" t="s">
        <v>8</v>
      </c>
      <c r="E638" s="231">
        <v>43617</v>
      </c>
      <c r="F638" s="117">
        <v>1016.96</v>
      </c>
      <c r="G638" s="117">
        <f>SUMIF(CONFERÊNCIA!A:A,A638,CONFERÊNCIA!J:J)</f>
        <v>1016.96</v>
      </c>
      <c r="H638" s="119">
        <f t="shared" si="63"/>
        <v>0</v>
      </c>
      <c r="I638" s="240" t="s">
        <v>1229</v>
      </c>
    </row>
    <row r="639" spans="1:9" x14ac:dyDescent="0.25">
      <c r="A639" s="230">
        <v>113164</v>
      </c>
      <c r="B639" s="162" t="s">
        <v>622</v>
      </c>
      <c r="C639" s="162" t="s">
        <v>22</v>
      </c>
      <c r="D639" s="162" t="s">
        <v>1578</v>
      </c>
      <c r="E639" s="231">
        <v>43617</v>
      </c>
      <c r="F639" s="117">
        <v>1016.96</v>
      </c>
      <c r="G639" s="117">
        <f>SUMIF(CONFERÊNCIA!A:A,A639,CONFERÊNCIA!J:J)</f>
        <v>1016.96</v>
      </c>
      <c r="H639" s="119">
        <f t="shared" si="63"/>
        <v>0</v>
      </c>
      <c r="I639" s="240" t="s">
        <v>1229</v>
      </c>
    </row>
    <row r="640" spans="1:9" x14ac:dyDescent="0.25">
      <c r="A640" s="230">
        <v>112967</v>
      </c>
      <c r="B640" s="162" t="s">
        <v>524</v>
      </c>
      <c r="C640" s="162" t="s">
        <v>5</v>
      </c>
      <c r="D640" s="162" t="s">
        <v>32</v>
      </c>
      <c r="E640" s="231">
        <v>43617</v>
      </c>
      <c r="F640" s="117">
        <v>1016.96</v>
      </c>
      <c r="G640" s="117">
        <f>SUMIF(CONFERÊNCIA!A:A,A640,CONFERÊNCIA!J:J)</f>
        <v>1016.96</v>
      </c>
      <c r="H640" s="119">
        <f t="shared" ref="H640:H663" si="64">G640-F640</f>
        <v>0</v>
      </c>
      <c r="I640" s="240" t="s">
        <v>1230</v>
      </c>
    </row>
    <row r="641" spans="1:9" x14ac:dyDescent="0.25">
      <c r="A641" s="230">
        <v>121953</v>
      </c>
      <c r="B641" s="162" t="s">
        <v>1609</v>
      </c>
      <c r="C641" s="162" t="s">
        <v>5</v>
      </c>
      <c r="D641" s="162" t="s">
        <v>0</v>
      </c>
      <c r="E641" s="231">
        <v>45040</v>
      </c>
      <c r="F641" s="117">
        <v>1016.96</v>
      </c>
      <c r="G641" s="117">
        <f>SUMIF(CONFERÊNCIA!A:A,A641,CONFERÊNCIA!J:J)</f>
        <v>1016.96</v>
      </c>
      <c r="H641" s="119">
        <f t="shared" si="64"/>
        <v>0</v>
      </c>
      <c r="I641" s="240" t="s">
        <v>1229</v>
      </c>
    </row>
    <row r="642" spans="1:9" x14ac:dyDescent="0.25">
      <c r="A642" s="230">
        <v>116010</v>
      </c>
      <c r="B642" s="162" t="s">
        <v>1171</v>
      </c>
      <c r="C642" s="162" t="s">
        <v>5</v>
      </c>
      <c r="D642" s="162" t="s">
        <v>0</v>
      </c>
      <c r="E642" s="231">
        <v>44207</v>
      </c>
      <c r="F642" s="117">
        <v>1016.96</v>
      </c>
      <c r="G642" s="117">
        <f>SUMIF(CONFERÊNCIA!A:A,A642,CONFERÊNCIA!J:J)</f>
        <v>1016.96</v>
      </c>
      <c r="H642" s="119">
        <f t="shared" si="64"/>
        <v>0</v>
      </c>
      <c r="I642" s="240" t="s">
        <v>1229</v>
      </c>
    </row>
    <row r="643" spans="1:9" x14ac:dyDescent="0.25">
      <c r="A643" s="230">
        <v>121414</v>
      </c>
      <c r="B643" s="162" t="s">
        <v>1560</v>
      </c>
      <c r="C643" s="162" t="s">
        <v>5</v>
      </c>
      <c r="D643" s="162" t="s">
        <v>19</v>
      </c>
      <c r="E643" s="231">
        <v>44967</v>
      </c>
      <c r="F643" s="117">
        <v>1016.96</v>
      </c>
      <c r="G643" s="117">
        <f>SUMIF(CONFERÊNCIA!A:A,A643,CONFERÊNCIA!J:J)</f>
        <v>1016.96</v>
      </c>
      <c r="H643" s="119">
        <f t="shared" si="64"/>
        <v>0</v>
      </c>
      <c r="I643" s="240" t="s">
        <v>1229</v>
      </c>
    </row>
    <row r="644" spans="1:9" x14ac:dyDescent="0.25">
      <c r="A644" s="230">
        <v>113406</v>
      </c>
      <c r="B644" s="162" t="s">
        <v>758</v>
      </c>
      <c r="C644" s="162" t="s">
        <v>2</v>
      </c>
      <c r="D644" s="162" t="s">
        <v>0</v>
      </c>
      <c r="E644" s="231">
        <v>43617</v>
      </c>
      <c r="F644" s="117">
        <v>1016.96</v>
      </c>
      <c r="G644" s="117">
        <f>SUMIF(CONFERÊNCIA!A:A,A644,CONFERÊNCIA!J:J)</f>
        <v>1016.96</v>
      </c>
      <c r="H644" s="119">
        <f t="shared" si="64"/>
        <v>0</v>
      </c>
      <c r="I644" s="240" t="s">
        <v>1229</v>
      </c>
    </row>
    <row r="645" spans="1:9" x14ac:dyDescent="0.25">
      <c r="A645" s="230">
        <v>118059</v>
      </c>
      <c r="B645" s="162" t="s">
        <v>1400</v>
      </c>
      <c r="C645" s="162" t="s">
        <v>5</v>
      </c>
      <c r="D645" s="162" t="s">
        <v>0</v>
      </c>
      <c r="E645" s="231">
        <v>44567</v>
      </c>
      <c r="F645" s="117">
        <v>978.67000000000007</v>
      </c>
      <c r="G645" s="117">
        <f>SUMIF(CONFERÊNCIA!A:A,A645,CONFERÊNCIA!J:J)</f>
        <v>978.67000000000007</v>
      </c>
      <c r="H645" s="119">
        <f t="shared" si="64"/>
        <v>0</v>
      </c>
      <c r="I645" s="240" t="s">
        <v>1229</v>
      </c>
    </row>
    <row r="646" spans="1:9" x14ac:dyDescent="0.25">
      <c r="A646" s="230">
        <v>113599</v>
      </c>
      <c r="B646" s="162" t="s">
        <v>866</v>
      </c>
      <c r="C646" s="162" t="s">
        <v>15</v>
      </c>
      <c r="D646" s="162" t="s">
        <v>1578</v>
      </c>
      <c r="E646" s="231">
        <v>43617</v>
      </c>
      <c r="F646" s="117">
        <v>1016.96</v>
      </c>
      <c r="G646" s="117">
        <f>SUMIF(CONFERÊNCIA!A:A,A646,CONFERÊNCIA!J:J)</f>
        <v>1016.96</v>
      </c>
      <c r="H646" s="119">
        <f t="shared" si="64"/>
        <v>0</v>
      </c>
      <c r="I646" s="240" t="s">
        <v>1229</v>
      </c>
    </row>
    <row r="647" spans="1:9" x14ac:dyDescent="0.25">
      <c r="A647" s="230">
        <v>117409</v>
      </c>
      <c r="B647" s="162" t="s">
        <v>1271</v>
      </c>
      <c r="C647" s="162" t="s">
        <v>2</v>
      </c>
      <c r="D647" s="162" t="s">
        <v>0</v>
      </c>
      <c r="E647" s="231">
        <v>44522</v>
      </c>
      <c r="F647" s="117">
        <v>1016.96</v>
      </c>
      <c r="G647" s="117">
        <f>SUMIF(CONFERÊNCIA!A:A,A647,CONFERÊNCIA!J:J)</f>
        <v>1016.96</v>
      </c>
      <c r="H647" s="119">
        <f t="shared" si="64"/>
        <v>0</v>
      </c>
      <c r="I647" s="240" t="s">
        <v>1229</v>
      </c>
    </row>
    <row r="648" spans="1:9" x14ac:dyDescent="0.25">
      <c r="A648" s="230">
        <v>122835</v>
      </c>
      <c r="B648" s="162" t="s">
        <v>1721</v>
      </c>
      <c r="C648" s="162" t="s">
        <v>5</v>
      </c>
      <c r="D648" s="162" t="s">
        <v>32</v>
      </c>
      <c r="E648" s="231">
        <v>45180</v>
      </c>
      <c r="F648" s="117">
        <v>0</v>
      </c>
      <c r="G648" s="117">
        <f>SUMIF(CONFERÊNCIA!A:A,A648,CONFERÊNCIA!J:J)</f>
        <v>1016.96</v>
      </c>
      <c r="H648" s="119">
        <f t="shared" si="64"/>
        <v>1016.96</v>
      </c>
      <c r="I648" s="240" t="s">
        <v>1231</v>
      </c>
    </row>
    <row r="649" spans="1:9" x14ac:dyDescent="0.25">
      <c r="A649" s="230">
        <v>113132</v>
      </c>
      <c r="B649" s="162" t="s">
        <v>601</v>
      </c>
      <c r="C649" s="162" t="s">
        <v>22</v>
      </c>
      <c r="D649" s="162" t="s">
        <v>1578</v>
      </c>
      <c r="E649" s="231">
        <v>43617</v>
      </c>
      <c r="F649" s="117">
        <v>1016.96</v>
      </c>
      <c r="G649" s="117">
        <f>SUMIF(CONFERÊNCIA!A:A,A649,CONFERÊNCIA!J:J)</f>
        <v>1016.96</v>
      </c>
      <c r="H649" s="119">
        <f t="shared" si="64"/>
        <v>0</v>
      </c>
      <c r="I649" s="240" t="s">
        <v>1229</v>
      </c>
    </row>
    <row r="650" spans="1:9" x14ac:dyDescent="0.25">
      <c r="A650" s="230">
        <v>112957</v>
      </c>
      <c r="B650" s="162" t="s">
        <v>519</v>
      </c>
      <c r="C650" s="162" t="s">
        <v>15</v>
      </c>
      <c r="D650" s="162" t="s">
        <v>1578</v>
      </c>
      <c r="E650" s="231">
        <v>43617</v>
      </c>
      <c r="F650" s="117">
        <v>1016.96</v>
      </c>
      <c r="G650" s="117">
        <f>SUMIF(CONFERÊNCIA!A:A,A650,CONFERÊNCIA!J:J)</f>
        <v>1016.96</v>
      </c>
      <c r="H650" s="119">
        <f t="shared" si="64"/>
        <v>0</v>
      </c>
      <c r="I650" s="240" t="s">
        <v>1229</v>
      </c>
    </row>
    <row r="651" spans="1:9" x14ac:dyDescent="0.25">
      <c r="A651" s="230">
        <v>112226</v>
      </c>
      <c r="B651" s="162" t="s">
        <v>48</v>
      </c>
      <c r="C651" s="162" t="s">
        <v>2</v>
      </c>
      <c r="D651" s="162" t="s">
        <v>10</v>
      </c>
      <c r="E651" s="231">
        <v>43617</v>
      </c>
      <c r="F651" s="117">
        <v>1016.96</v>
      </c>
      <c r="G651" s="117">
        <f>SUMIF(CONFERÊNCIA!A:A,A651,CONFERÊNCIA!J:J)</f>
        <v>1016.96</v>
      </c>
      <c r="H651" s="119">
        <f t="shared" si="64"/>
        <v>0</v>
      </c>
      <c r="I651" s="240" t="s">
        <v>1230</v>
      </c>
    </row>
    <row r="652" spans="1:9" x14ac:dyDescent="0.25">
      <c r="A652" s="230">
        <v>113166</v>
      </c>
      <c r="B652" s="162" t="s">
        <v>623</v>
      </c>
      <c r="C652" s="162" t="s">
        <v>22</v>
      </c>
      <c r="D652" s="162" t="s">
        <v>1578</v>
      </c>
      <c r="E652" s="231">
        <v>43617</v>
      </c>
      <c r="F652" s="117">
        <v>1016.96</v>
      </c>
      <c r="G652" s="117">
        <f>SUMIF(CONFERÊNCIA!A:A,A652,CONFERÊNCIA!J:J)</f>
        <v>1016.96</v>
      </c>
      <c r="H652" s="119">
        <f t="shared" si="64"/>
        <v>0</v>
      </c>
      <c r="I652" s="240" t="s">
        <v>1229</v>
      </c>
    </row>
    <row r="653" spans="1:9" x14ac:dyDescent="0.25">
      <c r="A653" s="230">
        <v>112789</v>
      </c>
      <c r="B653" s="162" t="s">
        <v>411</v>
      </c>
      <c r="C653" s="162" t="s">
        <v>2</v>
      </c>
      <c r="D653" s="162" t="s">
        <v>8</v>
      </c>
      <c r="E653" s="231">
        <v>43617</v>
      </c>
      <c r="F653" s="117">
        <v>1016.96</v>
      </c>
      <c r="G653" s="117">
        <f>SUMIF(CONFERÊNCIA!A:A,A653,CONFERÊNCIA!J:J)</f>
        <v>1016.96</v>
      </c>
      <c r="H653" s="119">
        <f t="shared" si="64"/>
        <v>0</v>
      </c>
      <c r="I653" s="240" t="s">
        <v>1229</v>
      </c>
    </row>
    <row r="654" spans="1:9" x14ac:dyDescent="0.25">
      <c r="A654" s="230">
        <v>113410</v>
      </c>
      <c r="B654" s="162" t="s">
        <v>760</v>
      </c>
      <c r="C654" s="162" t="s">
        <v>2</v>
      </c>
      <c r="D654" s="162" t="s">
        <v>0</v>
      </c>
      <c r="E654" s="231">
        <v>43617</v>
      </c>
      <c r="F654" s="117">
        <v>1016.96</v>
      </c>
      <c r="G654" s="117">
        <f>SUMIF(CONFERÊNCIA!A:A,A654,CONFERÊNCIA!J:J)</f>
        <v>1016.96</v>
      </c>
      <c r="H654" s="119">
        <f t="shared" si="64"/>
        <v>0</v>
      </c>
      <c r="I654" s="240" t="s">
        <v>1229</v>
      </c>
    </row>
    <row r="655" spans="1:9" x14ac:dyDescent="0.25">
      <c r="A655" s="230">
        <v>114800</v>
      </c>
      <c r="B655" s="162" t="s">
        <v>1101</v>
      </c>
      <c r="C655" s="162" t="s">
        <v>15</v>
      </c>
      <c r="D655" s="162" t="s">
        <v>1578</v>
      </c>
      <c r="E655" s="231">
        <v>43880</v>
      </c>
      <c r="F655" s="117">
        <v>1016.96</v>
      </c>
      <c r="G655" s="117">
        <f>SUMIF(CONFERÊNCIA!A:A,A655,CONFERÊNCIA!J:J)</f>
        <v>1016.96</v>
      </c>
      <c r="H655" s="119">
        <f t="shared" si="64"/>
        <v>0</v>
      </c>
      <c r="I655" s="240" t="s">
        <v>1229</v>
      </c>
    </row>
    <row r="656" spans="1:9" x14ac:dyDescent="0.25">
      <c r="A656" s="230">
        <v>115008</v>
      </c>
      <c r="B656" s="162" t="s">
        <v>1138</v>
      </c>
      <c r="C656" s="162" t="s">
        <v>5</v>
      </c>
      <c r="D656" s="162" t="s">
        <v>0</v>
      </c>
      <c r="E656" s="231">
        <v>43930</v>
      </c>
      <c r="F656" s="117">
        <v>1016.96</v>
      </c>
      <c r="G656" s="117">
        <f>SUMIF(CONFERÊNCIA!A:A,A656,CONFERÊNCIA!J:J)</f>
        <v>1016.96</v>
      </c>
      <c r="H656" s="119">
        <f t="shared" si="64"/>
        <v>0</v>
      </c>
      <c r="I656" s="240" t="s">
        <v>1229</v>
      </c>
    </row>
    <row r="657" spans="1:9" x14ac:dyDescent="0.25">
      <c r="A657" s="230">
        <v>114263</v>
      </c>
      <c r="B657" s="162" t="s">
        <v>1025</v>
      </c>
      <c r="C657" s="162" t="s">
        <v>2</v>
      </c>
      <c r="D657" s="162" t="s">
        <v>19</v>
      </c>
      <c r="E657" s="231">
        <v>43804</v>
      </c>
      <c r="F657" s="117">
        <v>1016.96</v>
      </c>
      <c r="G657" s="117">
        <f>SUMIF(CONFERÊNCIA!A:A,A657,CONFERÊNCIA!J:J)</f>
        <v>1016.96</v>
      </c>
      <c r="H657" s="119">
        <f t="shared" si="64"/>
        <v>0</v>
      </c>
      <c r="I657" s="240" t="s">
        <v>1229</v>
      </c>
    </row>
    <row r="658" spans="1:9" x14ac:dyDescent="0.25">
      <c r="A658" s="230">
        <v>116002</v>
      </c>
      <c r="B658" s="162" t="s">
        <v>1166</v>
      </c>
      <c r="C658" s="162" t="s">
        <v>5</v>
      </c>
      <c r="D658" s="162" t="s">
        <v>0</v>
      </c>
      <c r="E658" s="231">
        <v>44207</v>
      </c>
      <c r="F658" s="117">
        <v>1016.96</v>
      </c>
      <c r="G658" s="117">
        <f>SUMIF(CONFERÊNCIA!A:A,A658,CONFERÊNCIA!J:J)</f>
        <v>1016.96</v>
      </c>
      <c r="H658" s="119">
        <f t="shared" si="64"/>
        <v>0</v>
      </c>
      <c r="I658" s="240" t="s">
        <v>1229</v>
      </c>
    </row>
    <row r="659" spans="1:9" x14ac:dyDescent="0.25">
      <c r="A659" s="230">
        <v>121685</v>
      </c>
      <c r="B659" s="162" t="s">
        <v>1588</v>
      </c>
      <c r="C659" s="162" t="s">
        <v>5</v>
      </c>
      <c r="D659" s="162" t="s">
        <v>0</v>
      </c>
      <c r="E659" s="231">
        <v>44994</v>
      </c>
      <c r="F659" s="117">
        <v>1016.96</v>
      </c>
      <c r="G659" s="117">
        <f>SUMIF(CONFERÊNCIA!A:A,A659,CONFERÊNCIA!J:J)</f>
        <v>1016.96</v>
      </c>
      <c r="H659" s="119">
        <f t="shared" si="64"/>
        <v>0</v>
      </c>
      <c r="I659" s="240" t="s">
        <v>1229</v>
      </c>
    </row>
    <row r="660" spans="1:9" x14ac:dyDescent="0.25">
      <c r="A660" s="230">
        <v>113077</v>
      </c>
      <c r="B660" s="162" t="s">
        <v>573</v>
      </c>
      <c r="C660" s="162" t="s">
        <v>5</v>
      </c>
      <c r="D660" s="162" t="s">
        <v>0</v>
      </c>
      <c r="E660" s="231">
        <v>43617</v>
      </c>
      <c r="F660" s="117">
        <v>978.67000000000007</v>
      </c>
      <c r="G660" s="117">
        <f>SUMIF(CONFERÊNCIA!A:A,A660,CONFERÊNCIA!J:J)</f>
        <v>359.46</v>
      </c>
      <c r="H660" s="119">
        <f t="shared" si="64"/>
        <v>-619.21</v>
      </c>
      <c r="I660" s="240" t="s">
        <v>1279</v>
      </c>
    </row>
    <row r="661" spans="1:9" x14ac:dyDescent="0.25">
      <c r="A661" s="230">
        <v>113123</v>
      </c>
      <c r="B661" s="162" t="s">
        <v>597</v>
      </c>
      <c r="C661" s="162" t="s">
        <v>15</v>
      </c>
      <c r="D661" s="162" t="s">
        <v>1578</v>
      </c>
      <c r="E661" s="231">
        <v>43617</v>
      </c>
      <c r="F661" s="117">
        <v>1016.96</v>
      </c>
      <c r="G661" s="117">
        <f>SUMIF(CONFERÊNCIA!A:A,A661,CONFERÊNCIA!J:J)</f>
        <v>1016.96</v>
      </c>
      <c r="H661" s="119">
        <f t="shared" si="64"/>
        <v>0</v>
      </c>
      <c r="I661" s="240" t="s">
        <v>1230</v>
      </c>
    </row>
    <row r="662" spans="1:9" x14ac:dyDescent="0.25">
      <c r="A662" s="230">
        <v>121326</v>
      </c>
      <c r="B662" s="162" t="s">
        <v>1529</v>
      </c>
      <c r="C662" s="162" t="s">
        <v>5</v>
      </c>
      <c r="D662" s="162" t="s">
        <v>32</v>
      </c>
      <c r="E662" s="231">
        <v>44945</v>
      </c>
      <c r="F662" s="117">
        <v>1016.96</v>
      </c>
      <c r="G662" s="117">
        <f>SUMIF(CONFERÊNCIA!A:A,A662,CONFERÊNCIA!J:J)</f>
        <v>1016.96</v>
      </c>
      <c r="H662" s="119">
        <f t="shared" si="64"/>
        <v>0</v>
      </c>
      <c r="I662" s="240" t="s">
        <v>1229</v>
      </c>
    </row>
    <row r="663" spans="1:9" x14ac:dyDescent="0.25">
      <c r="A663" s="230">
        <v>112513</v>
      </c>
      <c r="B663" s="162" t="s">
        <v>230</v>
      </c>
      <c r="C663" s="162" t="s">
        <v>146</v>
      </c>
      <c r="D663" s="162" t="s">
        <v>8</v>
      </c>
      <c r="E663" s="231">
        <v>43617</v>
      </c>
      <c r="F663" s="117">
        <v>1016.96</v>
      </c>
      <c r="G663" s="117">
        <f>SUMIF(CONFERÊNCIA!A:A,A663,CONFERÊNCIA!J:J)</f>
        <v>1016.96</v>
      </c>
      <c r="H663" s="119">
        <f t="shared" si="64"/>
        <v>0</v>
      </c>
      <c r="I663" s="240" t="s">
        <v>1229</v>
      </c>
    </row>
    <row r="664" spans="1:9" x14ac:dyDescent="0.25">
      <c r="A664" s="230">
        <v>122439</v>
      </c>
      <c r="B664" s="162" t="s">
        <v>1686</v>
      </c>
      <c r="C664" s="162" t="s">
        <v>5</v>
      </c>
      <c r="D664" s="162" t="s">
        <v>1578</v>
      </c>
      <c r="E664" s="231">
        <v>45117</v>
      </c>
      <c r="F664" s="117">
        <v>1016.96</v>
      </c>
      <c r="G664" s="117">
        <f>SUMIF(CONFERÊNCIA!A:A,A664,CONFERÊNCIA!J:J)</f>
        <v>1016.96</v>
      </c>
      <c r="H664" s="119">
        <f t="shared" ref="H664:H689" si="65">G664-F664</f>
        <v>0</v>
      </c>
      <c r="I664" s="240" t="s">
        <v>1229</v>
      </c>
    </row>
    <row r="665" spans="1:9" x14ac:dyDescent="0.25">
      <c r="A665" s="230">
        <v>121321</v>
      </c>
      <c r="B665" s="162" t="s">
        <v>1530</v>
      </c>
      <c r="C665" s="162" t="s">
        <v>2</v>
      </c>
      <c r="D665" s="162" t="s">
        <v>19</v>
      </c>
      <c r="E665" s="231">
        <v>44945</v>
      </c>
      <c r="F665" s="117">
        <v>1016.96</v>
      </c>
      <c r="G665" s="117">
        <f>SUMIF(CONFERÊNCIA!A:A,A665,CONFERÊNCIA!J:J)</f>
        <v>1016.96</v>
      </c>
      <c r="H665" s="119">
        <f t="shared" si="65"/>
        <v>0</v>
      </c>
      <c r="I665" s="240" t="s">
        <v>1229</v>
      </c>
    </row>
    <row r="666" spans="1:9" x14ac:dyDescent="0.25">
      <c r="A666" s="230">
        <v>112218</v>
      </c>
      <c r="B666" s="162" t="s">
        <v>1531</v>
      </c>
      <c r="C666" s="162" t="s">
        <v>5</v>
      </c>
      <c r="D666" s="162" t="s">
        <v>0</v>
      </c>
      <c r="E666" s="231">
        <v>43617</v>
      </c>
      <c r="F666" s="117">
        <v>1016.96</v>
      </c>
      <c r="G666" s="117">
        <f>SUMIF(CONFERÊNCIA!A:A,A666,CONFERÊNCIA!J:J)</f>
        <v>1016.96</v>
      </c>
      <c r="H666" s="119">
        <f t="shared" si="65"/>
        <v>0</v>
      </c>
      <c r="I666" s="240" t="s">
        <v>1229</v>
      </c>
    </row>
    <row r="667" spans="1:9" x14ac:dyDescent="0.25">
      <c r="A667" s="230">
        <v>112451</v>
      </c>
      <c r="B667" s="162" t="s">
        <v>189</v>
      </c>
      <c r="C667" s="162" t="s">
        <v>5</v>
      </c>
      <c r="D667" s="162" t="s">
        <v>8</v>
      </c>
      <c r="E667" s="231">
        <v>43617</v>
      </c>
      <c r="F667" s="117">
        <v>978.67000000000007</v>
      </c>
      <c r="G667" s="117">
        <f>SUMIF(CONFERÊNCIA!A:A,A667,CONFERÊNCIA!J:J)</f>
        <v>1016.96</v>
      </c>
      <c r="H667" s="119">
        <f t="shared" si="65"/>
        <v>38.289999999999964</v>
      </c>
      <c r="I667" s="240" t="s">
        <v>1229</v>
      </c>
    </row>
    <row r="668" spans="1:9" x14ac:dyDescent="0.25">
      <c r="A668" s="230">
        <v>113303</v>
      </c>
      <c r="B668" s="162" t="s">
        <v>695</v>
      </c>
      <c r="C668" s="162" t="s">
        <v>22</v>
      </c>
      <c r="D668" s="162" t="s">
        <v>1578</v>
      </c>
      <c r="E668" s="231">
        <v>43617</v>
      </c>
      <c r="F668" s="117">
        <v>1016.96</v>
      </c>
      <c r="G668" s="117">
        <f>SUMIF(CONFERÊNCIA!A:A,A668,CONFERÊNCIA!J:J)</f>
        <v>1016.96</v>
      </c>
      <c r="H668" s="119">
        <f t="shared" si="65"/>
        <v>0</v>
      </c>
      <c r="I668" s="240" t="s">
        <v>1229</v>
      </c>
    </row>
    <row r="669" spans="1:9" x14ac:dyDescent="0.25">
      <c r="A669" s="230">
        <v>113080</v>
      </c>
      <c r="B669" s="162" t="s">
        <v>575</v>
      </c>
      <c r="C669" s="162" t="s">
        <v>22</v>
      </c>
      <c r="D669" s="162" t="s">
        <v>1578</v>
      </c>
      <c r="E669" s="231">
        <v>43617</v>
      </c>
      <c r="F669" s="117">
        <v>1016.96</v>
      </c>
      <c r="G669" s="117">
        <f>SUMIF(CONFERÊNCIA!A:A,A669,CONFERÊNCIA!J:J)</f>
        <v>1016.96</v>
      </c>
      <c r="H669" s="119">
        <f t="shared" si="65"/>
        <v>0</v>
      </c>
      <c r="I669" s="240" t="s">
        <v>1229</v>
      </c>
    </row>
    <row r="670" spans="1:9" x14ac:dyDescent="0.25">
      <c r="A670" s="230">
        <v>122575</v>
      </c>
      <c r="B670" s="162" t="s">
        <v>1687</v>
      </c>
      <c r="C670" s="162" t="s">
        <v>5</v>
      </c>
      <c r="D670" s="162" t="s">
        <v>8</v>
      </c>
      <c r="E670" s="231">
        <v>45131</v>
      </c>
      <c r="F670" s="117">
        <v>1016.96</v>
      </c>
      <c r="G670" s="117">
        <f>SUMIF(CONFERÊNCIA!A:A,A670,CONFERÊNCIA!J:J)</f>
        <v>1016.96</v>
      </c>
      <c r="H670" s="119">
        <f t="shared" si="65"/>
        <v>0</v>
      </c>
      <c r="I670" s="240" t="s">
        <v>1229</v>
      </c>
    </row>
    <row r="671" spans="1:9" x14ac:dyDescent="0.25">
      <c r="A671" s="230">
        <v>113602</v>
      </c>
      <c r="B671" s="162" t="s">
        <v>867</v>
      </c>
      <c r="C671" s="162" t="s">
        <v>15</v>
      </c>
      <c r="D671" s="162" t="s">
        <v>1578</v>
      </c>
      <c r="E671" s="231">
        <v>43617</v>
      </c>
      <c r="F671" s="117">
        <v>1016.96</v>
      </c>
      <c r="G671" s="117">
        <f>SUMIF(CONFERÊNCIA!A:A,A671,CONFERÊNCIA!J:J)</f>
        <v>1016.96</v>
      </c>
      <c r="H671" s="119">
        <f t="shared" si="65"/>
        <v>0</v>
      </c>
      <c r="I671" s="240" t="s">
        <v>1229</v>
      </c>
    </row>
    <row r="672" spans="1:9" x14ac:dyDescent="0.25">
      <c r="A672" s="230">
        <v>113432</v>
      </c>
      <c r="B672" s="162" t="s">
        <v>775</v>
      </c>
      <c r="C672" s="162" t="s">
        <v>2</v>
      </c>
      <c r="D672" s="162" t="s">
        <v>0</v>
      </c>
      <c r="E672" s="231">
        <v>43617</v>
      </c>
      <c r="F672" s="117">
        <v>1016.96</v>
      </c>
      <c r="G672" s="117">
        <f>SUMIF(CONFERÊNCIA!A:A,A672,CONFERÊNCIA!J:J)</f>
        <v>1016.96</v>
      </c>
      <c r="H672" s="119">
        <f t="shared" si="65"/>
        <v>0</v>
      </c>
      <c r="I672" s="240" t="s">
        <v>1229</v>
      </c>
    </row>
    <row r="673" spans="1:9" x14ac:dyDescent="0.25">
      <c r="A673" s="230">
        <v>112303</v>
      </c>
      <c r="B673" s="162" t="s">
        <v>99</v>
      </c>
      <c r="C673" s="162" t="s">
        <v>2</v>
      </c>
      <c r="D673" s="162" t="s">
        <v>10</v>
      </c>
      <c r="E673" s="231">
        <v>43617</v>
      </c>
      <c r="F673" s="117">
        <v>978.67000000000007</v>
      </c>
      <c r="G673" s="117">
        <f>SUMIF(CONFERÊNCIA!A:A,A673,CONFERÊNCIA!J:J)</f>
        <v>978.67000000000007</v>
      </c>
      <c r="H673" s="119">
        <f t="shared" si="65"/>
        <v>0</v>
      </c>
      <c r="I673" s="240" t="s">
        <v>1229</v>
      </c>
    </row>
    <row r="674" spans="1:9" x14ac:dyDescent="0.25">
      <c r="A674" s="230">
        <v>113081</v>
      </c>
      <c r="B674" s="162" t="s">
        <v>576</v>
      </c>
      <c r="C674" s="162" t="s">
        <v>5</v>
      </c>
      <c r="D674" s="162" t="s">
        <v>0</v>
      </c>
      <c r="E674" s="231">
        <v>43617</v>
      </c>
      <c r="F674" s="117">
        <v>1016.96</v>
      </c>
      <c r="G674" s="117">
        <f>SUMIF(CONFERÊNCIA!A:A,A674,CONFERÊNCIA!J:J)</f>
        <v>978.67000000000007</v>
      </c>
      <c r="H674" s="119">
        <f t="shared" si="65"/>
        <v>-38.289999999999964</v>
      </c>
      <c r="I674" s="240" t="s">
        <v>1229</v>
      </c>
    </row>
    <row r="675" spans="1:9" x14ac:dyDescent="0.25">
      <c r="A675" s="230">
        <v>114925</v>
      </c>
      <c r="B675" s="162" t="s">
        <v>1110</v>
      </c>
      <c r="C675" s="162" t="s">
        <v>480</v>
      </c>
      <c r="D675" s="162" t="s">
        <v>1578</v>
      </c>
      <c r="E675" s="231">
        <v>43916</v>
      </c>
      <c r="F675" s="117">
        <v>1016.96</v>
      </c>
      <c r="G675" s="117">
        <f>SUMIF(CONFERÊNCIA!A:A,A675,CONFERÊNCIA!J:J)</f>
        <v>1016.96</v>
      </c>
      <c r="H675" s="119">
        <f t="shared" si="65"/>
        <v>0</v>
      </c>
      <c r="I675" s="240" t="s">
        <v>1229</v>
      </c>
    </row>
    <row r="676" spans="1:9" x14ac:dyDescent="0.25">
      <c r="A676" s="230">
        <v>112338</v>
      </c>
      <c r="B676" s="162" t="s">
        <v>118</v>
      </c>
      <c r="C676" s="162" t="s">
        <v>5</v>
      </c>
      <c r="D676" s="162" t="s">
        <v>8</v>
      </c>
      <c r="E676" s="231">
        <v>43617</v>
      </c>
      <c r="F676" s="117">
        <v>1016.96</v>
      </c>
      <c r="G676" s="117">
        <f>SUMIF(CONFERÊNCIA!A:A,A676,CONFERÊNCIA!J:J)</f>
        <v>1016.96</v>
      </c>
      <c r="H676" s="119">
        <f t="shared" si="65"/>
        <v>0</v>
      </c>
      <c r="I676" s="240" t="s">
        <v>1229</v>
      </c>
    </row>
    <row r="677" spans="1:9" x14ac:dyDescent="0.25">
      <c r="A677" s="230">
        <v>113370</v>
      </c>
      <c r="B677" s="162" t="s">
        <v>735</v>
      </c>
      <c r="C677" s="162" t="s">
        <v>2</v>
      </c>
      <c r="D677" s="162" t="s">
        <v>0</v>
      </c>
      <c r="E677" s="231">
        <v>43617</v>
      </c>
      <c r="F677" s="117">
        <v>1016.96</v>
      </c>
      <c r="G677" s="117">
        <f>SUMIF(CONFERÊNCIA!A:A,A677,CONFERÊNCIA!J:J)</f>
        <v>1016.96</v>
      </c>
      <c r="H677" s="119">
        <f t="shared" si="65"/>
        <v>0</v>
      </c>
      <c r="I677" s="240" t="s">
        <v>1230</v>
      </c>
    </row>
    <row r="678" spans="1:9" x14ac:dyDescent="0.25">
      <c r="A678" s="230">
        <v>113120</v>
      </c>
      <c r="B678" s="162" t="s">
        <v>596</v>
      </c>
      <c r="C678" s="162" t="s">
        <v>39</v>
      </c>
      <c r="D678" s="162" t="s">
        <v>10</v>
      </c>
      <c r="E678" s="231">
        <v>43617</v>
      </c>
      <c r="F678" s="117">
        <v>1016.96</v>
      </c>
      <c r="G678" s="117">
        <f>SUMIF(CONFERÊNCIA!A:A,A678,CONFERÊNCIA!J:J)</f>
        <v>1016.96</v>
      </c>
      <c r="H678" s="119">
        <f t="shared" si="65"/>
        <v>0</v>
      </c>
      <c r="I678" s="240" t="s">
        <v>1229</v>
      </c>
    </row>
    <row r="679" spans="1:9" x14ac:dyDescent="0.25">
      <c r="A679" s="230">
        <v>112909</v>
      </c>
      <c r="B679" s="162" t="s">
        <v>492</v>
      </c>
      <c r="C679" s="162" t="s">
        <v>2</v>
      </c>
      <c r="D679" s="162" t="s">
        <v>8</v>
      </c>
      <c r="E679" s="231">
        <v>43617</v>
      </c>
      <c r="F679" s="117">
        <v>1016.96</v>
      </c>
      <c r="G679" s="117">
        <f>SUMIF(CONFERÊNCIA!A:A,A679,CONFERÊNCIA!J:J)</f>
        <v>1016.96</v>
      </c>
      <c r="H679" s="119">
        <f t="shared" si="65"/>
        <v>0</v>
      </c>
      <c r="I679" s="240" t="s">
        <v>1229</v>
      </c>
    </row>
    <row r="680" spans="1:9" x14ac:dyDescent="0.25">
      <c r="A680" s="230">
        <v>112204</v>
      </c>
      <c r="B680" s="162" t="s">
        <v>33</v>
      </c>
      <c r="C680" s="162" t="s">
        <v>5</v>
      </c>
      <c r="D680" s="162" t="s">
        <v>10</v>
      </c>
      <c r="E680" s="231">
        <v>43617</v>
      </c>
      <c r="F680" s="117">
        <v>1016.96</v>
      </c>
      <c r="G680" s="117">
        <f>SUMIF(CONFERÊNCIA!A:A,A680,CONFERÊNCIA!J:J)</f>
        <v>1016.96</v>
      </c>
      <c r="H680" s="119">
        <f t="shared" si="65"/>
        <v>0</v>
      </c>
      <c r="I680" s="240" t="s">
        <v>1230</v>
      </c>
    </row>
    <row r="681" spans="1:9" x14ac:dyDescent="0.25">
      <c r="A681" s="230">
        <v>113715</v>
      </c>
      <c r="B681" s="162" t="s">
        <v>931</v>
      </c>
      <c r="C681" s="162" t="s">
        <v>932</v>
      </c>
      <c r="D681" s="162" t="s">
        <v>1578</v>
      </c>
      <c r="E681" s="231">
        <v>43619</v>
      </c>
      <c r="F681" s="117">
        <v>1016.96</v>
      </c>
      <c r="G681" s="117">
        <f>SUMIF(CONFERÊNCIA!A:A,A681,CONFERÊNCIA!J:J)</f>
        <v>1016.96</v>
      </c>
      <c r="H681" s="119">
        <f t="shared" si="65"/>
        <v>0</v>
      </c>
      <c r="I681" s="240" t="s">
        <v>1229</v>
      </c>
    </row>
    <row r="682" spans="1:9" x14ac:dyDescent="0.25">
      <c r="A682" s="230">
        <v>112232</v>
      </c>
      <c r="B682" s="162" t="s">
        <v>53</v>
      </c>
      <c r="C682" s="162" t="s">
        <v>2</v>
      </c>
      <c r="D682" s="162" t="s">
        <v>10</v>
      </c>
      <c r="E682" s="231">
        <v>43617</v>
      </c>
      <c r="F682" s="117">
        <v>1016.96</v>
      </c>
      <c r="G682" s="117">
        <f>SUMIF(CONFERÊNCIA!A:A,A682,CONFERÊNCIA!J:J)</f>
        <v>1016.96</v>
      </c>
      <c r="H682" s="119">
        <f t="shared" si="65"/>
        <v>0</v>
      </c>
      <c r="I682" s="240" t="s">
        <v>1229</v>
      </c>
    </row>
    <row r="683" spans="1:9" x14ac:dyDescent="0.25">
      <c r="A683" s="230">
        <v>113021</v>
      </c>
      <c r="B683" s="162" t="s">
        <v>53</v>
      </c>
      <c r="C683" s="162" t="s">
        <v>2</v>
      </c>
      <c r="D683" s="162" t="s">
        <v>19</v>
      </c>
      <c r="E683" s="231">
        <v>43620</v>
      </c>
      <c r="F683" s="117">
        <v>1016.96</v>
      </c>
      <c r="G683" s="117">
        <f>SUMIF(CONFERÊNCIA!A:A,A683,CONFERÊNCIA!J:J)</f>
        <v>1016.96</v>
      </c>
      <c r="H683" s="119">
        <f t="shared" si="65"/>
        <v>0</v>
      </c>
      <c r="I683" s="240" t="s">
        <v>1229</v>
      </c>
    </row>
    <row r="684" spans="1:9" x14ac:dyDescent="0.25">
      <c r="A684" s="230">
        <v>113373</v>
      </c>
      <c r="B684" s="162" t="s">
        <v>53</v>
      </c>
      <c r="C684" s="162" t="s">
        <v>2</v>
      </c>
      <c r="D684" s="162" t="s">
        <v>0</v>
      </c>
      <c r="E684" s="231">
        <v>43617</v>
      </c>
      <c r="F684" s="117">
        <v>1016.96</v>
      </c>
      <c r="G684" s="117">
        <f>SUMIF(CONFERÊNCIA!A:A,A684,CONFERÊNCIA!J:J)</f>
        <v>1016.96</v>
      </c>
      <c r="H684" s="119">
        <f t="shared" si="65"/>
        <v>0</v>
      </c>
      <c r="I684" s="240" t="s">
        <v>1229</v>
      </c>
    </row>
    <row r="685" spans="1:9" x14ac:dyDescent="0.25">
      <c r="A685" s="230">
        <v>113420</v>
      </c>
      <c r="B685" s="162" t="s">
        <v>53</v>
      </c>
      <c r="C685" s="162" t="s">
        <v>2</v>
      </c>
      <c r="D685" s="162" t="s">
        <v>0</v>
      </c>
      <c r="E685" s="231">
        <v>43617</v>
      </c>
      <c r="F685" s="117">
        <v>1016.96</v>
      </c>
      <c r="G685" s="117">
        <f>SUMIF(CONFERÊNCIA!A:A,A685,CONFERÊNCIA!J:J)</f>
        <v>1016.96</v>
      </c>
      <c r="H685" s="119">
        <f t="shared" si="65"/>
        <v>0</v>
      </c>
      <c r="I685" s="240" t="s">
        <v>1229</v>
      </c>
    </row>
    <row r="686" spans="1:9" x14ac:dyDescent="0.25">
      <c r="A686" s="230">
        <v>112917</v>
      </c>
      <c r="B686" s="162" t="s">
        <v>349</v>
      </c>
      <c r="C686" s="162" t="s">
        <v>2</v>
      </c>
      <c r="D686" s="162" t="s">
        <v>8</v>
      </c>
      <c r="E686" s="231">
        <v>43617</v>
      </c>
      <c r="F686" s="117">
        <v>1016.96</v>
      </c>
      <c r="G686" s="117">
        <f>SUMIF(CONFERÊNCIA!A:A,A686,CONFERÊNCIA!J:J)</f>
        <v>1016.96</v>
      </c>
      <c r="H686" s="119">
        <f t="shared" si="65"/>
        <v>0</v>
      </c>
      <c r="I686" s="240" t="s">
        <v>1229</v>
      </c>
    </row>
    <row r="687" spans="1:9" x14ac:dyDescent="0.25">
      <c r="A687" s="230">
        <v>112341</v>
      </c>
      <c r="B687" s="162" t="s">
        <v>121</v>
      </c>
      <c r="C687" s="162" t="s">
        <v>5</v>
      </c>
      <c r="D687" s="162" t="s">
        <v>8</v>
      </c>
      <c r="E687" s="231">
        <v>43617</v>
      </c>
      <c r="F687" s="117">
        <v>1016.96</v>
      </c>
      <c r="G687" s="117">
        <f>SUMIF(CONFERÊNCIA!A:A,A687,CONFERÊNCIA!J:J)</f>
        <v>1016.96</v>
      </c>
      <c r="H687" s="119">
        <f t="shared" si="65"/>
        <v>0</v>
      </c>
      <c r="I687" s="240" t="s">
        <v>1230</v>
      </c>
    </row>
    <row r="688" spans="1:9" x14ac:dyDescent="0.25">
      <c r="A688" s="230">
        <v>112236</v>
      </c>
      <c r="B688" s="162" t="s">
        <v>55</v>
      </c>
      <c r="C688" s="162" t="s">
        <v>2</v>
      </c>
      <c r="D688" s="162" t="s">
        <v>19</v>
      </c>
      <c r="E688" s="231">
        <v>43617</v>
      </c>
      <c r="F688" s="117">
        <v>1016.96</v>
      </c>
      <c r="G688" s="117">
        <f>SUMIF(CONFERÊNCIA!A:A,A688,CONFERÊNCIA!J:J)</f>
        <v>1016.96</v>
      </c>
      <c r="H688" s="119">
        <f t="shared" si="65"/>
        <v>0</v>
      </c>
      <c r="I688" s="240" t="s">
        <v>1229</v>
      </c>
    </row>
    <row r="689" spans="1:9" x14ac:dyDescent="0.25">
      <c r="A689" s="230">
        <v>112991</v>
      </c>
      <c r="B689" s="162" t="s">
        <v>534</v>
      </c>
      <c r="C689" s="162" t="s">
        <v>146</v>
      </c>
      <c r="D689" s="162" t="s">
        <v>19</v>
      </c>
      <c r="E689" s="231">
        <v>43617</v>
      </c>
      <c r="F689" s="117">
        <v>1016.96</v>
      </c>
      <c r="G689" s="117">
        <f>SUMIF(CONFERÊNCIA!A:A,A689,CONFERÊNCIA!J:J)</f>
        <v>1016.96</v>
      </c>
      <c r="H689" s="119">
        <f t="shared" si="65"/>
        <v>0</v>
      </c>
      <c r="I689" s="240" t="s">
        <v>1229</v>
      </c>
    </row>
    <row r="690" spans="1:9" x14ac:dyDescent="0.25">
      <c r="A690" s="230">
        <v>113422</v>
      </c>
      <c r="B690" s="162" t="s">
        <v>771</v>
      </c>
      <c r="C690" s="162" t="s">
        <v>2</v>
      </c>
      <c r="D690" s="162" t="s">
        <v>0</v>
      </c>
      <c r="E690" s="231">
        <v>43617</v>
      </c>
      <c r="F690" s="117">
        <v>1016.96</v>
      </c>
      <c r="G690" s="117">
        <f>SUMIF(CONFERÊNCIA!A:A,A690,CONFERÊNCIA!J:J)</f>
        <v>1016.96</v>
      </c>
      <c r="H690" s="119">
        <f t="shared" ref="H690:H712" si="66">G690-F690</f>
        <v>0</v>
      </c>
      <c r="I690" s="240" t="s">
        <v>1229</v>
      </c>
    </row>
    <row r="691" spans="1:9" x14ac:dyDescent="0.25">
      <c r="A691" s="230">
        <v>113375</v>
      </c>
      <c r="B691" s="162" t="s">
        <v>737</v>
      </c>
      <c r="C691" s="162" t="s">
        <v>2</v>
      </c>
      <c r="D691" s="162" t="s">
        <v>0</v>
      </c>
      <c r="E691" s="231">
        <v>43617</v>
      </c>
      <c r="F691" s="117">
        <v>1016.96</v>
      </c>
      <c r="G691" s="117">
        <f>SUMIF(CONFERÊNCIA!A:A,A691,CONFERÊNCIA!J:J)</f>
        <v>1016.96</v>
      </c>
      <c r="H691" s="119">
        <f t="shared" si="66"/>
        <v>0</v>
      </c>
      <c r="I691" s="240" t="s">
        <v>1229</v>
      </c>
    </row>
    <row r="692" spans="1:9" x14ac:dyDescent="0.25">
      <c r="A692" s="230">
        <v>112346</v>
      </c>
      <c r="B692" s="162" t="s">
        <v>123</v>
      </c>
      <c r="C692" s="162" t="s">
        <v>5</v>
      </c>
      <c r="D692" s="162" t="s">
        <v>8</v>
      </c>
      <c r="E692" s="231">
        <v>43617</v>
      </c>
      <c r="F692" s="117">
        <v>1016.96</v>
      </c>
      <c r="G692" s="117">
        <f>SUMIF(CONFERÊNCIA!A:A,A692,CONFERÊNCIA!J:J)</f>
        <v>1016.96</v>
      </c>
      <c r="H692" s="119">
        <f t="shared" si="66"/>
        <v>0</v>
      </c>
      <c r="I692" s="240" t="s">
        <v>1229</v>
      </c>
    </row>
    <row r="693" spans="1:9" x14ac:dyDescent="0.25">
      <c r="A693" s="230">
        <v>112208</v>
      </c>
      <c r="B693" s="162" t="s">
        <v>35</v>
      </c>
      <c r="C693" s="162" t="s">
        <v>5</v>
      </c>
      <c r="D693" s="162" t="s">
        <v>10</v>
      </c>
      <c r="E693" s="231">
        <v>43617</v>
      </c>
      <c r="F693" s="117">
        <v>1016.96</v>
      </c>
      <c r="G693" s="117">
        <f>SUMIF(CONFERÊNCIA!A:A,A693,CONFERÊNCIA!J:J)</f>
        <v>1016.96</v>
      </c>
      <c r="H693" s="119">
        <f t="shared" si="66"/>
        <v>0</v>
      </c>
      <c r="I693" s="240" t="s">
        <v>1230</v>
      </c>
    </row>
    <row r="694" spans="1:9" x14ac:dyDescent="0.25">
      <c r="A694" s="230">
        <v>114541</v>
      </c>
      <c r="B694" s="162" t="s">
        <v>1052</v>
      </c>
      <c r="C694" s="162" t="s">
        <v>5</v>
      </c>
      <c r="D694" s="162" t="s">
        <v>10</v>
      </c>
      <c r="E694" s="231">
        <v>43817</v>
      </c>
      <c r="F694" s="117">
        <v>978.67000000000007</v>
      </c>
      <c r="G694" s="117">
        <f>SUMIF(CONFERÊNCIA!A:A,A694,CONFERÊNCIA!J:J)</f>
        <v>1016.96</v>
      </c>
      <c r="H694" s="119">
        <f t="shared" si="66"/>
        <v>38.289999999999964</v>
      </c>
      <c r="I694" s="240" t="s">
        <v>1229</v>
      </c>
    </row>
    <row r="695" spans="1:9" x14ac:dyDescent="0.25">
      <c r="A695" s="230">
        <v>112238</v>
      </c>
      <c r="B695" s="162" t="s">
        <v>44</v>
      </c>
      <c r="C695" s="162" t="s">
        <v>2</v>
      </c>
      <c r="D695" s="162" t="s">
        <v>10</v>
      </c>
      <c r="E695" s="231">
        <v>43617</v>
      </c>
      <c r="F695" s="117">
        <v>1016.96</v>
      </c>
      <c r="G695" s="117">
        <f>SUMIF(CONFERÊNCIA!A:A,A695,CONFERÊNCIA!J:J)</f>
        <v>1016.96</v>
      </c>
      <c r="H695" s="119">
        <f t="shared" si="66"/>
        <v>0</v>
      </c>
      <c r="I695" s="240" t="s">
        <v>1229</v>
      </c>
    </row>
    <row r="696" spans="1:9" x14ac:dyDescent="0.25">
      <c r="A696" s="230">
        <v>112924</v>
      </c>
      <c r="B696" s="162" t="s">
        <v>499</v>
      </c>
      <c r="C696" s="162" t="s">
        <v>2</v>
      </c>
      <c r="D696" s="162" t="s">
        <v>8</v>
      </c>
      <c r="E696" s="231">
        <v>43617</v>
      </c>
      <c r="F696" s="117">
        <v>1016.96</v>
      </c>
      <c r="G696" s="117">
        <f>SUMIF(CONFERÊNCIA!A:A,A696,CONFERÊNCIA!J:J)</f>
        <v>1016.96</v>
      </c>
      <c r="H696" s="119">
        <f t="shared" si="66"/>
        <v>0</v>
      </c>
      <c r="I696" s="240" t="s">
        <v>1229</v>
      </c>
    </row>
    <row r="697" spans="1:9" x14ac:dyDescent="0.25">
      <c r="A697" s="230">
        <v>122251</v>
      </c>
      <c r="B697" s="162" t="s">
        <v>1653</v>
      </c>
      <c r="C697" s="162" t="s">
        <v>5</v>
      </c>
      <c r="D697" s="162" t="s">
        <v>8</v>
      </c>
      <c r="E697" s="231">
        <v>45089</v>
      </c>
      <c r="F697" s="117">
        <v>1016.96</v>
      </c>
      <c r="G697" s="117">
        <f>SUMIF(CONFERÊNCIA!A:A,A697,CONFERÊNCIA!J:J)</f>
        <v>1016.96</v>
      </c>
      <c r="H697" s="119">
        <f t="shared" si="66"/>
        <v>0</v>
      </c>
      <c r="I697" s="240" t="s">
        <v>1229</v>
      </c>
    </row>
    <row r="698" spans="1:9" x14ac:dyDescent="0.25">
      <c r="A698" s="230">
        <v>113363</v>
      </c>
      <c r="B698" s="162" t="s">
        <v>729</v>
      </c>
      <c r="C698" s="162" t="s">
        <v>2</v>
      </c>
      <c r="D698" s="162" t="s">
        <v>0</v>
      </c>
      <c r="E698" s="231">
        <v>43617</v>
      </c>
      <c r="F698" s="117">
        <v>1016.96</v>
      </c>
      <c r="G698" s="117">
        <f>SUMIF(CONFERÊNCIA!A:A,A698,CONFERÊNCIA!J:J)</f>
        <v>1016.96</v>
      </c>
      <c r="H698" s="119">
        <f t="shared" si="66"/>
        <v>0</v>
      </c>
      <c r="I698" s="240" t="s">
        <v>1229</v>
      </c>
    </row>
    <row r="699" spans="1:9" x14ac:dyDescent="0.25">
      <c r="A699" s="230">
        <v>112245</v>
      </c>
      <c r="B699" s="162" t="s">
        <v>60</v>
      </c>
      <c r="C699" s="162" t="s">
        <v>2</v>
      </c>
      <c r="D699" s="162" t="s">
        <v>10</v>
      </c>
      <c r="E699" s="231">
        <v>43617</v>
      </c>
      <c r="F699" s="117">
        <v>1016.96</v>
      </c>
      <c r="G699" s="117">
        <f>SUMIF(CONFERÊNCIA!A:A,A699,CONFERÊNCIA!J:J)</f>
        <v>1016.96</v>
      </c>
      <c r="H699" s="119">
        <f t="shared" si="66"/>
        <v>0</v>
      </c>
      <c r="I699" s="240" t="s">
        <v>1229</v>
      </c>
    </row>
    <row r="700" spans="1:9" x14ac:dyDescent="0.25">
      <c r="A700" s="230">
        <v>116654</v>
      </c>
      <c r="B700" s="162" t="s">
        <v>956</v>
      </c>
      <c r="C700" s="162" t="s">
        <v>957</v>
      </c>
      <c r="D700" s="162" t="s">
        <v>1246</v>
      </c>
      <c r="E700" s="231">
        <v>44370</v>
      </c>
      <c r="F700" s="117">
        <v>1016.96</v>
      </c>
      <c r="G700" s="117">
        <f>SUMIF(CONFERÊNCIA!A:A,A700,CONFERÊNCIA!J:J)</f>
        <v>1016.96</v>
      </c>
      <c r="H700" s="119">
        <f t="shared" si="66"/>
        <v>0</v>
      </c>
      <c r="I700" s="240" t="s">
        <v>1229</v>
      </c>
    </row>
    <row r="701" spans="1:9" x14ac:dyDescent="0.25">
      <c r="A701" s="230">
        <v>112349</v>
      </c>
      <c r="B701" s="162" t="s">
        <v>125</v>
      </c>
      <c r="C701" s="162" t="s">
        <v>5</v>
      </c>
      <c r="D701" s="162" t="s">
        <v>8</v>
      </c>
      <c r="E701" s="231">
        <v>43617</v>
      </c>
      <c r="F701" s="117">
        <v>1016.96</v>
      </c>
      <c r="G701" s="117">
        <f>SUMIF(CONFERÊNCIA!A:A,A701,CONFERÊNCIA!J:J)</f>
        <v>1016.96</v>
      </c>
      <c r="H701" s="119">
        <f t="shared" si="66"/>
        <v>0</v>
      </c>
      <c r="I701" s="240" t="s">
        <v>1229</v>
      </c>
    </row>
    <row r="702" spans="1:9" x14ac:dyDescent="0.25">
      <c r="A702" s="230">
        <v>112926</v>
      </c>
      <c r="B702" s="162" t="s">
        <v>500</v>
      </c>
      <c r="C702" s="162" t="s">
        <v>2</v>
      </c>
      <c r="D702" s="162" t="s">
        <v>8</v>
      </c>
      <c r="E702" s="231">
        <v>43617</v>
      </c>
      <c r="F702" s="117">
        <v>1016.96</v>
      </c>
      <c r="G702" s="117">
        <f>SUMIF(CONFERÊNCIA!A:A,A702,CONFERÊNCIA!J:J)</f>
        <v>1016.96</v>
      </c>
      <c r="H702" s="119">
        <f t="shared" si="66"/>
        <v>0</v>
      </c>
      <c r="I702" s="240" t="s">
        <v>1229</v>
      </c>
    </row>
    <row r="703" spans="1:9" x14ac:dyDescent="0.25">
      <c r="A703" s="230">
        <v>122252</v>
      </c>
      <c r="B703" s="162" t="s">
        <v>1654</v>
      </c>
      <c r="C703" s="162" t="s">
        <v>5</v>
      </c>
      <c r="D703" s="162" t="s">
        <v>1578</v>
      </c>
      <c r="E703" s="231">
        <v>45089</v>
      </c>
      <c r="F703" s="117">
        <v>1016.96</v>
      </c>
      <c r="G703" s="117">
        <f>SUMIF(CONFERÊNCIA!A:A,A703,CONFERÊNCIA!J:J)</f>
        <v>1016.96</v>
      </c>
      <c r="H703" s="119">
        <f t="shared" si="66"/>
        <v>0</v>
      </c>
      <c r="I703" s="240" t="s">
        <v>1229</v>
      </c>
    </row>
    <row r="704" spans="1:9" x14ac:dyDescent="0.25">
      <c r="A704" s="230">
        <v>112248</v>
      </c>
      <c r="B704" s="162" t="s">
        <v>61</v>
      </c>
      <c r="C704" s="162" t="s">
        <v>2</v>
      </c>
      <c r="D704" s="162" t="s">
        <v>10</v>
      </c>
      <c r="E704" s="231">
        <v>43617</v>
      </c>
      <c r="F704" s="117">
        <v>1016.96</v>
      </c>
      <c r="G704" s="117">
        <f>SUMIF(CONFERÊNCIA!A:A,A704,CONFERÊNCIA!J:J)</f>
        <v>1016.96</v>
      </c>
      <c r="H704" s="119">
        <f t="shared" si="66"/>
        <v>0</v>
      </c>
      <c r="I704" s="240" t="s">
        <v>1229</v>
      </c>
    </row>
    <row r="705" spans="1:9" x14ac:dyDescent="0.25">
      <c r="A705" s="230">
        <v>113056</v>
      </c>
      <c r="B705" s="162" t="s">
        <v>562</v>
      </c>
      <c r="C705" s="162" t="s">
        <v>2</v>
      </c>
      <c r="D705" s="162" t="s">
        <v>19</v>
      </c>
      <c r="E705" s="231">
        <v>43617</v>
      </c>
      <c r="F705" s="117">
        <v>1016.96</v>
      </c>
      <c r="G705" s="117">
        <f>SUMIF(CONFERÊNCIA!A:A,A705,CONFERÊNCIA!J:J)</f>
        <v>1016.96</v>
      </c>
      <c r="H705" s="119">
        <f t="shared" si="66"/>
        <v>0</v>
      </c>
      <c r="I705" s="240" t="s">
        <v>1229</v>
      </c>
    </row>
    <row r="706" spans="1:9" x14ac:dyDescent="0.25">
      <c r="A706" s="230">
        <v>112973</v>
      </c>
      <c r="B706" s="162" t="s">
        <v>525</v>
      </c>
      <c r="C706" s="162" t="s">
        <v>5</v>
      </c>
      <c r="D706" s="162" t="s">
        <v>19</v>
      </c>
      <c r="E706" s="231">
        <v>43617</v>
      </c>
      <c r="F706" s="117">
        <v>1016.96</v>
      </c>
      <c r="G706" s="117">
        <f>SUMIF(CONFERÊNCIA!A:A,A706,CONFERÊNCIA!J:J)</f>
        <v>1016.96</v>
      </c>
      <c r="H706" s="119">
        <f t="shared" si="66"/>
        <v>0</v>
      </c>
      <c r="I706" s="240" t="s">
        <v>1229</v>
      </c>
    </row>
    <row r="707" spans="1:9" x14ac:dyDescent="0.25">
      <c r="A707" s="230">
        <v>117239</v>
      </c>
      <c r="B707" s="162" t="s">
        <v>1255</v>
      </c>
      <c r="C707" s="162" t="s">
        <v>5</v>
      </c>
      <c r="D707" s="162" t="s">
        <v>8</v>
      </c>
      <c r="E707" s="231">
        <v>44487</v>
      </c>
      <c r="F707" s="117">
        <v>1016.96</v>
      </c>
      <c r="G707" s="117">
        <f>SUMIF(CONFERÊNCIA!A:A,A707,CONFERÊNCIA!J:J)</f>
        <v>1016.96</v>
      </c>
      <c r="H707" s="119">
        <f t="shared" si="66"/>
        <v>0</v>
      </c>
      <c r="I707" s="240" t="s">
        <v>1229</v>
      </c>
    </row>
    <row r="708" spans="1:9" x14ac:dyDescent="0.25">
      <c r="A708" s="230">
        <v>112459</v>
      </c>
      <c r="B708" s="162" t="s">
        <v>195</v>
      </c>
      <c r="C708" s="162" t="s">
        <v>769</v>
      </c>
      <c r="D708" s="162" t="s">
        <v>1578</v>
      </c>
      <c r="E708" s="231">
        <v>43617</v>
      </c>
      <c r="F708" s="117">
        <v>1016.96</v>
      </c>
      <c r="G708" s="117">
        <f>SUMIF(CONFERÊNCIA!A:A,A708,CONFERÊNCIA!J:J)</f>
        <v>1016.96</v>
      </c>
      <c r="H708" s="119">
        <f t="shared" si="66"/>
        <v>0</v>
      </c>
      <c r="I708" s="240" t="s">
        <v>1229</v>
      </c>
    </row>
    <row r="709" spans="1:9" x14ac:dyDescent="0.25">
      <c r="A709" s="230">
        <v>113377</v>
      </c>
      <c r="B709" s="162" t="s">
        <v>739</v>
      </c>
      <c r="C709" s="162" t="s">
        <v>2</v>
      </c>
      <c r="D709" s="162" t="s">
        <v>0</v>
      </c>
      <c r="E709" s="231">
        <v>43617</v>
      </c>
      <c r="F709" s="117">
        <v>1016.96</v>
      </c>
      <c r="G709" s="117">
        <f>SUMIF(CONFERÊNCIA!A:A,A709,CONFERÊNCIA!J:J)</f>
        <v>1016.96</v>
      </c>
      <c r="H709" s="119">
        <f t="shared" si="66"/>
        <v>0</v>
      </c>
      <c r="I709" s="240" t="s">
        <v>1229</v>
      </c>
    </row>
    <row r="710" spans="1:9" x14ac:dyDescent="0.25">
      <c r="A710" s="230">
        <v>112307</v>
      </c>
      <c r="B710" s="162" t="s">
        <v>101</v>
      </c>
      <c r="C710" s="162" t="s">
        <v>2</v>
      </c>
      <c r="D710" s="162" t="s">
        <v>19</v>
      </c>
      <c r="E710" s="231">
        <v>43617</v>
      </c>
      <c r="F710" s="117">
        <v>1016.96</v>
      </c>
      <c r="G710" s="117">
        <f>SUMIF(CONFERÊNCIA!A:A,A710,CONFERÊNCIA!J:J)</f>
        <v>1016.96</v>
      </c>
      <c r="H710" s="119">
        <f t="shared" si="66"/>
        <v>0</v>
      </c>
      <c r="I710" s="240" t="s">
        <v>1229</v>
      </c>
    </row>
    <row r="711" spans="1:9" x14ac:dyDescent="0.25">
      <c r="A711" s="230">
        <v>112927</v>
      </c>
      <c r="B711" s="162" t="s">
        <v>501</v>
      </c>
      <c r="C711" s="162" t="s">
        <v>2</v>
      </c>
      <c r="D711" s="162" t="s">
        <v>8</v>
      </c>
      <c r="E711" s="231">
        <v>43617</v>
      </c>
      <c r="F711" s="117">
        <v>1016.96</v>
      </c>
      <c r="G711" s="117">
        <f>SUMIF(CONFERÊNCIA!A:A,A711,CONFERÊNCIA!J:J)</f>
        <v>1016.96</v>
      </c>
      <c r="H711" s="119">
        <f t="shared" si="66"/>
        <v>0</v>
      </c>
      <c r="I711" s="240" t="s">
        <v>1229</v>
      </c>
    </row>
    <row r="712" spans="1:9" x14ac:dyDescent="0.25">
      <c r="A712" s="230">
        <v>112959</v>
      </c>
      <c r="B712" s="162" t="s">
        <v>520</v>
      </c>
      <c r="C712" s="162" t="s">
        <v>5</v>
      </c>
      <c r="D712" s="162" t="s">
        <v>19</v>
      </c>
      <c r="E712" s="231">
        <v>43617</v>
      </c>
      <c r="F712" s="117">
        <v>1016.96</v>
      </c>
      <c r="G712" s="117">
        <f>SUMIF(CONFERÊNCIA!A:A,A712,CONFERÊNCIA!J:J)</f>
        <v>1016.96</v>
      </c>
      <c r="H712" s="119">
        <f t="shared" si="66"/>
        <v>0</v>
      </c>
      <c r="I712" s="240" t="s">
        <v>1229</v>
      </c>
    </row>
    <row r="713" spans="1:9" x14ac:dyDescent="0.25">
      <c r="A713" s="230">
        <v>112928</v>
      </c>
      <c r="B713" s="162" t="s">
        <v>502</v>
      </c>
      <c r="C713" s="162" t="s">
        <v>2</v>
      </c>
      <c r="D713" s="162" t="s">
        <v>8</v>
      </c>
      <c r="E713" s="231">
        <v>43617</v>
      </c>
      <c r="F713" s="117">
        <v>1016.96</v>
      </c>
      <c r="G713" s="117">
        <f>SUMIF(CONFERÊNCIA!A:A,A713,CONFERÊNCIA!J:J)</f>
        <v>1016.96</v>
      </c>
      <c r="H713" s="119">
        <f t="shared" ref="H713:H736" si="67">G713-F713</f>
        <v>0</v>
      </c>
      <c r="I713" s="240" t="s">
        <v>1229</v>
      </c>
    </row>
    <row r="714" spans="1:9" x14ac:dyDescent="0.25">
      <c r="A714" s="230">
        <v>114922</v>
      </c>
      <c r="B714" s="162" t="s">
        <v>1108</v>
      </c>
      <c r="C714" s="162" t="s">
        <v>22</v>
      </c>
      <c r="D714" s="162" t="s">
        <v>1578</v>
      </c>
      <c r="E714" s="231">
        <v>43916</v>
      </c>
      <c r="F714" s="117">
        <v>1016.96</v>
      </c>
      <c r="G714" s="117">
        <f>SUMIF(CONFERÊNCIA!A:A,A714,CONFERÊNCIA!J:J)</f>
        <v>1016.96</v>
      </c>
      <c r="H714" s="119">
        <f t="shared" si="67"/>
        <v>0</v>
      </c>
      <c r="I714" s="240" t="s">
        <v>1229</v>
      </c>
    </row>
    <row r="715" spans="1:9" x14ac:dyDescent="0.25">
      <c r="A715" s="230">
        <v>112212</v>
      </c>
      <c r="B715" s="162" t="s">
        <v>37</v>
      </c>
      <c r="C715" s="162" t="s">
        <v>5</v>
      </c>
      <c r="D715" s="162" t="s">
        <v>10</v>
      </c>
      <c r="E715" s="231">
        <v>43617</v>
      </c>
      <c r="F715" s="117">
        <v>1016.96</v>
      </c>
      <c r="G715" s="117">
        <f>SUMIF(CONFERÊNCIA!A:A,A715,CONFERÊNCIA!J:J)</f>
        <v>1016.96</v>
      </c>
      <c r="H715" s="119">
        <f t="shared" si="67"/>
        <v>0</v>
      </c>
      <c r="I715" s="240" t="s">
        <v>1229</v>
      </c>
    </row>
    <row r="716" spans="1:9" x14ac:dyDescent="0.25">
      <c r="A716" s="230">
        <v>118058</v>
      </c>
      <c r="B716" s="162" t="s">
        <v>1401</v>
      </c>
      <c r="C716" s="162" t="s">
        <v>5</v>
      </c>
      <c r="D716" s="162" t="s">
        <v>0</v>
      </c>
      <c r="E716" s="231">
        <v>44567</v>
      </c>
      <c r="F716" s="117">
        <v>1016.96</v>
      </c>
      <c r="G716" s="117">
        <f>SUMIF(CONFERÊNCIA!A:A,A716,CONFERÊNCIA!J:J)</f>
        <v>1016.96</v>
      </c>
      <c r="H716" s="119">
        <f t="shared" si="67"/>
        <v>0</v>
      </c>
      <c r="I716" s="240" t="s">
        <v>1230</v>
      </c>
    </row>
    <row r="717" spans="1:9" x14ac:dyDescent="0.25">
      <c r="A717" s="230">
        <v>113082</v>
      </c>
      <c r="B717" s="162" t="s">
        <v>577</v>
      </c>
      <c r="C717" s="162" t="s">
        <v>2</v>
      </c>
      <c r="D717" s="162" t="s">
        <v>0</v>
      </c>
      <c r="E717" s="231">
        <v>43617</v>
      </c>
      <c r="F717" s="117">
        <v>359.46</v>
      </c>
      <c r="G717" s="117">
        <f>SUMIF(CONFERÊNCIA!A:A,A717,CONFERÊNCIA!J:J)</f>
        <v>359.46</v>
      </c>
      <c r="H717" s="119">
        <f t="shared" si="67"/>
        <v>0</v>
      </c>
      <c r="I717" s="240" t="s">
        <v>1279</v>
      </c>
    </row>
    <row r="718" spans="1:9" x14ac:dyDescent="0.25">
      <c r="A718" s="230">
        <v>112465</v>
      </c>
      <c r="B718" s="162" t="s">
        <v>197</v>
      </c>
      <c r="C718" s="162" t="s">
        <v>2</v>
      </c>
      <c r="D718" s="162" t="s">
        <v>8</v>
      </c>
      <c r="E718" s="231">
        <v>43617</v>
      </c>
      <c r="F718" s="117">
        <v>1016.96</v>
      </c>
      <c r="G718" s="117">
        <f>SUMIF(CONFERÊNCIA!A:A,A718,CONFERÊNCIA!J:J)</f>
        <v>1016.96</v>
      </c>
      <c r="H718" s="119">
        <f t="shared" si="67"/>
        <v>0</v>
      </c>
      <c r="I718" s="240" t="s">
        <v>1229</v>
      </c>
    </row>
    <row r="719" spans="1:9" x14ac:dyDescent="0.25">
      <c r="A719" s="230">
        <v>113729</v>
      </c>
      <c r="B719" s="162" t="s">
        <v>944</v>
      </c>
      <c r="C719" s="162" t="s">
        <v>698</v>
      </c>
      <c r="D719" s="162" t="s">
        <v>1578</v>
      </c>
      <c r="E719" s="231">
        <v>43619</v>
      </c>
      <c r="F719" s="117">
        <v>1016.96</v>
      </c>
      <c r="G719" s="117">
        <f>SUMIF(CONFERÊNCIA!A:A,A719,CONFERÊNCIA!J:J)</f>
        <v>1016.96</v>
      </c>
      <c r="H719" s="119">
        <f t="shared" si="67"/>
        <v>0</v>
      </c>
      <c r="I719" s="240" t="s">
        <v>1229</v>
      </c>
    </row>
    <row r="720" spans="1:9" x14ac:dyDescent="0.25">
      <c r="A720" s="230">
        <v>113645</v>
      </c>
      <c r="B720" s="162" t="s">
        <v>891</v>
      </c>
      <c r="C720" s="162" t="s">
        <v>15</v>
      </c>
      <c r="D720" s="162" t="s">
        <v>1578</v>
      </c>
      <c r="E720" s="231">
        <v>43617</v>
      </c>
      <c r="F720" s="117">
        <v>1016.96</v>
      </c>
      <c r="G720" s="117">
        <f>SUMIF(CONFERÊNCIA!A:A,A720,CONFERÊNCIA!J:J)</f>
        <v>1016.96</v>
      </c>
      <c r="H720" s="119">
        <f t="shared" si="67"/>
        <v>0</v>
      </c>
      <c r="I720" s="240" t="s">
        <v>1229</v>
      </c>
    </row>
    <row r="721" spans="1:9" x14ac:dyDescent="0.25">
      <c r="A721" s="230">
        <v>122826</v>
      </c>
      <c r="B721" s="162" t="s">
        <v>1722</v>
      </c>
      <c r="C721" s="162" t="s">
        <v>5</v>
      </c>
      <c r="D721" s="162" t="s">
        <v>32</v>
      </c>
      <c r="E721" s="231">
        <v>45180</v>
      </c>
      <c r="F721" s="117">
        <v>0</v>
      </c>
      <c r="G721" s="117">
        <f>SUMIF(CONFERÊNCIA!A:A,A721,CONFERÊNCIA!J:J)</f>
        <v>1016.96</v>
      </c>
      <c r="H721" s="119">
        <f t="shared" si="67"/>
        <v>1016.96</v>
      </c>
      <c r="I721" s="240" t="s">
        <v>1231</v>
      </c>
    </row>
    <row r="722" spans="1:9" x14ac:dyDescent="0.25">
      <c r="A722" s="230">
        <v>113649</v>
      </c>
      <c r="B722" s="162" t="s">
        <v>894</v>
      </c>
      <c r="C722" s="162" t="s">
        <v>412</v>
      </c>
      <c r="D722" s="162" t="s">
        <v>1578</v>
      </c>
      <c r="E722" s="231">
        <v>43617</v>
      </c>
      <c r="F722" s="117">
        <v>1016.96</v>
      </c>
      <c r="G722" s="117">
        <f>SUMIF(CONFERÊNCIA!A:A,A722,CONFERÊNCIA!J:J)</f>
        <v>1016.96</v>
      </c>
      <c r="H722" s="119">
        <f t="shared" si="67"/>
        <v>0</v>
      </c>
      <c r="I722" s="240" t="s">
        <v>1230</v>
      </c>
    </row>
    <row r="723" spans="1:9" x14ac:dyDescent="0.25">
      <c r="A723" s="230">
        <v>119920</v>
      </c>
      <c r="B723" s="162" t="s">
        <v>1477</v>
      </c>
      <c r="C723" s="162" t="s">
        <v>15</v>
      </c>
      <c r="D723" s="162" t="s">
        <v>1578</v>
      </c>
      <c r="E723" s="231">
        <v>44760</v>
      </c>
      <c r="F723" s="117">
        <v>1016.96</v>
      </c>
      <c r="G723" s="117">
        <f>SUMIF(CONFERÊNCIA!A:A,A723,CONFERÊNCIA!J:J)</f>
        <v>1016.96</v>
      </c>
      <c r="H723" s="119">
        <f t="shared" si="67"/>
        <v>0</v>
      </c>
      <c r="I723" s="240" t="s">
        <v>1229</v>
      </c>
    </row>
    <row r="724" spans="1:9" x14ac:dyDescent="0.25">
      <c r="A724" s="230">
        <v>113125</v>
      </c>
      <c r="B724" s="162" t="s">
        <v>599</v>
      </c>
      <c r="C724" s="162" t="s">
        <v>22</v>
      </c>
      <c r="D724" s="162" t="s">
        <v>1578</v>
      </c>
      <c r="E724" s="231">
        <v>43617</v>
      </c>
      <c r="F724" s="117">
        <v>1016.96</v>
      </c>
      <c r="G724" s="117">
        <f>SUMIF(CONFERÊNCIA!A:A,A724,CONFERÊNCIA!J:J)</f>
        <v>1016.96</v>
      </c>
      <c r="H724" s="119">
        <f t="shared" si="67"/>
        <v>0</v>
      </c>
      <c r="I724" s="240" t="s">
        <v>1229</v>
      </c>
    </row>
    <row r="725" spans="1:9" x14ac:dyDescent="0.25">
      <c r="A725" s="230">
        <v>113339</v>
      </c>
      <c r="B725" s="162" t="s">
        <v>715</v>
      </c>
      <c r="C725" s="162" t="s">
        <v>384</v>
      </c>
      <c r="D725" s="162" t="s">
        <v>1578</v>
      </c>
      <c r="E725" s="231">
        <v>43617</v>
      </c>
      <c r="F725" s="117">
        <v>1016.96</v>
      </c>
      <c r="G725" s="117">
        <f>SUMIF(CONFERÊNCIA!A:A,A725,CONFERÊNCIA!J:J)</f>
        <v>1016.96</v>
      </c>
      <c r="H725" s="119">
        <f t="shared" si="67"/>
        <v>0</v>
      </c>
      <c r="I725" s="240" t="s">
        <v>1229</v>
      </c>
    </row>
    <row r="726" spans="1:9" x14ac:dyDescent="0.25">
      <c r="A726" s="230">
        <v>112515</v>
      </c>
      <c r="B726" s="162" t="s">
        <v>232</v>
      </c>
      <c r="C726" s="162" t="s">
        <v>146</v>
      </c>
      <c r="D726" s="162" t="s">
        <v>8</v>
      </c>
      <c r="E726" s="231">
        <v>43617</v>
      </c>
      <c r="F726" s="117">
        <v>1016.96</v>
      </c>
      <c r="G726" s="117">
        <f>SUMIF(CONFERÊNCIA!A:A,A726,CONFERÊNCIA!J:J)</f>
        <v>1016.96</v>
      </c>
      <c r="H726" s="119">
        <f t="shared" si="67"/>
        <v>0</v>
      </c>
      <c r="I726" s="240" t="s">
        <v>1229</v>
      </c>
    </row>
    <row r="727" spans="1:9" x14ac:dyDescent="0.25">
      <c r="A727" s="230">
        <v>122561</v>
      </c>
      <c r="B727" s="162" t="s">
        <v>1688</v>
      </c>
      <c r="C727" s="162" t="s">
        <v>5</v>
      </c>
      <c r="D727" s="162" t="s">
        <v>32</v>
      </c>
      <c r="E727" s="231">
        <v>45131</v>
      </c>
      <c r="F727" s="117">
        <v>1016.96</v>
      </c>
      <c r="G727" s="117">
        <f>SUMIF(CONFERÊNCIA!A:A,A727,CONFERÊNCIA!J:J)</f>
        <v>1016.96</v>
      </c>
      <c r="H727" s="119">
        <f t="shared" si="67"/>
        <v>0</v>
      </c>
      <c r="I727" s="240" t="s">
        <v>1229</v>
      </c>
    </row>
    <row r="728" spans="1:9" x14ac:dyDescent="0.25">
      <c r="A728" s="230">
        <v>113435</v>
      </c>
      <c r="B728" s="162" t="s">
        <v>777</v>
      </c>
      <c r="C728" s="162" t="s">
        <v>2</v>
      </c>
      <c r="D728" s="162" t="s">
        <v>0</v>
      </c>
      <c r="E728" s="231">
        <v>43617</v>
      </c>
      <c r="F728" s="117">
        <v>1016.96</v>
      </c>
      <c r="G728" s="117">
        <f>SUMIF(CONFERÊNCIA!A:A,A728,CONFERÊNCIA!J:J)</f>
        <v>1016.96</v>
      </c>
      <c r="H728" s="119">
        <f t="shared" si="67"/>
        <v>0</v>
      </c>
      <c r="I728" s="240" t="s">
        <v>1229</v>
      </c>
    </row>
    <row r="729" spans="1:9" x14ac:dyDescent="0.25">
      <c r="A729" s="230">
        <v>115408</v>
      </c>
      <c r="B729" s="162" t="s">
        <v>1156</v>
      </c>
      <c r="C729" s="162" t="s">
        <v>5</v>
      </c>
      <c r="D729" s="162" t="s">
        <v>8</v>
      </c>
      <c r="E729" s="231">
        <v>44048</v>
      </c>
      <c r="F729" s="117">
        <v>1016.96</v>
      </c>
      <c r="G729" s="117">
        <f>SUMIF(CONFERÊNCIA!A:A,A729,CONFERÊNCIA!J:J)</f>
        <v>1016.96</v>
      </c>
      <c r="H729" s="119">
        <f t="shared" si="67"/>
        <v>0</v>
      </c>
      <c r="I729" s="240" t="s">
        <v>1229</v>
      </c>
    </row>
    <row r="730" spans="1:9" x14ac:dyDescent="0.25">
      <c r="A730" s="230">
        <v>114744</v>
      </c>
      <c r="B730" s="162" t="s">
        <v>1086</v>
      </c>
      <c r="C730" s="162" t="s">
        <v>5</v>
      </c>
      <c r="D730" s="162" t="s">
        <v>0</v>
      </c>
      <c r="E730" s="231">
        <v>43874</v>
      </c>
      <c r="F730" s="117">
        <v>1016.96</v>
      </c>
      <c r="G730" s="117">
        <f>SUMIF(CONFERÊNCIA!A:A,A730,CONFERÊNCIA!J:J)</f>
        <v>1016.96</v>
      </c>
      <c r="H730" s="119">
        <f t="shared" si="67"/>
        <v>0</v>
      </c>
      <c r="I730" s="240" t="s">
        <v>1229</v>
      </c>
    </row>
    <row r="731" spans="1:9" x14ac:dyDescent="0.25">
      <c r="A731" s="230">
        <v>112315</v>
      </c>
      <c r="B731" s="162" t="s">
        <v>103</v>
      </c>
      <c r="C731" s="162" t="s">
        <v>2</v>
      </c>
      <c r="D731" s="162" t="s">
        <v>19</v>
      </c>
      <c r="E731" s="231">
        <v>43617</v>
      </c>
      <c r="F731" s="117">
        <v>1016.96</v>
      </c>
      <c r="G731" s="117">
        <f>SUMIF(CONFERÊNCIA!A:A,A731,CONFERÊNCIA!J:J)</f>
        <v>1016.96</v>
      </c>
      <c r="H731" s="119">
        <f t="shared" si="67"/>
        <v>0</v>
      </c>
      <c r="I731" s="240" t="s">
        <v>1229</v>
      </c>
    </row>
    <row r="732" spans="1:9" x14ac:dyDescent="0.25">
      <c r="A732" s="230">
        <v>114493</v>
      </c>
      <c r="B732" s="162" t="s">
        <v>1039</v>
      </c>
      <c r="C732" s="162" t="s">
        <v>2</v>
      </c>
      <c r="D732" s="162" t="s">
        <v>0</v>
      </c>
      <c r="E732" s="231">
        <v>43811</v>
      </c>
      <c r="F732" s="117">
        <v>902.11</v>
      </c>
      <c r="G732" s="117">
        <f>SUMIF(CONFERÊNCIA!A:A,A732,CONFERÊNCIA!J:J)</f>
        <v>978.67000000000007</v>
      </c>
      <c r="H732" s="119">
        <f t="shared" si="67"/>
        <v>76.560000000000059</v>
      </c>
      <c r="I732" s="240" t="s">
        <v>1229</v>
      </c>
    </row>
    <row r="733" spans="1:9" x14ac:dyDescent="0.25">
      <c r="A733" s="230">
        <v>122080</v>
      </c>
      <c r="B733" s="162" t="s">
        <v>1629</v>
      </c>
      <c r="C733" s="162" t="s">
        <v>5</v>
      </c>
      <c r="D733" s="162" t="s">
        <v>8</v>
      </c>
      <c r="E733" s="231">
        <v>45061</v>
      </c>
      <c r="F733" s="117">
        <v>1016.96</v>
      </c>
      <c r="G733" s="117">
        <f>SUMIF(CONFERÊNCIA!A:A,A733,CONFERÊNCIA!J:J)</f>
        <v>1016.96</v>
      </c>
      <c r="H733" s="119">
        <f t="shared" si="67"/>
        <v>0</v>
      </c>
      <c r="I733" s="240" t="s">
        <v>1229</v>
      </c>
    </row>
    <row r="734" spans="1:9" x14ac:dyDescent="0.25">
      <c r="A734" s="230">
        <v>113381</v>
      </c>
      <c r="B734" s="162" t="s">
        <v>741</v>
      </c>
      <c r="C734" s="162" t="s">
        <v>2</v>
      </c>
      <c r="D734" s="162" t="s">
        <v>0</v>
      </c>
      <c r="E734" s="231">
        <v>43617</v>
      </c>
      <c r="F734" s="117">
        <v>1016.96</v>
      </c>
      <c r="G734" s="117">
        <f>SUMIF(CONFERÊNCIA!A:A,A734,CONFERÊNCIA!J:J)</f>
        <v>1016.96</v>
      </c>
      <c r="H734" s="119">
        <f t="shared" si="67"/>
        <v>0</v>
      </c>
      <c r="I734" s="240" t="s">
        <v>1229</v>
      </c>
    </row>
    <row r="735" spans="1:9" x14ac:dyDescent="0.25">
      <c r="A735" s="230">
        <v>112252</v>
      </c>
      <c r="B735" s="162" t="s">
        <v>63</v>
      </c>
      <c r="C735" s="162" t="s">
        <v>2</v>
      </c>
      <c r="D735" s="162" t="s">
        <v>10</v>
      </c>
      <c r="E735" s="231">
        <v>43617</v>
      </c>
      <c r="F735" s="117">
        <v>1016.96</v>
      </c>
      <c r="G735" s="117">
        <f>SUMIF(CONFERÊNCIA!A:A,A735,CONFERÊNCIA!J:J)</f>
        <v>1016.96</v>
      </c>
      <c r="H735" s="119">
        <f t="shared" si="67"/>
        <v>0</v>
      </c>
      <c r="I735" s="240" t="s">
        <v>1229</v>
      </c>
    </row>
    <row r="736" spans="1:9" x14ac:dyDescent="0.25">
      <c r="A736" s="230">
        <v>113036</v>
      </c>
      <c r="B736" s="162" t="s">
        <v>554</v>
      </c>
      <c r="C736" s="162" t="s">
        <v>2</v>
      </c>
      <c r="D736" s="162" t="s">
        <v>19</v>
      </c>
      <c r="E736" s="231">
        <v>43617</v>
      </c>
      <c r="F736" s="117">
        <v>1016.96</v>
      </c>
      <c r="G736" s="117">
        <f>SUMIF(CONFERÊNCIA!A:A,A736,CONFERÊNCIA!J:J)</f>
        <v>1016.96</v>
      </c>
      <c r="H736" s="119">
        <f t="shared" si="67"/>
        <v>0</v>
      </c>
      <c r="I736" s="240" t="s">
        <v>1229</v>
      </c>
    </row>
    <row r="737" spans="1:9" x14ac:dyDescent="0.25">
      <c r="A737" s="230">
        <v>113358</v>
      </c>
      <c r="B737" s="162" t="s">
        <v>725</v>
      </c>
      <c r="C737" s="162" t="s">
        <v>2</v>
      </c>
      <c r="D737" s="162" t="s">
        <v>0</v>
      </c>
      <c r="E737" s="231">
        <v>43617</v>
      </c>
      <c r="F737" s="117">
        <v>1016.96</v>
      </c>
      <c r="G737" s="117">
        <f>SUMIF(CONFERÊNCIA!A:A,A737,CONFERÊNCIA!J:J)</f>
        <v>1016.96</v>
      </c>
      <c r="H737" s="119">
        <f t="shared" ref="H737:H771" si="68">G737-F737</f>
        <v>0</v>
      </c>
      <c r="I737" s="240" t="s">
        <v>1229</v>
      </c>
    </row>
    <row r="738" spans="1:9" x14ac:dyDescent="0.25">
      <c r="A738" s="230">
        <v>113437</v>
      </c>
      <c r="B738" s="162" t="s">
        <v>779</v>
      </c>
      <c r="C738" s="162" t="s">
        <v>2</v>
      </c>
      <c r="D738" s="162" t="s">
        <v>0</v>
      </c>
      <c r="E738" s="231">
        <v>43617</v>
      </c>
      <c r="F738" s="117">
        <v>1016.96</v>
      </c>
      <c r="G738" s="117">
        <f>SUMIF(CONFERÊNCIA!A:A,A738,CONFERÊNCIA!J:J)</f>
        <v>1016.96</v>
      </c>
      <c r="H738" s="119">
        <f t="shared" si="68"/>
        <v>0</v>
      </c>
      <c r="I738" s="240" t="s">
        <v>1229</v>
      </c>
    </row>
    <row r="739" spans="1:9" x14ac:dyDescent="0.25">
      <c r="A739" s="230">
        <v>113614</v>
      </c>
      <c r="B739" s="162" t="s">
        <v>779</v>
      </c>
      <c r="C739" s="162" t="s">
        <v>15</v>
      </c>
      <c r="D739" s="162" t="s">
        <v>1578</v>
      </c>
      <c r="E739" s="231">
        <v>43617</v>
      </c>
      <c r="F739" s="117">
        <v>1016.96</v>
      </c>
      <c r="G739" s="117">
        <f>SUMIF(CONFERÊNCIA!A:A,A739,CONFERÊNCIA!J:J)</f>
        <v>1016.96</v>
      </c>
      <c r="H739" s="119">
        <f t="shared" si="68"/>
        <v>0</v>
      </c>
      <c r="I739" s="240" t="s">
        <v>1229</v>
      </c>
    </row>
    <row r="740" spans="1:9" x14ac:dyDescent="0.25">
      <c r="A740" s="230">
        <v>113651</v>
      </c>
      <c r="B740" s="162" t="s">
        <v>779</v>
      </c>
      <c r="C740" s="162" t="s">
        <v>15</v>
      </c>
      <c r="D740" s="162" t="s">
        <v>1578</v>
      </c>
      <c r="E740" s="231">
        <v>43617</v>
      </c>
      <c r="F740" s="117">
        <v>1016.96</v>
      </c>
      <c r="G740" s="117">
        <f>SUMIF(CONFERÊNCIA!A:A,A740,CONFERÊNCIA!J:J)</f>
        <v>1016.96</v>
      </c>
      <c r="H740" s="119">
        <f t="shared" si="68"/>
        <v>0</v>
      </c>
      <c r="I740" s="240" t="s">
        <v>1229</v>
      </c>
    </row>
    <row r="741" spans="1:9" x14ac:dyDescent="0.25">
      <c r="A741" s="230">
        <v>113617</v>
      </c>
      <c r="B741" s="162" t="s">
        <v>874</v>
      </c>
      <c r="C741" s="162" t="s">
        <v>15</v>
      </c>
      <c r="D741" s="162" t="s">
        <v>1578</v>
      </c>
      <c r="E741" s="231">
        <v>43617</v>
      </c>
      <c r="F741" s="117">
        <v>1016.96</v>
      </c>
      <c r="G741" s="117">
        <f>SUMIF(CONFERÊNCIA!A:A,A741,CONFERÊNCIA!J:J)</f>
        <v>1016.96</v>
      </c>
      <c r="H741" s="119">
        <f t="shared" si="68"/>
        <v>0</v>
      </c>
      <c r="I741" s="240" t="s">
        <v>1229</v>
      </c>
    </row>
    <row r="742" spans="1:9" x14ac:dyDescent="0.25">
      <c r="A742" s="230">
        <v>113134</v>
      </c>
      <c r="B742" s="162" t="s">
        <v>602</v>
      </c>
      <c r="C742" s="162" t="s">
        <v>22</v>
      </c>
      <c r="D742" s="162" t="s">
        <v>1578</v>
      </c>
      <c r="E742" s="231">
        <v>43617</v>
      </c>
      <c r="F742" s="117">
        <v>1016.96</v>
      </c>
      <c r="G742" s="117">
        <f>SUMIF(CONFERÊNCIA!A:A,A742,CONFERÊNCIA!J:J)</f>
        <v>1016.96</v>
      </c>
      <c r="H742" s="119">
        <f t="shared" si="68"/>
        <v>0</v>
      </c>
      <c r="I742" s="240" t="s">
        <v>1229</v>
      </c>
    </row>
    <row r="743" spans="1:9" x14ac:dyDescent="0.25">
      <c r="A743" s="230">
        <v>112508</v>
      </c>
      <c r="B743" s="162" t="s">
        <v>226</v>
      </c>
      <c r="C743" s="162" t="s">
        <v>39</v>
      </c>
      <c r="D743" s="162" t="s">
        <v>8</v>
      </c>
      <c r="E743" s="231">
        <v>43617</v>
      </c>
      <c r="F743" s="117">
        <v>1016.96</v>
      </c>
      <c r="G743" s="117">
        <f>SUMIF(CONFERÊNCIA!A:A,A743,CONFERÊNCIA!J:J)</f>
        <v>1016.96</v>
      </c>
      <c r="H743" s="119">
        <f t="shared" si="68"/>
        <v>0</v>
      </c>
      <c r="I743" s="240" t="s">
        <v>1230</v>
      </c>
    </row>
    <row r="744" spans="1:9" x14ac:dyDescent="0.25">
      <c r="A744" s="230">
        <v>113335</v>
      </c>
      <c r="B744" s="162" t="s">
        <v>713</v>
      </c>
      <c r="C744" s="162" t="s">
        <v>146</v>
      </c>
      <c r="D744" s="162" t="s">
        <v>1578</v>
      </c>
      <c r="E744" s="231">
        <v>43617</v>
      </c>
      <c r="F744" s="117">
        <v>1016.96</v>
      </c>
      <c r="G744" s="117">
        <f>SUMIF(CONFERÊNCIA!A:A,A744,CONFERÊNCIA!J:J)</f>
        <v>1016.96</v>
      </c>
      <c r="H744" s="119">
        <f t="shared" si="68"/>
        <v>0</v>
      </c>
      <c r="I744" s="240" t="s">
        <v>1229</v>
      </c>
    </row>
    <row r="745" spans="1:9" x14ac:dyDescent="0.25">
      <c r="A745" s="230">
        <v>113618</v>
      </c>
      <c r="B745" s="162" t="s">
        <v>875</v>
      </c>
      <c r="C745" s="162" t="s">
        <v>406</v>
      </c>
      <c r="D745" s="162" t="s">
        <v>1578</v>
      </c>
      <c r="E745" s="231">
        <v>43617</v>
      </c>
      <c r="F745" s="117">
        <v>1016.96</v>
      </c>
      <c r="G745" s="117">
        <f>SUMIF(CONFERÊNCIA!A:A,A745,CONFERÊNCIA!J:J)</f>
        <v>1016.96</v>
      </c>
      <c r="H745" s="119">
        <f t="shared" si="68"/>
        <v>0</v>
      </c>
      <c r="I745" s="240" t="s">
        <v>1229</v>
      </c>
    </row>
    <row r="746" spans="1:9" x14ac:dyDescent="0.25">
      <c r="A746" s="230">
        <v>112935</v>
      </c>
      <c r="B746" s="162" t="s">
        <v>504</v>
      </c>
      <c r="C746" s="162" t="s">
        <v>2</v>
      </c>
      <c r="D746" s="162" t="s">
        <v>8</v>
      </c>
      <c r="E746" s="231">
        <v>43617</v>
      </c>
      <c r="F746" s="117">
        <v>1016.96</v>
      </c>
      <c r="G746" s="117">
        <f>SUMIF(CONFERÊNCIA!A:A,A746,CONFERÊNCIA!J:J)</f>
        <v>1016.96</v>
      </c>
      <c r="H746" s="119">
        <f t="shared" si="68"/>
        <v>0</v>
      </c>
      <c r="I746" s="240" t="s">
        <v>1229</v>
      </c>
    </row>
    <row r="747" spans="1:9" x14ac:dyDescent="0.25">
      <c r="A747" s="230">
        <v>112979</v>
      </c>
      <c r="B747" s="162" t="s">
        <v>529</v>
      </c>
      <c r="C747" s="162" t="s">
        <v>5</v>
      </c>
      <c r="D747" s="162" t="s">
        <v>19</v>
      </c>
      <c r="E747" s="231">
        <v>43617</v>
      </c>
      <c r="F747" s="117">
        <v>1016.96</v>
      </c>
      <c r="G747" s="117">
        <f>SUMIF(CONFERÊNCIA!A:A,A747,CONFERÊNCIA!J:J)</f>
        <v>1016.96</v>
      </c>
      <c r="H747" s="119">
        <f t="shared" si="68"/>
        <v>0</v>
      </c>
      <c r="I747" s="240" t="s">
        <v>1229</v>
      </c>
    </row>
    <row r="748" spans="1:9" x14ac:dyDescent="0.25">
      <c r="A748" s="230">
        <v>112255</v>
      </c>
      <c r="B748" s="162" t="s">
        <v>66</v>
      </c>
      <c r="C748" s="162" t="s">
        <v>2</v>
      </c>
      <c r="D748" s="162" t="s">
        <v>10</v>
      </c>
      <c r="E748" s="231">
        <v>43617</v>
      </c>
      <c r="F748" s="117">
        <v>1016.96</v>
      </c>
      <c r="G748" s="117">
        <f>SUMIF(CONFERÊNCIA!A:A,A748,CONFERÊNCIA!J:J)</f>
        <v>1016.96</v>
      </c>
      <c r="H748" s="119">
        <f t="shared" si="68"/>
        <v>0</v>
      </c>
      <c r="I748" s="240" t="s">
        <v>1229</v>
      </c>
    </row>
    <row r="749" spans="1:9" x14ac:dyDescent="0.25">
      <c r="A749" s="230">
        <v>119111</v>
      </c>
      <c r="B749" s="162" t="s">
        <v>1434</v>
      </c>
      <c r="C749" s="162" t="s">
        <v>146</v>
      </c>
      <c r="D749" s="162" t="s">
        <v>1578</v>
      </c>
      <c r="E749" s="231">
        <v>44630</v>
      </c>
      <c r="F749" s="117">
        <v>1016.96</v>
      </c>
      <c r="G749" s="117">
        <f>SUMIF(CONFERÊNCIA!A:A,A749,CONFERÊNCIA!J:J)</f>
        <v>1016.96</v>
      </c>
      <c r="H749" s="119">
        <f t="shared" si="68"/>
        <v>0</v>
      </c>
      <c r="I749" s="240" t="s">
        <v>1229</v>
      </c>
    </row>
    <row r="750" spans="1:9" x14ac:dyDescent="0.25">
      <c r="A750" s="230">
        <v>112259</v>
      </c>
      <c r="B750" s="162" t="s">
        <v>70</v>
      </c>
      <c r="C750" s="162" t="s">
        <v>2</v>
      </c>
      <c r="D750" s="162" t="s">
        <v>8</v>
      </c>
      <c r="E750" s="231">
        <v>43617</v>
      </c>
      <c r="F750" s="117">
        <v>1016.96</v>
      </c>
      <c r="G750" s="117">
        <f>SUMIF(CONFERÊNCIA!A:A,A750,CONFERÊNCIA!J:J)</f>
        <v>1016.96</v>
      </c>
      <c r="H750" s="119">
        <f t="shared" si="68"/>
        <v>0</v>
      </c>
      <c r="I750" s="240" t="s">
        <v>1229</v>
      </c>
    </row>
    <row r="751" spans="1:9" x14ac:dyDescent="0.25">
      <c r="A751" s="230">
        <v>112989</v>
      </c>
      <c r="B751" s="162" t="s">
        <v>532</v>
      </c>
      <c r="C751" s="162" t="s">
        <v>39</v>
      </c>
      <c r="D751" s="162" t="s">
        <v>19</v>
      </c>
      <c r="E751" s="231">
        <v>43617</v>
      </c>
      <c r="F751" s="117">
        <v>1016.96</v>
      </c>
      <c r="G751" s="117">
        <f>SUMIF(CONFERÊNCIA!A:A,A751,CONFERÊNCIA!J:J)</f>
        <v>1016.96</v>
      </c>
      <c r="H751" s="119">
        <f t="shared" si="68"/>
        <v>0</v>
      </c>
      <c r="I751" s="240" t="s">
        <v>1229</v>
      </c>
    </row>
    <row r="752" spans="1:9" x14ac:dyDescent="0.25">
      <c r="A752" s="230">
        <v>112937</v>
      </c>
      <c r="B752" s="162" t="s">
        <v>506</v>
      </c>
      <c r="C752" s="162" t="s">
        <v>2</v>
      </c>
      <c r="D752" s="162" t="s">
        <v>8</v>
      </c>
      <c r="E752" s="231">
        <v>43617</v>
      </c>
      <c r="F752" s="117">
        <v>1016.96</v>
      </c>
      <c r="G752" s="117">
        <f>SUMIF(CONFERÊNCIA!A:A,A752,CONFERÊNCIA!J:J)</f>
        <v>1016.96</v>
      </c>
      <c r="H752" s="119">
        <f t="shared" si="68"/>
        <v>0</v>
      </c>
      <c r="I752" s="240" t="s">
        <v>1229</v>
      </c>
    </row>
    <row r="753" spans="1:9" x14ac:dyDescent="0.25">
      <c r="A753" s="230">
        <v>119112</v>
      </c>
      <c r="B753" s="162" t="s">
        <v>1435</v>
      </c>
      <c r="C753" s="162" t="s">
        <v>5</v>
      </c>
      <c r="D753" s="162" t="s">
        <v>8</v>
      </c>
      <c r="E753" s="231">
        <v>44630</v>
      </c>
      <c r="F753" s="117">
        <v>1016.96</v>
      </c>
      <c r="G753" s="117">
        <f>SUMIF(CONFERÊNCIA!A:A,A753,CONFERÊNCIA!J:J)</f>
        <v>1016.96</v>
      </c>
      <c r="H753" s="119">
        <f t="shared" si="68"/>
        <v>0</v>
      </c>
      <c r="I753" s="240" t="s">
        <v>1229</v>
      </c>
    </row>
    <row r="754" spans="1:9" x14ac:dyDescent="0.25">
      <c r="A754" s="230">
        <v>113384</v>
      </c>
      <c r="B754" s="162" t="s">
        <v>742</v>
      </c>
      <c r="C754" s="162" t="s">
        <v>2</v>
      </c>
      <c r="D754" s="162" t="s">
        <v>0</v>
      </c>
      <c r="E754" s="231">
        <v>43620</v>
      </c>
      <c r="F754" s="117">
        <v>1016.96</v>
      </c>
      <c r="G754" s="117">
        <f>SUMIF(CONFERÊNCIA!A:A,A754,CONFERÊNCIA!J:J)</f>
        <v>1016.96</v>
      </c>
      <c r="H754" s="119">
        <f t="shared" si="68"/>
        <v>0</v>
      </c>
      <c r="I754" s="240" t="s">
        <v>1229</v>
      </c>
    </row>
    <row r="755" spans="1:9" x14ac:dyDescent="0.25">
      <c r="A755" s="230">
        <v>112983</v>
      </c>
      <c r="B755" s="162" t="s">
        <v>530</v>
      </c>
      <c r="C755" s="162" t="s">
        <v>5</v>
      </c>
      <c r="D755" s="162" t="s">
        <v>19</v>
      </c>
      <c r="E755" s="231">
        <v>43617</v>
      </c>
      <c r="F755" s="117">
        <v>1016.96</v>
      </c>
      <c r="G755" s="117">
        <f>SUMIF(CONFERÊNCIA!A:A,A755,CONFERÊNCIA!J:J)</f>
        <v>1016.96</v>
      </c>
      <c r="H755" s="119">
        <f t="shared" si="68"/>
        <v>0</v>
      </c>
      <c r="I755" s="240" t="s">
        <v>1229</v>
      </c>
    </row>
    <row r="756" spans="1:9" x14ac:dyDescent="0.25">
      <c r="A756" s="230">
        <v>112320</v>
      </c>
      <c r="B756" s="162" t="s">
        <v>105</v>
      </c>
      <c r="C756" s="162" t="s">
        <v>2</v>
      </c>
      <c r="D756" s="162" t="s">
        <v>10</v>
      </c>
      <c r="E756" s="231">
        <v>43617</v>
      </c>
      <c r="F756" s="117">
        <v>1016.96</v>
      </c>
      <c r="G756" s="117">
        <f>SUMIF(CONFERÊNCIA!A:A,A756,CONFERÊNCIA!J:J)</f>
        <v>1016.96</v>
      </c>
      <c r="H756" s="119">
        <f t="shared" si="68"/>
        <v>0</v>
      </c>
      <c r="I756" s="240" t="s">
        <v>1229</v>
      </c>
    </row>
    <row r="757" spans="1:9" x14ac:dyDescent="0.25">
      <c r="A757" s="230">
        <v>112499</v>
      </c>
      <c r="B757" s="162" t="s">
        <v>218</v>
      </c>
      <c r="C757" s="162" t="s">
        <v>39</v>
      </c>
      <c r="D757" s="162" t="s">
        <v>32</v>
      </c>
      <c r="E757" s="231">
        <v>43617</v>
      </c>
      <c r="F757" s="117">
        <v>1016.96</v>
      </c>
      <c r="G757" s="117">
        <f>SUMIF(CONFERÊNCIA!A:A,A757,CONFERÊNCIA!J:J)</f>
        <v>1016.96</v>
      </c>
      <c r="H757" s="119">
        <f t="shared" si="68"/>
        <v>0</v>
      </c>
      <c r="I757" s="240" t="s">
        <v>1229</v>
      </c>
    </row>
    <row r="758" spans="1:9" x14ac:dyDescent="0.25">
      <c r="A758" s="230">
        <v>122834</v>
      </c>
      <c r="B758" s="162" t="s">
        <v>1723</v>
      </c>
      <c r="C758" s="162" t="s">
        <v>5</v>
      </c>
      <c r="D758" s="162" t="s">
        <v>0</v>
      </c>
      <c r="E758" s="231">
        <v>45180</v>
      </c>
      <c r="F758" s="117">
        <v>0</v>
      </c>
      <c r="G758" s="117">
        <f>SUMIF(CONFERÊNCIA!A:A,A758,CONFERÊNCIA!J:J)</f>
        <v>1016.96</v>
      </c>
      <c r="H758" s="119">
        <f t="shared" si="68"/>
        <v>1016.96</v>
      </c>
      <c r="I758" s="240" t="s">
        <v>1231</v>
      </c>
    </row>
    <row r="759" spans="1:9" x14ac:dyDescent="0.25">
      <c r="A759" s="230">
        <v>113039</v>
      </c>
      <c r="B759" s="162" t="s">
        <v>108</v>
      </c>
      <c r="C759" s="162" t="s">
        <v>2</v>
      </c>
      <c r="D759" s="162" t="s">
        <v>19</v>
      </c>
      <c r="E759" s="231">
        <v>43620</v>
      </c>
      <c r="F759" s="117">
        <v>1016.96</v>
      </c>
      <c r="G759" s="117">
        <f>SUMIF(CONFERÊNCIA!A:A,A759,CONFERÊNCIA!J:J)</f>
        <v>1016.96</v>
      </c>
      <c r="H759" s="119">
        <f t="shared" si="68"/>
        <v>0</v>
      </c>
      <c r="I759" s="240" t="s">
        <v>1229</v>
      </c>
    </row>
    <row r="760" spans="1:9" x14ac:dyDescent="0.25">
      <c r="A760" s="230">
        <v>113628</v>
      </c>
      <c r="B760" s="162" t="s">
        <v>881</v>
      </c>
      <c r="C760" s="162" t="s">
        <v>15</v>
      </c>
      <c r="D760" s="162" t="s">
        <v>1578</v>
      </c>
      <c r="E760" s="231">
        <v>43620</v>
      </c>
      <c r="F760" s="117">
        <v>1016.96</v>
      </c>
      <c r="G760" s="117">
        <f>SUMIF(CONFERÊNCIA!A:A,A760,CONFERÊNCIA!J:J)</f>
        <v>1016.96</v>
      </c>
      <c r="H760" s="119">
        <f t="shared" si="68"/>
        <v>0</v>
      </c>
      <c r="I760" s="240" t="s">
        <v>1229</v>
      </c>
    </row>
    <row r="761" spans="1:9" x14ac:dyDescent="0.25">
      <c r="A761" s="230">
        <v>114923</v>
      </c>
      <c r="B761" s="162" t="s">
        <v>1109</v>
      </c>
      <c r="C761" s="162" t="s">
        <v>5</v>
      </c>
      <c r="D761" s="162" t="s">
        <v>1578</v>
      </c>
      <c r="E761" s="231">
        <v>43916</v>
      </c>
      <c r="F761" s="117">
        <v>1016.96</v>
      </c>
      <c r="G761" s="117">
        <f>SUMIF(CONFERÊNCIA!A:A,A761,CONFERÊNCIA!J:J)</f>
        <v>1016.96</v>
      </c>
      <c r="H761" s="119">
        <f t="shared" si="68"/>
        <v>0</v>
      </c>
      <c r="I761" s="240" t="s">
        <v>1229</v>
      </c>
    </row>
    <row r="762" spans="1:9" x14ac:dyDescent="0.25">
      <c r="A762" s="230">
        <v>112352</v>
      </c>
      <c r="B762" s="162" t="s">
        <v>126</v>
      </c>
      <c r="C762" s="162" t="s">
        <v>5</v>
      </c>
      <c r="D762" s="162" t="s">
        <v>8</v>
      </c>
      <c r="E762" s="231">
        <v>43617</v>
      </c>
      <c r="F762" s="117">
        <v>1016.96</v>
      </c>
      <c r="G762" s="117">
        <f>SUMIF(CONFERÊNCIA!A:A,A762,CONFERÊNCIA!J:J)</f>
        <v>1016.96</v>
      </c>
      <c r="H762" s="119">
        <f t="shared" si="68"/>
        <v>0</v>
      </c>
      <c r="I762" s="240" t="s">
        <v>1229</v>
      </c>
    </row>
    <row r="763" spans="1:9" x14ac:dyDescent="0.25">
      <c r="A763" s="230">
        <v>112505</v>
      </c>
      <c r="B763" s="162" t="s">
        <v>223</v>
      </c>
      <c r="C763" s="162" t="s">
        <v>39</v>
      </c>
      <c r="D763" s="162" t="s">
        <v>32</v>
      </c>
      <c r="E763" s="231">
        <v>43621</v>
      </c>
      <c r="F763" s="117">
        <v>1016.96</v>
      </c>
      <c r="G763" s="117">
        <f>SUMIF(CONFERÊNCIA!A:A,A763,CONFERÊNCIA!J:J)</f>
        <v>1016.96</v>
      </c>
      <c r="H763" s="119">
        <f t="shared" si="68"/>
        <v>0</v>
      </c>
      <c r="I763" s="240" t="s">
        <v>1229</v>
      </c>
    </row>
    <row r="764" spans="1:9" x14ac:dyDescent="0.25">
      <c r="A764" s="230">
        <v>112328</v>
      </c>
      <c r="B764" s="162" t="s">
        <v>110</v>
      </c>
      <c r="C764" s="162" t="s">
        <v>2</v>
      </c>
      <c r="D764" s="162" t="s">
        <v>10</v>
      </c>
      <c r="E764" s="231">
        <v>43617</v>
      </c>
      <c r="F764" s="117">
        <v>1016.96</v>
      </c>
      <c r="G764" s="117">
        <f>SUMIF(CONFERÊNCIA!A:A,A764,CONFERÊNCIA!J:J)</f>
        <v>1016.96</v>
      </c>
      <c r="H764" s="119">
        <f t="shared" si="68"/>
        <v>0</v>
      </c>
      <c r="I764" s="240" t="s">
        <v>1229</v>
      </c>
    </row>
    <row r="765" spans="1:9" x14ac:dyDescent="0.25">
      <c r="A765" s="230">
        <v>113412</v>
      </c>
      <c r="B765" s="162" t="s">
        <v>761</v>
      </c>
      <c r="C765" s="162" t="s">
        <v>2</v>
      </c>
      <c r="D765" s="162" t="s">
        <v>0</v>
      </c>
      <c r="E765" s="231">
        <v>43617</v>
      </c>
      <c r="F765" s="117">
        <v>1016.96</v>
      </c>
      <c r="G765" s="117">
        <f>SUMIF(CONFERÊNCIA!A:A,A765,CONFERÊNCIA!J:J)</f>
        <v>1016.96</v>
      </c>
      <c r="H765" s="119">
        <f t="shared" si="68"/>
        <v>0</v>
      </c>
      <c r="I765" s="240" t="s">
        <v>1229</v>
      </c>
    </row>
    <row r="766" spans="1:9" x14ac:dyDescent="0.25">
      <c r="A766" s="230">
        <v>113161</v>
      </c>
      <c r="B766" s="162" t="s">
        <v>620</v>
      </c>
      <c r="C766" s="162" t="s">
        <v>15</v>
      </c>
      <c r="D766" s="162" t="s">
        <v>1578</v>
      </c>
      <c r="E766" s="231">
        <v>43617</v>
      </c>
      <c r="F766" s="117">
        <v>1016.96</v>
      </c>
      <c r="G766" s="117">
        <f>SUMIF(CONFERÊNCIA!A:A,A766,CONFERÊNCIA!J:J)</f>
        <v>1016.96</v>
      </c>
      <c r="H766" s="119">
        <f t="shared" si="68"/>
        <v>0</v>
      </c>
      <c r="I766" s="240" t="s">
        <v>1230</v>
      </c>
    </row>
    <row r="767" spans="1:9" x14ac:dyDescent="0.25">
      <c r="A767" s="230">
        <v>112940</v>
      </c>
      <c r="B767" s="162" t="s">
        <v>507</v>
      </c>
      <c r="C767" s="162" t="s">
        <v>2</v>
      </c>
      <c r="D767" s="162" t="s">
        <v>8</v>
      </c>
      <c r="E767" s="231">
        <v>43617</v>
      </c>
      <c r="F767" s="117">
        <v>1016.96</v>
      </c>
      <c r="G767" s="117">
        <f>SUMIF(CONFERÊNCIA!A:A,A767,CONFERÊNCIA!J:J)</f>
        <v>1016.96</v>
      </c>
      <c r="H767" s="119">
        <f t="shared" si="68"/>
        <v>0</v>
      </c>
      <c r="I767" s="240" t="s">
        <v>1229</v>
      </c>
    </row>
    <row r="768" spans="1:9" x14ac:dyDescent="0.25">
      <c r="A768" s="230">
        <v>112221</v>
      </c>
      <c r="B768" s="162" t="s">
        <v>42</v>
      </c>
      <c r="C768" s="162" t="s">
        <v>5</v>
      </c>
      <c r="D768" s="162" t="s">
        <v>0</v>
      </c>
      <c r="E768" s="231">
        <v>43617</v>
      </c>
      <c r="F768" s="117">
        <v>1016.96</v>
      </c>
      <c r="G768" s="117">
        <f>SUMIF(CONFERÊNCIA!A:A,A768,CONFERÊNCIA!J:J)</f>
        <v>1016.96</v>
      </c>
      <c r="H768" s="119">
        <f t="shared" si="68"/>
        <v>0</v>
      </c>
      <c r="I768" s="240" t="s">
        <v>1229</v>
      </c>
    </row>
    <row r="769" spans="1:9" x14ac:dyDescent="0.25">
      <c r="A769" s="230">
        <v>117244</v>
      </c>
      <c r="B769" s="162" t="s">
        <v>1258</v>
      </c>
      <c r="C769" s="162" t="s">
        <v>5</v>
      </c>
      <c r="D769" s="162" t="s">
        <v>8</v>
      </c>
      <c r="E769" s="231">
        <v>44487</v>
      </c>
      <c r="F769" s="117">
        <v>1016.96</v>
      </c>
      <c r="G769" s="117">
        <f>SUMIF(CONFERÊNCIA!A:A,A769,CONFERÊNCIA!J:J)</f>
        <v>1016.96</v>
      </c>
      <c r="H769" s="119">
        <f t="shared" si="68"/>
        <v>0</v>
      </c>
      <c r="I769" s="240" t="s">
        <v>1229</v>
      </c>
    </row>
    <row r="770" spans="1:9" x14ac:dyDescent="0.25">
      <c r="A770" s="230">
        <v>112517</v>
      </c>
      <c r="B770" s="162" t="s">
        <v>233</v>
      </c>
      <c r="C770" s="162" t="s">
        <v>2</v>
      </c>
      <c r="D770" s="162" t="s">
        <v>8</v>
      </c>
      <c r="E770" s="231">
        <v>43617</v>
      </c>
      <c r="F770" s="117">
        <v>1016.96</v>
      </c>
      <c r="G770" s="117">
        <f>SUMIF(CONFERÊNCIA!A:A,A770,CONFERÊNCIA!J:J)</f>
        <v>1016.96</v>
      </c>
      <c r="H770" s="119">
        <f t="shared" si="68"/>
        <v>0</v>
      </c>
      <c r="I770" s="240" t="s">
        <v>1229</v>
      </c>
    </row>
    <row r="771" spans="1:9" x14ac:dyDescent="0.25">
      <c r="A771" s="230">
        <v>112941</v>
      </c>
      <c r="B771" s="162" t="s">
        <v>508</v>
      </c>
      <c r="C771" s="162" t="s">
        <v>2</v>
      </c>
      <c r="D771" s="162" t="s">
        <v>8</v>
      </c>
      <c r="E771" s="231">
        <v>43617</v>
      </c>
      <c r="F771" s="117">
        <v>1016.96</v>
      </c>
      <c r="G771" s="117">
        <f>SUMIF(CONFERÊNCIA!A:A,A771,CONFERÊNCIA!J:J)</f>
        <v>1016.96</v>
      </c>
      <c r="H771" s="119">
        <f t="shared" si="68"/>
        <v>0</v>
      </c>
      <c r="I771" s="240" t="s">
        <v>1229</v>
      </c>
    </row>
    <row r="772" spans="1:9" x14ac:dyDescent="0.25">
      <c r="A772" s="230">
        <v>112943</v>
      </c>
      <c r="B772" s="162" t="s">
        <v>510</v>
      </c>
      <c r="C772" s="162" t="s">
        <v>2</v>
      </c>
      <c r="D772" s="162" t="s">
        <v>8</v>
      </c>
      <c r="E772" s="231">
        <v>43617</v>
      </c>
      <c r="F772" s="117">
        <v>1016.96</v>
      </c>
      <c r="G772" s="117">
        <f>SUMIF(CONFERÊNCIA!A:A,A772,CONFERÊNCIA!J:J)</f>
        <v>1016.96</v>
      </c>
      <c r="H772" s="119">
        <f t="shared" ref="H772:H796" si="69">G772-F772</f>
        <v>0</v>
      </c>
      <c r="I772" s="240" t="s">
        <v>1229</v>
      </c>
    </row>
    <row r="773" spans="1:9" x14ac:dyDescent="0.25">
      <c r="A773" s="230">
        <v>113114</v>
      </c>
      <c r="B773" s="162" t="s">
        <v>591</v>
      </c>
      <c r="C773" s="162" t="s">
        <v>2</v>
      </c>
      <c r="D773" s="162" t="s">
        <v>0</v>
      </c>
      <c r="E773" s="231">
        <v>43617</v>
      </c>
      <c r="F773" s="117">
        <v>1016.96</v>
      </c>
      <c r="G773" s="117">
        <f>SUMIF(CONFERÊNCIA!A:A,A773,CONFERÊNCIA!J:J)</f>
        <v>1016.96</v>
      </c>
      <c r="H773" s="119">
        <f t="shared" si="69"/>
        <v>0</v>
      </c>
      <c r="I773" s="240" t="s">
        <v>1229</v>
      </c>
    </row>
    <row r="774" spans="1:9" x14ac:dyDescent="0.25">
      <c r="A774" s="230">
        <v>114924</v>
      </c>
      <c r="B774" s="162" t="s">
        <v>591</v>
      </c>
      <c r="C774" s="162" t="s">
        <v>5</v>
      </c>
      <c r="D774" s="162" t="s">
        <v>1578</v>
      </c>
      <c r="E774" s="231">
        <v>43916</v>
      </c>
      <c r="F774" s="117">
        <v>1016.96</v>
      </c>
      <c r="G774" s="117">
        <f>SUMIF(CONFERÊNCIA!A:A,A774,CONFERÊNCIA!J:J)</f>
        <v>1016.96</v>
      </c>
      <c r="H774" s="119">
        <f t="shared" si="69"/>
        <v>0</v>
      </c>
      <c r="I774" s="240" t="s">
        <v>1229</v>
      </c>
    </row>
    <row r="775" spans="1:9" x14ac:dyDescent="0.25">
      <c r="A775" s="230">
        <v>122409</v>
      </c>
      <c r="B775" s="162" t="s">
        <v>1689</v>
      </c>
      <c r="C775" s="162" t="s">
        <v>15</v>
      </c>
      <c r="D775" s="162" t="s">
        <v>1578</v>
      </c>
      <c r="E775" s="231">
        <v>45117</v>
      </c>
      <c r="F775" s="117">
        <v>1016.96</v>
      </c>
      <c r="G775" s="117">
        <f>SUMIF(CONFERÊNCIA!A:A,A775,CONFERÊNCIA!J:J)</f>
        <v>1016.96</v>
      </c>
      <c r="H775" s="119">
        <f t="shared" si="69"/>
        <v>0</v>
      </c>
      <c r="I775" s="240" t="s">
        <v>1229</v>
      </c>
    </row>
    <row r="776" spans="1:9" x14ac:dyDescent="0.25">
      <c r="A776" s="230">
        <v>113414</v>
      </c>
      <c r="B776" s="162" t="s">
        <v>763</v>
      </c>
      <c r="C776" s="162" t="s">
        <v>2</v>
      </c>
      <c r="D776" s="162" t="s">
        <v>0</v>
      </c>
      <c r="E776" s="231">
        <v>43617</v>
      </c>
      <c r="F776" s="117">
        <v>1016.96</v>
      </c>
      <c r="G776" s="117">
        <f>SUMIF(CONFERÊNCIA!A:A,A776,CONFERÊNCIA!J:J)</f>
        <v>0</v>
      </c>
      <c r="H776" s="119">
        <f t="shared" si="69"/>
        <v>-1016.96</v>
      </c>
      <c r="I776" s="240" t="s">
        <v>1287</v>
      </c>
    </row>
    <row r="777" spans="1:9" x14ac:dyDescent="0.25">
      <c r="A777" s="230">
        <v>121316</v>
      </c>
      <c r="B777" s="162" t="s">
        <v>1532</v>
      </c>
      <c r="C777" s="162" t="s">
        <v>5</v>
      </c>
      <c r="D777" s="162" t="s">
        <v>8</v>
      </c>
      <c r="E777" s="231">
        <v>44945</v>
      </c>
      <c r="F777" s="117">
        <v>1016.96</v>
      </c>
      <c r="G777" s="117">
        <f>SUMIF(CONFERÊNCIA!A:A,A777,CONFERÊNCIA!J:J)</f>
        <v>1016.96</v>
      </c>
      <c r="H777" s="119">
        <f t="shared" si="69"/>
        <v>0</v>
      </c>
      <c r="I777" s="240" t="s">
        <v>1229</v>
      </c>
    </row>
    <row r="778" spans="1:9" x14ac:dyDescent="0.25">
      <c r="A778" s="230">
        <v>113344</v>
      </c>
      <c r="B778" s="162" t="s">
        <v>718</v>
      </c>
      <c r="C778" s="162" t="s">
        <v>412</v>
      </c>
      <c r="D778" s="162" t="s">
        <v>1578</v>
      </c>
      <c r="E778" s="231">
        <v>43617</v>
      </c>
      <c r="F778" s="117">
        <v>1016.96</v>
      </c>
      <c r="G778" s="117">
        <f>SUMIF(CONFERÊNCIA!A:A,A778,CONFERÊNCIA!J:J)</f>
        <v>1016.96</v>
      </c>
      <c r="H778" s="119">
        <f t="shared" si="69"/>
        <v>0</v>
      </c>
      <c r="I778" s="240" t="s">
        <v>1229</v>
      </c>
    </row>
    <row r="779" spans="1:9" x14ac:dyDescent="0.25">
      <c r="A779" s="230">
        <v>112264</v>
      </c>
      <c r="B779" s="162" t="s">
        <v>74</v>
      </c>
      <c r="C779" s="162" t="s">
        <v>2</v>
      </c>
      <c r="D779" s="162" t="s">
        <v>10</v>
      </c>
      <c r="E779" s="231">
        <v>43617</v>
      </c>
      <c r="F779" s="117">
        <v>1016.96</v>
      </c>
      <c r="G779" s="117">
        <f>SUMIF(CONFERÊNCIA!A:A,A779,CONFERÊNCIA!J:J)</f>
        <v>1016.96</v>
      </c>
      <c r="H779" s="119">
        <f t="shared" si="69"/>
        <v>0</v>
      </c>
      <c r="I779" s="240" t="s">
        <v>1229</v>
      </c>
    </row>
    <row r="780" spans="1:9" x14ac:dyDescent="0.25">
      <c r="A780" s="230">
        <v>112944</v>
      </c>
      <c r="B780" s="162" t="s">
        <v>511</v>
      </c>
      <c r="C780" s="162" t="s">
        <v>2</v>
      </c>
      <c r="D780" s="162" t="s">
        <v>8</v>
      </c>
      <c r="E780" s="231">
        <v>43617</v>
      </c>
      <c r="F780" s="117">
        <v>1016.96</v>
      </c>
      <c r="G780" s="117">
        <f>SUMIF(CONFERÊNCIA!A:A,A780,CONFERÊNCIA!J:J)</f>
        <v>1016.96</v>
      </c>
      <c r="H780" s="119">
        <f t="shared" si="69"/>
        <v>0</v>
      </c>
      <c r="I780" s="240" t="s">
        <v>1229</v>
      </c>
    </row>
    <row r="781" spans="1:9" x14ac:dyDescent="0.25">
      <c r="A781" s="230">
        <v>113637</v>
      </c>
      <c r="B781" s="162" t="s">
        <v>888</v>
      </c>
      <c r="C781" s="162" t="s">
        <v>15</v>
      </c>
      <c r="D781" s="162" t="s">
        <v>1578</v>
      </c>
      <c r="E781" s="231">
        <v>43617</v>
      </c>
      <c r="F781" s="117">
        <v>1016.96</v>
      </c>
      <c r="G781" s="117">
        <f>SUMIF(CONFERÊNCIA!A:A,A781,CONFERÊNCIA!J:J)</f>
        <v>1016.96</v>
      </c>
      <c r="H781" s="119">
        <f t="shared" si="69"/>
        <v>0</v>
      </c>
      <c r="I781" s="240" t="s">
        <v>1229</v>
      </c>
    </row>
    <row r="782" spans="1:9" x14ac:dyDescent="0.25">
      <c r="A782" s="230">
        <v>113448</v>
      </c>
      <c r="B782" s="162" t="s">
        <v>785</v>
      </c>
      <c r="C782" s="162" t="s">
        <v>2</v>
      </c>
      <c r="D782" s="162" t="s">
        <v>0</v>
      </c>
      <c r="E782" s="231">
        <v>43617</v>
      </c>
      <c r="F782" s="117">
        <v>1016.96</v>
      </c>
      <c r="G782" s="117">
        <f>SUMIF(CONFERÊNCIA!A:A,A782,CONFERÊNCIA!J:J)</f>
        <v>1016.96</v>
      </c>
      <c r="H782" s="119">
        <f t="shared" si="69"/>
        <v>0</v>
      </c>
      <c r="I782" s="240" t="s">
        <v>1229</v>
      </c>
    </row>
    <row r="783" spans="1:9" x14ac:dyDescent="0.25">
      <c r="A783" s="230">
        <v>113320</v>
      </c>
      <c r="B783" s="162" t="s">
        <v>704</v>
      </c>
      <c r="C783" s="162" t="s">
        <v>22</v>
      </c>
      <c r="D783" s="162" t="s">
        <v>1578</v>
      </c>
      <c r="E783" s="231">
        <v>43617</v>
      </c>
      <c r="F783" s="117">
        <v>1016.96</v>
      </c>
      <c r="G783" s="117">
        <f>SUMIF(CONFERÊNCIA!A:A,A783,CONFERÊNCIA!J:J)</f>
        <v>1016.96</v>
      </c>
      <c r="H783" s="119">
        <f t="shared" si="69"/>
        <v>0</v>
      </c>
      <c r="I783" s="240" t="s">
        <v>1229</v>
      </c>
    </row>
    <row r="784" spans="1:9" x14ac:dyDescent="0.25">
      <c r="A784" s="230">
        <v>112946</v>
      </c>
      <c r="B784" s="162" t="s">
        <v>256</v>
      </c>
      <c r="C784" s="162" t="s">
        <v>2</v>
      </c>
      <c r="D784" s="162" t="s">
        <v>8</v>
      </c>
      <c r="E784" s="231">
        <v>43617</v>
      </c>
      <c r="F784" s="117">
        <v>1016.96</v>
      </c>
      <c r="G784" s="117">
        <f>SUMIF(CONFERÊNCIA!A:A,A784,CONFERÊNCIA!J:J)</f>
        <v>1016.96</v>
      </c>
      <c r="H784" s="119">
        <f t="shared" si="69"/>
        <v>0</v>
      </c>
      <c r="I784" s="240" t="s">
        <v>1229</v>
      </c>
    </row>
    <row r="785" spans="1:9" x14ac:dyDescent="0.25">
      <c r="A785" s="230">
        <v>113362</v>
      </c>
      <c r="B785" s="162" t="s">
        <v>728</v>
      </c>
      <c r="C785" s="162" t="s">
        <v>2</v>
      </c>
      <c r="D785" s="162" t="s">
        <v>0</v>
      </c>
      <c r="E785" s="231">
        <v>43617</v>
      </c>
      <c r="F785" s="117">
        <v>1016.96</v>
      </c>
      <c r="G785" s="117">
        <f>SUMIF(CONFERÊNCIA!A:A,A785,CONFERÊNCIA!J:J)</f>
        <v>1016.96</v>
      </c>
      <c r="H785" s="119">
        <f t="shared" si="69"/>
        <v>0</v>
      </c>
      <c r="I785" s="240" t="s">
        <v>1229</v>
      </c>
    </row>
    <row r="786" spans="1:9" x14ac:dyDescent="0.25">
      <c r="A786" s="230">
        <v>113385</v>
      </c>
      <c r="B786" s="162" t="s">
        <v>743</v>
      </c>
      <c r="C786" s="162" t="s">
        <v>2</v>
      </c>
      <c r="D786" s="162" t="s">
        <v>0</v>
      </c>
      <c r="E786" s="231">
        <v>43617</v>
      </c>
      <c r="F786" s="117">
        <v>1016.96</v>
      </c>
      <c r="G786" s="117">
        <f>SUMIF(CONFERÊNCIA!A:A,A786,CONFERÊNCIA!J:J)</f>
        <v>1016.96</v>
      </c>
      <c r="H786" s="119">
        <f t="shared" si="69"/>
        <v>0</v>
      </c>
      <c r="I786" s="240" t="s">
        <v>1229</v>
      </c>
    </row>
    <row r="787" spans="1:9" x14ac:dyDescent="0.25">
      <c r="A787" s="230">
        <v>112353</v>
      </c>
      <c r="B787" s="162" t="s">
        <v>127</v>
      </c>
      <c r="C787" s="162" t="s">
        <v>2</v>
      </c>
      <c r="D787" s="162" t="s">
        <v>32</v>
      </c>
      <c r="E787" s="231">
        <v>43617</v>
      </c>
      <c r="F787" s="117">
        <v>1016.96</v>
      </c>
      <c r="G787" s="117">
        <f>SUMIF(CONFERÊNCIA!A:A,A787,CONFERÊNCIA!J:J)</f>
        <v>1016.96</v>
      </c>
      <c r="H787" s="119">
        <f t="shared" si="69"/>
        <v>0</v>
      </c>
      <c r="I787" s="240" t="s">
        <v>1229</v>
      </c>
    </row>
    <row r="788" spans="1:9" x14ac:dyDescent="0.25">
      <c r="A788" s="230">
        <v>113387</v>
      </c>
      <c r="B788" s="162" t="s">
        <v>744</v>
      </c>
      <c r="C788" s="162" t="s">
        <v>2</v>
      </c>
      <c r="D788" s="162" t="s">
        <v>0</v>
      </c>
      <c r="E788" s="231">
        <v>43617</v>
      </c>
      <c r="F788" s="117">
        <v>1016.96</v>
      </c>
      <c r="G788" s="117">
        <f>SUMIF(CONFERÊNCIA!A:A,A788,CONFERÊNCIA!J:J)</f>
        <v>1016.96</v>
      </c>
      <c r="H788" s="119">
        <f t="shared" si="69"/>
        <v>0</v>
      </c>
      <c r="I788" s="240" t="s">
        <v>1229</v>
      </c>
    </row>
    <row r="789" spans="1:9" x14ac:dyDescent="0.25">
      <c r="A789" s="230">
        <v>113158</v>
      </c>
      <c r="B789" s="162" t="s">
        <v>617</v>
      </c>
      <c r="C789" s="162" t="s">
        <v>22</v>
      </c>
      <c r="D789" s="162" t="s">
        <v>1578</v>
      </c>
      <c r="E789" s="231">
        <v>43617</v>
      </c>
      <c r="F789" s="117">
        <v>1016.96</v>
      </c>
      <c r="G789" s="117">
        <f>SUMIF(CONFERÊNCIA!A:A,A789,CONFERÊNCIA!J:J)</f>
        <v>1016.96</v>
      </c>
      <c r="H789" s="119">
        <f t="shared" si="69"/>
        <v>0</v>
      </c>
      <c r="I789" s="240" t="s">
        <v>1229</v>
      </c>
    </row>
    <row r="790" spans="1:9" x14ac:dyDescent="0.25">
      <c r="A790" s="230">
        <v>112408</v>
      </c>
      <c r="B790" s="162" t="s">
        <v>161</v>
      </c>
      <c r="C790" s="162" t="s">
        <v>5</v>
      </c>
      <c r="D790" s="162" t="s">
        <v>8</v>
      </c>
      <c r="E790" s="231">
        <v>43617</v>
      </c>
      <c r="F790" s="117">
        <v>1016.96</v>
      </c>
      <c r="G790" s="117">
        <f>SUMIF(CONFERÊNCIA!A:A,A790,CONFERÊNCIA!J:J)</f>
        <v>1016.96</v>
      </c>
      <c r="H790" s="119">
        <f t="shared" si="69"/>
        <v>0</v>
      </c>
      <c r="I790" s="240" t="s">
        <v>1229</v>
      </c>
    </row>
    <row r="791" spans="1:9" x14ac:dyDescent="0.25">
      <c r="A791" s="230">
        <v>113417</v>
      </c>
      <c r="B791" s="162" t="s">
        <v>766</v>
      </c>
      <c r="C791" s="162" t="s">
        <v>2</v>
      </c>
      <c r="D791" s="162" t="s">
        <v>0</v>
      </c>
      <c r="E791" s="231">
        <v>43617</v>
      </c>
      <c r="F791" s="117">
        <v>1016.96</v>
      </c>
      <c r="G791" s="117">
        <f>SUMIF(CONFERÊNCIA!A:A,A791,CONFERÊNCIA!J:J)</f>
        <v>1016.96</v>
      </c>
      <c r="H791" s="119">
        <f t="shared" si="69"/>
        <v>0</v>
      </c>
      <c r="I791" s="240" t="s">
        <v>1229</v>
      </c>
    </row>
    <row r="792" spans="1:9" x14ac:dyDescent="0.25">
      <c r="A792" s="230">
        <v>122405</v>
      </c>
      <c r="B792" s="162" t="s">
        <v>1690</v>
      </c>
      <c r="C792" s="162" t="s">
        <v>15</v>
      </c>
      <c r="D792" s="162" t="s">
        <v>1578</v>
      </c>
      <c r="E792" s="231">
        <v>45117</v>
      </c>
      <c r="F792" s="117">
        <v>1016.96</v>
      </c>
      <c r="G792" s="117">
        <f>SUMIF(CONFERÊNCIA!A:A,A792,CONFERÊNCIA!J:J)</f>
        <v>1016.96</v>
      </c>
      <c r="H792" s="119">
        <f t="shared" si="69"/>
        <v>0</v>
      </c>
      <c r="I792" s="240" t="s">
        <v>1229</v>
      </c>
    </row>
    <row r="793" spans="1:9" x14ac:dyDescent="0.25">
      <c r="A793" s="230">
        <v>113366</v>
      </c>
      <c r="B793" s="162" t="s">
        <v>731</v>
      </c>
      <c r="C793" s="162" t="s">
        <v>2</v>
      </c>
      <c r="D793" s="162" t="s">
        <v>0</v>
      </c>
      <c r="E793" s="231">
        <v>43617</v>
      </c>
      <c r="F793" s="117">
        <v>1016.96</v>
      </c>
      <c r="G793" s="117">
        <f>SUMIF(CONFERÊNCIA!A:A,A793,CONFERÊNCIA!J:J)</f>
        <v>1016.96</v>
      </c>
      <c r="H793" s="119">
        <f t="shared" si="69"/>
        <v>0</v>
      </c>
      <c r="I793" s="240" t="s">
        <v>1229</v>
      </c>
    </row>
    <row r="794" spans="1:9" x14ac:dyDescent="0.25">
      <c r="A794" s="230">
        <v>119641</v>
      </c>
      <c r="B794" s="162" t="s">
        <v>1465</v>
      </c>
      <c r="C794" s="162" t="s">
        <v>5</v>
      </c>
      <c r="D794" s="162" t="s">
        <v>8</v>
      </c>
      <c r="E794" s="231">
        <v>44725</v>
      </c>
      <c r="F794" s="117">
        <v>1016.96</v>
      </c>
      <c r="G794" s="117">
        <f>SUMIF(CONFERÊNCIA!A:A,A794,CONFERÊNCIA!J:J)</f>
        <v>1016.96</v>
      </c>
      <c r="H794" s="119">
        <f t="shared" si="69"/>
        <v>0</v>
      </c>
      <c r="I794" s="240" t="s">
        <v>1229</v>
      </c>
    </row>
    <row r="795" spans="1:9" x14ac:dyDescent="0.25">
      <c r="A795" s="230">
        <v>113162</v>
      </c>
      <c r="B795" s="162" t="s">
        <v>512</v>
      </c>
      <c r="C795" s="162" t="s">
        <v>22</v>
      </c>
      <c r="D795" s="162" t="s">
        <v>1578</v>
      </c>
      <c r="E795" s="231">
        <v>43617</v>
      </c>
      <c r="F795" s="117">
        <v>1016.96</v>
      </c>
      <c r="G795" s="117">
        <f>SUMIF(CONFERÊNCIA!A:A,A795,CONFERÊNCIA!J:J)</f>
        <v>1016.96</v>
      </c>
      <c r="H795" s="119">
        <f t="shared" si="69"/>
        <v>0</v>
      </c>
      <c r="I795" s="240" t="s">
        <v>1230</v>
      </c>
    </row>
    <row r="796" spans="1:9" x14ac:dyDescent="0.25">
      <c r="A796" s="230">
        <v>112949</v>
      </c>
      <c r="B796" s="162" t="s">
        <v>513</v>
      </c>
      <c r="C796" s="162" t="s">
        <v>2</v>
      </c>
      <c r="D796" s="162" t="s">
        <v>8</v>
      </c>
      <c r="E796" s="231">
        <v>43617</v>
      </c>
      <c r="F796" s="117">
        <v>1016.96</v>
      </c>
      <c r="G796" s="117">
        <f>SUMIF(CONFERÊNCIA!A:A,A796,CONFERÊNCIA!J:J)</f>
        <v>1016.96</v>
      </c>
      <c r="H796" s="119">
        <f t="shared" si="69"/>
        <v>0</v>
      </c>
      <c r="I796" s="240" t="s">
        <v>1229</v>
      </c>
    </row>
    <row r="797" spans="1:9" x14ac:dyDescent="0.25">
      <c r="A797" s="230">
        <v>112495</v>
      </c>
      <c r="B797" s="162" t="s">
        <v>215</v>
      </c>
      <c r="C797" s="162" t="s">
        <v>5</v>
      </c>
      <c r="D797" s="162" t="s">
        <v>32</v>
      </c>
      <c r="E797" s="231">
        <v>43617</v>
      </c>
      <c r="F797" s="117">
        <v>1016.96</v>
      </c>
      <c r="G797" s="117">
        <f>SUMIF(CONFERÊNCIA!A:A,A797,CONFERÊNCIA!J:J)</f>
        <v>1016.96</v>
      </c>
      <c r="H797" s="119">
        <f t="shared" ref="H797:H828" si="70">G797-F797</f>
        <v>0</v>
      </c>
      <c r="I797" s="240" t="s">
        <v>1230</v>
      </c>
    </row>
    <row r="798" spans="1:9" x14ac:dyDescent="0.25">
      <c r="A798" s="230">
        <v>113118</v>
      </c>
      <c r="B798" s="162" t="s">
        <v>594</v>
      </c>
      <c r="C798" s="162" t="s">
        <v>410</v>
      </c>
      <c r="D798" s="162" t="s">
        <v>1578</v>
      </c>
      <c r="E798" s="231">
        <v>43617</v>
      </c>
      <c r="F798" s="117">
        <v>1016.96</v>
      </c>
      <c r="G798" s="117">
        <f>SUMIF(CONFERÊNCIA!A:A,A798,CONFERÊNCIA!J:J)</f>
        <v>1016.96</v>
      </c>
      <c r="H798" s="119">
        <f t="shared" si="70"/>
        <v>0</v>
      </c>
      <c r="I798" s="240" t="s">
        <v>1229</v>
      </c>
    </row>
    <row r="799" spans="1:9" x14ac:dyDescent="0.25">
      <c r="A799" s="230">
        <v>112409</v>
      </c>
      <c r="B799" s="162" t="s">
        <v>162</v>
      </c>
      <c r="C799" s="162" t="s">
        <v>2</v>
      </c>
      <c r="D799" s="162" t="s">
        <v>8</v>
      </c>
      <c r="E799" s="231">
        <v>43617</v>
      </c>
      <c r="F799" s="117">
        <v>1016.96</v>
      </c>
      <c r="G799" s="117">
        <f>SUMIF(CONFERÊNCIA!A:A,A799,CONFERÊNCIA!J:J)</f>
        <v>1016.96</v>
      </c>
      <c r="H799" s="119">
        <f t="shared" si="70"/>
        <v>0</v>
      </c>
      <c r="I799" s="240" t="s">
        <v>1229</v>
      </c>
    </row>
    <row r="800" spans="1:9" x14ac:dyDescent="0.25">
      <c r="A800" s="230">
        <v>113159</v>
      </c>
      <c r="B800" s="162" t="s">
        <v>618</v>
      </c>
      <c r="C800" s="162" t="s">
        <v>22</v>
      </c>
      <c r="D800" s="162" t="s">
        <v>1578</v>
      </c>
      <c r="E800" s="231">
        <v>43617</v>
      </c>
      <c r="F800" s="117">
        <v>1016.96</v>
      </c>
      <c r="G800" s="117">
        <f>SUMIF(CONFERÊNCIA!A:A,A800,CONFERÊNCIA!J:J)</f>
        <v>1016.96</v>
      </c>
      <c r="H800" s="119">
        <f t="shared" si="70"/>
        <v>0</v>
      </c>
      <c r="I800" s="240" t="s">
        <v>1229</v>
      </c>
    </row>
    <row r="801" spans="1:9" x14ac:dyDescent="0.25">
      <c r="A801" s="230">
        <v>119114</v>
      </c>
      <c r="B801" s="162" t="s">
        <v>1436</v>
      </c>
      <c r="C801" s="162" t="s">
        <v>2</v>
      </c>
      <c r="D801" s="162" t="s">
        <v>0</v>
      </c>
      <c r="E801" s="231">
        <v>44630</v>
      </c>
      <c r="F801" s="117">
        <v>1016.96</v>
      </c>
      <c r="G801" s="117">
        <f>SUMIF(CONFERÊNCIA!A:A,A801,CONFERÊNCIA!J:J)</f>
        <v>1016.96</v>
      </c>
      <c r="H801" s="119">
        <f t="shared" si="70"/>
        <v>0</v>
      </c>
      <c r="I801" s="240" t="s">
        <v>1229</v>
      </c>
    </row>
    <row r="802" spans="1:9" x14ac:dyDescent="0.25">
      <c r="A802" s="230">
        <v>116388</v>
      </c>
      <c r="B802" s="162" t="s">
        <v>1211</v>
      </c>
      <c r="C802" s="162" t="s">
        <v>15</v>
      </c>
      <c r="D802" s="162" t="s">
        <v>1578</v>
      </c>
      <c r="E802" s="231">
        <v>44328</v>
      </c>
      <c r="F802" s="117">
        <v>1016.96</v>
      </c>
      <c r="G802" s="117">
        <f>SUMIF(CONFERÊNCIA!A:A,A802,CONFERÊNCIA!J:J)</f>
        <v>1016.96</v>
      </c>
      <c r="H802" s="119">
        <f t="shared" si="70"/>
        <v>0</v>
      </c>
      <c r="I802" s="240" t="s">
        <v>1229</v>
      </c>
    </row>
    <row r="803" spans="1:9" x14ac:dyDescent="0.25">
      <c r="A803" s="230">
        <v>113655</v>
      </c>
      <c r="B803" s="162" t="s">
        <v>897</v>
      </c>
      <c r="C803" s="162" t="s">
        <v>15</v>
      </c>
      <c r="D803" s="162" t="s">
        <v>1578</v>
      </c>
      <c r="E803" s="231">
        <v>43617</v>
      </c>
      <c r="F803" s="117">
        <v>1016.96</v>
      </c>
      <c r="G803" s="117">
        <f>SUMIF(CONFERÊNCIA!A:A,A803,CONFERÊNCIA!J:J)</f>
        <v>1016.96</v>
      </c>
      <c r="H803" s="119">
        <f t="shared" si="70"/>
        <v>0</v>
      </c>
      <c r="I803" s="240" t="s">
        <v>1229</v>
      </c>
    </row>
    <row r="804" spans="1:9" x14ac:dyDescent="0.25">
      <c r="A804" s="230">
        <v>114490</v>
      </c>
      <c r="B804" s="162" t="s">
        <v>1038</v>
      </c>
      <c r="C804" s="162" t="s">
        <v>5</v>
      </c>
      <c r="D804" s="162" t="s">
        <v>0</v>
      </c>
      <c r="E804" s="231">
        <v>43811</v>
      </c>
      <c r="F804" s="117">
        <v>1016.96</v>
      </c>
      <c r="G804" s="117">
        <f>SUMIF(CONFERÊNCIA!A:A,A804,CONFERÊNCIA!J:J)</f>
        <v>1016.96</v>
      </c>
      <c r="H804" s="119">
        <f t="shared" si="70"/>
        <v>0</v>
      </c>
      <c r="I804" s="240" t="s">
        <v>1229</v>
      </c>
    </row>
    <row r="805" spans="1:9" x14ac:dyDescent="0.25">
      <c r="A805" s="230">
        <v>113395</v>
      </c>
      <c r="B805" s="162" t="s">
        <v>752</v>
      </c>
      <c r="C805" s="162" t="s">
        <v>2</v>
      </c>
      <c r="D805" s="162" t="s">
        <v>0</v>
      </c>
      <c r="E805" s="231">
        <v>43617</v>
      </c>
      <c r="F805" s="117">
        <v>1016.96</v>
      </c>
      <c r="G805" s="117">
        <f>SUMIF(CONFERÊNCIA!A:A,A805,CONFERÊNCIA!J:J)</f>
        <v>1016.96</v>
      </c>
      <c r="H805" s="119">
        <f t="shared" si="70"/>
        <v>0</v>
      </c>
      <c r="I805" s="240" t="s">
        <v>1229</v>
      </c>
    </row>
    <row r="806" spans="1:9" x14ac:dyDescent="0.25">
      <c r="A806" s="230">
        <v>119124</v>
      </c>
      <c r="B806" s="162" t="s">
        <v>1437</v>
      </c>
      <c r="C806" s="162" t="s">
        <v>15</v>
      </c>
      <c r="D806" s="162" t="s">
        <v>1578</v>
      </c>
      <c r="E806" s="231">
        <v>44630</v>
      </c>
      <c r="F806" s="117">
        <v>1016.96</v>
      </c>
      <c r="G806" s="117">
        <f>SUMIF(CONFERÊNCIA!A:A,A806,CONFERÊNCIA!J:J)</f>
        <v>1016.96</v>
      </c>
      <c r="H806" s="119">
        <f t="shared" si="70"/>
        <v>0</v>
      </c>
      <c r="I806" s="240" t="s">
        <v>1229</v>
      </c>
    </row>
    <row r="807" spans="1:9" x14ac:dyDescent="0.25">
      <c r="A807" s="230">
        <v>112962</v>
      </c>
      <c r="B807" s="162" t="s">
        <v>522</v>
      </c>
      <c r="C807" s="162" t="s">
        <v>5</v>
      </c>
      <c r="D807" s="162" t="s">
        <v>19</v>
      </c>
      <c r="E807" s="231">
        <v>43617</v>
      </c>
      <c r="F807" s="117">
        <v>1016.96</v>
      </c>
      <c r="G807" s="117">
        <f>SUMIF(CONFERÊNCIA!A:A,A807,CONFERÊNCIA!J:J)</f>
        <v>1016.96</v>
      </c>
      <c r="H807" s="119">
        <f t="shared" si="70"/>
        <v>0</v>
      </c>
      <c r="I807" s="240" t="s">
        <v>1229</v>
      </c>
    </row>
    <row r="808" spans="1:9" x14ac:dyDescent="0.25">
      <c r="A808" s="230">
        <v>113458</v>
      </c>
      <c r="B808" s="162" t="s">
        <v>789</v>
      </c>
      <c r="C808" s="162" t="s">
        <v>2</v>
      </c>
      <c r="D808" s="162" t="s">
        <v>0</v>
      </c>
      <c r="E808" s="231">
        <v>43617</v>
      </c>
      <c r="F808" s="117">
        <v>1016.96</v>
      </c>
      <c r="G808" s="117">
        <f>SUMIF(CONFERÊNCIA!A:A,A808,CONFERÊNCIA!J:J)</f>
        <v>1016.96</v>
      </c>
      <c r="H808" s="119">
        <f t="shared" si="70"/>
        <v>0</v>
      </c>
      <c r="I808" s="240" t="s">
        <v>1229</v>
      </c>
    </row>
    <row r="809" spans="1:9" x14ac:dyDescent="0.25">
      <c r="A809" s="230">
        <v>113461</v>
      </c>
      <c r="B809" s="162" t="s">
        <v>792</v>
      </c>
      <c r="C809" s="162" t="s">
        <v>2</v>
      </c>
      <c r="D809" s="162" t="s">
        <v>0</v>
      </c>
      <c r="E809" s="231">
        <v>43617</v>
      </c>
      <c r="F809" s="117">
        <v>1016.96</v>
      </c>
      <c r="G809" s="117">
        <f>SUMIF(CONFERÊNCIA!A:A,A809,CONFERÊNCIA!J:J)</f>
        <v>1016.96</v>
      </c>
      <c r="H809" s="119">
        <f t="shared" si="70"/>
        <v>0</v>
      </c>
      <c r="I809" s="240" t="s">
        <v>1229</v>
      </c>
    </row>
    <row r="810" spans="1:9" x14ac:dyDescent="0.25">
      <c r="A810" s="230">
        <v>114991</v>
      </c>
      <c r="B810" s="162" t="s">
        <v>1137</v>
      </c>
      <c r="C810" s="162" t="s">
        <v>5</v>
      </c>
      <c r="D810" s="162" t="s">
        <v>1578</v>
      </c>
      <c r="E810" s="231">
        <v>43918</v>
      </c>
      <c r="F810" s="117">
        <v>1016.96</v>
      </c>
      <c r="G810" s="117">
        <f>SUMIF(CONFERÊNCIA!A:A,A810,CONFERÊNCIA!J:J)</f>
        <v>1016.96</v>
      </c>
      <c r="H810" s="119">
        <f t="shared" si="70"/>
        <v>0</v>
      </c>
      <c r="I810" s="240" t="s">
        <v>1229</v>
      </c>
    </row>
    <row r="811" spans="1:9" x14ac:dyDescent="0.25">
      <c r="A811" s="230">
        <v>120180</v>
      </c>
      <c r="B811" s="162" t="s">
        <v>1494</v>
      </c>
      <c r="C811" s="162" t="s">
        <v>580</v>
      </c>
      <c r="D811" s="162" t="s">
        <v>1578</v>
      </c>
      <c r="E811" s="231">
        <v>44791</v>
      </c>
      <c r="F811" s="117">
        <v>1016.96</v>
      </c>
      <c r="G811" s="117">
        <f>SUMIF(CONFERÊNCIA!A:A,A811,CONFERÊNCIA!J:J)</f>
        <v>1016.96</v>
      </c>
      <c r="H811" s="119">
        <f t="shared" si="70"/>
        <v>0</v>
      </c>
      <c r="I811" s="240" t="s">
        <v>1230</v>
      </c>
    </row>
    <row r="812" spans="1:9" x14ac:dyDescent="0.25">
      <c r="A812" s="230">
        <v>113325</v>
      </c>
      <c r="B812" s="162" t="s">
        <v>707</v>
      </c>
      <c r="C812" s="162" t="s">
        <v>22</v>
      </c>
      <c r="D812" s="162" t="s">
        <v>1578</v>
      </c>
      <c r="E812" s="231">
        <v>43617</v>
      </c>
      <c r="F812" s="117">
        <v>940.39</v>
      </c>
      <c r="G812" s="117">
        <f>SUMIF(CONFERÊNCIA!A:A,A812,CONFERÊNCIA!J:J)</f>
        <v>1016.96</v>
      </c>
      <c r="H812" s="119">
        <f t="shared" si="70"/>
        <v>76.57000000000005</v>
      </c>
      <c r="I812" s="240" t="s">
        <v>1229</v>
      </c>
    </row>
    <row r="813" spans="1:9" x14ac:dyDescent="0.25">
      <c r="A813" s="230">
        <v>113403</v>
      </c>
      <c r="B813" s="162" t="s">
        <v>756</v>
      </c>
      <c r="C813" s="162" t="s">
        <v>2</v>
      </c>
      <c r="D813" s="162" t="s">
        <v>0</v>
      </c>
      <c r="E813" s="231">
        <v>43617</v>
      </c>
      <c r="F813" s="117">
        <v>359.46</v>
      </c>
      <c r="G813" s="117">
        <f>SUMIF(CONFERÊNCIA!A:A,A813,CONFERÊNCIA!J:J)</f>
        <v>136.75</v>
      </c>
      <c r="H813" s="119">
        <f t="shared" si="70"/>
        <v>-222.70999999999998</v>
      </c>
      <c r="I813" s="240" t="s">
        <v>1279</v>
      </c>
    </row>
    <row r="814" spans="1:9" x14ac:dyDescent="0.25">
      <c r="A814" s="230">
        <v>113160</v>
      </c>
      <c r="B814" s="162" t="s">
        <v>619</v>
      </c>
      <c r="C814" s="162" t="s">
        <v>22</v>
      </c>
      <c r="D814" s="162" t="s">
        <v>1578</v>
      </c>
      <c r="E814" s="231">
        <v>43617</v>
      </c>
      <c r="F814" s="117">
        <v>1016.96</v>
      </c>
      <c r="G814" s="117">
        <f>SUMIF(CONFERÊNCIA!A:A,A814,CONFERÊNCIA!J:J)</f>
        <v>1016.96</v>
      </c>
      <c r="H814" s="119">
        <f t="shared" si="70"/>
        <v>0</v>
      </c>
      <c r="I814" s="240" t="s">
        <v>1230</v>
      </c>
    </row>
    <row r="815" spans="1:9" x14ac:dyDescent="0.25">
      <c r="A815" s="230">
        <v>112442</v>
      </c>
      <c r="B815" s="162" t="s">
        <v>183</v>
      </c>
      <c r="C815" s="162" t="s">
        <v>5</v>
      </c>
      <c r="D815" s="162" t="s">
        <v>8</v>
      </c>
      <c r="E815" s="231">
        <v>43617</v>
      </c>
      <c r="F815" s="117">
        <v>1016.96</v>
      </c>
      <c r="G815" s="117">
        <f>SUMIF(CONFERÊNCIA!A:A,A815,CONFERÊNCIA!J:J)</f>
        <v>1016.96</v>
      </c>
      <c r="H815" s="119">
        <f t="shared" si="70"/>
        <v>0</v>
      </c>
      <c r="I815" s="240" t="s">
        <v>1229</v>
      </c>
    </row>
    <row r="816" spans="1:9" x14ac:dyDescent="0.25">
      <c r="A816" s="230">
        <v>112951</v>
      </c>
      <c r="B816" s="162" t="s">
        <v>515</v>
      </c>
      <c r="C816" s="162" t="s">
        <v>2</v>
      </c>
      <c r="D816" s="162" t="s">
        <v>8</v>
      </c>
      <c r="E816" s="231">
        <v>43617</v>
      </c>
      <c r="F816" s="117">
        <v>1016.96</v>
      </c>
      <c r="G816" s="117">
        <f>SUMIF(CONFERÊNCIA!A:A,A816,CONFERÊNCIA!J:J)</f>
        <v>1016.96</v>
      </c>
      <c r="H816" s="119">
        <f t="shared" si="70"/>
        <v>0</v>
      </c>
      <c r="I816" s="240" t="s">
        <v>1229</v>
      </c>
    </row>
    <row r="817" spans="1:9" x14ac:dyDescent="0.25">
      <c r="A817" s="230">
        <v>112269</v>
      </c>
      <c r="B817" s="162" t="s">
        <v>77</v>
      </c>
      <c r="C817" s="162" t="s">
        <v>2</v>
      </c>
      <c r="D817" s="162" t="s">
        <v>10</v>
      </c>
      <c r="E817" s="231">
        <v>43617</v>
      </c>
      <c r="F817" s="117">
        <v>1016.96</v>
      </c>
      <c r="G817" s="117">
        <f>SUMIF(CONFERÊNCIA!A:A,A817,CONFERÊNCIA!J:J)</f>
        <v>1016.96</v>
      </c>
      <c r="H817" s="119">
        <f t="shared" si="70"/>
        <v>0</v>
      </c>
      <c r="I817" s="240" t="s">
        <v>1229</v>
      </c>
    </row>
    <row r="818" spans="1:9" x14ac:dyDescent="0.25">
      <c r="A818" s="230">
        <v>112337</v>
      </c>
      <c r="B818" s="162" t="s">
        <v>117</v>
      </c>
      <c r="C818" s="162" t="s">
        <v>2</v>
      </c>
      <c r="D818" s="162" t="s">
        <v>10</v>
      </c>
      <c r="E818" s="231">
        <v>43617</v>
      </c>
      <c r="F818" s="117">
        <v>1016.96</v>
      </c>
      <c r="G818" s="117">
        <f>SUMIF(CONFERÊNCIA!A:A,A818,CONFERÊNCIA!J:J)</f>
        <v>1016.96</v>
      </c>
      <c r="H818" s="119">
        <f t="shared" si="70"/>
        <v>0</v>
      </c>
      <c r="I818" s="240" t="s">
        <v>1229</v>
      </c>
    </row>
    <row r="819" spans="1:9" x14ac:dyDescent="0.25">
      <c r="A819" s="230">
        <v>112986</v>
      </c>
      <c r="B819" s="162" t="s">
        <v>531</v>
      </c>
      <c r="C819" s="162" t="s">
        <v>5</v>
      </c>
      <c r="D819" s="162" t="s">
        <v>19</v>
      </c>
      <c r="E819" s="231">
        <v>43617</v>
      </c>
      <c r="F819" s="117">
        <v>1016.96</v>
      </c>
      <c r="G819" s="117">
        <f>SUMIF(CONFERÊNCIA!A:A,A819,CONFERÊNCIA!J:J)</f>
        <v>1016.96</v>
      </c>
      <c r="H819" s="119">
        <f t="shared" si="70"/>
        <v>0</v>
      </c>
      <c r="I819" s="240" t="s">
        <v>1229</v>
      </c>
    </row>
    <row r="820" spans="1:9" x14ac:dyDescent="0.25">
      <c r="A820" s="230">
        <v>113327</v>
      </c>
      <c r="B820" s="162" t="s">
        <v>708</v>
      </c>
      <c r="C820" s="162" t="s">
        <v>22</v>
      </c>
      <c r="D820" s="162" t="s">
        <v>1578</v>
      </c>
      <c r="E820" s="231">
        <v>43617</v>
      </c>
      <c r="F820" s="117">
        <v>1016.96</v>
      </c>
      <c r="G820" s="117">
        <f>SUMIF(CONFERÊNCIA!A:A,A820,CONFERÊNCIA!J:J)</f>
        <v>1016.96</v>
      </c>
      <c r="H820" s="119">
        <f t="shared" si="70"/>
        <v>0</v>
      </c>
      <c r="I820" s="240" t="s">
        <v>1229</v>
      </c>
    </row>
    <row r="821" spans="1:9" x14ac:dyDescent="0.25">
      <c r="A821" s="230">
        <v>112283</v>
      </c>
      <c r="B821" s="162" t="s">
        <v>89</v>
      </c>
      <c r="C821" s="162" t="s">
        <v>2</v>
      </c>
      <c r="D821" s="162" t="s">
        <v>10</v>
      </c>
      <c r="E821" s="231">
        <v>43617</v>
      </c>
      <c r="F821" s="117">
        <v>1016.96</v>
      </c>
      <c r="G821" s="117">
        <f>SUMIF(CONFERÊNCIA!A:A,A821,CONFERÊNCIA!J:J)</f>
        <v>1016.96</v>
      </c>
      <c r="H821" s="119">
        <f t="shared" si="70"/>
        <v>0</v>
      </c>
      <c r="I821" s="240" t="s">
        <v>1229</v>
      </c>
    </row>
    <row r="822" spans="1:9" x14ac:dyDescent="0.25">
      <c r="A822" s="230">
        <v>112223</v>
      </c>
      <c r="B822" s="162" t="s">
        <v>45</v>
      </c>
      <c r="C822" s="162" t="s">
        <v>2</v>
      </c>
      <c r="D822" s="162" t="s">
        <v>0</v>
      </c>
      <c r="E822" s="231">
        <v>43617</v>
      </c>
      <c r="F822" s="117">
        <v>1016.96</v>
      </c>
      <c r="G822" s="117">
        <f>SUMIF(CONFERÊNCIA!A:A,A822,CONFERÊNCIA!J:J)</f>
        <v>1016.96</v>
      </c>
      <c r="H822" s="119">
        <f t="shared" si="70"/>
        <v>0</v>
      </c>
      <c r="I822" s="240" t="s">
        <v>1229</v>
      </c>
    </row>
    <row r="823" spans="1:9" x14ac:dyDescent="0.25">
      <c r="A823" s="230">
        <v>113467</v>
      </c>
      <c r="B823" s="162" t="s">
        <v>795</v>
      </c>
      <c r="C823" s="162" t="s">
        <v>2</v>
      </c>
      <c r="D823" s="162" t="s">
        <v>0</v>
      </c>
      <c r="E823" s="231">
        <v>43617</v>
      </c>
      <c r="F823" s="117">
        <v>1016.96</v>
      </c>
      <c r="G823" s="117">
        <f>SUMIF(CONFERÊNCIA!A:A,A823,CONFERÊNCIA!J:J)</f>
        <v>1016.96</v>
      </c>
      <c r="H823" s="119">
        <f t="shared" si="70"/>
        <v>0</v>
      </c>
      <c r="I823" s="240" t="s">
        <v>1229</v>
      </c>
    </row>
    <row r="824" spans="1:9" x14ac:dyDescent="0.25">
      <c r="A824" s="230">
        <v>112964</v>
      </c>
      <c r="B824" s="162" t="s">
        <v>523</v>
      </c>
      <c r="C824" s="162" t="s">
        <v>5</v>
      </c>
      <c r="D824" s="162" t="s">
        <v>19</v>
      </c>
      <c r="E824" s="231">
        <v>43617</v>
      </c>
      <c r="F824" s="117">
        <v>1016.96</v>
      </c>
      <c r="G824" s="117">
        <f>SUMIF(CONFERÊNCIA!A:A,A824,CONFERÊNCIA!J:J)</f>
        <v>1016.96</v>
      </c>
      <c r="H824" s="119">
        <f t="shared" si="70"/>
        <v>0</v>
      </c>
      <c r="I824" s="240" t="s">
        <v>1229</v>
      </c>
    </row>
    <row r="825" spans="1:9" x14ac:dyDescent="0.25">
      <c r="A825" s="230">
        <v>112952</v>
      </c>
      <c r="B825" s="162" t="s">
        <v>516</v>
      </c>
      <c r="C825" s="162" t="s">
        <v>2</v>
      </c>
      <c r="D825" s="162" t="s">
        <v>8</v>
      </c>
      <c r="E825" s="231">
        <v>43617</v>
      </c>
      <c r="F825" s="117">
        <v>1016.96</v>
      </c>
      <c r="G825" s="117">
        <f>SUMIF(CONFERÊNCIA!A:A,A825,CONFERÊNCIA!J:J)</f>
        <v>1016.96</v>
      </c>
      <c r="H825" s="119">
        <f t="shared" si="70"/>
        <v>0</v>
      </c>
      <c r="I825" s="240" t="s">
        <v>1229</v>
      </c>
    </row>
    <row r="826" spans="1:9" x14ac:dyDescent="0.25">
      <c r="A826" s="230">
        <v>120176</v>
      </c>
      <c r="B826" s="162" t="s">
        <v>1495</v>
      </c>
      <c r="C826" s="162" t="s">
        <v>5</v>
      </c>
      <c r="D826" s="162" t="s">
        <v>32</v>
      </c>
      <c r="E826" s="231">
        <v>44791</v>
      </c>
      <c r="F826" s="117">
        <v>1016.96</v>
      </c>
      <c r="G826" s="117">
        <f>SUMIF(CONFERÊNCIA!A:A,A826,CONFERÊNCIA!J:J)</f>
        <v>1016.96</v>
      </c>
      <c r="H826" s="119">
        <f t="shared" si="70"/>
        <v>0</v>
      </c>
      <c r="I826" s="240" t="s">
        <v>1229</v>
      </c>
    </row>
    <row r="827" spans="1:9" x14ac:dyDescent="0.25">
      <c r="A827" s="230">
        <v>112280</v>
      </c>
      <c r="B827" s="162" t="s">
        <v>86</v>
      </c>
      <c r="C827" s="162" t="s">
        <v>2</v>
      </c>
      <c r="D827" s="162" t="s">
        <v>10</v>
      </c>
      <c r="E827" s="231">
        <v>43617</v>
      </c>
      <c r="F827" s="117">
        <v>1016.96</v>
      </c>
      <c r="G827" s="117">
        <f>SUMIF(CONFERÊNCIA!A:A,A827,CONFERÊNCIA!J:J)</f>
        <v>1016.96</v>
      </c>
      <c r="H827" s="119">
        <f t="shared" si="70"/>
        <v>0</v>
      </c>
      <c r="I827" s="240" t="s">
        <v>1229</v>
      </c>
    </row>
    <row r="828" spans="1:9" x14ac:dyDescent="0.25">
      <c r="A828" s="230">
        <v>113633</v>
      </c>
      <c r="B828" s="162" t="s">
        <v>884</v>
      </c>
      <c r="C828" s="162" t="s">
        <v>15</v>
      </c>
      <c r="D828" s="162" t="s">
        <v>1578</v>
      </c>
      <c r="E828" s="231">
        <v>43617</v>
      </c>
      <c r="F828" s="117">
        <v>1016.96</v>
      </c>
      <c r="G828" s="117">
        <f>SUMIF(CONFERÊNCIA!A:A,A828,CONFERÊNCIA!J:J)</f>
        <v>1016.96</v>
      </c>
      <c r="H828" s="119">
        <f t="shared" si="70"/>
        <v>0</v>
      </c>
      <c r="I828" s="240" t="s">
        <v>1229</v>
      </c>
    </row>
    <row r="829" spans="1:9" x14ac:dyDescent="0.25">
      <c r="A829" s="230">
        <v>113163</v>
      </c>
      <c r="B829" s="162" t="s">
        <v>621</v>
      </c>
      <c r="C829" s="162" t="s">
        <v>22</v>
      </c>
      <c r="D829" s="162" t="s">
        <v>1578</v>
      </c>
      <c r="E829" s="231">
        <v>43617</v>
      </c>
      <c r="F829" s="117">
        <v>1016.96</v>
      </c>
      <c r="G829" s="117">
        <f>SUMIF(CONFERÊNCIA!A:A,A829,CONFERÊNCIA!J:J)</f>
        <v>1016.96</v>
      </c>
      <c r="H829" s="119">
        <f t="shared" ref="H829:H853" si="71">G829-F829</f>
        <v>0</v>
      </c>
      <c r="I829" s="240" t="s">
        <v>1230</v>
      </c>
    </row>
    <row r="830" spans="1:9" x14ac:dyDescent="0.25">
      <c r="A830" s="230">
        <v>114926</v>
      </c>
      <c r="B830" s="162" t="s">
        <v>1111</v>
      </c>
      <c r="C830" s="162" t="s">
        <v>5</v>
      </c>
      <c r="D830" s="162" t="s">
        <v>1578</v>
      </c>
      <c r="E830" s="231">
        <v>43916</v>
      </c>
      <c r="F830" s="117">
        <v>1016.96</v>
      </c>
      <c r="G830" s="117">
        <f>SUMIF(CONFERÊNCIA!A:A,A830,CONFERÊNCIA!J:J)</f>
        <v>1016.96</v>
      </c>
      <c r="H830" s="119">
        <f t="shared" si="71"/>
        <v>0</v>
      </c>
      <c r="I830" s="240" t="s">
        <v>1229</v>
      </c>
    </row>
    <row r="831" spans="1:9" x14ac:dyDescent="0.25">
      <c r="A831" s="230">
        <v>112330</v>
      </c>
      <c r="B831" s="162" t="s">
        <v>112</v>
      </c>
      <c r="C831" s="162" t="s">
        <v>2</v>
      </c>
      <c r="D831" s="162" t="s">
        <v>10</v>
      </c>
      <c r="E831" s="231">
        <v>43617</v>
      </c>
      <c r="F831" s="117">
        <v>1016.96</v>
      </c>
      <c r="G831" s="117">
        <f>SUMIF(CONFERÊNCIA!A:A,A831,CONFERÊNCIA!J:J)</f>
        <v>1016.96</v>
      </c>
      <c r="H831" s="119">
        <f t="shared" si="71"/>
        <v>0</v>
      </c>
      <c r="I831" s="240" t="s">
        <v>1229</v>
      </c>
    </row>
    <row r="832" spans="1:9" x14ac:dyDescent="0.25">
      <c r="A832" s="230">
        <v>113635</v>
      </c>
      <c r="B832" s="162" t="s">
        <v>886</v>
      </c>
      <c r="C832" s="162" t="s">
        <v>15</v>
      </c>
      <c r="D832" s="162" t="s">
        <v>1578</v>
      </c>
      <c r="E832" s="231">
        <v>43617</v>
      </c>
      <c r="F832" s="117">
        <v>1016.96</v>
      </c>
      <c r="G832" s="117">
        <f>SUMIF(CONFERÊNCIA!A:A,A832,CONFERÊNCIA!J:J)</f>
        <v>1016.96</v>
      </c>
      <c r="H832" s="119">
        <f t="shared" si="71"/>
        <v>0</v>
      </c>
      <c r="I832" s="240" t="s">
        <v>1229</v>
      </c>
    </row>
    <row r="833" spans="1:9" x14ac:dyDescent="0.25">
      <c r="A833" s="230">
        <v>112526</v>
      </c>
      <c r="B833" s="162" t="s">
        <v>239</v>
      </c>
      <c r="C833" s="162" t="s">
        <v>2</v>
      </c>
      <c r="D833" s="162" t="s">
        <v>8</v>
      </c>
      <c r="E833" s="231">
        <v>43617</v>
      </c>
      <c r="F833" s="117">
        <v>1016.96</v>
      </c>
      <c r="G833" s="117">
        <f>SUMIF(CONFERÊNCIA!A:A,A833,CONFERÊNCIA!J:J)</f>
        <v>1016.96</v>
      </c>
      <c r="H833" s="119">
        <f t="shared" si="71"/>
        <v>0</v>
      </c>
      <c r="I833" s="240" t="s">
        <v>1229</v>
      </c>
    </row>
    <row r="834" spans="1:9" x14ac:dyDescent="0.25">
      <c r="A834" s="230">
        <v>114712</v>
      </c>
      <c r="B834" s="162" t="s">
        <v>1078</v>
      </c>
      <c r="C834" s="162" t="s">
        <v>2</v>
      </c>
      <c r="D834" s="162" t="s">
        <v>10</v>
      </c>
      <c r="E834" s="231">
        <v>43874</v>
      </c>
      <c r="F834" s="117">
        <v>1016.96</v>
      </c>
      <c r="G834" s="117">
        <f>SUMIF(CONFERÊNCIA!A:A,A834,CONFERÊNCIA!J:J)</f>
        <v>1016.96</v>
      </c>
      <c r="H834" s="119">
        <f t="shared" si="71"/>
        <v>0</v>
      </c>
      <c r="I834" s="240" t="s">
        <v>1229</v>
      </c>
    </row>
    <row r="835" spans="1:9" x14ac:dyDescent="0.25">
      <c r="A835" s="230">
        <v>114110</v>
      </c>
      <c r="B835" s="162" t="s">
        <v>1009</v>
      </c>
      <c r="C835" s="162" t="s">
        <v>5</v>
      </c>
      <c r="D835" s="162" t="s">
        <v>8</v>
      </c>
      <c r="E835" s="231">
        <v>43728</v>
      </c>
      <c r="F835" s="117">
        <v>1016.96</v>
      </c>
      <c r="G835" s="117">
        <f>SUMIF(CONFERÊNCIA!A:A,A835,CONFERÊNCIA!J:J)</f>
        <v>1016.96</v>
      </c>
      <c r="H835" s="119">
        <f t="shared" si="71"/>
        <v>0</v>
      </c>
      <c r="I835" s="240" t="s">
        <v>1229</v>
      </c>
    </row>
    <row r="836" spans="1:9" x14ac:dyDescent="0.25">
      <c r="A836" s="230">
        <v>112188</v>
      </c>
      <c r="B836" s="162" t="s">
        <v>23</v>
      </c>
      <c r="C836" s="162" t="s">
        <v>39</v>
      </c>
      <c r="D836" s="162" t="s">
        <v>19</v>
      </c>
      <c r="E836" s="231">
        <v>43617</v>
      </c>
      <c r="F836" s="117">
        <v>1016.96</v>
      </c>
      <c r="G836" s="117">
        <f>SUMIF(CONFERÊNCIA!A:A,A836,CONFERÊNCIA!J:J)</f>
        <v>1016.96</v>
      </c>
      <c r="H836" s="119">
        <f t="shared" si="71"/>
        <v>0</v>
      </c>
      <c r="I836" s="240" t="s">
        <v>1229</v>
      </c>
    </row>
    <row r="837" spans="1:9" x14ac:dyDescent="0.25">
      <c r="A837" s="230">
        <v>112189</v>
      </c>
      <c r="B837" s="162" t="s">
        <v>24</v>
      </c>
      <c r="C837" s="162" t="s">
        <v>2</v>
      </c>
      <c r="D837" s="162" t="s">
        <v>32</v>
      </c>
      <c r="E837" s="231">
        <v>43617</v>
      </c>
      <c r="F837" s="117">
        <v>1016.96</v>
      </c>
      <c r="G837" s="117">
        <f>SUMIF(CONFERÊNCIA!A:A,A837,CONFERÊNCIA!J:J)</f>
        <v>1016.96</v>
      </c>
      <c r="H837" s="119">
        <f t="shared" si="71"/>
        <v>0</v>
      </c>
      <c r="I837" s="240" t="s">
        <v>1229</v>
      </c>
    </row>
    <row r="838" spans="1:9" x14ac:dyDescent="0.25">
      <c r="A838" s="230">
        <v>116976</v>
      </c>
      <c r="B838" s="162" t="s">
        <v>1238</v>
      </c>
      <c r="C838" s="162" t="s">
        <v>5</v>
      </c>
      <c r="D838" s="162" t="s">
        <v>0</v>
      </c>
      <c r="E838" s="231">
        <v>44419</v>
      </c>
      <c r="F838" s="117">
        <v>1016.96</v>
      </c>
      <c r="G838" s="117">
        <f>SUMIF(CONFERÊNCIA!A:A,A838,CONFERÊNCIA!J:J)</f>
        <v>1016.96</v>
      </c>
      <c r="H838" s="119">
        <f t="shared" si="71"/>
        <v>0</v>
      </c>
      <c r="I838" s="240" t="s">
        <v>1229</v>
      </c>
    </row>
    <row r="839" spans="1:9" x14ac:dyDescent="0.25">
      <c r="A839" s="230">
        <v>113921</v>
      </c>
      <c r="B839" s="162" t="s">
        <v>987</v>
      </c>
      <c r="C839" s="162" t="s">
        <v>146</v>
      </c>
      <c r="D839" s="162" t="s">
        <v>32</v>
      </c>
      <c r="E839" s="231">
        <v>43682</v>
      </c>
      <c r="F839" s="117">
        <v>1016.96</v>
      </c>
      <c r="G839" s="117">
        <f>SUMIF(CONFERÊNCIA!A:A,A839,CONFERÊNCIA!J:J)</f>
        <v>1016.96</v>
      </c>
      <c r="H839" s="119">
        <f t="shared" si="71"/>
        <v>0</v>
      </c>
      <c r="I839" s="240" t="s">
        <v>1230</v>
      </c>
    </row>
    <row r="840" spans="1:9" x14ac:dyDescent="0.25">
      <c r="A840" s="230">
        <v>112205</v>
      </c>
      <c r="B840" s="162" t="s">
        <v>34</v>
      </c>
      <c r="C840" s="162" t="s">
        <v>2</v>
      </c>
      <c r="D840" s="162" t="s">
        <v>0</v>
      </c>
      <c r="E840" s="231">
        <v>43617</v>
      </c>
      <c r="F840" s="117">
        <v>1016.96</v>
      </c>
      <c r="G840" s="117">
        <f>SUMIF(CONFERÊNCIA!A:A,A840,CONFERÊNCIA!J:J)</f>
        <v>1016.96</v>
      </c>
      <c r="H840" s="119">
        <f t="shared" si="71"/>
        <v>0</v>
      </c>
      <c r="I840" s="240" t="s">
        <v>1229</v>
      </c>
    </row>
    <row r="841" spans="1:9" x14ac:dyDescent="0.25">
      <c r="A841" s="230">
        <v>112209</v>
      </c>
      <c r="B841" s="162" t="s">
        <v>36</v>
      </c>
      <c r="C841" s="162" t="s">
        <v>2</v>
      </c>
      <c r="D841" s="162" t="s">
        <v>8</v>
      </c>
      <c r="E841" s="231">
        <v>43617</v>
      </c>
      <c r="F841" s="117">
        <v>1016.96</v>
      </c>
      <c r="G841" s="117">
        <f>SUMIF(CONFERÊNCIA!A:A,A841,CONFERÊNCIA!J:J)</f>
        <v>1016.96</v>
      </c>
      <c r="H841" s="119">
        <f t="shared" si="71"/>
        <v>0</v>
      </c>
      <c r="I841" s="240" t="s">
        <v>1229</v>
      </c>
    </row>
    <row r="842" spans="1:9" x14ac:dyDescent="0.25">
      <c r="A842" s="230">
        <v>116004</v>
      </c>
      <c r="B842" s="162" t="s">
        <v>1168</v>
      </c>
      <c r="C842" s="162" t="s">
        <v>5</v>
      </c>
      <c r="D842" s="162" t="s">
        <v>0</v>
      </c>
      <c r="E842" s="231">
        <v>44207</v>
      </c>
      <c r="F842" s="117">
        <v>1016.96</v>
      </c>
      <c r="G842" s="117">
        <f>SUMIF(CONFERÊNCIA!A:A,A842,CONFERÊNCIA!J:J)</f>
        <v>902.11</v>
      </c>
      <c r="H842" s="119">
        <f t="shared" si="71"/>
        <v>-114.85000000000002</v>
      </c>
      <c r="I842" s="240" t="s">
        <v>1229</v>
      </c>
    </row>
    <row r="843" spans="1:9" x14ac:dyDescent="0.25">
      <c r="A843" s="230">
        <v>112213</v>
      </c>
      <c r="B843" s="162" t="s">
        <v>38</v>
      </c>
      <c r="C843" s="162" t="s">
        <v>2</v>
      </c>
      <c r="D843" s="162" t="s">
        <v>19</v>
      </c>
      <c r="E843" s="231">
        <v>43617</v>
      </c>
      <c r="F843" s="117">
        <v>1016.96</v>
      </c>
      <c r="G843" s="117">
        <f>SUMIF(CONFERÊNCIA!A:A,A843,CONFERÊNCIA!J:J)</f>
        <v>1016.96</v>
      </c>
      <c r="H843" s="119">
        <f t="shared" si="71"/>
        <v>0</v>
      </c>
      <c r="I843" s="240" t="s">
        <v>1229</v>
      </c>
    </row>
    <row r="844" spans="1:9" x14ac:dyDescent="0.25">
      <c r="A844" s="230">
        <v>112222</v>
      </c>
      <c r="B844" s="162" t="s">
        <v>43</v>
      </c>
      <c r="C844" s="162" t="s">
        <v>2</v>
      </c>
      <c r="D844" s="162" t="s">
        <v>8</v>
      </c>
      <c r="E844" s="231">
        <v>43617</v>
      </c>
      <c r="F844" s="117">
        <v>1016.96</v>
      </c>
      <c r="G844" s="117">
        <f>SUMIF(CONFERÊNCIA!A:A,A844,CONFERÊNCIA!J:J)</f>
        <v>1016.96</v>
      </c>
      <c r="H844" s="119">
        <f t="shared" si="71"/>
        <v>0</v>
      </c>
      <c r="I844" s="240" t="s">
        <v>1229</v>
      </c>
    </row>
    <row r="845" spans="1:9" x14ac:dyDescent="0.25">
      <c r="A845" s="230">
        <v>112227</v>
      </c>
      <c r="B845" s="162" t="s">
        <v>49</v>
      </c>
      <c r="C845" s="162" t="s">
        <v>5</v>
      </c>
      <c r="D845" s="162" t="s">
        <v>0</v>
      </c>
      <c r="E845" s="231">
        <v>43617</v>
      </c>
      <c r="F845" s="117">
        <v>1016.96</v>
      </c>
      <c r="G845" s="117">
        <f>SUMIF(CONFERÊNCIA!A:A,A845,CONFERÊNCIA!J:J)</f>
        <v>1016.96</v>
      </c>
      <c r="H845" s="119">
        <f t="shared" si="71"/>
        <v>0</v>
      </c>
      <c r="I845" s="240" t="s">
        <v>1229</v>
      </c>
    </row>
    <row r="846" spans="1:9" x14ac:dyDescent="0.25">
      <c r="A846" s="230">
        <v>114953</v>
      </c>
      <c r="B846" s="162" t="s">
        <v>1124</v>
      </c>
      <c r="C846" s="162" t="s">
        <v>15</v>
      </c>
      <c r="D846" s="162" t="s">
        <v>1578</v>
      </c>
      <c r="E846" s="231">
        <v>43916</v>
      </c>
      <c r="F846" s="117">
        <v>1016.96</v>
      </c>
      <c r="G846" s="117">
        <f>SUMIF(CONFERÊNCIA!A:A,A846,CONFERÊNCIA!J:J)</f>
        <v>1016.96</v>
      </c>
      <c r="H846" s="119">
        <f t="shared" si="71"/>
        <v>0</v>
      </c>
      <c r="I846" s="240" t="s">
        <v>1229</v>
      </c>
    </row>
    <row r="847" spans="1:9" x14ac:dyDescent="0.25">
      <c r="A847" s="230">
        <v>112239</v>
      </c>
      <c r="B847" s="162" t="s">
        <v>57</v>
      </c>
      <c r="C847" s="162" t="s">
        <v>2</v>
      </c>
      <c r="D847" s="162" t="s">
        <v>10</v>
      </c>
      <c r="E847" s="231">
        <v>43617</v>
      </c>
      <c r="F847" s="117">
        <v>1016.96</v>
      </c>
      <c r="G847" s="117">
        <f>SUMIF(CONFERÊNCIA!A:A,A847,CONFERÊNCIA!J:J)</f>
        <v>1016.96</v>
      </c>
      <c r="H847" s="119">
        <f t="shared" si="71"/>
        <v>0</v>
      </c>
      <c r="I847" s="240" t="s">
        <v>1229</v>
      </c>
    </row>
    <row r="848" spans="1:9" x14ac:dyDescent="0.25">
      <c r="A848" s="230">
        <v>112253</v>
      </c>
      <c r="B848" s="162" t="s">
        <v>64</v>
      </c>
      <c r="C848" s="162" t="s">
        <v>15</v>
      </c>
      <c r="D848" s="162" t="s">
        <v>1578</v>
      </c>
      <c r="E848" s="231">
        <v>43617</v>
      </c>
      <c r="F848" s="117">
        <v>1016.96</v>
      </c>
      <c r="G848" s="117">
        <f>SUMIF(CONFERÊNCIA!A:A,A848,CONFERÊNCIA!J:J)</f>
        <v>1016.96</v>
      </c>
      <c r="H848" s="119">
        <f t="shared" si="71"/>
        <v>0</v>
      </c>
      <c r="I848" s="240" t="s">
        <v>1229</v>
      </c>
    </row>
    <row r="849" spans="1:9" x14ac:dyDescent="0.25">
      <c r="A849" s="230">
        <v>114940</v>
      </c>
      <c r="B849" s="162" t="s">
        <v>1120</v>
      </c>
      <c r="C849" s="162" t="s">
        <v>5</v>
      </c>
      <c r="D849" s="162" t="s">
        <v>1578</v>
      </c>
      <c r="E849" s="231">
        <v>43916</v>
      </c>
      <c r="F849" s="117">
        <v>1016.96</v>
      </c>
      <c r="G849" s="117">
        <f>SUMIF(CONFERÊNCIA!A:A,A849,CONFERÊNCIA!J:J)</f>
        <v>1016.96</v>
      </c>
      <c r="H849" s="119">
        <f t="shared" si="71"/>
        <v>0</v>
      </c>
      <c r="I849" s="240" t="s">
        <v>1229</v>
      </c>
    </row>
    <row r="850" spans="1:9" x14ac:dyDescent="0.25">
      <c r="A850" s="230">
        <v>112256</v>
      </c>
      <c r="B850" s="162" t="s">
        <v>67</v>
      </c>
      <c r="C850" s="162" t="s">
        <v>5</v>
      </c>
      <c r="D850" s="162" t="s">
        <v>1578</v>
      </c>
      <c r="E850" s="231">
        <v>43617</v>
      </c>
      <c r="F850" s="117">
        <v>1016.96</v>
      </c>
      <c r="G850" s="117">
        <f>SUMIF(CONFERÊNCIA!A:A,A850,CONFERÊNCIA!J:J)</f>
        <v>1016.96</v>
      </c>
      <c r="H850" s="119">
        <f t="shared" si="71"/>
        <v>0</v>
      </c>
      <c r="I850" s="240" t="s">
        <v>1229</v>
      </c>
    </row>
    <row r="851" spans="1:9" x14ac:dyDescent="0.25">
      <c r="A851" s="230">
        <v>112268</v>
      </c>
      <c r="B851" s="162" t="s">
        <v>76</v>
      </c>
      <c r="C851" s="162" t="s">
        <v>2</v>
      </c>
      <c r="D851" s="162" t="s">
        <v>10</v>
      </c>
      <c r="E851" s="231">
        <v>43617</v>
      </c>
      <c r="F851" s="117">
        <v>1016.96</v>
      </c>
      <c r="G851" s="117">
        <f>SUMIF(CONFERÊNCIA!A:A,A851,CONFERÊNCIA!J:J)</f>
        <v>1016.96</v>
      </c>
      <c r="H851" s="119">
        <f t="shared" si="71"/>
        <v>0</v>
      </c>
      <c r="I851" s="240" t="s">
        <v>1229</v>
      </c>
    </row>
    <row r="852" spans="1:9" x14ac:dyDescent="0.25">
      <c r="A852" s="230">
        <v>112273</v>
      </c>
      <c r="B852" s="162" t="s">
        <v>79</v>
      </c>
      <c r="C852" s="162" t="s">
        <v>5</v>
      </c>
      <c r="D852" s="162" t="s">
        <v>32</v>
      </c>
      <c r="E852" s="231">
        <v>43617</v>
      </c>
      <c r="F852" s="117">
        <v>1016.96</v>
      </c>
      <c r="G852" s="117">
        <f>SUMIF(CONFERÊNCIA!A:A,A852,CONFERÊNCIA!J:J)</f>
        <v>1016.96</v>
      </c>
      <c r="H852" s="119">
        <f t="shared" si="71"/>
        <v>0</v>
      </c>
      <c r="I852" s="240" t="s">
        <v>1229</v>
      </c>
    </row>
    <row r="853" spans="1:9" x14ac:dyDescent="0.25">
      <c r="A853" s="230">
        <v>112281</v>
      </c>
      <c r="B853" s="162" t="s">
        <v>87</v>
      </c>
      <c r="C853" s="162" t="s">
        <v>22</v>
      </c>
      <c r="D853" s="162" t="s">
        <v>1578</v>
      </c>
      <c r="E853" s="231">
        <v>43617</v>
      </c>
      <c r="F853" s="117">
        <v>1016.96</v>
      </c>
      <c r="G853" s="117">
        <f>SUMIF(CONFERÊNCIA!A:A,A853,CONFERÊNCIA!J:J)</f>
        <v>1016.96</v>
      </c>
      <c r="H853" s="119">
        <f t="shared" si="71"/>
        <v>0</v>
      </c>
      <c r="I853" s="240" t="s">
        <v>1229</v>
      </c>
    </row>
    <row r="854" spans="1:9" x14ac:dyDescent="0.25">
      <c r="A854" s="230">
        <v>119921</v>
      </c>
      <c r="B854" s="162" t="s">
        <v>1478</v>
      </c>
      <c r="C854" s="162" t="s">
        <v>5</v>
      </c>
      <c r="D854" s="162" t="s">
        <v>0</v>
      </c>
      <c r="E854" s="231">
        <v>44760</v>
      </c>
      <c r="F854" s="117">
        <v>1016.96</v>
      </c>
      <c r="G854" s="117">
        <f>SUMIF(CONFERÊNCIA!A:A,A854,CONFERÊNCIA!J:J)</f>
        <v>0</v>
      </c>
      <c r="H854" s="119">
        <f t="shared" ref="H854:H878" si="72">G854-F854</f>
        <v>-1016.96</v>
      </c>
      <c r="I854" s="240" t="s">
        <v>1287</v>
      </c>
    </row>
    <row r="855" spans="1:9" x14ac:dyDescent="0.25">
      <c r="A855" s="230">
        <v>112292</v>
      </c>
      <c r="B855" s="162" t="s">
        <v>92</v>
      </c>
      <c r="C855" s="162" t="s">
        <v>15</v>
      </c>
      <c r="D855" s="162" t="s">
        <v>1578</v>
      </c>
      <c r="E855" s="231">
        <v>43617</v>
      </c>
      <c r="F855" s="117">
        <v>1016.96</v>
      </c>
      <c r="G855" s="117">
        <f>SUMIF(CONFERÊNCIA!A:A,A855,CONFERÊNCIA!J:J)</f>
        <v>1016.96</v>
      </c>
      <c r="H855" s="119">
        <f t="shared" si="72"/>
        <v>0</v>
      </c>
      <c r="I855" s="240" t="s">
        <v>1229</v>
      </c>
    </row>
    <row r="856" spans="1:9" x14ac:dyDescent="0.25">
      <c r="A856" s="230">
        <v>121957</v>
      </c>
      <c r="B856" s="162" t="s">
        <v>1610</v>
      </c>
      <c r="C856" s="162" t="s">
        <v>5</v>
      </c>
      <c r="D856" s="162" t="s">
        <v>0</v>
      </c>
      <c r="E856" s="231">
        <v>45040</v>
      </c>
      <c r="F856" s="117">
        <v>1016.96</v>
      </c>
      <c r="G856" s="117">
        <f>SUMIF(CONFERÊNCIA!A:A,A856,CONFERÊNCIA!J:J)</f>
        <v>1016.96</v>
      </c>
      <c r="H856" s="119">
        <f t="shared" si="72"/>
        <v>0</v>
      </c>
      <c r="I856" s="240" t="s">
        <v>1229</v>
      </c>
    </row>
    <row r="857" spans="1:9" x14ac:dyDescent="0.25">
      <c r="A857" s="230">
        <v>112296</v>
      </c>
      <c r="B857" s="162" t="s">
        <v>94</v>
      </c>
      <c r="C857" s="162" t="s">
        <v>5</v>
      </c>
      <c r="D857" s="162" t="s">
        <v>0</v>
      </c>
      <c r="E857" s="231">
        <v>43617</v>
      </c>
      <c r="F857" s="117">
        <v>1016.96</v>
      </c>
      <c r="G857" s="117">
        <f>SUMIF(CONFERÊNCIA!A:A,A857,CONFERÊNCIA!J:J)</f>
        <v>1016.96</v>
      </c>
      <c r="H857" s="119">
        <f t="shared" si="72"/>
        <v>0</v>
      </c>
      <c r="I857" s="240" t="s">
        <v>1229</v>
      </c>
    </row>
    <row r="858" spans="1:9" x14ac:dyDescent="0.25">
      <c r="A858" s="230">
        <v>112309</v>
      </c>
      <c r="B858" s="162" t="s">
        <v>102</v>
      </c>
      <c r="C858" s="162" t="s">
        <v>5</v>
      </c>
      <c r="D858" s="162" t="s">
        <v>19</v>
      </c>
      <c r="E858" s="231">
        <v>43617</v>
      </c>
      <c r="F858" s="117">
        <v>1016.96</v>
      </c>
      <c r="G858" s="117">
        <f>SUMIF(CONFERÊNCIA!A:A,A858,CONFERÊNCIA!J:J)</f>
        <v>1016.96</v>
      </c>
      <c r="H858" s="119">
        <f t="shared" si="72"/>
        <v>0</v>
      </c>
      <c r="I858" s="240" t="s">
        <v>1229</v>
      </c>
    </row>
    <row r="859" spans="1:9" x14ac:dyDescent="0.25">
      <c r="A859" s="230">
        <v>112364</v>
      </c>
      <c r="B859" s="162" t="s">
        <v>132</v>
      </c>
      <c r="C859" s="162" t="s">
        <v>5</v>
      </c>
      <c r="D859" s="162" t="s">
        <v>0</v>
      </c>
      <c r="E859" s="231">
        <v>43617</v>
      </c>
      <c r="F859" s="117">
        <v>978.67000000000007</v>
      </c>
      <c r="G859" s="117">
        <f>SUMIF(CONFERÊNCIA!A:A,A859,CONFERÊNCIA!J:J)</f>
        <v>1016.96</v>
      </c>
      <c r="H859" s="119">
        <f t="shared" si="72"/>
        <v>38.289999999999964</v>
      </c>
      <c r="I859" s="240" t="s">
        <v>1229</v>
      </c>
    </row>
    <row r="860" spans="1:9" x14ac:dyDescent="0.25">
      <c r="A860" s="230">
        <v>112370</v>
      </c>
      <c r="B860" s="162" t="s">
        <v>135</v>
      </c>
      <c r="C860" s="162" t="s">
        <v>5</v>
      </c>
      <c r="D860" s="162" t="s">
        <v>8</v>
      </c>
      <c r="E860" s="231">
        <v>43617</v>
      </c>
      <c r="F860" s="117">
        <v>359.46</v>
      </c>
      <c r="G860" s="117">
        <f>SUMIF(CONFERÊNCIA!A:A,A860,CONFERÊNCIA!J:J)</f>
        <v>1016.96</v>
      </c>
      <c r="H860" s="119">
        <f t="shared" si="72"/>
        <v>657.5</v>
      </c>
      <c r="I860" s="240" t="s">
        <v>1229</v>
      </c>
    </row>
    <row r="861" spans="1:9" x14ac:dyDescent="0.25">
      <c r="A861" s="230">
        <v>114128</v>
      </c>
      <c r="B861" s="162" t="s">
        <v>1014</v>
      </c>
      <c r="C861" s="162" t="s">
        <v>15</v>
      </c>
      <c r="D861" s="162" t="s">
        <v>1578</v>
      </c>
      <c r="E861" s="231">
        <v>43739</v>
      </c>
      <c r="F861" s="117">
        <v>1016.96</v>
      </c>
      <c r="G861" s="117">
        <f>SUMIF(CONFERÊNCIA!A:A,A861,CONFERÊNCIA!J:J)</f>
        <v>1016.96</v>
      </c>
      <c r="H861" s="119">
        <f t="shared" si="72"/>
        <v>0</v>
      </c>
      <c r="I861" s="240" t="s">
        <v>1229</v>
      </c>
    </row>
    <row r="862" spans="1:9" x14ac:dyDescent="0.25">
      <c r="A862" s="230">
        <v>112379</v>
      </c>
      <c r="B862" s="162" t="s">
        <v>142</v>
      </c>
      <c r="C862" s="162" t="s">
        <v>15</v>
      </c>
      <c r="D862" s="162" t="s">
        <v>1578</v>
      </c>
      <c r="E862" s="231">
        <v>43617</v>
      </c>
      <c r="F862" s="117">
        <v>1016.96</v>
      </c>
      <c r="G862" s="117">
        <f>SUMIF(CONFERÊNCIA!A:A,A862,CONFERÊNCIA!J:J)</f>
        <v>1016.96</v>
      </c>
      <c r="H862" s="119">
        <f t="shared" si="72"/>
        <v>0</v>
      </c>
      <c r="I862" s="240" t="s">
        <v>1230</v>
      </c>
    </row>
    <row r="863" spans="1:9" x14ac:dyDescent="0.25">
      <c r="A863" s="230">
        <v>112384</v>
      </c>
      <c r="B863" s="162" t="s">
        <v>148</v>
      </c>
      <c r="C863" s="162" t="s">
        <v>15</v>
      </c>
      <c r="D863" s="162" t="s">
        <v>1578</v>
      </c>
      <c r="E863" s="231">
        <v>43620</v>
      </c>
      <c r="F863" s="117">
        <v>1016.96</v>
      </c>
      <c r="G863" s="117">
        <f>SUMIF(CONFERÊNCIA!A:A,A863,CONFERÊNCIA!J:J)</f>
        <v>1016.96</v>
      </c>
      <c r="H863" s="119">
        <f t="shared" si="72"/>
        <v>0</v>
      </c>
      <c r="I863" s="240" t="s">
        <v>1229</v>
      </c>
    </row>
    <row r="864" spans="1:9" x14ac:dyDescent="0.25">
      <c r="A864" s="230">
        <v>115796</v>
      </c>
      <c r="B864" s="162" t="s">
        <v>1162</v>
      </c>
      <c r="C864" s="162" t="s">
        <v>1655</v>
      </c>
      <c r="D864" s="162" t="s">
        <v>1578</v>
      </c>
      <c r="E864" s="231">
        <v>44145</v>
      </c>
      <c r="F864" s="117">
        <v>1016.96</v>
      </c>
      <c r="G864" s="117">
        <f>SUMIF(CONFERÊNCIA!A:A,A864,CONFERÊNCIA!J:J)</f>
        <v>1016.96</v>
      </c>
      <c r="H864" s="119">
        <f t="shared" si="72"/>
        <v>0</v>
      </c>
      <c r="I864" s="240" t="s">
        <v>1230</v>
      </c>
    </row>
    <row r="865" spans="1:9" x14ac:dyDescent="0.25">
      <c r="A865" s="230">
        <v>112394</v>
      </c>
      <c r="B865" s="162" t="s">
        <v>152</v>
      </c>
      <c r="C865" s="162" t="s">
        <v>2</v>
      </c>
      <c r="D865" s="162" t="s">
        <v>0</v>
      </c>
      <c r="E865" s="231">
        <v>43617</v>
      </c>
      <c r="F865" s="117">
        <v>1016.96</v>
      </c>
      <c r="G865" s="117">
        <f>SUMIF(CONFERÊNCIA!A:A,A865,CONFERÊNCIA!J:J)</f>
        <v>1016.96</v>
      </c>
      <c r="H865" s="119">
        <f t="shared" si="72"/>
        <v>0</v>
      </c>
      <c r="I865" s="240" t="s">
        <v>1229</v>
      </c>
    </row>
    <row r="866" spans="1:9" x14ac:dyDescent="0.25">
      <c r="A866" s="230">
        <v>113762</v>
      </c>
      <c r="B866" s="162" t="s">
        <v>964</v>
      </c>
      <c r="C866" s="162" t="s">
        <v>469</v>
      </c>
      <c r="D866" s="162" t="s">
        <v>0</v>
      </c>
      <c r="E866" s="231">
        <v>43621</v>
      </c>
      <c r="F866" s="117">
        <v>1016.96</v>
      </c>
      <c r="G866" s="117">
        <f>SUMIF(CONFERÊNCIA!A:A,A866,CONFERÊNCIA!J:J)</f>
        <v>1016.96</v>
      </c>
      <c r="H866" s="119">
        <f t="shared" si="72"/>
        <v>0</v>
      </c>
      <c r="I866" s="240" t="s">
        <v>1229</v>
      </c>
    </row>
    <row r="867" spans="1:9" x14ac:dyDescent="0.25">
      <c r="A867" s="230">
        <v>116234</v>
      </c>
      <c r="B867" s="162" t="s">
        <v>1194</v>
      </c>
      <c r="C867" s="162" t="s">
        <v>2</v>
      </c>
      <c r="D867" s="162" t="s">
        <v>8</v>
      </c>
      <c r="E867" s="231">
        <v>44273</v>
      </c>
      <c r="F867" s="117">
        <v>1016.96</v>
      </c>
      <c r="G867" s="117">
        <f>SUMIF(CONFERÊNCIA!A:A,A867,CONFERÊNCIA!J:J)</f>
        <v>1016.96</v>
      </c>
      <c r="H867" s="119">
        <f t="shared" si="72"/>
        <v>0</v>
      </c>
      <c r="I867" s="240" t="s">
        <v>1229</v>
      </c>
    </row>
    <row r="868" spans="1:9" x14ac:dyDescent="0.25">
      <c r="A868" s="230">
        <v>112401</v>
      </c>
      <c r="B868" s="162" t="s">
        <v>157</v>
      </c>
      <c r="C868" s="162" t="s">
        <v>15</v>
      </c>
      <c r="D868" s="162" t="s">
        <v>1578</v>
      </c>
      <c r="E868" s="231">
        <v>43627</v>
      </c>
      <c r="F868" s="117">
        <v>1016.96</v>
      </c>
      <c r="G868" s="117">
        <f>SUMIF(CONFERÊNCIA!A:A,A868,CONFERÊNCIA!J:J)</f>
        <v>1016.96</v>
      </c>
      <c r="H868" s="119">
        <f t="shared" si="72"/>
        <v>0</v>
      </c>
      <c r="I868" s="240" t="s">
        <v>1229</v>
      </c>
    </row>
    <row r="869" spans="1:9" x14ac:dyDescent="0.25">
      <c r="A869" s="230">
        <v>117236</v>
      </c>
      <c r="B869" s="162" t="s">
        <v>1253</v>
      </c>
      <c r="C869" s="162" t="s">
        <v>2</v>
      </c>
      <c r="D869" s="162" t="s">
        <v>0</v>
      </c>
      <c r="E869" s="231">
        <v>44487</v>
      </c>
      <c r="F869" s="117">
        <v>1016.96</v>
      </c>
      <c r="G869" s="117">
        <f>SUMIF(CONFERÊNCIA!A:A,A869,CONFERÊNCIA!J:J)</f>
        <v>1016.96</v>
      </c>
      <c r="H869" s="119">
        <f t="shared" si="72"/>
        <v>0</v>
      </c>
      <c r="I869" s="240" t="s">
        <v>1229</v>
      </c>
    </row>
    <row r="870" spans="1:9" x14ac:dyDescent="0.25">
      <c r="A870" s="230">
        <v>119647</v>
      </c>
      <c r="B870" s="162" t="s">
        <v>1466</v>
      </c>
      <c r="C870" s="162" t="s">
        <v>1650</v>
      </c>
      <c r="D870" s="162" t="s">
        <v>1578</v>
      </c>
      <c r="E870" s="231">
        <v>44725</v>
      </c>
      <c r="F870" s="117">
        <v>1016.96</v>
      </c>
      <c r="G870" s="117">
        <f>SUMIF(CONFERÊNCIA!A:A,A870,CONFERÊNCIA!J:J)</f>
        <v>1016.96</v>
      </c>
      <c r="H870" s="119">
        <f t="shared" si="72"/>
        <v>0</v>
      </c>
      <c r="I870" s="240" t="s">
        <v>1230</v>
      </c>
    </row>
    <row r="871" spans="1:9" x14ac:dyDescent="0.25">
      <c r="A871" s="230">
        <v>112415</v>
      </c>
      <c r="B871" s="162" t="s">
        <v>166</v>
      </c>
      <c r="C871" s="162" t="s">
        <v>22</v>
      </c>
      <c r="D871" s="162" t="s">
        <v>1578</v>
      </c>
      <c r="E871" s="231">
        <v>43617</v>
      </c>
      <c r="F871" s="117">
        <v>1016.96</v>
      </c>
      <c r="G871" s="117">
        <f>SUMIF(CONFERÊNCIA!A:A,A871,CONFERÊNCIA!J:J)</f>
        <v>1016.96</v>
      </c>
      <c r="H871" s="119">
        <f t="shared" si="72"/>
        <v>0</v>
      </c>
      <c r="I871" s="240" t="s">
        <v>1229</v>
      </c>
    </row>
    <row r="872" spans="1:9" x14ac:dyDescent="0.25">
      <c r="A872" s="230">
        <v>112418</v>
      </c>
      <c r="B872" s="162" t="s">
        <v>168</v>
      </c>
      <c r="C872" s="162" t="s">
        <v>2</v>
      </c>
      <c r="D872" s="162" t="s">
        <v>0</v>
      </c>
      <c r="E872" s="231">
        <v>43617</v>
      </c>
      <c r="F872" s="117">
        <v>1016.96</v>
      </c>
      <c r="G872" s="117">
        <f>SUMIF(CONFERÊNCIA!A:A,A872,CONFERÊNCIA!J:J)</f>
        <v>1016.96</v>
      </c>
      <c r="H872" s="119">
        <f t="shared" si="72"/>
        <v>0</v>
      </c>
      <c r="I872" s="240" t="s">
        <v>1229</v>
      </c>
    </row>
    <row r="873" spans="1:9" x14ac:dyDescent="0.25">
      <c r="A873" s="230">
        <v>112421</v>
      </c>
      <c r="B873" s="162" t="s">
        <v>170</v>
      </c>
      <c r="C873" s="162" t="s">
        <v>5</v>
      </c>
      <c r="D873" s="162" t="s">
        <v>8</v>
      </c>
      <c r="E873" s="231">
        <v>43617</v>
      </c>
      <c r="F873" s="117">
        <v>1016.96</v>
      </c>
      <c r="G873" s="117">
        <f>SUMIF(CONFERÊNCIA!A:A,A873,CONFERÊNCIA!J:J)</f>
        <v>1016.96</v>
      </c>
      <c r="H873" s="119">
        <f t="shared" si="72"/>
        <v>0</v>
      </c>
      <c r="I873" s="240" t="s">
        <v>1229</v>
      </c>
    </row>
    <row r="874" spans="1:9" x14ac:dyDescent="0.25">
      <c r="A874" s="230">
        <v>112431</v>
      </c>
      <c r="B874" s="162" t="s">
        <v>174</v>
      </c>
      <c r="C874" s="162" t="s">
        <v>5</v>
      </c>
      <c r="D874" s="162" t="s">
        <v>10</v>
      </c>
      <c r="E874" s="231">
        <v>43617</v>
      </c>
      <c r="F874" s="117">
        <v>1016.96</v>
      </c>
      <c r="G874" s="117">
        <f>SUMIF(CONFERÊNCIA!A:A,A874,CONFERÊNCIA!J:J)</f>
        <v>1016.96</v>
      </c>
      <c r="H874" s="119">
        <f t="shared" si="72"/>
        <v>0</v>
      </c>
      <c r="I874" s="240" t="s">
        <v>1229</v>
      </c>
    </row>
    <row r="875" spans="1:9" x14ac:dyDescent="0.25">
      <c r="A875" s="230">
        <v>112437</v>
      </c>
      <c r="B875" s="162" t="s">
        <v>179</v>
      </c>
      <c r="C875" s="162" t="s">
        <v>15</v>
      </c>
      <c r="D875" s="162" t="s">
        <v>1578</v>
      </c>
      <c r="E875" s="231">
        <v>43617</v>
      </c>
      <c r="F875" s="117">
        <v>1016.96</v>
      </c>
      <c r="G875" s="117">
        <f>SUMIF(CONFERÊNCIA!A:A,A875,CONFERÊNCIA!J:J)</f>
        <v>1016.96</v>
      </c>
      <c r="H875" s="119">
        <f t="shared" si="72"/>
        <v>0</v>
      </c>
      <c r="I875" s="240" t="s">
        <v>1229</v>
      </c>
    </row>
    <row r="876" spans="1:9" x14ac:dyDescent="0.25">
      <c r="A876" s="230">
        <v>112470</v>
      </c>
      <c r="B876" s="162" t="s">
        <v>199</v>
      </c>
      <c r="C876" s="162" t="s">
        <v>5</v>
      </c>
      <c r="D876" s="162" t="s">
        <v>0</v>
      </c>
      <c r="E876" s="231">
        <v>43617</v>
      </c>
      <c r="F876" s="117">
        <v>1016.96</v>
      </c>
      <c r="G876" s="117">
        <f>SUMIF(CONFERÊNCIA!A:A,A876,CONFERÊNCIA!J:J)</f>
        <v>1016.96</v>
      </c>
      <c r="H876" s="119">
        <f t="shared" si="72"/>
        <v>0</v>
      </c>
      <c r="I876" s="240" t="s">
        <v>1229</v>
      </c>
    </row>
    <row r="877" spans="1:9" x14ac:dyDescent="0.25">
      <c r="A877" s="230">
        <v>122837</v>
      </c>
      <c r="B877" s="162" t="s">
        <v>1724</v>
      </c>
      <c r="C877" s="162" t="s">
        <v>5</v>
      </c>
      <c r="D877" s="162" t="s">
        <v>1578</v>
      </c>
      <c r="E877" s="231">
        <v>45180</v>
      </c>
      <c r="F877" s="117">
        <v>0</v>
      </c>
      <c r="G877" s="117">
        <f>SUMIF(CONFERÊNCIA!A:A,A877,CONFERÊNCIA!J:J)</f>
        <v>1016.96</v>
      </c>
      <c r="H877" s="119">
        <f t="shared" si="72"/>
        <v>1016.96</v>
      </c>
      <c r="I877" s="240" t="s">
        <v>1231</v>
      </c>
    </row>
    <row r="878" spans="1:9" x14ac:dyDescent="0.25">
      <c r="A878" s="230">
        <v>122560</v>
      </c>
      <c r="B878" s="162" t="s">
        <v>1691</v>
      </c>
      <c r="C878" s="162" t="s">
        <v>5</v>
      </c>
      <c r="D878" s="162" t="s">
        <v>32</v>
      </c>
      <c r="E878" s="231">
        <v>45131</v>
      </c>
      <c r="F878" s="117">
        <v>978.67000000000007</v>
      </c>
      <c r="G878" s="117">
        <f>SUMIF(CONFERÊNCIA!A:A,A878,CONFERÊNCIA!J:J)</f>
        <v>1016.96</v>
      </c>
      <c r="H878" s="119">
        <f t="shared" si="72"/>
        <v>38.289999999999964</v>
      </c>
      <c r="I878" s="240" t="s">
        <v>1229</v>
      </c>
    </row>
    <row r="879" spans="1:9" x14ac:dyDescent="0.25">
      <c r="A879" s="230">
        <v>113782</v>
      </c>
      <c r="B879" s="162" t="s">
        <v>976</v>
      </c>
      <c r="C879" s="162" t="s">
        <v>977</v>
      </c>
      <c r="D879" s="162" t="s">
        <v>1578</v>
      </c>
      <c r="E879" s="231">
        <v>43626</v>
      </c>
      <c r="F879" s="117">
        <v>1016.96</v>
      </c>
      <c r="G879" s="117">
        <f>SUMIF(CONFERÊNCIA!A:A,A879,CONFERÊNCIA!J:J)</f>
        <v>1016.96</v>
      </c>
      <c r="H879" s="119">
        <f t="shared" ref="H879:H900" si="73">G879-F879</f>
        <v>0</v>
      </c>
      <c r="I879" s="240" t="s">
        <v>1229</v>
      </c>
    </row>
    <row r="880" spans="1:9" x14ac:dyDescent="0.25">
      <c r="A880" s="230">
        <v>116978</v>
      </c>
      <c r="B880" s="162" t="s">
        <v>1240</v>
      </c>
      <c r="C880" s="162" t="s">
        <v>5</v>
      </c>
      <c r="D880" s="162" t="s">
        <v>10</v>
      </c>
      <c r="E880" s="231">
        <v>44419</v>
      </c>
      <c r="F880" s="117">
        <v>940.39</v>
      </c>
      <c r="G880" s="117">
        <f>SUMIF(CONFERÊNCIA!A:A,A880,CONFERÊNCIA!J:J)</f>
        <v>1016.96</v>
      </c>
      <c r="H880" s="119">
        <f t="shared" si="73"/>
        <v>76.57000000000005</v>
      </c>
      <c r="I880" s="240" t="s">
        <v>1229</v>
      </c>
    </row>
    <row r="881" spans="1:9" x14ac:dyDescent="0.25">
      <c r="A881" s="230">
        <v>121939</v>
      </c>
      <c r="B881" s="162" t="s">
        <v>1611</v>
      </c>
      <c r="C881" s="162" t="s">
        <v>1456</v>
      </c>
      <c r="D881" s="162" t="s">
        <v>1580</v>
      </c>
      <c r="E881" s="231">
        <v>45040</v>
      </c>
      <c r="F881" s="117">
        <v>657.5</v>
      </c>
      <c r="G881" s="117">
        <f>SUMIF(CONFERÊNCIA!A:A,A881,CONFERÊNCIA!J:J)</f>
        <v>657.5</v>
      </c>
      <c r="H881" s="119">
        <f t="shared" si="73"/>
        <v>0</v>
      </c>
      <c r="I881" s="240" t="s">
        <v>1229</v>
      </c>
    </row>
    <row r="882" spans="1:9" x14ac:dyDescent="0.25">
      <c r="A882" s="230">
        <v>115371</v>
      </c>
      <c r="B882" s="162" t="s">
        <v>1148</v>
      </c>
      <c r="C882" s="162" t="s">
        <v>5</v>
      </c>
      <c r="D882" s="162" t="s">
        <v>0</v>
      </c>
      <c r="E882" s="231">
        <v>44046</v>
      </c>
      <c r="F882" s="117">
        <v>1016.96</v>
      </c>
      <c r="G882" s="117">
        <f>SUMIF(CONFERÊNCIA!A:A,A882,CONFERÊNCIA!J:J)</f>
        <v>1016.96</v>
      </c>
      <c r="H882" s="119">
        <f t="shared" si="73"/>
        <v>0</v>
      </c>
      <c r="I882" s="240" t="s">
        <v>1229</v>
      </c>
    </row>
    <row r="883" spans="1:9" x14ac:dyDescent="0.25">
      <c r="A883" s="230">
        <v>112478</v>
      </c>
      <c r="B883" s="162" t="s">
        <v>206</v>
      </c>
      <c r="C883" s="162" t="s">
        <v>22</v>
      </c>
      <c r="D883" s="162" t="s">
        <v>1578</v>
      </c>
      <c r="E883" s="231">
        <v>43617</v>
      </c>
      <c r="F883" s="117">
        <v>1016.96</v>
      </c>
      <c r="G883" s="117">
        <f>SUMIF(CONFERÊNCIA!A:A,A883,CONFERÊNCIA!J:J)</f>
        <v>1016.96</v>
      </c>
      <c r="H883" s="119">
        <f t="shared" si="73"/>
        <v>0</v>
      </c>
      <c r="I883" s="240" t="s">
        <v>1229</v>
      </c>
    </row>
    <row r="884" spans="1:9" x14ac:dyDescent="0.25">
      <c r="A884" s="230">
        <v>114927</v>
      </c>
      <c r="B884" s="162" t="s">
        <v>1112</v>
      </c>
      <c r="C884" s="162" t="s">
        <v>5</v>
      </c>
      <c r="D884" s="162" t="s">
        <v>1578</v>
      </c>
      <c r="E884" s="231">
        <v>43916</v>
      </c>
      <c r="F884" s="117">
        <v>1016.96</v>
      </c>
      <c r="G884" s="117">
        <f>SUMIF(CONFERÊNCIA!A:A,A884,CONFERÊNCIA!J:J)</f>
        <v>1016.96</v>
      </c>
      <c r="H884" s="119">
        <f t="shared" si="73"/>
        <v>0</v>
      </c>
      <c r="I884" s="240" t="s">
        <v>1229</v>
      </c>
    </row>
    <row r="885" spans="1:9" x14ac:dyDescent="0.25">
      <c r="A885" s="230">
        <v>112503</v>
      </c>
      <c r="B885" s="162" t="s">
        <v>221</v>
      </c>
      <c r="C885" s="162" t="s">
        <v>5</v>
      </c>
      <c r="D885" s="162" t="s">
        <v>8</v>
      </c>
      <c r="E885" s="231">
        <v>43617</v>
      </c>
      <c r="F885" s="117">
        <v>1016.96</v>
      </c>
      <c r="G885" s="117">
        <f>SUMIF(CONFERÊNCIA!A:A,A885,CONFERÊNCIA!J:J)</f>
        <v>1016.96</v>
      </c>
      <c r="H885" s="119">
        <f t="shared" si="73"/>
        <v>0</v>
      </c>
      <c r="I885" s="240" t="s">
        <v>1229</v>
      </c>
    </row>
    <row r="886" spans="1:9" x14ac:dyDescent="0.25">
      <c r="A886" s="230">
        <v>116385</v>
      </c>
      <c r="B886" s="162" t="s">
        <v>1209</v>
      </c>
      <c r="C886" s="162" t="s">
        <v>5</v>
      </c>
      <c r="D886" s="162" t="s">
        <v>32</v>
      </c>
      <c r="E886" s="231">
        <v>44328</v>
      </c>
      <c r="F886" s="117">
        <v>1016.96</v>
      </c>
      <c r="G886" s="117">
        <f>SUMIF(CONFERÊNCIA!A:A,A886,CONFERÊNCIA!J:J)</f>
        <v>1016.96</v>
      </c>
      <c r="H886" s="119">
        <f t="shared" si="73"/>
        <v>0</v>
      </c>
      <c r="I886" s="240" t="s">
        <v>1229</v>
      </c>
    </row>
    <row r="887" spans="1:9" x14ac:dyDescent="0.25">
      <c r="A887" s="230">
        <v>112542</v>
      </c>
      <c r="B887" s="162" t="s">
        <v>252</v>
      </c>
      <c r="C887" s="162" t="s">
        <v>5</v>
      </c>
      <c r="D887" s="162" t="s">
        <v>0</v>
      </c>
      <c r="E887" s="231">
        <v>43617</v>
      </c>
      <c r="F887" s="117">
        <v>978.67000000000007</v>
      </c>
      <c r="G887" s="117">
        <f>SUMIF(CONFERÊNCIA!A:A,A887,CONFERÊNCIA!J:J)</f>
        <v>1016.96</v>
      </c>
      <c r="H887" s="119">
        <f t="shared" si="73"/>
        <v>38.289999999999964</v>
      </c>
      <c r="I887" s="240" t="s">
        <v>1229</v>
      </c>
    </row>
    <row r="888" spans="1:9" x14ac:dyDescent="0.25">
      <c r="A888" s="230">
        <v>112545</v>
      </c>
      <c r="B888" s="162" t="s">
        <v>253</v>
      </c>
      <c r="C888" s="162" t="s">
        <v>2</v>
      </c>
      <c r="D888" s="162" t="s">
        <v>0</v>
      </c>
      <c r="E888" s="231">
        <v>43617</v>
      </c>
      <c r="F888" s="117">
        <v>1016.96</v>
      </c>
      <c r="G888" s="117">
        <f>SUMIF(CONFERÊNCIA!A:A,A888,CONFERÊNCIA!J:J)</f>
        <v>1016.96</v>
      </c>
      <c r="H888" s="119">
        <f t="shared" si="73"/>
        <v>0</v>
      </c>
      <c r="I888" s="240" t="s">
        <v>1229</v>
      </c>
    </row>
    <row r="889" spans="1:9" x14ac:dyDescent="0.25">
      <c r="A889" s="230">
        <v>112546</v>
      </c>
      <c r="B889" s="162" t="s">
        <v>254</v>
      </c>
      <c r="C889" s="162" t="s">
        <v>255</v>
      </c>
      <c r="D889" s="162" t="s">
        <v>1578</v>
      </c>
      <c r="E889" s="231">
        <v>43617</v>
      </c>
      <c r="F889" s="117">
        <v>1016.96</v>
      </c>
      <c r="G889" s="117">
        <f>SUMIF(CONFERÊNCIA!A:A,A889,CONFERÊNCIA!J:J)</f>
        <v>1016.96</v>
      </c>
      <c r="H889" s="119">
        <f t="shared" si="73"/>
        <v>0</v>
      </c>
      <c r="I889" s="240" t="s">
        <v>1229</v>
      </c>
    </row>
    <row r="890" spans="1:9" x14ac:dyDescent="0.25">
      <c r="A890" s="230">
        <v>118649</v>
      </c>
      <c r="B890" s="162" t="s">
        <v>1402</v>
      </c>
      <c r="C890" s="162" t="s">
        <v>5</v>
      </c>
      <c r="D890" s="162" t="s">
        <v>1578</v>
      </c>
      <c r="E890" s="231">
        <v>44582</v>
      </c>
      <c r="F890" s="117">
        <v>1016.96</v>
      </c>
      <c r="G890" s="117">
        <f>SUMIF(CONFERÊNCIA!A:A,A890,CONFERÊNCIA!J:J)</f>
        <v>1016.96</v>
      </c>
      <c r="H890" s="119">
        <f t="shared" si="73"/>
        <v>0</v>
      </c>
      <c r="I890" s="240" t="s">
        <v>1229</v>
      </c>
    </row>
    <row r="891" spans="1:9" x14ac:dyDescent="0.25">
      <c r="A891" s="230">
        <v>122571</v>
      </c>
      <c r="B891" s="162" t="s">
        <v>1692</v>
      </c>
      <c r="C891" s="162" t="s">
        <v>15</v>
      </c>
      <c r="D891" s="162" t="s">
        <v>1578</v>
      </c>
      <c r="E891" s="231">
        <v>45131</v>
      </c>
      <c r="F891" s="117">
        <v>1016.96</v>
      </c>
      <c r="G891" s="117">
        <f>SUMIF(CONFERÊNCIA!A:A,A891,CONFERÊNCIA!J:J)</f>
        <v>1016.96</v>
      </c>
      <c r="H891" s="119">
        <f t="shared" si="73"/>
        <v>0</v>
      </c>
      <c r="I891" s="240" t="s">
        <v>1229</v>
      </c>
    </row>
    <row r="892" spans="1:9" x14ac:dyDescent="0.25">
      <c r="A892" s="230">
        <v>121476</v>
      </c>
      <c r="B892" s="162" t="s">
        <v>1563</v>
      </c>
      <c r="C892" s="162" t="s">
        <v>5</v>
      </c>
      <c r="D892" s="162" t="s">
        <v>1578</v>
      </c>
      <c r="E892" s="231">
        <v>44967</v>
      </c>
      <c r="F892" s="117">
        <v>1016.96</v>
      </c>
      <c r="G892" s="117">
        <f>SUMIF(CONFERÊNCIA!A:A,A892,CONFERÊNCIA!J:J)</f>
        <v>1016.96</v>
      </c>
      <c r="H892" s="119">
        <f t="shared" si="73"/>
        <v>0</v>
      </c>
      <c r="I892" s="240" t="s">
        <v>1229</v>
      </c>
    </row>
    <row r="893" spans="1:9" x14ac:dyDescent="0.25">
      <c r="A893" s="230">
        <v>112558</v>
      </c>
      <c r="B893" s="162" t="s">
        <v>264</v>
      </c>
      <c r="C893" s="162" t="s">
        <v>146</v>
      </c>
      <c r="D893" s="162" t="s">
        <v>0</v>
      </c>
      <c r="E893" s="231">
        <v>43617</v>
      </c>
      <c r="F893" s="117">
        <v>1016.96</v>
      </c>
      <c r="G893" s="117">
        <f>SUMIF(CONFERÊNCIA!A:A,A893,CONFERÊNCIA!J:J)</f>
        <v>1016.96</v>
      </c>
      <c r="H893" s="119">
        <f t="shared" si="73"/>
        <v>0</v>
      </c>
      <c r="I893" s="240" t="s">
        <v>1229</v>
      </c>
    </row>
    <row r="894" spans="1:9" x14ac:dyDescent="0.25">
      <c r="A894" s="230">
        <v>112577</v>
      </c>
      <c r="B894" s="162" t="s">
        <v>274</v>
      </c>
      <c r="C894" s="162" t="s">
        <v>2</v>
      </c>
      <c r="D894" s="162" t="s">
        <v>0</v>
      </c>
      <c r="E894" s="231">
        <v>43617</v>
      </c>
      <c r="F894" s="117">
        <v>1016.96</v>
      </c>
      <c r="G894" s="117">
        <f>SUMIF(CONFERÊNCIA!A:A,A894,CONFERÊNCIA!J:J)</f>
        <v>1016.96</v>
      </c>
      <c r="H894" s="119">
        <f t="shared" si="73"/>
        <v>0</v>
      </c>
      <c r="I894" s="240" t="s">
        <v>1229</v>
      </c>
    </row>
    <row r="895" spans="1:9" x14ac:dyDescent="0.25">
      <c r="A895" s="230">
        <v>112583</v>
      </c>
      <c r="B895" s="162" t="s">
        <v>278</v>
      </c>
      <c r="C895" s="162" t="s">
        <v>15</v>
      </c>
      <c r="D895" s="162" t="s">
        <v>1578</v>
      </c>
      <c r="E895" s="231">
        <v>43617</v>
      </c>
      <c r="F895" s="117">
        <v>1016.96</v>
      </c>
      <c r="G895" s="117">
        <f>SUMIF(CONFERÊNCIA!A:A,A895,CONFERÊNCIA!J:J)</f>
        <v>1016.96</v>
      </c>
      <c r="H895" s="119">
        <f t="shared" si="73"/>
        <v>0</v>
      </c>
      <c r="I895" s="240" t="s">
        <v>1229</v>
      </c>
    </row>
    <row r="896" spans="1:9" x14ac:dyDescent="0.25">
      <c r="A896" s="230">
        <v>112589</v>
      </c>
      <c r="B896" s="162" t="s">
        <v>281</v>
      </c>
      <c r="C896" s="162" t="s">
        <v>228</v>
      </c>
      <c r="D896" s="162" t="s">
        <v>1578</v>
      </c>
      <c r="E896" s="231">
        <v>43617</v>
      </c>
      <c r="F896" s="117">
        <v>1016.96</v>
      </c>
      <c r="G896" s="117">
        <f>SUMIF(CONFERÊNCIA!A:A,A896,CONFERÊNCIA!J:J)</f>
        <v>1016.96</v>
      </c>
      <c r="H896" s="119">
        <f t="shared" si="73"/>
        <v>0</v>
      </c>
      <c r="I896" s="240" t="s">
        <v>1229</v>
      </c>
    </row>
    <row r="897" spans="1:9" x14ac:dyDescent="0.25">
      <c r="A897" s="230">
        <v>112596</v>
      </c>
      <c r="B897" s="162" t="s">
        <v>284</v>
      </c>
      <c r="C897" s="162" t="s">
        <v>2</v>
      </c>
      <c r="D897" s="162" t="s">
        <v>0</v>
      </c>
      <c r="E897" s="231">
        <v>43617</v>
      </c>
      <c r="F897" s="117">
        <v>1016.96</v>
      </c>
      <c r="G897" s="117">
        <f>SUMIF(CONFERÊNCIA!A:A,A897,CONFERÊNCIA!J:J)</f>
        <v>1016.96</v>
      </c>
      <c r="H897" s="119">
        <f t="shared" si="73"/>
        <v>0</v>
      </c>
      <c r="I897" s="240" t="s">
        <v>1229</v>
      </c>
    </row>
    <row r="898" spans="1:9" x14ac:dyDescent="0.25">
      <c r="A898" s="230">
        <v>115404</v>
      </c>
      <c r="B898" s="162" t="s">
        <v>1154</v>
      </c>
      <c r="C898" s="162" t="s">
        <v>2</v>
      </c>
      <c r="D898" s="162" t="s">
        <v>0</v>
      </c>
      <c r="E898" s="231">
        <v>44048</v>
      </c>
      <c r="F898" s="117">
        <v>1016.96</v>
      </c>
      <c r="G898" s="117">
        <f>SUMIF(CONFERÊNCIA!A:A,A898,CONFERÊNCIA!J:J)</f>
        <v>1016.96</v>
      </c>
      <c r="H898" s="119">
        <f t="shared" si="73"/>
        <v>0</v>
      </c>
      <c r="I898" s="240" t="s">
        <v>1229</v>
      </c>
    </row>
    <row r="899" spans="1:9" x14ac:dyDescent="0.25">
      <c r="A899" s="230">
        <v>112604</v>
      </c>
      <c r="B899" s="162" t="s">
        <v>289</v>
      </c>
      <c r="C899" s="162" t="s">
        <v>15</v>
      </c>
      <c r="D899" s="162" t="s">
        <v>1578</v>
      </c>
      <c r="E899" s="231">
        <v>43617</v>
      </c>
      <c r="F899" s="117">
        <v>1016.96</v>
      </c>
      <c r="G899" s="117">
        <f>SUMIF(CONFERÊNCIA!A:A,A899,CONFERÊNCIA!J:J)</f>
        <v>1016.96</v>
      </c>
      <c r="H899" s="119">
        <f t="shared" si="73"/>
        <v>0</v>
      </c>
      <c r="I899" s="240" t="s">
        <v>1229</v>
      </c>
    </row>
    <row r="900" spans="1:9" x14ac:dyDescent="0.25">
      <c r="A900" s="230">
        <v>112611</v>
      </c>
      <c r="B900" s="162" t="s">
        <v>295</v>
      </c>
      <c r="C900" s="162" t="s">
        <v>5</v>
      </c>
      <c r="D900" s="162" t="s">
        <v>1578</v>
      </c>
      <c r="E900" s="231">
        <v>43617</v>
      </c>
      <c r="F900" s="117">
        <v>1016.96</v>
      </c>
      <c r="G900" s="117">
        <f>SUMIF(CONFERÊNCIA!A:A,A900,CONFERÊNCIA!J:J)</f>
        <v>1016.96</v>
      </c>
      <c r="H900" s="119">
        <f t="shared" si="73"/>
        <v>0</v>
      </c>
      <c r="I900" s="240" t="s">
        <v>1229</v>
      </c>
    </row>
    <row r="901" spans="1:9" x14ac:dyDescent="0.25">
      <c r="A901" s="230">
        <v>112617</v>
      </c>
      <c r="B901" s="162" t="s">
        <v>300</v>
      </c>
      <c r="C901" s="162" t="s">
        <v>2</v>
      </c>
      <c r="D901" s="162" t="s">
        <v>19</v>
      </c>
      <c r="E901" s="231">
        <v>43617</v>
      </c>
      <c r="F901" s="117">
        <v>1016.96</v>
      </c>
      <c r="G901" s="117">
        <f>SUMIF(CONFERÊNCIA!A:A,A901,CONFERÊNCIA!J:J)</f>
        <v>1016.96</v>
      </c>
      <c r="H901" s="119">
        <f t="shared" ref="H901:H927" si="74">G901-F901</f>
        <v>0</v>
      </c>
      <c r="I901" s="240" t="s">
        <v>1229</v>
      </c>
    </row>
    <row r="902" spans="1:9" x14ac:dyDescent="0.25">
      <c r="A902" s="230">
        <v>112625</v>
      </c>
      <c r="B902" s="162" t="s">
        <v>305</v>
      </c>
      <c r="C902" s="162" t="s">
        <v>15</v>
      </c>
      <c r="D902" s="162" t="s">
        <v>1578</v>
      </c>
      <c r="E902" s="231">
        <v>43617</v>
      </c>
      <c r="F902" s="117">
        <v>1016.96</v>
      </c>
      <c r="G902" s="117">
        <f>SUMIF(CONFERÊNCIA!A:A,A902,CONFERÊNCIA!J:J)</f>
        <v>1016.96</v>
      </c>
      <c r="H902" s="119">
        <f t="shared" si="74"/>
        <v>0</v>
      </c>
      <c r="I902" s="240" t="s">
        <v>1229</v>
      </c>
    </row>
    <row r="903" spans="1:9" x14ac:dyDescent="0.25">
      <c r="A903" s="230">
        <v>112630</v>
      </c>
      <c r="B903" s="162" t="s">
        <v>309</v>
      </c>
      <c r="C903" s="162" t="s">
        <v>5</v>
      </c>
      <c r="D903" s="162" t="s">
        <v>0</v>
      </c>
      <c r="E903" s="231">
        <v>43617</v>
      </c>
      <c r="F903" s="117">
        <v>1016.96</v>
      </c>
      <c r="G903" s="117">
        <f>SUMIF(CONFERÊNCIA!A:A,A903,CONFERÊNCIA!J:J)</f>
        <v>1016.96</v>
      </c>
      <c r="H903" s="119">
        <f t="shared" si="74"/>
        <v>0</v>
      </c>
      <c r="I903" s="240" t="s">
        <v>1229</v>
      </c>
    </row>
    <row r="904" spans="1:9" x14ac:dyDescent="0.25">
      <c r="A904" s="230">
        <v>114736</v>
      </c>
      <c r="B904" s="162" t="s">
        <v>1084</v>
      </c>
      <c r="C904" s="162" t="s">
        <v>5</v>
      </c>
      <c r="D904" s="162" t="s">
        <v>32</v>
      </c>
      <c r="E904" s="231">
        <v>43874</v>
      </c>
      <c r="F904" s="117">
        <v>978.67000000000007</v>
      </c>
      <c r="G904" s="117">
        <f>SUMIF(CONFERÊNCIA!A:A,A904,CONFERÊNCIA!J:J)</f>
        <v>1016.96</v>
      </c>
      <c r="H904" s="119">
        <f t="shared" si="74"/>
        <v>38.289999999999964</v>
      </c>
      <c r="I904" s="240" t="s">
        <v>1229</v>
      </c>
    </row>
    <row r="905" spans="1:9" x14ac:dyDescent="0.25">
      <c r="A905" s="230">
        <v>116024</v>
      </c>
      <c r="B905" s="162" t="s">
        <v>1174</v>
      </c>
      <c r="C905" s="162" t="s">
        <v>5</v>
      </c>
      <c r="D905" s="162" t="s">
        <v>10</v>
      </c>
      <c r="E905" s="231">
        <v>44207</v>
      </c>
      <c r="F905" s="117">
        <v>1016.96</v>
      </c>
      <c r="G905" s="117">
        <f>SUMIF(CONFERÊNCIA!A:A,A905,CONFERÊNCIA!J:J)</f>
        <v>1016.96</v>
      </c>
      <c r="H905" s="119">
        <f t="shared" si="74"/>
        <v>0</v>
      </c>
      <c r="I905" s="240" t="s">
        <v>1229</v>
      </c>
    </row>
    <row r="906" spans="1:9" x14ac:dyDescent="0.25">
      <c r="A906" s="230">
        <v>112640</v>
      </c>
      <c r="B906" s="162" t="s">
        <v>314</v>
      </c>
      <c r="C906" s="162" t="s">
        <v>1441</v>
      </c>
      <c r="D906" s="162" t="s">
        <v>1578</v>
      </c>
      <c r="E906" s="231">
        <v>43617</v>
      </c>
      <c r="F906" s="117">
        <v>1016.96</v>
      </c>
      <c r="G906" s="117">
        <f>SUMIF(CONFERÊNCIA!A:A,A906,CONFERÊNCIA!J:J)</f>
        <v>1016.96</v>
      </c>
      <c r="H906" s="119">
        <f t="shared" si="74"/>
        <v>0</v>
      </c>
      <c r="I906" s="240" t="s">
        <v>1229</v>
      </c>
    </row>
    <row r="907" spans="1:9" x14ac:dyDescent="0.25">
      <c r="A907" s="230">
        <v>112649</v>
      </c>
      <c r="B907" s="162" t="s">
        <v>318</v>
      </c>
      <c r="C907" s="162" t="s">
        <v>2</v>
      </c>
      <c r="D907" s="162" t="s">
        <v>8</v>
      </c>
      <c r="E907" s="231">
        <v>43617</v>
      </c>
      <c r="F907" s="117">
        <v>1016.96</v>
      </c>
      <c r="G907" s="117">
        <f>SUMIF(CONFERÊNCIA!A:A,A907,CONFERÊNCIA!J:J)</f>
        <v>1016.96</v>
      </c>
      <c r="H907" s="119">
        <f t="shared" si="74"/>
        <v>0</v>
      </c>
      <c r="I907" s="240" t="s">
        <v>1229</v>
      </c>
    </row>
    <row r="908" spans="1:9" x14ac:dyDescent="0.25">
      <c r="A908" s="230">
        <v>122088</v>
      </c>
      <c r="B908" s="162" t="s">
        <v>1630</v>
      </c>
      <c r="C908" s="162" t="s">
        <v>5</v>
      </c>
      <c r="D908" s="162" t="s">
        <v>1578</v>
      </c>
      <c r="E908" s="231">
        <v>45061</v>
      </c>
      <c r="F908" s="117">
        <v>1016.96</v>
      </c>
      <c r="G908" s="117">
        <f>SUMIF(CONFERÊNCIA!A:A,A908,CONFERÊNCIA!J:J)</f>
        <v>1016.96</v>
      </c>
      <c r="H908" s="119">
        <f t="shared" si="74"/>
        <v>0</v>
      </c>
      <c r="I908" s="240" t="s">
        <v>1229</v>
      </c>
    </row>
    <row r="909" spans="1:9" x14ac:dyDescent="0.25">
      <c r="A909" s="230">
        <v>112658</v>
      </c>
      <c r="B909" s="162" t="s">
        <v>323</v>
      </c>
      <c r="C909" s="162" t="s">
        <v>15</v>
      </c>
      <c r="D909" s="162" t="s">
        <v>1578</v>
      </c>
      <c r="E909" s="231">
        <v>43617</v>
      </c>
      <c r="F909" s="117">
        <v>1016.96</v>
      </c>
      <c r="G909" s="117">
        <f>SUMIF(CONFERÊNCIA!A:A,A909,CONFERÊNCIA!J:J)</f>
        <v>0</v>
      </c>
      <c r="H909" s="119">
        <f t="shared" si="74"/>
        <v>-1016.96</v>
      </c>
      <c r="I909" s="240" t="s">
        <v>1287</v>
      </c>
    </row>
    <row r="910" spans="1:9" x14ac:dyDescent="0.25">
      <c r="A910" s="230">
        <v>119752</v>
      </c>
      <c r="B910" s="162" t="s">
        <v>1467</v>
      </c>
      <c r="C910" s="162" t="s">
        <v>1456</v>
      </c>
      <c r="D910" s="162" t="s">
        <v>1580</v>
      </c>
      <c r="E910" s="231">
        <v>44734</v>
      </c>
      <c r="F910" s="117">
        <v>657.5</v>
      </c>
      <c r="G910" s="117">
        <f>SUMIF(CONFERÊNCIA!A:A,A910,CONFERÊNCIA!J:J)</f>
        <v>657.5</v>
      </c>
      <c r="H910" s="119">
        <f t="shared" si="74"/>
        <v>0</v>
      </c>
      <c r="I910" s="240" t="s">
        <v>1229</v>
      </c>
    </row>
    <row r="911" spans="1:9" x14ac:dyDescent="0.25">
      <c r="A911" s="230">
        <v>113768</v>
      </c>
      <c r="B911" s="162" t="s">
        <v>968</v>
      </c>
      <c r="C911" s="162" t="s">
        <v>146</v>
      </c>
      <c r="D911" s="162" t="s">
        <v>0</v>
      </c>
      <c r="E911" s="231">
        <v>43622</v>
      </c>
      <c r="F911" s="117">
        <v>1016.96</v>
      </c>
      <c r="G911" s="117">
        <f>SUMIF(CONFERÊNCIA!A:A,A911,CONFERÊNCIA!J:J)</f>
        <v>1016.96</v>
      </c>
      <c r="H911" s="119">
        <f t="shared" si="74"/>
        <v>0</v>
      </c>
      <c r="I911" s="240" t="s">
        <v>1229</v>
      </c>
    </row>
    <row r="912" spans="1:9" x14ac:dyDescent="0.25">
      <c r="A912" s="230">
        <v>114749</v>
      </c>
      <c r="B912" s="162" t="s">
        <v>1089</v>
      </c>
      <c r="C912" s="162" t="s">
        <v>5</v>
      </c>
      <c r="D912" s="162" t="s">
        <v>10</v>
      </c>
      <c r="E912" s="231">
        <v>43874</v>
      </c>
      <c r="F912" s="117">
        <v>1016.96</v>
      </c>
      <c r="G912" s="117">
        <f>SUMIF(CONFERÊNCIA!A:A,A912,CONFERÊNCIA!J:J)</f>
        <v>1016.96</v>
      </c>
      <c r="H912" s="119">
        <f t="shared" si="74"/>
        <v>0</v>
      </c>
      <c r="I912" s="240" t="s">
        <v>1229</v>
      </c>
    </row>
    <row r="913" spans="1:9" x14ac:dyDescent="0.25">
      <c r="A913" s="230">
        <v>112667</v>
      </c>
      <c r="B913" s="162" t="s">
        <v>328</v>
      </c>
      <c r="C913" s="162" t="s">
        <v>139</v>
      </c>
      <c r="D913" s="162" t="s">
        <v>1578</v>
      </c>
      <c r="E913" s="231">
        <v>43617</v>
      </c>
      <c r="F913" s="117">
        <v>1016.96</v>
      </c>
      <c r="G913" s="117">
        <f>SUMIF(CONFERÊNCIA!A:A,A913,CONFERÊNCIA!J:J)</f>
        <v>1016.96</v>
      </c>
      <c r="H913" s="119">
        <f t="shared" si="74"/>
        <v>0</v>
      </c>
      <c r="I913" s="240" t="s">
        <v>1229</v>
      </c>
    </row>
    <row r="914" spans="1:9" x14ac:dyDescent="0.25">
      <c r="A914" s="230">
        <v>112677</v>
      </c>
      <c r="B914" s="162" t="s">
        <v>333</v>
      </c>
      <c r="C914" s="162" t="s">
        <v>15</v>
      </c>
      <c r="D914" s="162" t="s">
        <v>1578</v>
      </c>
      <c r="E914" s="231">
        <v>43617</v>
      </c>
      <c r="F914" s="117">
        <v>1016.96</v>
      </c>
      <c r="G914" s="117">
        <f>SUMIF(CONFERÊNCIA!A:A,A914,CONFERÊNCIA!J:J)</f>
        <v>1016.96</v>
      </c>
      <c r="H914" s="119">
        <f t="shared" si="74"/>
        <v>0</v>
      </c>
      <c r="I914" s="240" t="s">
        <v>1229</v>
      </c>
    </row>
    <row r="915" spans="1:9" x14ac:dyDescent="0.25">
      <c r="A915" s="230">
        <v>112682</v>
      </c>
      <c r="B915" s="162" t="s">
        <v>337</v>
      </c>
      <c r="C915" s="162" t="s">
        <v>5</v>
      </c>
      <c r="D915" s="162" t="s">
        <v>8</v>
      </c>
      <c r="E915" s="231">
        <v>43617</v>
      </c>
      <c r="F915" s="117">
        <v>1016.96</v>
      </c>
      <c r="G915" s="117">
        <f>SUMIF(CONFERÊNCIA!A:A,A915,CONFERÊNCIA!J:J)</f>
        <v>1016.96</v>
      </c>
      <c r="H915" s="119">
        <f t="shared" si="74"/>
        <v>0</v>
      </c>
      <c r="I915" s="240" t="s">
        <v>1229</v>
      </c>
    </row>
    <row r="916" spans="1:9" x14ac:dyDescent="0.25">
      <c r="A916" s="230">
        <v>112684</v>
      </c>
      <c r="B916" s="162" t="s">
        <v>339</v>
      </c>
      <c r="C916" s="162" t="s">
        <v>2</v>
      </c>
      <c r="D916" s="162" t="s">
        <v>10</v>
      </c>
      <c r="E916" s="231">
        <v>43617</v>
      </c>
      <c r="F916" s="117">
        <v>1016.96</v>
      </c>
      <c r="G916" s="117">
        <f>SUMIF(CONFERÊNCIA!A:A,A916,CONFERÊNCIA!J:J)</f>
        <v>1016.96</v>
      </c>
      <c r="H916" s="119">
        <f t="shared" si="74"/>
        <v>0</v>
      </c>
      <c r="I916" s="240" t="s">
        <v>1229</v>
      </c>
    </row>
    <row r="917" spans="1:9" x14ac:dyDescent="0.25">
      <c r="A917" s="230">
        <v>112687</v>
      </c>
      <c r="B917" s="162" t="s">
        <v>342</v>
      </c>
      <c r="C917" s="162" t="s">
        <v>2</v>
      </c>
      <c r="D917" s="162" t="s">
        <v>0</v>
      </c>
      <c r="E917" s="231">
        <v>43617</v>
      </c>
      <c r="F917" s="117">
        <v>1016.96</v>
      </c>
      <c r="G917" s="117">
        <f>SUMIF(CONFERÊNCIA!A:A,A917,CONFERÊNCIA!J:J)</f>
        <v>1016.96</v>
      </c>
      <c r="H917" s="119">
        <f t="shared" si="74"/>
        <v>0</v>
      </c>
      <c r="I917" s="240" t="s">
        <v>1229</v>
      </c>
    </row>
    <row r="918" spans="1:9" x14ac:dyDescent="0.25">
      <c r="A918" s="230">
        <v>112690</v>
      </c>
      <c r="B918" s="162" t="s">
        <v>1543</v>
      </c>
      <c r="C918" s="162" t="s">
        <v>5</v>
      </c>
      <c r="D918" s="162" t="s">
        <v>10</v>
      </c>
      <c r="E918" s="231">
        <v>43617</v>
      </c>
      <c r="F918" s="117">
        <v>1016.96</v>
      </c>
      <c r="G918" s="117">
        <f>SUMIF(CONFERÊNCIA!A:A,A918,CONFERÊNCIA!J:J)</f>
        <v>978.67000000000007</v>
      </c>
      <c r="H918" s="119">
        <f t="shared" si="74"/>
        <v>-38.289999999999964</v>
      </c>
      <c r="I918" s="240" t="s">
        <v>1230</v>
      </c>
    </row>
    <row r="919" spans="1:9" x14ac:dyDescent="0.25">
      <c r="A919" s="230">
        <v>115814</v>
      </c>
      <c r="B919" s="162" t="s">
        <v>1163</v>
      </c>
      <c r="C919" s="162" t="s">
        <v>120</v>
      </c>
      <c r="D919" s="162" t="s">
        <v>1578</v>
      </c>
      <c r="E919" s="231">
        <v>44154</v>
      </c>
      <c r="F919" s="117">
        <v>1016.95</v>
      </c>
      <c r="G919" s="117">
        <f>SUMIF(CONFERÊNCIA!A:A,A919,CONFERÊNCIA!J:J)</f>
        <v>1016.95</v>
      </c>
      <c r="H919" s="119">
        <f t="shared" si="74"/>
        <v>0</v>
      </c>
      <c r="I919" s="240" t="s">
        <v>1279</v>
      </c>
    </row>
    <row r="920" spans="1:9" x14ac:dyDescent="0.25">
      <c r="A920" s="230">
        <v>114030</v>
      </c>
      <c r="B920" s="162" t="s">
        <v>995</v>
      </c>
      <c r="C920" s="162" t="s">
        <v>5</v>
      </c>
      <c r="D920" s="162" t="s">
        <v>8</v>
      </c>
      <c r="E920" s="231">
        <v>43710</v>
      </c>
      <c r="F920" s="117">
        <v>1016.96</v>
      </c>
      <c r="G920" s="117">
        <f>SUMIF(CONFERÊNCIA!A:A,A920,CONFERÊNCIA!J:J)</f>
        <v>1016.96</v>
      </c>
      <c r="H920" s="119">
        <f t="shared" si="74"/>
        <v>0</v>
      </c>
      <c r="I920" s="240" t="s">
        <v>1229</v>
      </c>
    </row>
    <row r="921" spans="1:9" x14ac:dyDescent="0.25">
      <c r="A921" s="230">
        <v>119643</v>
      </c>
      <c r="B921" s="162" t="s">
        <v>1468</v>
      </c>
      <c r="C921" s="162" t="s">
        <v>5</v>
      </c>
      <c r="D921" s="162" t="s">
        <v>0</v>
      </c>
      <c r="E921" s="231">
        <v>44725</v>
      </c>
      <c r="F921" s="117">
        <v>1016.96</v>
      </c>
      <c r="G921" s="117">
        <f>SUMIF(CONFERÊNCIA!A:A,A921,CONFERÊNCIA!J:J)</f>
        <v>1016.96</v>
      </c>
      <c r="H921" s="119">
        <f t="shared" si="74"/>
        <v>0</v>
      </c>
      <c r="I921" s="240" t="s">
        <v>1229</v>
      </c>
    </row>
    <row r="922" spans="1:9" x14ac:dyDescent="0.25">
      <c r="A922" s="230">
        <v>121949</v>
      </c>
      <c r="B922" s="162" t="s">
        <v>1612</v>
      </c>
      <c r="C922" s="162" t="s">
        <v>1456</v>
      </c>
      <c r="D922" s="162" t="s">
        <v>1580</v>
      </c>
      <c r="E922" s="231">
        <v>45040</v>
      </c>
      <c r="F922" s="117">
        <v>657.5</v>
      </c>
      <c r="G922" s="117">
        <f>SUMIF(CONFERÊNCIA!A:A,A922,CONFERÊNCIA!J:J)</f>
        <v>657.5</v>
      </c>
      <c r="H922" s="119">
        <f t="shared" si="74"/>
        <v>0</v>
      </c>
      <c r="I922" s="240" t="s">
        <v>1229</v>
      </c>
    </row>
    <row r="923" spans="1:9" x14ac:dyDescent="0.25">
      <c r="A923" s="230">
        <v>116386</v>
      </c>
      <c r="B923" s="162" t="s">
        <v>1210</v>
      </c>
      <c r="C923" s="162" t="s">
        <v>15</v>
      </c>
      <c r="D923" s="162" t="s">
        <v>1578</v>
      </c>
      <c r="E923" s="231">
        <v>44328</v>
      </c>
      <c r="F923" s="117">
        <v>1016.96</v>
      </c>
      <c r="G923" s="117">
        <f>SUMIF(CONFERÊNCIA!A:A,A923,CONFERÊNCIA!J:J)</f>
        <v>1016.96</v>
      </c>
      <c r="H923" s="119">
        <f t="shared" si="74"/>
        <v>0</v>
      </c>
      <c r="I923" s="240" t="s">
        <v>1229</v>
      </c>
    </row>
    <row r="924" spans="1:9" x14ac:dyDescent="0.25">
      <c r="A924" s="230">
        <v>112693</v>
      </c>
      <c r="B924" s="162" t="s">
        <v>345</v>
      </c>
      <c r="C924" s="162" t="s">
        <v>2</v>
      </c>
      <c r="D924" s="162" t="s">
        <v>19</v>
      </c>
      <c r="E924" s="231">
        <v>43617</v>
      </c>
      <c r="F924" s="117">
        <v>1016.96</v>
      </c>
      <c r="G924" s="117">
        <f>SUMIF(CONFERÊNCIA!A:A,A924,CONFERÊNCIA!J:J)</f>
        <v>1016.96</v>
      </c>
      <c r="H924" s="119">
        <f t="shared" si="74"/>
        <v>0</v>
      </c>
      <c r="I924" s="240" t="s">
        <v>1229</v>
      </c>
    </row>
    <row r="925" spans="1:9" x14ac:dyDescent="0.25">
      <c r="A925" s="230">
        <v>112694</v>
      </c>
      <c r="B925" s="162" t="s">
        <v>346</v>
      </c>
      <c r="C925" s="162" t="s">
        <v>39</v>
      </c>
      <c r="D925" s="162" t="s">
        <v>19</v>
      </c>
      <c r="E925" s="231">
        <v>43617</v>
      </c>
      <c r="F925" s="117">
        <v>1016.96</v>
      </c>
      <c r="G925" s="117">
        <f>SUMIF(CONFERÊNCIA!A:A,A925,CONFERÊNCIA!J:J)</f>
        <v>1016.96</v>
      </c>
      <c r="H925" s="119">
        <f t="shared" si="74"/>
        <v>0</v>
      </c>
      <c r="I925" s="240" t="s">
        <v>1229</v>
      </c>
    </row>
    <row r="926" spans="1:9" x14ac:dyDescent="0.25">
      <c r="A926" s="230">
        <v>112699</v>
      </c>
      <c r="B926" s="162" t="s">
        <v>350</v>
      </c>
      <c r="C926" s="162" t="s">
        <v>2</v>
      </c>
      <c r="D926" s="162" t="s">
        <v>0</v>
      </c>
      <c r="E926" s="231">
        <v>43617</v>
      </c>
      <c r="F926" s="117">
        <v>1016.96</v>
      </c>
      <c r="G926" s="117">
        <f>SUMIF(CONFERÊNCIA!A:A,A926,CONFERÊNCIA!J:J)</f>
        <v>1016.96</v>
      </c>
      <c r="H926" s="119">
        <f t="shared" si="74"/>
        <v>0</v>
      </c>
      <c r="I926" s="240" t="s">
        <v>1229</v>
      </c>
    </row>
    <row r="927" spans="1:9" x14ac:dyDescent="0.25">
      <c r="A927" s="230">
        <v>119922</v>
      </c>
      <c r="B927" s="162" t="s">
        <v>1479</v>
      </c>
      <c r="C927" s="162" t="s">
        <v>5</v>
      </c>
      <c r="D927" s="162" t="s">
        <v>1578</v>
      </c>
      <c r="E927" s="231">
        <v>44760</v>
      </c>
      <c r="F927" s="117">
        <v>978.67000000000007</v>
      </c>
      <c r="G927" s="117">
        <f>SUMIF(CONFERÊNCIA!A:A,A927,CONFERÊNCIA!J:J)</f>
        <v>1016.96</v>
      </c>
      <c r="H927" s="119">
        <f t="shared" si="74"/>
        <v>38.289999999999964</v>
      </c>
      <c r="I927" s="240" t="s">
        <v>1229</v>
      </c>
    </row>
    <row r="928" spans="1:9" x14ac:dyDescent="0.25">
      <c r="A928" s="230">
        <v>118060</v>
      </c>
      <c r="B928" s="162" t="s">
        <v>1403</v>
      </c>
      <c r="C928" s="162" t="s">
        <v>5</v>
      </c>
      <c r="D928" s="162" t="s">
        <v>0</v>
      </c>
      <c r="E928" s="231">
        <v>44567</v>
      </c>
      <c r="F928" s="117">
        <v>978.67000000000007</v>
      </c>
      <c r="G928" s="117">
        <f>SUMIF(CONFERÊNCIA!A:A,A928,CONFERÊNCIA!J:J)</f>
        <v>1016.96</v>
      </c>
      <c r="H928" s="119">
        <f t="shared" ref="H928" si="75">G928-F928</f>
        <v>38.289999999999964</v>
      </c>
      <c r="I928" s="240" t="s">
        <v>1229</v>
      </c>
    </row>
    <row r="929" spans="1:9" x14ac:dyDescent="0.25">
      <c r="A929" s="230">
        <v>112732</v>
      </c>
      <c r="B929" s="162" t="s">
        <v>371</v>
      </c>
      <c r="C929" s="162" t="s">
        <v>5</v>
      </c>
      <c r="D929" s="162" t="s">
        <v>0</v>
      </c>
      <c r="E929" s="231">
        <v>43617</v>
      </c>
      <c r="F929" s="117">
        <v>1016.96</v>
      </c>
      <c r="G929" s="117">
        <f>SUMIF(CONFERÊNCIA!A:A,A929,CONFERÊNCIA!J:J)</f>
        <v>1016.96</v>
      </c>
      <c r="H929" s="119">
        <f t="shared" ref="H929:H953" si="76">G929-F929</f>
        <v>0</v>
      </c>
      <c r="I929" s="240" t="s">
        <v>1229</v>
      </c>
    </row>
    <row r="930" spans="1:9" x14ac:dyDescent="0.25">
      <c r="A930" s="230">
        <v>112748</v>
      </c>
      <c r="B930" s="162" t="s">
        <v>381</v>
      </c>
      <c r="C930" s="162" t="s">
        <v>5</v>
      </c>
      <c r="D930" s="162" t="s">
        <v>10</v>
      </c>
      <c r="E930" s="231">
        <v>43617</v>
      </c>
      <c r="F930" s="117">
        <v>1016.96</v>
      </c>
      <c r="G930" s="117">
        <f>SUMIF(CONFERÊNCIA!A:A,A930,CONFERÊNCIA!J:J)</f>
        <v>1016.96</v>
      </c>
      <c r="H930" s="119">
        <f t="shared" si="76"/>
        <v>0</v>
      </c>
      <c r="I930" s="240" t="s">
        <v>1229</v>
      </c>
    </row>
    <row r="931" spans="1:9" x14ac:dyDescent="0.25">
      <c r="A931" s="230">
        <v>112771</v>
      </c>
      <c r="B931" s="162" t="s">
        <v>396</v>
      </c>
      <c r="C931" s="162" t="s">
        <v>15</v>
      </c>
      <c r="D931" s="162" t="s">
        <v>1578</v>
      </c>
      <c r="E931" s="231">
        <v>43617</v>
      </c>
      <c r="F931" s="117">
        <v>1016.96</v>
      </c>
      <c r="G931" s="117">
        <f>SUMIF(CONFERÊNCIA!A:A,A931,CONFERÊNCIA!J:J)</f>
        <v>1016.96</v>
      </c>
      <c r="H931" s="119">
        <f t="shared" si="76"/>
        <v>0</v>
      </c>
      <c r="I931" s="240" t="s">
        <v>1229</v>
      </c>
    </row>
    <row r="932" spans="1:9" x14ac:dyDescent="0.25">
      <c r="A932" s="230">
        <v>112775</v>
      </c>
      <c r="B932" s="162" t="s">
        <v>399</v>
      </c>
      <c r="C932" s="162" t="s">
        <v>5</v>
      </c>
      <c r="D932" s="162" t="s">
        <v>0</v>
      </c>
      <c r="E932" s="231">
        <v>43617</v>
      </c>
      <c r="F932" s="117">
        <v>1016.96</v>
      </c>
      <c r="G932" s="117">
        <f>SUMIF(CONFERÊNCIA!A:A,A932,CONFERÊNCIA!J:J)</f>
        <v>1016.96</v>
      </c>
      <c r="H932" s="119">
        <f t="shared" si="76"/>
        <v>0</v>
      </c>
      <c r="I932" s="240" t="s">
        <v>1229</v>
      </c>
    </row>
    <row r="933" spans="1:9" x14ac:dyDescent="0.25">
      <c r="A933" s="230">
        <v>119242</v>
      </c>
      <c r="B933" s="162" t="s">
        <v>1448</v>
      </c>
      <c r="C933" s="162" t="s">
        <v>1449</v>
      </c>
      <c r="D933" s="162" t="s">
        <v>1580</v>
      </c>
      <c r="E933" s="231">
        <v>44658</v>
      </c>
      <c r="F933" s="117">
        <v>1016.96</v>
      </c>
      <c r="G933" s="117">
        <f>SUMIF(CONFERÊNCIA!A:A,A933,CONFERÊNCIA!J:J)</f>
        <v>1016.96</v>
      </c>
      <c r="H933" s="119">
        <f t="shared" si="76"/>
        <v>0</v>
      </c>
      <c r="I933" s="240" t="s">
        <v>1230</v>
      </c>
    </row>
    <row r="934" spans="1:9" x14ac:dyDescent="0.25">
      <c r="A934" s="230">
        <v>112781</v>
      </c>
      <c r="B934" s="162" t="s">
        <v>404</v>
      </c>
      <c r="C934" s="162" t="s">
        <v>39</v>
      </c>
      <c r="D934" s="162" t="s">
        <v>0</v>
      </c>
      <c r="E934" s="231">
        <v>43617</v>
      </c>
      <c r="F934" s="117">
        <v>1016.96</v>
      </c>
      <c r="G934" s="117">
        <f>SUMIF(CONFERÊNCIA!A:A,A934,CONFERÊNCIA!J:J)</f>
        <v>1016.96</v>
      </c>
      <c r="H934" s="119">
        <f t="shared" si="76"/>
        <v>0</v>
      </c>
      <c r="I934" s="240" t="s">
        <v>1229</v>
      </c>
    </row>
    <row r="935" spans="1:9" x14ac:dyDescent="0.25">
      <c r="A935" s="230">
        <v>122632</v>
      </c>
      <c r="B935" s="162" t="s">
        <v>1705</v>
      </c>
      <c r="C935" s="162" t="s">
        <v>15</v>
      </c>
      <c r="D935" s="162" t="s">
        <v>1578</v>
      </c>
      <c r="E935" s="231">
        <v>45145</v>
      </c>
      <c r="F935" s="117">
        <v>1845.5900000000001</v>
      </c>
      <c r="G935" s="117">
        <f>SUMIF(CONFERÊNCIA!A:A,A935,CONFERÊNCIA!J:J)</f>
        <v>1016.96</v>
      </c>
      <c r="H935" s="119">
        <f t="shared" si="76"/>
        <v>-828.63000000000011</v>
      </c>
      <c r="I935" s="240" t="s">
        <v>1229</v>
      </c>
    </row>
    <row r="936" spans="1:9" x14ac:dyDescent="0.25">
      <c r="A936" s="230">
        <v>114527</v>
      </c>
      <c r="B936" s="162" t="s">
        <v>1048</v>
      </c>
      <c r="C936" s="162" t="s">
        <v>2</v>
      </c>
      <c r="D936" s="162" t="s">
        <v>0</v>
      </c>
      <c r="E936" s="231">
        <v>43813</v>
      </c>
      <c r="F936" s="117">
        <v>1016.96</v>
      </c>
      <c r="G936" s="117">
        <f>SUMIF(CONFERÊNCIA!A:A,A936,CONFERÊNCIA!J:J)</f>
        <v>1016.96</v>
      </c>
      <c r="H936" s="119">
        <f t="shared" si="76"/>
        <v>0</v>
      </c>
      <c r="I936" s="240" t="s">
        <v>1229</v>
      </c>
    </row>
    <row r="937" spans="1:9" x14ac:dyDescent="0.25">
      <c r="A937" s="230">
        <v>112803</v>
      </c>
      <c r="B937" s="162" t="s">
        <v>421</v>
      </c>
      <c r="C937" s="162" t="s">
        <v>2</v>
      </c>
      <c r="D937" s="162" t="s">
        <v>0</v>
      </c>
      <c r="E937" s="231">
        <v>43617</v>
      </c>
      <c r="F937" s="117">
        <v>1016.96</v>
      </c>
      <c r="G937" s="117">
        <f>SUMIF(CONFERÊNCIA!A:A,A937,CONFERÊNCIA!J:J)</f>
        <v>1016.96</v>
      </c>
      <c r="H937" s="119">
        <f t="shared" si="76"/>
        <v>0</v>
      </c>
      <c r="I937" s="240" t="s">
        <v>1229</v>
      </c>
    </row>
    <row r="938" spans="1:9" x14ac:dyDescent="0.25">
      <c r="A938" s="230">
        <v>112809</v>
      </c>
      <c r="B938" s="162" t="s">
        <v>425</v>
      </c>
      <c r="C938" s="162" t="s">
        <v>5</v>
      </c>
      <c r="D938" s="162" t="s">
        <v>8</v>
      </c>
      <c r="E938" s="231">
        <v>43621</v>
      </c>
      <c r="F938" s="117">
        <v>1016.96</v>
      </c>
      <c r="G938" s="117">
        <f>SUMIF(CONFERÊNCIA!A:A,A938,CONFERÊNCIA!J:J)</f>
        <v>1016.96</v>
      </c>
      <c r="H938" s="119">
        <f t="shared" si="76"/>
        <v>0</v>
      </c>
      <c r="I938" s="240" t="s">
        <v>1229</v>
      </c>
    </row>
    <row r="939" spans="1:9" x14ac:dyDescent="0.25">
      <c r="A939" s="230">
        <v>116980</v>
      </c>
      <c r="B939" s="162" t="s">
        <v>1241</v>
      </c>
      <c r="C939" s="162" t="s">
        <v>15</v>
      </c>
      <c r="D939" s="162" t="s">
        <v>1578</v>
      </c>
      <c r="E939" s="231">
        <v>44419</v>
      </c>
      <c r="F939" s="117">
        <v>1016.96</v>
      </c>
      <c r="G939" s="117">
        <f>SUMIF(CONFERÊNCIA!A:A,A939,CONFERÊNCIA!J:J)</f>
        <v>1016.96</v>
      </c>
      <c r="H939" s="119">
        <f t="shared" si="76"/>
        <v>0</v>
      </c>
      <c r="I939" s="240" t="s">
        <v>1229</v>
      </c>
    </row>
    <row r="940" spans="1:9" x14ac:dyDescent="0.25">
      <c r="A940" s="230">
        <v>121317</v>
      </c>
      <c r="B940" s="162" t="s">
        <v>1533</v>
      </c>
      <c r="C940" s="162" t="s">
        <v>5</v>
      </c>
      <c r="D940" s="162" t="s">
        <v>10</v>
      </c>
      <c r="E940" s="231">
        <v>44945</v>
      </c>
      <c r="F940" s="117">
        <v>1016.96</v>
      </c>
      <c r="G940" s="117">
        <f>SUMIF(CONFERÊNCIA!A:A,A940,CONFERÊNCIA!J:J)</f>
        <v>978.67000000000007</v>
      </c>
      <c r="H940" s="119">
        <f t="shared" si="76"/>
        <v>-38.289999999999964</v>
      </c>
      <c r="I940" s="240" t="s">
        <v>1229</v>
      </c>
    </row>
    <row r="941" spans="1:9" x14ac:dyDescent="0.25">
      <c r="A941" s="230">
        <v>112813</v>
      </c>
      <c r="B941" s="162" t="s">
        <v>393</v>
      </c>
      <c r="C941" s="162" t="s">
        <v>5</v>
      </c>
      <c r="D941" s="162" t="s">
        <v>10</v>
      </c>
      <c r="E941" s="231">
        <v>43617</v>
      </c>
      <c r="F941" s="117">
        <v>1016.96</v>
      </c>
      <c r="G941" s="117">
        <f>SUMIF(CONFERÊNCIA!A:A,A941,CONFERÊNCIA!J:J)</f>
        <v>1016.96</v>
      </c>
      <c r="H941" s="119">
        <f t="shared" si="76"/>
        <v>0</v>
      </c>
      <c r="I941" s="240" t="s">
        <v>1229</v>
      </c>
    </row>
    <row r="942" spans="1:9" x14ac:dyDescent="0.25">
      <c r="A942" s="230">
        <v>112837</v>
      </c>
      <c r="B942" s="162" t="s">
        <v>445</v>
      </c>
      <c r="C942" s="162" t="s">
        <v>15</v>
      </c>
      <c r="D942" s="162" t="s">
        <v>1578</v>
      </c>
      <c r="E942" s="231">
        <v>43617</v>
      </c>
      <c r="F942" s="117">
        <v>1016.96</v>
      </c>
      <c r="G942" s="117">
        <f>SUMIF(CONFERÊNCIA!A:A,A942,CONFERÊNCIA!J:J)</f>
        <v>1016.96</v>
      </c>
      <c r="H942" s="119">
        <f t="shared" si="76"/>
        <v>0</v>
      </c>
      <c r="I942" s="240" t="s">
        <v>1230</v>
      </c>
    </row>
    <row r="943" spans="1:9" x14ac:dyDescent="0.25">
      <c r="A943" s="230">
        <v>121687</v>
      </c>
      <c r="B943" s="162" t="s">
        <v>1589</v>
      </c>
      <c r="C943" s="162" t="s">
        <v>5</v>
      </c>
      <c r="D943" s="162" t="s">
        <v>10</v>
      </c>
      <c r="E943" s="231">
        <v>44994</v>
      </c>
      <c r="F943" s="117">
        <v>1016.96</v>
      </c>
      <c r="G943" s="117">
        <f>SUMIF(CONFERÊNCIA!A:A,A943,CONFERÊNCIA!J:J)</f>
        <v>1016.96</v>
      </c>
      <c r="H943" s="119">
        <f t="shared" si="76"/>
        <v>0</v>
      </c>
      <c r="I943" s="240" t="s">
        <v>1229</v>
      </c>
    </row>
    <row r="944" spans="1:9" x14ac:dyDescent="0.25">
      <c r="A944" s="230">
        <v>112892</v>
      </c>
      <c r="B944" s="162" t="s">
        <v>479</v>
      </c>
      <c r="C944" s="162" t="s">
        <v>377</v>
      </c>
      <c r="D944" s="162" t="s">
        <v>1578</v>
      </c>
      <c r="E944" s="231">
        <v>43617</v>
      </c>
      <c r="F944" s="117">
        <v>1016.96</v>
      </c>
      <c r="G944" s="117">
        <f>SUMIF(CONFERÊNCIA!A:A,A944,CONFERÊNCIA!J:J)</f>
        <v>1016.96</v>
      </c>
      <c r="H944" s="119">
        <f t="shared" si="76"/>
        <v>0</v>
      </c>
      <c r="I944" s="240" t="s">
        <v>1230</v>
      </c>
    </row>
    <row r="945" spans="1:9" x14ac:dyDescent="0.25">
      <c r="A945" s="230">
        <v>112897</v>
      </c>
      <c r="B945" s="162" t="s">
        <v>484</v>
      </c>
      <c r="C945" s="162" t="s">
        <v>2</v>
      </c>
      <c r="D945" s="162" t="s">
        <v>8</v>
      </c>
      <c r="E945" s="231">
        <v>43617</v>
      </c>
      <c r="F945" s="117">
        <v>1016.96</v>
      </c>
      <c r="G945" s="117">
        <f>SUMIF(CONFERÊNCIA!A:A,A945,CONFERÊNCIA!J:J)</f>
        <v>1016.96</v>
      </c>
      <c r="H945" s="119">
        <f t="shared" si="76"/>
        <v>0</v>
      </c>
      <c r="I945" s="240" t="s">
        <v>1229</v>
      </c>
    </row>
    <row r="946" spans="1:9" x14ac:dyDescent="0.25">
      <c r="A946" s="230">
        <v>112902</v>
      </c>
      <c r="B946" s="162" t="s">
        <v>487</v>
      </c>
      <c r="C946" s="162" t="s">
        <v>5</v>
      </c>
      <c r="D946" s="162" t="s">
        <v>8</v>
      </c>
      <c r="E946" s="231">
        <v>43617</v>
      </c>
      <c r="F946" s="117">
        <v>1016.96</v>
      </c>
      <c r="G946" s="117">
        <f>SUMIF(CONFERÊNCIA!A:A,A946,CONFERÊNCIA!J:J)</f>
        <v>1016.96</v>
      </c>
      <c r="H946" s="119">
        <f t="shared" si="76"/>
        <v>0</v>
      </c>
      <c r="I946" s="240" t="s">
        <v>1229</v>
      </c>
    </row>
    <row r="947" spans="1:9" x14ac:dyDescent="0.25">
      <c r="A947" s="230">
        <v>121955</v>
      </c>
      <c r="B947" s="162" t="s">
        <v>1613</v>
      </c>
      <c r="C947" s="162" t="s">
        <v>5</v>
      </c>
      <c r="D947" s="162" t="s">
        <v>8</v>
      </c>
      <c r="E947" s="231">
        <v>45040</v>
      </c>
      <c r="F947" s="117">
        <v>1016.96</v>
      </c>
      <c r="G947" s="117">
        <f>SUMIF(CONFERÊNCIA!A:A,A947,CONFERÊNCIA!J:J)</f>
        <v>1016.96</v>
      </c>
      <c r="H947" s="119">
        <f t="shared" si="76"/>
        <v>0</v>
      </c>
      <c r="I947" s="240" t="s">
        <v>1229</v>
      </c>
    </row>
    <row r="948" spans="1:9" x14ac:dyDescent="0.25">
      <c r="A948" s="230">
        <v>112906</v>
      </c>
      <c r="B948" s="162" t="s">
        <v>1564</v>
      </c>
      <c r="C948" s="162" t="s">
        <v>2</v>
      </c>
      <c r="D948" s="162" t="s">
        <v>0</v>
      </c>
      <c r="E948" s="231">
        <v>43617</v>
      </c>
      <c r="F948" s="117">
        <v>1016.96</v>
      </c>
      <c r="G948" s="117">
        <f>SUMIF(CONFERÊNCIA!A:A,A948,CONFERÊNCIA!J:J)</f>
        <v>1016.96</v>
      </c>
      <c r="H948" s="119">
        <f t="shared" si="76"/>
        <v>0</v>
      </c>
      <c r="I948" s="240" t="s">
        <v>1229</v>
      </c>
    </row>
    <row r="949" spans="1:9" x14ac:dyDescent="0.25">
      <c r="A949" s="230">
        <v>112920</v>
      </c>
      <c r="B949" s="162" t="s">
        <v>497</v>
      </c>
      <c r="C949" s="162" t="s">
        <v>15</v>
      </c>
      <c r="D949" s="162" t="s">
        <v>1578</v>
      </c>
      <c r="E949" s="231">
        <v>43627</v>
      </c>
      <c r="F949" s="117">
        <v>1016.96</v>
      </c>
      <c r="G949" s="117">
        <f>SUMIF(CONFERÊNCIA!A:A,A949,CONFERÊNCIA!J:J)</f>
        <v>1016.96</v>
      </c>
      <c r="H949" s="119">
        <f t="shared" si="76"/>
        <v>0</v>
      </c>
      <c r="I949" s="240" t="s">
        <v>1229</v>
      </c>
    </row>
    <row r="950" spans="1:9" x14ac:dyDescent="0.25">
      <c r="A950" s="230">
        <v>112975</v>
      </c>
      <c r="B950" s="162" t="s">
        <v>527</v>
      </c>
      <c r="C950" s="162" t="s">
        <v>415</v>
      </c>
      <c r="D950" s="162" t="s">
        <v>1578</v>
      </c>
      <c r="E950" s="231">
        <v>43617</v>
      </c>
      <c r="F950" s="117">
        <v>1016.96</v>
      </c>
      <c r="G950" s="117">
        <f>SUMIF(CONFERÊNCIA!A:A,A950,CONFERÊNCIA!J:J)</f>
        <v>1016.96</v>
      </c>
      <c r="H950" s="119">
        <f t="shared" si="76"/>
        <v>0</v>
      </c>
      <c r="I950" s="240" t="s">
        <v>1229</v>
      </c>
    </row>
    <row r="951" spans="1:9" x14ac:dyDescent="0.25">
      <c r="A951" s="230">
        <v>122235</v>
      </c>
      <c r="B951" s="162" t="s">
        <v>1656</v>
      </c>
      <c r="C951" s="162" t="s">
        <v>15</v>
      </c>
      <c r="D951" s="162" t="s">
        <v>1578</v>
      </c>
      <c r="E951" s="231">
        <v>45089</v>
      </c>
      <c r="F951" s="117">
        <v>1016.96</v>
      </c>
      <c r="G951" s="117">
        <f>SUMIF(CONFERÊNCIA!A:A,A951,CONFERÊNCIA!J:J)</f>
        <v>1016.96</v>
      </c>
      <c r="H951" s="119">
        <f t="shared" si="76"/>
        <v>0</v>
      </c>
      <c r="I951" s="240" t="s">
        <v>1229</v>
      </c>
    </row>
    <row r="952" spans="1:9" x14ac:dyDescent="0.25">
      <c r="A952" s="230">
        <v>112996</v>
      </c>
      <c r="B952" s="162" t="s">
        <v>537</v>
      </c>
      <c r="C952" s="162" t="s">
        <v>2</v>
      </c>
      <c r="D952" s="162" t="s">
        <v>8</v>
      </c>
      <c r="E952" s="231">
        <v>43617</v>
      </c>
      <c r="F952" s="117">
        <v>1016.96</v>
      </c>
      <c r="G952" s="117">
        <f>SUMIF(CONFERÊNCIA!A:A,A952,CONFERÊNCIA!J:J)</f>
        <v>1016.96</v>
      </c>
      <c r="H952" s="119">
        <f t="shared" si="76"/>
        <v>0</v>
      </c>
      <c r="I952" s="240" t="s">
        <v>1229</v>
      </c>
    </row>
    <row r="953" spans="1:9" x14ac:dyDescent="0.25">
      <c r="A953" s="230">
        <v>113002</v>
      </c>
      <c r="B953" s="162" t="s">
        <v>539</v>
      </c>
      <c r="C953" s="162" t="s">
        <v>2</v>
      </c>
      <c r="D953" s="162" t="s">
        <v>0</v>
      </c>
      <c r="E953" s="231">
        <v>43617</v>
      </c>
      <c r="F953" s="117">
        <v>1016.96</v>
      </c>
      <c r="G953" s="117">
        <f>SUMIF(CONFERÊNCIA!A:A,A953,CONFERÊNCIA!J:J)</f>
        <v>1016.96</v>
      </c>
      <c r="H953" s="119">
        <f t="shared" si="76"/>
        <v>0</v>
      </c>
      <c r="I953" s="240" t="s">
        <v>1229</v>
      </c>
    </row>
    <row r="954" spans="1:9" x14ac:dyDescent="0.25">
      <c r="A954" s="230">
        <v>119924</v>
      </c>
      <c r="B954" s="162" t="s">
        <v>1480</v>
      </c>
      <c r="C954" s="162" t="s">
        <v>5</v>
      </c>
      <c r="D954" s="162" t="s">
        <v>1578</v>
      </c>
      <c r="E954" s="231">
        <v>44760</v>
      </c>
      <c r="F954" s="117">
        <v>978.67000000000007</v>
      </c>
      <c r="G954" s="117">
        <f>SUMIF(CONFERÊNCIA!A:A,A954,CONFERÊNCIA!J:J)</f>
        <v>1016.96</v>
      </c>
      <c r="H954" s="119">
        <f t="shared" ref="H954:H993" si="77">G954-F954</f>
        <v>38.289999999999964</v>
      </c>
      <c r="I954" s="240" t="s">
        <v>1229</v>
      </c>
    </row>
    <row r="955" spans="1:9" x14ac:dyDescent="0.25">
      <c r="A955" s="230">
        <v>113024</v>
      </c>
      <c r="B955" s="162" t="s">
        <v>546</v>
      </c>
      <c r="C955" s="162" t="s">
        <v>39</v>
      </c>
      <c r="D955" s="162" t="s">
        <v>0</v>
      </c>
      <c r="E955" s="231">
        <v>43617</v>
      </c>
      <c r="F955" s="117">
        <v>1016.96</v>
      </c>
      <c r="G955" s="117">
        <f>SUMIF(CONFERÊNCIA!A:A,A955,CONFERÊNCIA!J:J)</f>
        <v>1016.96</v>
      </c>
      <c r="H955" s="119">
        <f t="shared" si="77"/>
        <v>0</v>
      </c>
      <c r="I955" s="240" t="s">
        <v>1230</v>
      </c>
    </row>
    <row r="956" spans="1:9" x14ac:dyDescent="0.25">
      <c r="A956" s="230">
        <v>113033</v>
      </c>
      <c r="B956" s="162" t="s">
        <v>551</v>
      </c>
      <c r="C956" s="162" t="s">
        <v>15</v>
      </c>
      <c r="D956" s="162" t="s">
        <v>1578</v>
      </c>
      <c r="E956" s="231">
        <v>43617</v>
      </c>
      <c r="F956" s="117">
        <v>1016.96</v>
      </c>
      <c r="G956" s="117">
        <f>SUMIF(CONFERÊNCIA!A:A,A956,CONFERÊNCIA!J:J)</f>
        <v>1016.96</v>
      </c>
      <c r="H956" s="119">
        <f t="shared" si="77"/>
        <v>0</v>
      </c>
      <c r="I956" s="240" t="s">
        <v>1230</v>
      </c>
    </row>
    <row r="957" spans="1:9" x14ac:dyDescent="0.25">
      <c r="A957" s="230">
        <v>116006</v>
      </c>
      <c r="B957" s="162" t="s">
        <v>1169</v>
      </c>
      <c r="C957" s="162" t="s">
        <v>5</v>
      </c>
      <c r="D957" s="162" t="s">
        <v>0</v>
      </c>
      <c r="E957" s="231">
        <v>44207</v>
      </c>
      <c r="F957" s="117">
        <v>1016.96</v>
      </c>
      <c r="G957" s="117">
        <f>SUMIF(CONFERÊNCIA!A:A,A957,CONFERÊNCIA!J:J)</f>
        <v>1016.96</v>
      </c>
      <c r="H957" s="119">
        <f t="shared" si="77"/>
        <v>0</v>
      </c>
      <c r="I957" s="240" t="s">
        <v>1229</v>
      </c>
    </row>
    <row r="958" spans="1:9" x14ac:dyDescent="0.25">
      <c r="A958" s="230">
        <v>113042</v>
      </c>
      <c r="B958" s="162" t="s">
        <v>556</v>
      </c>
      <c r="C958" s="162" t="s">
        <v>5</v>
      </c>
      <c r="D958" s="162" t="s">
        <v>0</v>
      </c>
      <c r="E958" s="231">
        <v>43617</v>
      </c>
      <c r="F958" s="117">
        <v>1016.96</v>
      </c>
      <c r="G958" s="117">
        <f>SUMIF(CONFERÊNCIA!A:A,A958,CONFERÊNCIA!J:J)</f>
        <v>1016.96</v>
      </c>
      <c r="H958" s="119">
        <f t="shared" si="77"/>
        <v>0</v>
      </c>
      <c r="I958" s="240" t="s">
        <v>1229</v>
      </c>
    </row>
    <row r="959" spans="1:9" x14ac:dyDescent="0.25">
      <c r="A959" s="230">
        <v>117247</v>
      </c>
      <c r="B959" s="162" t="s">
        <v>1259</v>
      </c>
      <c r="C959" s="162" t="s">
        <v>182</v>
      </c>
      <c r="D959" s="162" t="s">
        <v>10</v>
      </c>
      <c r="E959" s="231">
        <v>44487</v>
      </c>
      <c r="F959" s="117">
        <v>1016.96</v>
      </c>
      <c r="G959" s="117">
        <f>SUMIF(CONFERÊNCIA!A:A,A959,CONFERÊNCIA!J:J)</f>
        <v>1016.96</v>
      </c>
      <c r="H959" s="119">
        <f t="shared" si="77"/>
        <v>0</v>
      </c>
      <c r="I959" s="240" t="s">
        <v>1229</v>
      </c>
    </row>
    <row r="960" spans="1:9" x14ac:dyDescent="0.25">
      <c r="A960" s="230">
        <v>116321</v>
      </c>
      <c r="B960" s="162" t="s">
        <v>1202</v>
      </c>
      <c r="C960" s="162" t="s">
        <v>5</v>
      </c>
      <c r="D960" s="162" t="s">
        <v>0</v>
      </c>
      <c r="E960" s="231">
        <v>44308</v>
      </c>
      <c r="F960" s="117">
        <v>1016.96</v>
      </c>
      <c r="G960" s="117">
        <f>SUMIF(CONFERÊNCIA!A:A,A960,CONFERÊNCIA!J:J)</f>
        <v>1016.96</v>
      </c>
      <c r="H960" s="119">
        <f t="shared" si="77"/>
        <v>0</v>
      </c>
      <c r="I960" s="240" t="s">
        <v>1229</v>
      </c>
    </row>
    <row r="961" spans="1:9" x14ac:dyDescent="0.25">
      <c r="A961" s="230">
        <v>113055</v>
      </c>
      <c r="B961" s="162" t="s">
        <v>561</v>
      </c>
      <c r="C961" s="162" t="s">
        <v>2</v>
      </c>
      <c r="D961" s="162" t="s">
        <v>19</v>
      </c>
      <c r="E961" s="231">
        <v>43617</v>
      </c>
      <c r="F961" s="117">
        <v>1016.96</v>
      </c>
      <c r="G961" s="117">
        <f>SUMIF(CONFERÊNCIA!A:A,A961,CONFERÊNCIA!J:J)</f>
        <v>1016.96</v>
      </c>
      <c r="H961" s="119">
        <f t="shared" si="77"/>
        <v>0</v>
      </c>
      <c r="I961" s="240" t="s">
        <v>1229</v>
      </c>
    </row>
    <row r="962" spans="1:9" x14ac:dyDescent="0.25">
      <c r="A962" s="230">
        <v>113073</v>
      </c>
      <c r="B962" s="162" t="s">
        <v>570</v>
      </c>
      <c r="C962" s="162" t="s">
        <v>2</v>
      </c>
      <c r="D962" s="162" t="s">
        <v>0</v>
      </c>
      <c r="E962" s="231">
        <v>43617</v>
      </c>
      <c r="F962" s="117">
        <v>1016.96</v>
      </c>
      <c r="G962" s="117">
        <f>SUMIF(CONFERÊNCIA!A:A,A962,CONFERÊNCIA!J:J)</f>
        <v>1016.96</v>
      </c>
      <c r="H962" s="119">
        <f t="shared" si="77"/>
        <v>0</v>
      </c>
      <c r="I962" s="240" t="s">
        <v>1229</v>
      </c>
    </row>
    <row r="963" spans="1:9" x14ac:dyDescent="0.25">
      <c r="A963" s="230">
        <v>121855</v>
      </c>
      <c r="B963" s="162" t="s">
        <v>1614</v>
      </c>
      <c r="C963" s="162" t="s">
        <v>5</v>
      </c>
      <c r="D963" s="162" t="s">
        <v>10</v>
      </c>
      <c r="E963" s="231">
        <v>45022</v>
      </c>
      <c r="F963" s="117">
        <v>1016.96</v>
      </c>
      <c r="G963" s="117">
        <f>SUMIF(CONFERÊNCIA!A:A,A963,CONFERÊNCIA!J:J)</f>
        <v>1016.96</v>
      </c>
      <c r="H963" s="119">
        <f t="shared" si="77"/>
        <v>0</v>
      </c>
      <c r="I963" s="240" t="s">
        <v>1229</v>
      </c>
    </row>
    <row r="964" spans="1:9" x14ac:dyDescent="0.25">
      <c r="A964" s="230">
        <v>113095</v>
      </c>
      <c r="B964" s="162" t="s">
        <v>583</v>
      </c>
      <c r="C964" s="162" t="s">
        <v>146</v>
      </c>
      <c r="D964" s="162" t="s">
        <v>10</v>
      </c>
      <c r="E964" s="231">
        <v>43617</v>
      </c>
      <c r="F964" s="117">
        <v>1016.96</v>
      </c>
      <c r="G964" s="117">
        <f>SUMIF(CONFERÊNCIA!A:A,A964,CONFERÊNCIA!J:J)</f>
        <v>1016.96</v>
      </c>
      <c r="H964" s="119">
        <f t="shared" si="77"/>
        <v>0</v>
      </c>
      <c r="I964" s="240" t="s">
        <v>1229</v>
      </c>
    </row>
    <row r="965" spans="1:9" x14ac:dyDescent="0.25">
      <c r="A965" s="230">
        <v>113101</v>
      </c>
      <c r="B965" s="162" t="s">
        <v>585</v>
      </c>
      <c r="C965" s="162" t="s">
        <v>5</v>
      </c>
      <c r="D965" s="162" t="s">
        <v>8</v>
      </c>
      <c r="E965" s="231">
        <v>43617</v>
      </c>
      <c r="F965" s="117">
        <v>1016.96</v>
      </c>
      <c r="G965" s="117">
        <f>SUMIF(CONFERÊNCIA!A:A,A965,CONFERÊNCIA!J:J)</f>
        <v>1016.96</v>
      </c>
      <c r="H965" s="119">
        <f t="shared" si="77"/>
        <v>0</v>
      </c>
      <c r="I965" s="240" t="s">
        <v>1229</v>
      </c>
    </row>
    <row r="966" spans="1:9" x14ac:dyDescent="0.25">
      <c r="A966" s="230">
        <v>113106</v>
      </c>
      <c r="B966" s="162" t="s">
        <v>85</v>
      </c>
      <c r="C966" s="162" t="s">
        <v>2</v>
      </c>
      <c r="D966" s="162" t="s">
        <v>0</v>
      </c>
      <c r="E966" s="231">
        <v>43617</v>
      </c>
      <c r="F966" s="117">
        <v>1016.96</v>
      </c>
      <c r="G966" s="117">
        <f>SUMIF(CONFERÊNCIA!A:A,A966,CONFERÊNCIA!J:J)</f>
        <v>1016.96</v>
      </c>
      <c r="H966" s="119">
        <f t="shared" si="77"/>
        <v>0</v>
      </c>
      <c r="I966" s="240" t="s">
        <v>1229</v>
      </c>
    </row>
    <row r="967" spans="1:9" x14ac:dyDescent="0.25">
      <c r="A967" s="230">
        <v>113110</v>
      </c>
      <c r="B967" s="162" t="s">
        <v>589</v>
      </c>
      <c r="C967" s="162" t="s">
        <v>2</v>
      </c>
      <c r="D967" s="162" t="s">
        <v>8</v>
      </c>
      <c r="E967" s="231">
        <v>43617</v>
      </c>
      <c r="F967" s="117">
        <v>1016.96</v>
      </c>
      <c r="G967" s="117">
        <f>SUMIF(CONFERÊNCIA!A:A,A967,CONFERÊNCIA!J:J)</f>
        <v>1016.96</v>
      </c>
      <c r="H967" s="119">
        <f t="shared" si="77"/>
        <v>0</v>
      </c>
      <c r="I967" s="240" t="s">
        <v>1229</v>
      </c>
    </row>
    <row r="968" spans="1:9" x14ac:dyDescent="0.25">
      <c r="A968" s="230">
        <v>113116</v>
      </c>
      <c r="B968" s="162" t="s">
        <v>592</v>
      </c>
      <c r="C968" s="162" t="s">
        <v>2</v>
      </c>
      <c r="D968" s="162" t="s">
        <v>10</v>
      </c>
      <c r="E968" s="231">
        <v>43617</v>
      </c>
      <c r="F968" s="117">
        <v>1016.96</v>
      </c>
      <c r="G968" s="117">
        <f>SUMIF(CONFERÊNCIA!A:A,A968,CONFERÊNCIA!J:J)</f>
        <v>1016.96</v>
      </c>
      <c r="H968" s="119">
        <f t="shared" si="77"/>
        <v>0</v>
      </c>
      <c r="I968" s="240" t="s">
        <v>1229</v>
      </c>
    </row>
    <row r="969" spans="1:9" x14ac:dyDescent="0.25">
      <c r="A969" s="230">
        <v>113122</v>
      </c>
      <c r="B969" s="162" t="s">
        <v>1515</v>
      </c>
      <c r="C969" s="162" t="s">
        <v>2</v>
      </c>
      <c r="D969" s="162" t="s">
        <v>0</v>
      </c>
      <c r="E969" s="231">
        <v>43617</v>
      </c>
      <c r="F969" s="117">
        <v>1016.96</v>
      </c>
      <c r="G969" s="117">
        <f>SUMIF(CONFERÊNCIA!A:A,A969,CONFERÊNCIA!J:J)</f>
        <v>1016.96</v>
      </c>
      <c r="H969" s="119">
        <f t="shared" si="77"/>
        <v>0</v>
      </c>
      <c r="I969" s="240" t="s">
        <v>1229</v>
      </c>
    </row>
    <row r="970" spans="1:9" x14ac:dyDescent="0.25">
      <c r="A970" s="230">
        <v>113127</v>
      </c>
      <c r="B970" s="162" t="s">
        <v>1261</v>
      </c>
      <c r="C970" s="162" t="s">
        <v>2</v>
      </c>
      <c r="D970" s="162" t="s">
        <v>10</v>
      </c>
      <c r="E970" s="231">
        <v>43617</v>
      </c>
      <c r="F970" s="117">
        <v>1016.96</v>
      </c>
      <c r="G970" s="117">
        <f>SUMIF(CONFERÊNCIA!A:A,A970,CONFERÊNCIA!J:J)</f>
        <v>1016.96</v>
      </c>
      <c r="H970" s="119">
        <f t="shared" si="77"/>
        <v>0</v>
      </c>
      <c r="I970" s="240" t="s">
        <v>1230</v>
      </c>
    </row>
    <row r="971" spans="1:9" x14ac:dyDescent="0.25">
      <c r="A971" s="230">
        <v>113137</v>
      </c>
      <c r="B971" s="162" t="s">
        <v>605</v>
      </c>
      <c r="C971" s="162" t="s">
        <v>22</v>
      </c>
      <c r="D971" s="162" t="s">
        <v>1578</v>
      </c>
      <c r="E971" s="231">
        <v>43617</v>
      </c>
      <c r="F971" s="117">
        <v>1016.96</v>
      </c>
      <c r="G971" s="117">
        <f>SUMIF(CONFERÊNCIA!A:A,A971,CONFERÊNCIA!J:J)</f>
        <v>1016.96</v>
      </c>
      <c r="H971" s="119">
        <f t="shared" si="77"/>
        <v>0</v>
      </c>
      <c r="I971" s="240" t="s">
        <v>1229</v>
      </c>
    </row>
    <row r="972" spans="1:9" x14ac:dyDescent="0.25">
      <c r="A972" s="230">
        <v>113140</v>
      </c>
      <c r="B972" s="162" t="s">
        <v>607</v>
      </c>
      <c r="C972" s="162" t="s">
        <v>2</v>
      </c>
      <c r="D972" s="162" t="s">
        <v>0</v>
      </c>
      <c r="E972" s="231">
        <v>43617</v>
      </c>
      <c r="F972" s="117">
        <v>1016.96</v>
      </c>
      <c r="G972" s="117">
        <f>SUMIF(CONFERÊNCIA!A:A,A972,CONFERÊNCIA!J:J)</f>
        <v>1016.96</v>
      </c>
      <c r="H972" s="119">
        <f t="shared" si="77"/>
        <v>0</v>
      </c>
      <c r="I972" s="240" t="s">
        <v>1229</v>
      </c>
    </row>
    <row r="973" spans="1:9" x14ac:dyDescent="0.25">
      <c r="A973" s="230">
        <v>113142</v>
      </c>
      <c r="B973" s="162" t="s">
        <v>609</v>
      </c>
      <c r="C973" s="162" t="s">
        <v>22</v>
      </c>
      <c r="D973" s="162" t="s">
        <v>1578</v>
      </c>
      <c r="E973" s="231">
        <v>43617</v>
      </c>
      <c r="F973" s="117">
        <v>1016.96</v>
      </c>
      <c r="G973" s="117">
        <f>SUMIF(CONFERÊNCIA!A:A,A973,CONFERÊNCIA!J:J)</f>
        <v>1016.96</v>
      </c>
      <c r="H973" s="119">
        <f t="shared" si="77"/>
        <v>0</v>
      </c>
      <c r="I973" s="240" t="s">
        <v>1229</v>
      </c>
    </row>
    <row r="974" spans="1:9" x14ac:dyDescent="0.25">
      <c r="A974" s="230">
        <v>113146</v>
      </c>
      <c r="B974" s="162" t="s">
        <v>610</v>
      </c>
      <c r="C974" s="162" t="s">
        <v>2</v>
      </c>
      <c r="D974" s="162" t="s">
        <v>10</v>
      </c>
      <c r="E974" s="231">
        <v>43617</v>
      </c>
      <c r="F974" s="117">
        <v>1016.96</v>
      </c>
      <c r="G974" s="117">
        <f>SUMIF(CONFERÊNCIA!A:A,A974,CONFERÊNCIA!J:J)</f>
        <v>1016.96</v>
      </c>
      <c r="H974" s="119">
        <f t="shared" si="77"/>
        <v>0</v>
      </c>
      <c r="I974" s="240" t="s">
        <v>1229</v>
      </c>
    </row>
    <row r="975" spans="1:9" x14ac:dyDescent="0.25">
      <c r="A975" s="230">
        <v>113149</v>
      </c>
      <c r="B975" s="162" t="s">
        <v>611</v>
      </c>
      <c r="C975" s="162" t="s">
        <v>2</v>
      </c>
      <c r="D975" s="162" t="s">
        <v>19</v>
      </c>
      <c r="E975" s="231">
        <v>43617</v>
      </c>
      <c r="F975" s="117">
        <v>1016.96</v>
      </c>
      <c r="G975" s="117">
        <f>SUMIF(CONFERÊNCIA!A:A,A975,CONFERÊNCIA!J:J)</f>
        <v>1016.96</v>
      </c>
      <c r="H975" s="119">
        <f t="shared" si="77"/>
        <v>0</v>
      </c>
      <c r="I975" s="240" t="s">
        <v>1229</v>
      </c>
    </row>
    <row r="976" spans="1:9" x14ac:dyDescent="0.25">
      <c r="A976" s="230">
        <v>113155</v>
      </c>
      <c r="B976" s="162" t="s">
        <v>615</v>
      </c>
      <c r="C976" s="162" t="s">
        <v>15</v>
      </c>
      <c r="D976" s="162" t="s">
        <v>1578</v>
      </c>
      <c r="E976" s="231">
        <v>43617</v>
      </c>
      <c r="F976" s="117">
        <v>1016.96</v>
      </c>
      <c r="G976" s="117">
        <f>SUMIF(CONFERÊNCIA!A:A,A976,CONFERÊNCIA!J:J)</f>
        <v>1016.96</v>
      </c>
      <c r="H976" s="119">
        <f t="shared" si="77"/>
        <v>0</v>
      </c>
      <c r="I976" s="240" t="s">
        <v>1229</v>
      </c>
    </row>
    <row r="977" spans="1:9" x14ac:dyDescent="0.25">
      <c r="A977" s="230">
        <v>113167</v>
      </c>
      <c r="B977" s="162" t="s">
        <v>624</v>
      </c>
      <c r="C977" s="162" t="s">
        <v>2</v>
      </c>
      <c r="D977" s="162" t="s">
        <v>0</v>
      </c>
      <c r="E977" s="231">
        <v>43617</v>
      </c>
      <c r="F977" s="117">
        <v>1016.96</v>
      </c>
      <c r="G977" s="117">
        <f>SUMIF(CONFERÊNCIA!A:A,A977,CONFERÊNCIA!J:J)</f>
        <v>1016.96</v>
      </c>
      <c r="H977" s="119">
        <f t="shared" si="77"/>
        <v>0</v>
      </c>
      <c r="I977" s="240" t="s">
        <v>1229</v>
      </c>
    </row>
    <row r="978" spans="1:9" x14ac:dyDescent="0.25">
      <c r="A978" s="230">
        <v>113169</v>
      </c>
      <c r="B978" s="162" t="s">
        <v>625</v>
      </c>
      <c r="C978" s="162" t="s">
        <v>2</v>
      </c>
      <c r="D978" s="162" t="s">
        <v>19</v>
      </c>
      <c r="E978" s="231">
        <v>43617</v>
      </c>
      <c r="F978" s="117">
        <v>1016.96</v>
      </c>
      <c r="G978" s="117">
        <f>SUMIF(CONFERÊNCIA!A:A,A978,CONFERÊNCIA!J:J)</f>
        <v>1016.96</v>
      </c>
      <c r="H978" s="119">
        <f t="shared" si="77"/>
        <v>0</v>
      </c>
      <c r="I978" s="240" t="s">
        <v>1229</v>
      </c>
    </row>
    <row r="979" spans="1:9" x14ac:dyDescent="0.25">
      <c r="A979" s="230">
        <v>113172</v>
      </c>
      <c r="B979" s="162" t="s">
        <v>627</v>
      </c>
      <c r="C979" s="162" t="s">
        <v>2</v>
      </c>
      <c r="D979" s="162" t="s">
        <v>0</v>
      </c>
      <c r="E979" s="231">
        <v>43617</v>
      </c>
      <c r="F979" s="117">
        <v>1016.96</v>
      </c>
      <c r="G979" s="117">
        <f>SUMIF(CONFERÊNCIA!A:A,A979,CONFERÊNCIA!J:J)</f>
        <v>1016.96</v>
      </c>
      <c r="H979" s="119">
        <f t="shared" si="77"/>
        <v>0</v>
      </c>
      <c r="I979" s="240" t="s">
        <v>1229</v>
      </c>
    </row>
    <row r="980" spans="1:9" x14ac:dyDescent="0.25">
      <c r="A980" s="230">
        <v>113177</v>
      </c>
      <c r="B980" s="162" t="s">
        <v>629</v>
      </c>
      <c r="C980" s="162" t="s">
        <v>2</v>
      </c>
      <c r="D980" s="162" t="s">
        <v>10</v>
      </c>
      <c r="E980" s="231">
        <v>43617</v>
      </c>
      <c r="F980" s="117">
        <v>1016.96</v>
      </c>
      <c r="G980" s="117">
        <f>SUMIF(CONFERÊNCIA!A:A,A980,CONFERÊNCIA!J:J)</f>
        <v>1016.96</v>
      </c>
      <c r="H980" s="119">
        <f t="shared" si="77"/>
        <v>0</v>
      </c>
      <c r="I980" s="240" t="s">
        <v>1229</v>
      </c>
    </row>
    <row r="981" spans="1:9" x14ac:dyDescent="0.25">
      <c r="A981" s="230">
        <v>113185</v>
      </c>
      <c r="B981" s="162" t="s">
        <v>633</v>
      </c>
      <c r="C981" s="162" t="s">
        <v>15</v>
      </c>
      <c r="D981" s="162" t="s">
        <v>1578</v>
      </c>
      <c r="E981" s="231">
        <v>43617</v>
      </c>
      <c r="F981" s="117">
        <v>1016.96</v>
      </c>
      <c r="G981" s="117">
        <f>SUMIF(CONFERÊNCIA!A:A,A981,CONFERÊNCIA!J:J)</f>
        <v>1016.96</v>
      </c>
      <c r="H981" s="119">
        <f t="shared" si="77"/>
        <v>0</v>
      </c>
      <c r="I981" s="240" t="s">
        <v>1229</v>
      </c>
    </row>
    <row r="982" spans="1:9" x14ac:dyDescent="0.25">
      <c r="A982" s="230">
        <v>113189</v>
      </c>
      <c r="B982" s="162" t="s">
        <v>636</v>
      </c>
      <c r="C982" s="162" t="s">
        <v>22</v>
      </c>
      <c r="D982" s="162" t="s">
        <v>1578</v>
      </c>
      <c r="E982" s="231">
        <v>43617</v>
      </c>
      <c r="F982" s="117">
        <v>1016.96</v>
      </c>
      <c r="G982" s="117">
        <f>SUMIF(CONFERÊNCIA!A:A,A982,CONFERÊNCIA!J:J)</f>
        <v>1016.96</v>
      </c>
      <c r="H982" s="119">
        <f t="shared" si="77"/>
        <v>0</v>
      </c>
      <c r="I982" s="240" t="s">
        <v>1229</v>
      </c>
    </row>
    <row r="983" spans="1:9" x14ac:dyDescent="0.25">
      <c r="A983" s="230">
        <v>113720</v>
      </c>
      <c r="B983" s="162" t="s">
        <v>934</v>
      </c>
      <c r="C983" s="162" t="s">
        <v>927</v>
      </c>
      <c r="D983" s="162" t="s">
        <v>1580</v>
      </c>
      <c r="E983" s="231">
        <v>43619</v>
      </c>
      <c r="F983" s="117">
        <v>1016.96</v>
      </c>
      <c r="G983" s="117">
        <f>SUMIF(CONFERÊNCIA!A:A,A983,CONFERÊNCIA!J:J)</f>
        <v>1016.96</v>
      </c>
      <c r="H983" s="119">
        <f t="shared" si="77"/>
        <v>0</v>
      </c>
      <c r="I983" s="240" t="s">
        <v>1229</v>
      </c>
    </row>
    <row r="984" spans="1:9" x14ac:dyDescent="0.25">
      <c r="A984" s="230">
        <v>113198</v>
      </c>
      <c r="B984" s="162" t="s">
        <v>639</v>
      </c>
      <c r="C984" s="162" t="s">
        <v>146</v>
      </c>
      <c r="D984" s="162" t="s">
        <v>19</v>
      </c>
      <c r="E984" s="231">
        <v>43617</v>
      </c>
      <c r="F984" s="117">
        <v>1016.96</v>
      </c>
      <c r="G984" s="117">
        <f>SUMIF(CONFERÊNCIA!A:A,A984,CONFERÊNCIA!J:J)</f>
        <v>1016.96</v>
      </c>
      <c r="H984" s="119">
        <f t="shared" si="77"/>
        <v>0</v>
      </c>
      <c r="I984" s="240" t="s">
        <v>1229</v>
      </c>
    </row>
    <row r="985" spans="1:9" x14ac:dyDescent="0.25">
      <c r="A985" s="230">
        <v>113203</v>
      </c>
      <c r="B985" s="162" t="s">
        <v>643</v>
      </c>
      <c r="C985" s="162" t="s">
        <v>5</v>
      </c>
      <c r="D985" s="162" t="s">
        <v>0</v>
      </c>
      <c r="E985" s="231">
        <v>43617</v>
      </c>
      <c r="F985" s="117">
        <v>1016.96</v>
      </c>
      <c r="G985" s="117">
        <f>SUMIF(CONFERÊNCIA!A:A,A985,CONFERÊNCIA!J:J)</f>
        <v>1016.96</v>
      </c>
      <c r="H985" s="119">
        <f t="shared" si="77"/>
        <v>0</v>
      </c>
      <c r="I985" s="240" t="s">
        <v>1229</v>
      </c>
    </row>
    <row r="986" spans="1:9" x14ac:dyDescent="0.25">
      <c r="A986" s="230">
        <v>114726</v>
      </c>
      <c r="B986" s="162" t="s">
        <v>1079</v>
      </c>
      <c r="C986" s="162" t="s">
        <v>5</v>
      </c>
      <c r="D986" s="162" t="s">
        <v>0</v>
      </c>
      <c r="E986" s="231">
        <v>43874</v>
      </c>
      <c r="F986" s="117">
        <v>1016.96</v>
      </c>
      <c r="G986" s="117">
        <f>SUMIF(CONFERÊNCIA!A:A,A986,CONFERÊNCIA!J:J)</f>
        <v>1016.96</v>
      </c>
      <c r="H986" s="119">
        <f t="shared" si="77"/>
        <v>0</v>
      </c>
      <c r="I986" s="240" t="s">
        <v>1229</v>
      </c>
    </row>
    <row r="987" spans="1:9" x14ac:dyDescent="0.25">
      <c r="A987" s="230">
        <v>113205</v>
      </c>
      <c r="B987" s="162" t="s">
        <v>645</v>
      </c>
      <c r="C987" s="162" t="s">
        <v>2</v>
      </c>
      <c r="D987" s="162" t="s">
        <v>0</v>
      </c>
      <c r="E987" s="231">
        <v>43617</v>
      </c>
      <c r="F987" s="117">
        <v>1016.96</v>
      </c>
      <c r="G987" s="117">
        <f>SUMIF(CONFERÊNCIA!A:A,A987,CONFERÊNCIA!J:J)</f>
        <v>1016.96</v>
      </c>
      <c r="H987" s="119">
        <f t="shared" si="77"/>
        <v>0</v>
      </c>
      <c r="I987" s="240" t="s">
        <v>1229</v>
      </c>
    </row>
    <row r="988" spans="1:9" x14ac:dyDescent="0.25">
      <c r="A988" s="230">
        <v>115399</v>
      </c>
      <c r="B988" s="162" t="s">
        <v>1151</v>
      </c>
      <c r="C988" s="162" t="s">
        <v>5</v>
      </c>
      <c r="D988" s="162" t="s">
        <v>0</v>
      </c>
      <c r="E988" s="231">
        <v>44048</v>
      </c>
      <c r="F988" s="117">
        <v>1016.96</v>
      </c>
      <c r="G988" s="117">
        <f>SUMIF(CONFERÊNCIA!A:A,A988,CONFERÊNCIA!J:J)</f>
        <v>1016.96</v>
      </c>
      <c r="H988" s="119">
        <f t="shared" si="77"/>
        <v>0</v>
      </c>
      <c r="I988" s="240" t="s">
        <v>1229</v>
      </c>
    </row>
    <row r="989" spans="1:9" x14ac:dyDescent="0.25">
      <c r="A989" s="230">
        <v>113208</v>
      </c>
      <c r="B989" s="162" t="s">
        <v>648</v>
      </c>
      <c r="C989" s="162" t="s">
        <v>2</v>
      </c>
      <c r="D989" s="162" t="s">
        <v>19</v>
      </c>
      <c r="E989" s="231">
        <v>43617</v>
      </c>
      <c r="F989" s="117">
        <v>1016.96</v>
      </c>
      <c r="G989" s="117">
        <f>SUMIF(CONFERÊNCIA!A:A,A989,CONFERÊNCIA!J:J)</f>
        <v>1016.96</v>
      </c>
      <c r="H989" s="119">
        <f t="shared" si="77"/>
        <v>0</v>
      </c>
      <c r="I989" s="240" t="s">
        <v>1229</v>
      </c>
    </row>
    <row r="990" spans="1:9" x14ac:dyDescent="0.25">
      <c r="A990" s="230">
        <v>117362</v>
      </c>
      <c r="B990" s="162" t="s">
        <v>1264</v>
      </c>
      <c r="C990" s="162" t="s">
        <v>15</v>
      </c>
      <c r="D990" s="162" t="s">
        <v>1578</v>
      </c>
      <c r="E990" s="231">
        <v>44508</v>
      </c>
      <c r="F990" s="117">
        <v>1016.96</v>
      </c>
      <c r="G990" s="117">
        <f>SUMIF(CONFERÊNCIA!A:A,A990,CONFERÊNCIA!J:J)</f>
        <v>1016.96</v>
      </c>
      <c r="H990" s="119">
        <f t="shared" si="77"/>
        <v>0</v>
      </c>
      <c r="I990" s="240" t="s">
        <v>1229</v>
      </c>
    </row>
    <row r="991" spans="1:9" x14ac:dyDescent="0.25">
      <c r="A991" s="230">
        <v>113217</v>
      </c>
      <c r="B991" s="162" t="s">
        <v>651</v>
      </c>
      <c r="C991" s="162" t="s">
        <v>5</v>
      </c>
      <c r="D991" s="162" t="s">
        <v>10</v>
      </c>
      <c r="E991" s="231">
        <v>43617</v>
      </c>
      <c r="F991" s="117">
        <v>978.67000000000007</v>
      </c>
      <c r="G991" s="117">
        <f>SUMIF(CONFERÊNCIA!A:A,A991,CONFERÊNCIA!J:J)</f>
        <v>1016.96</v>
      </c>
      <c r="H991" s="119">
        <f t="shared" si="77"/>
        <v>38.289999999999964</v>
      </c>
      <c r="I991" s="240" t="s">
        <v>1229</v>
      </c>
    </row>
    <row r="992" spans="1:9" x14ac:dyDescent="0.25">
      <c r="A992" s="230">
        <v>113227</v>
      </c>
      <c r="B992" s="162" t="s">
        <v>658</v>
      </c>
      <c r="C992" s="162" t="s">
        <v>15</v>
      </c>
      <c r="D992" s="162" t="s">
        <v>1578</v>
      </c>
      <c r="E992" s="231">
        <v>43617</v>
      </c>
      <c r="F992" s="117">
        <v>1016.96</v>
      </c>
      <c r="G992" s="117">
        <f>SUMIF(CONFERÊNCIA!A:A,A992,CONFERÊNCIA!J:J)</f>
        <v>1016.96</v>
      </c>
      <c r="H992" s="119">
        <f t="shared" si="77"/>
        <v>0</v>
      </c>
      <c r="I992" s="240" t="s">
        <v>1229</v>
      </c>
    </row>
    <row r="993" spans="1:9" x14ac:dyDescent="0.25">
      <c r="A993" s="230">
        <v>122831</v>
      </c>
      <c r="B993" s="162" t="s">
        <v>1725</v>
      </c>
      <c r="C993" s="162" t="s">
        <v>5</v>
      </c>
      <c r="D993" s="162" t="s">
        <v>0</v>
      </c>
      <c r="E993" s="231">
        <v>45180</v>
      </c>
      <c r="F993" s="117">
        <v>0</v>
      </c>
      <c r="G993" s="117">
        <f>SUMIF(CONFERÊNCIA!A:A,A993,CONFERÊNCIA!J:J)</f>
        <v>1016.96</v>
      </c>
      <c r="H993" s="119">
        <f t="shared" si="77"/>
        <v>1016.96</v>
      </c>
      <c r="I993" s="240" t="s">
        <v>1231</v>
      </c>
    </row>
    <row r="994" spans="1:9" x14ac:dyDescent="0.25">
      <c r="A994" s="230">
        <v>115220</v>
      </c>
      <c r="B994" s="162" t="s">
        <v>1143</v>
      </c>
      <c r="C994" s="162" t="s">
        <v>5</v>
      </c>
      <c r="D994" s="162" t="s">
        <v>8</v>
      </c>
      <c r="E994" s="231">
        <v>44018</v>
      </c>
      <c r="F994" s="117">
        <v>1016.96</v>
      </c>
      <c r="G994" s="117">
        <f>SUMIF(CONFERÊNCIA!A:A,A994,CONFERÊNCIA!J:J)</f>
        <v>1016.96</v>
      </c>
      <c r="H994" s="119">
        <f t="shared" ref="H994:H1034" si="78">G994-F994</f>
        <v>0</v>
      </c>
      <c r="I994" s="240" t="s">
        <v>1229</v>
      </c>
    </row>
    <row r="995" spans="1:9" x14ac:dyDescent="0.25">
      <c r="A995" s="230">
        <v>118641</v>
      </c>
      <c r="B995" s="162" t="s">
        <v>1404</v>
      </c>
      <c r="C995" s="162" t="s">
        <v>5</v>
      </c>
      <c r="D995" s="162" t="s">
        <v>0</v>
      </c>
      <c r="E995" s="231">
        <v>44582</v>
      </c>
      <c r="F995" s="117">
        <v>1016.96</v>
      </c>
      <c r="G995" s="117">
        <f>SUMIF(CONFERÊNCIA!A:A,A995,CONFERÊNCIA!J:J)</f>
        <v>1016.96</v>
      </c>
      <c r="H995" s="119">
        <f t="shared" si="78"/>
        <v>0</v>
      </c>
      <c r="I995" s="240" t="s">
        <v>1229</v>
      </c>
    </row>
    <row r="996" spans="1:9" x14ac:dyDescent="0.25">
      <c r="A996" s="230">
        <v>114034</v>
      </c>
      <c r="B996" s="162" t="s">
        <v>997</v>
      </c>
      <c r="C996" s="162" t="s">
        <v>146</v>
      </c>
      <c r="D996" s="162" t="s">
        <v>10</v>
      </c>
      <c r="E996" s="231">
        <v>43710</v>
      </c>
      <c r="F996" s="117">
        <v>1016.96</v>
      </c>
      <c r="G996" s="117">
        <f>SUMIF(CONFERÊNCIA!A:A,A996,CONFERÊNCIA!J:J)</f>
        <v>1016.96</v>
      </c>
      <c r="H996" s="119">
        <f t="shared" si="78"/>
        <v>0</v>
      </c>
      <c r="I996" s="240" t="s">
        <v>1229</v>
      </c>
    </row>
    <row r="997" spans="1:9" x14ac:dyDescent="0.25">
      <c r="A997" s="230">
        <v>118050</v>
      </c>
      <c r="B997" s="162" t="s">
        <v>1405</v>
      </c>
      <c r="C997" s="162" t="s">
        <v>5</v>
      </c>
      <c r="D997" s="162" t="s">
        <v>0</v>
      </c>
      <c r="E997" s="231">
        <v>44567</v>
      </c>
      <c r="F997" s="117">
        <v>1016.96</v>
      </c>
      <c r="G997" s="117">
        <f>SUMIF(CONFERÊNCIA!A:A,A997,CONFERÊNCIA!J:J)</f>
        <v>1016.96</v>
      </c>
      <c r="H997" s="119">
        <f t="shared" si="78"/>
        <v>0</v>
      </c>
      <c r="I997" s="240" t="s">
        <v>1229</v>
      </c>
    </row>
    <row r="998" spans="1:9" x14ac:dyDescent="0.25">
      <c r="A998" s="230">
        <v>122082</v>
      </c>
      <c r="B998" s="162" t="s">
        <v>1632</v>
      </c>
      <c r="C998" s="162" t="s">
        <v>5</v>
      </c>
      <c r="D998" s="162" t="s">
        <v>19</v>
      </c>
      <c r="E998" s="231">
        <v>45061</v>
      </c>
      <c r="F998" s="117">
        <v>1016.96</v>
      </c>
      <c r="G998" s="117">
        <f>SUMIF(CONFERÊNCIA!A:A,A998,CONFERÊNCIA!J:J)</f>
        <v>1016.96</v>
      </c>
      <c r="H998" s="119">
        <f t="shared" si="78"/>
        <v>0</v>
      </c>
      <c r="I998" s="240" t="s">
        <v>1229</v>
      </c>
    </row>
    <row r="999" spans="1:9" x14ac:dyDescent="0.25">
      <c r="A999" s="230">
        <v>113237</v>
      </c>
      <c r="B999" s="162" t="s">
        <v>663</v>
      </c>
      <c r="C999" s="162" t="s">
        <v>2</v>
      </c>
      <c r="D999" s="162" t="s">
        <v>10</v>
      </c>
      <c r="E999" s="231">
        <v>43617</v>
      </c>
      <c r="F999" s="117">
        <v>1016.96</v>
      </c>
      <c r="G999" s="117">
        <f>SUMIF(CONFERÊNCIA!A:A,A999,CONFERÊNCIA!J:J)</f>
        <v>1016.96</v>
      </c>
      <c r="H999" s="119">
        <f t="shared" si="78"/>
        <v>0</v>
      </c>
      <c r="I999" s="240" t="s">
        <v>1229</v>
      </c>
    </row>
    <row r="1000" spans="1:9" x14ac:dyDescent="0.25">
      <c r="A1000" s="230">
        <v>113242</v>
      </c>
      <c r="B1000" s="162" t="s">
        <v>664</v>
      </c>
      <c r="C1000" s="162" t="s">
        <v>5</v>
      </c>
      <c r="D1000" s="162" t="s">
        <v>19</v>
      </c>
      <c r="E1000" s="231">
        <v>43617</v>
      </c>
      <c r="F1000" s="117">
        <v>1016.96</v>
      </c>
      <c r="G1000" s="117">
        <f>SUMIF(CONFERÊNCIA!A:A,A1000,CONFERÊNCIA!J:J)</f>
        <v>1016.96</v>
      </c>
      <c r="H1000" s="119">
        <f t="shared" si="78"/>
        <v>0</v>
      </c>
      <c r="I1000" s="240" t="s">
        <v>1229</v>
      </c>
    </row>
    <row r="1001" spans="1:9" x14ac:dyDescent="0.25">
      <c r="A1001" s="230">
        <v>113244</v>
      </c>
      <c r="B1001" s="162" t="s">
        <v>665</v>
      </c>
      <c r="C1001" s="162" t="s">
        <v>2</v>
      </c>
      <c r="D1001" s="162" t="s">
        <v>0</v>
      </c>
      <c r="E1001" s="231">
        <v>43617</v>
      </c>
      <c r="F1001" s="117">
        <v>1016.96</v>
      </c>
      <c r="G1001" s="117">
        <f>SUMIF(CONFERÊNCIA!A:A,A1001,CONFERÊNCIA!J:J)</f>
        <v>1016.96</v>
      </c>
      <c r="H1001" s="119">
        <f t="shared" si="78"/>
        <v>0</v>
      </c>
      <c r="I1001" s="240" t="s">
        <v>1229</v>
      </c>
    </row>
    <row r="1002" spans="1:9" x14ac:dyDescent="0.25">
      <c r="A1002" s="230">
        <v>116228</v>
      </c>
      <c r="B1002" s="162" t="s">
        <v>1191</v>
      </c>
      <c r="C1002" s="162" t="s">
        <v>5</v>
      </c>
      <c r="D1002" s="162" t="s">
        <v>19</v>
      </c>
      <c r="E1002" s="231">
        <v>44273</v>
      </c>
      <c r="F1002" s="117">
        <v>1016.96</v>
      </c>
      <c r="G1002" s="117">
        <f>SUMIF(CONFERÊNCIA!A:A,A1002,CONFERÊNCIA!J:J)</f>
        <v>1016.96</v>
      </c>
      <c r="H1002" s="119">
        <f t="shared" si="78"/>
        <v>0</v>
      </c>
      <c r="I1002" s="240" t="s">
        <v>1229</v>
      </c>
    </row>
    <row r="1003" spans="1:9" x14ac:dyDescent="0.25">
      <c r="A1003" s="230">
        <v>113250</v>
      </c>
      <c r="B1003" s="162" t="s">
        <v>668</v>
      </c>
      <c r="C1003" s="162" t="s">
        <v>5</v>
      </c>
      <c r="D1003" s="162" t="s">
        <v>10</v>
      </c>
      <c r="E1003" s="231">
        <v>43617</v>
      </c>
      <c r="F1003" s="117">
        <v>1016.96</v>
      </c>
      <c r="G1003" s="117">
        <f>SUMIF(CONFERÊNCIA!A:A,A1003,CONFERÊNCIA!J:J)</f>
        <v>1016.96</v>
      </c>
      <c r="H1003" s="119">
        <f t="shared" si="78"/>
        <v>0</v>
      </c>
      <c r="I1003" s="240" t="s">
        <v>1229</v>
      </c>
    </row>
    <row r="1004" spans="1:9" x14ac:dyDescent="0.25">
      <c r="A1004" s="230">
        <v>119930</v>
      </c>
      <c r="B1004" s="162" t="s">
        <v>1481</v>
      </c>
      <c r="C1004" s="162" t="s">
        <v>5</v>
      </c>
      <c r="D1004" s="162" t="s">
        <v>0</v>
      </c>
      <c r="E1004" s="231">
        <v>44760</v>
      </c>
      <c r="F1004" s="117">
        <v>1016.96</v>
      </c>
      <c r="G1004" s="117">
        <f>SUMIF(CONFERÊNCIA!A:A,A1004,CONFERÊNCIA!J:J)</f>
        <v>1016.96</v>
      </c>
      <c r="H1004" s="119">
        <f t="shared" si="78"/>
        <v>0</v>
      </c>
      <c r="I1004" s="240" t="s">
        <v>1229</v>
      </c>
    </row>
    <row r="1005" spans="1:9" x14ac:dyDescent="0.25">
      <c r="A1005" s="230">
        <v>113263</v>
      </c>
      <c r="B1005" s="162" t="s">
        <v>675</v>
      </c>
      <c r="C1005" s="162" t="s">
        <v>2</v>
      </c>
      <c r="D1005" s="162" t="s">
        <v>10</v>
      </c>
      <c r="E1005" s="231">
        <v>43617</v>
      </c>
      <c r="F1005" s="117">
        <v>1016.96</v>
      </c>
      <c r="G1005" s="117">
        <f>SUMIF(CONFERÊNCIA!A:A,A1005,CONFERÊNCIA!J:J)</f>
        <v>1016.96</v>
      </c>
      <c r="H1005" s="119">
        <f t="shared" si="78"/>
        <v>0</v>
      </c>
      <c r="I1005" s="240" t="s">
        <v>1229</v>
      </c>
    </row>
    <row r="1006" spans="1:9" x14ac:dyDescent="0.25">
      <c r="A1006" s="230">
        <v>113650</v>
      </c>
      <c r="B1006" s="162" t="s">
        <v>895</v>
      </c>
      <c r="C1006" s="162" t="s">
        <v>22</v>
      </c>
      <c r="D1006" s="162" t="s">
        <v>1578</v>
      </c>
      <c r="E1006" s="231">
        <v>43617</v>
      </c>
      <c r="F1006" s="117">
        <v>1016.96</v>
      </c>
      <c r="G1006" s="117">
        <f>SUMIF(CONFERÊNCIA!A:A,A1006,CONFERÊNCIA!J:J)</f>
        <v>1016.96</v>
      </c>
      <c r="H1006" s="119">
        <f t="shared" si="78"/>
        <v>0</v>
      </c>
      <c r="I1006" s="240" t="s">
        <v>1230</v>
      </c>
    </row>
    <row r="1007" spans="1:9" x14ac:dyDescent="0.25">
      <c r="A1007" s="230">
        <v>113273</v>
      </c>
      <c r="B1007" s="162" t="s">
        <v>680</v>
      </c>
      <c r="C1007" s="162" t="s">
        <v>22</v>
      </c>
      <c r="D1007" s="162" t="s">
        <v>1578</v>
      </c>
      <c r="E1007" s="231">
        <v>43617</v>
      </c>
      <c r="F1007" s="117">
        <v>1016.96</v>
      </c>
      <c r="G1007" s="117">
        <f>SUMIF(CONFERÊNCIA!A:A,A1007,CONFERÊNCIA!J:J)</f>
        <v>1016.96</v>
      </c>
      <c r="H1007" s="119">
        <f t="shared" si="78"/>
        <v>0</v>
      </c>
      <c r="I1007" s="240" t="s">
        <v>1229</v>
      </c>
    </row>
    <row r="1008" spans="1:9" x14ac:dyDescent="0.25">
      <c r="A1008" s="230">
        <v>113276</v>
      </c>
      <c r="B1008" s="162" t="s">
        <v>682</v>
      </c>
      <c r="C1008" s="162" t="s">
        <v>5</v>
      </c>
      <c r="D1008" s="162" t="s">
        <v>10</v>
      </c>
      <c r="E1008" s="231">
        <v>43617</v>
      </c>
      <c r="F1008" s="117">
        <v>1016.96</v>
      </c>
      <c r="G1008" s="117">
        <f>SUMIF(CONFERÊNCIA!A:A,A1008,CONFERÊNCIA!J:J)</f>
        <v>1016.96</v>
      </c>
      <c r="H1008" s="119">
        <f t="shared" si="78"/>
        <v>0</v>
      </c>
      <c r="I1008" s="240" t="s">
        <v>1229</v>
      </c>
    </row>
    <row r="1009" spans="1:9" x14ac:dyDescent="0.25">
      <c r="A1009" s="230">
        <v>113279</v>
      </c>
      <c r="B1009" s="162" t="s">
        <v>684</v>
      </c>
      <c r="C1009" s="162" t="s">
        <v>384</v>
      </c>
      <c r="D1009" s="162" t="s">
        <v>1578</v>
      </c>
      <c r="E1009" s="231">
        <v>43617</v>
      </c>
      <c r="F1009" s="117">
        <v>1016.96</v>
      </c>
      <c r="G1009" s="117">
        <f>SUMIF(CONFERÊNCIA!A:A,A1009,CONFERÊNCIA!J:J)</f>
        <v>1016.96</v>
      </c>
      <c r="H1009" s="119">
        <f t="shared" si="78"/>
        <v>0</v>
      </c>
      <c r="I1009" s="240" t="s">
        <v>1230</v>
      </c>
    </row>
    <row r="1010" spans="1:9" x14ac:dyDescent="0.25">
      <c r="A1010" s="230">
        <v>113282</v>
      </c>
      <c r="B1010" s="162" t="s">
        <v>686</v>
      </c>
      <c r="C1010" s="162" t="s">
        <v>15</v>
      </c>
      <c r="D1010" s="162" t="s">
        <v>1578</v>
      </c>
      <c r="E1010" s="231">
        <v>43617</v>
      </c>
      <c r="F1010" s="117">
        <v>1016.96</v>
      </c>
      <c r="G1010" s="117">
        <f>SUMIF(CONFERÊNCIA!A:A,A1010,CONFERÊNCIA!J:J)</f>
        <v>1016.96</v>
      </c>
      <c r="H1010" s="119">
        <f t="shared" si="78"/>
        <v>0</v>
      </c>
      <c r="I1010" s="240" t="s">
        <v>1230</v>
      </c>
    </row>
    <row r="1011" spans="1:9" x14ac:dyDescent="0.25">
      <c r="A1011" s="230">
        <v>114641</v>
      </c>
      <c r="B1011" s="162" t="s">
        <v>1061</v>
      </c>
      <c r="C1011" s="162" t="s">
        <v>15</v>
      </c>
      <c r="D1011" s="162" t="s">
        <v>1578</v>
      </c>
      <c r="E1011" s="231">
        <v>43850</v>
      </c>
      <c r="F1011" s="117">
        <v>1016.96</v>
      </c>
      <c r="G1011" s="117">
        <f>SUMIF(CONFERÊNCIA!A:A,A1011,CONFERÊNCIA!J:J)</f>
        <v>1016.96</v>
      </c>
      <c r="H1011" s="119">
        <f t="shared" si="78"/>
        <v>0</v>
      </c>
      <c r="I1011" s="240" t="s">
        <v>1229</v>
      </c>
    </row>
    <row r="1012" spans="1:9" x14ac:dyDescent="0.25">
      <c r="A1012" s="230">
        <v>113286</v>
      </c>
      <c r="B1012" s="162" t="s">
        <v>687</v>
      </c>
      <c r="C1012" s="162" t="s">
        <v>22</v>
      </c>
      <c r="D1012" s="162" t="s">
        <v>1578</v>
      </c>
      <c r="E1012" s="231">
        <v>43617</v>
      </c>
      <c r="F1012" s="117">
        <v>1016.96</v>
      </c>
      <c r="G1012" s="117">
        <f>SUMIF(CONFERÊNCIA!A:A,A1012,CONFERÊNCIA!J:J)</f>
        <v>1016.96</v>
      </c>
      <c r="H1012" s="119">
        <f t="shared" si="78"/>
        <v>0</v>
      </c>
      <c r="I1012" s="240" t="s">
        <v>1229</v>
      </c>
    </row>
    <row r="1013" spans="1:9" x14ac:dyDescent="0.25">
      <c r="A1013" s="230">
        <v>121315</v>
      </c>
      <c r="B1013" s="162" t="s">
        <v>1534</v>
      </c>
      <c r="C1013" s="162" t="s">
        <v>2</v>
      </c>
      <c r="D1013" s="162" t="s">
        <v>32</v>
      </c>
      <c r="E1013" s="231">
        <v>44945</v>
      </c>
      <c r="F1013" s="117">
        <v>1016.96</v>
      </c>
      <c r="G1013" s="117">
        <f>SUMIF(CONFERÊNCIA!A:A,A1013,CONFERÊNCIA!J:J)</f>
        <v>1016.96</v>
      </c>
      <c r="H1013" s="119">
        <f t="shared" si="78"/>
        <v>0</v>
      </c>
      <c r="I1013" s="240" t="s">
        <v>1229</v>
      </c>
    </row>
    <row r="1014" spans="1:9" x14ac:dyDescent="0.25">
      <c r="A1014" s="230">
        <v>114757</v>
      </c>
      <c r="B1014" s="162" t="s">
        <v>1092</v>
      </c>
      <c r="C1014" s="162" t="s">
        <v>15</v>
      </c>
      <c r="D1014" s="162" t="s">
        <v>1578</v>
      </c>
      <c r="E1014" s="231">
        <v>43874</v>
      </c>
      <c r="F1014" s="117">
        <v>1016.96</v>
      </c>
      <c r="G1014" s="117">
        <f>SUMIF(CONFERÊNCIA!A:A,A1014,CONFERÊNCIA!J:J)</f>
        <v>1016.96</v>
      </c>
      <c r="H1014" s="119">
        <f t="shared" si="78"/>
        <v>0</v>
      </c>
      <c r="I1014" s="240" t="s">
        <v>1229</v>
      </c>
    </row>
    <row r="1015" spans="1:9" x14ac:dyDescent="0.25">
      <c r="A1015" s="230">
        <v>114267</v>
      </c>
      <c r="B1015" s="162" t="s">
        <v>1028</v>
      </c>
      <c r="C1015" s="162" t="s">
        <v>5</v>
      </c>
      <c r="D1015" s="162" t="s">
        <v>0</v>
      </c>
      <c r="E1015" s="231">
        <v>43804</v>
      </c>
      <c r="F1015" s="117">
        <v>1016.96</v>
      </c>
      <c r="G1015" s="117">
        <f>SUMIF(CONFERÊNCIA!A:A,A1015,CONFERÊNCIA!J:J)</f>
        <v>1016.96</v>
      </c>
      <c r="H1015" s="119">
        <f t="shared" si="78"/>
        <v>0</v>
      </c>
      <c r="I1015" s="240" t="s">
        <v>1229</v>
      </c>
    </row>
    <row r="1016" spans="1:9" x14ac:dyDescent="0.25">
      <c r="A1016" s="230">
        <v>113292</v>
      </c>
      <c r="B1016" s="162" t="s">
        <v>691</v>
      </c>
      <c r="C1016" s="162" t="s">
        <v>2</v>
      </c>
      <c r="D1016" s="162" t="s">
        <v>8</v>
      </c>
      <c r="E1016" s="231">
        <v>43617</v>
      </c>
      <c r="F1016" s="117">
        <v>1016.96</v>
      </c>
      <c r="G1016" s="117">
        <f>SUMIF(CONFERÊNCIA!A:A,A1016,CONFERÊNCIA!J:J)</f>
        <v>1016.96</v>
      </c>
      <c r="H1016" s="119">
        <f t="shared" si="78"/>
        <v>0</v>
      </c>
      <c r="I1016" s="240" t="s">
        <v>1229</v>
      </c>
    </row>
    <row r="1017" spans="1:9" x14ac:dyDescent="0.25">
      <c r="A1017" s="230">
        <v>113294</v>
      </c>
      <c r="B1017" s="162" t="s">
        <v>692</v>
      </c>
      <c r="C1017" s="162" t="s">
        <v>2</v>
      </c>
      <c r="D1017" s="162" t="s">
        <v>19</v>
      </c>
      <c r="E1017" s="231">
        <v>43617</v>
      </c>
      <c r="F1017" s="117">
        <v>1016.96</v>
      </c>
      <c r="G1017" s="117">
        <f>SUMIF(CONFERÊNCIA!A:A,A1017,CONFERÊNCIA!J:J)</f>
        <v>1016.96</v>
      </c>
      <c r="H1017" s="119">
        <f t="shared" si="78"/>
        <v>0</v>
      </c>
      <c r="I1017" s="240" t="s">
        <v>1229</v>
      </c>
    </row>
    <row r="1018" spans="1:9" x14ac:dyDescent="0.25">
      <c r="A1018" s="230">
        <v>113313</v>
      </c>
      <c r="B1018" s="162" t="s">
        <v>701</v>
      </c>
      <c r="C1018" s="162" t="s">
        <v>5</v>
      </c>
      <c r="D1018" s="162" t="s">
        <v>0</v>
      </c>
      <c r="E1018" s="231">
        <v>43617</v>
      </c>
      <c r="F1018" s="117">
        <v>978.67000000000007</v>
      </c>
      <c r="G1018" s="117">
        <f>SUMIF(CONFERÊNCIA!A:A,A1018,CONFERÊNCIA!J:J)</f>
        <v>1016.96</v>
      </c>
      <c r="H1018" s="119">
        <f t="shared" si="78"/>
        <v>38.289999999999964</v>
      </c>
      <c r="I1018" s="240" t="s">
        <v>1229</v>
      </c>
    </row>
    <row r="1019" spans="1:9" x14ac:dyDescent="0.25">
      <c r="A1019" s="230">
        <v>122827</v>
      </c>
      <c r="B1019" s="162" t="s">
        <v>1726</v>
      </c>
      <c r="C1019" s="162" t="s">
        <v>5</v>
      </c>
      <c r="D1019" s="162" t="s">
        <v>8</v>
      </c>
      <c r="E1019" s="231">
        <v>45180</v>
      </c>
      <c r="F1019" s="117">
        <v>0</v>
      </c>
      <c r="G1019" s="117">
        <f>SUMIF(CONFERÊNCIA!A:A,A1019,CONFERÊNCIA!J:J)</f>
        <v>1016.96</v>
      </c>
      <c r="H1019" s="119">
        <f t="shared" si="78"/>
        <v>1016.96</v>
      </c>
      <c r="I1019" s="240" t="s">
        <v>1231</v>
      </c>
    </row>
    <row r="1020" spans="1:9" x14ac:dyDescent="0.25">
      <c r="A1020" s="230">
        <v>119126</v>
      </c>
      <c r="B1020" s="162" t="s">
        <v>1438</v>
      </c>
      <c r="C1020" s="162" t="s">
        <v>15</v>
      </c>
      <c r="D1020" s="162" t="s">
        <v>1578</v>
      </c>
      <c r="E1020" s="231">
        <v>44630</v>
      </c>
      <c r="F1020" s="117">
        <v>1016.96</v>
      </c>
      <c r="G1020" s="117">
        <f>SUMIF(CONFERÊNCIA!A:A,A1020,CONFERÊNCIA!J:J)</f>
        <v>1016.96</v>
      </c>
      <c r="H1020" s="119">
        <f t="shared" si="78"/>
        <v>0</v>
      </c>
      <c r="I1020" s="240" t="s">
        <v>1229</v>
      </c>
    </row>
    <row r="1021" spans="1:9" x14ac:dyDescent="0.25">
      <c r="A1021" s="230">
        <v>118993</v>
      </c>
      <c r="B1021" s="162" t="s">
        <v>1426</v>
      </c>
      <c r="C1021" s="162" t="s">
        <v>933</v>
      </c>
      <c r="D1021" s="162" t="s">
        <v>1578</v>
      </c>
      <c r="E1021" s="231">
        <v>44613</v>
      </c>
      <c r="F1021" s="117">
        <v>1016.96</v>
      </c>
      <c r="G1021" s="117">
        <f>SUMIF(CONFERÊNCIA!A:A,A1021,CONFERÊNCIA!J:J)</f>
        <v>1016.96</v>
      </c>
      <c r="H1021" s="119">
        <f t="shared" si="78"/>
        <v>0</v>
      </c>
      <c r="I1021" s="240" t="s">
        <v>1229</v>
      </c>
    </row>
    <row r="1022" spans="1:9" x14ac:dyDescent="0.25">
      <c r="A1022" s="230">
        <v>114254</v>
      </c>
      <c r="B1022" s="162" t="s">
        <v>1018</v>
      </c>
      <c r="C1022" s="162" t="s">
        <v>2</v>
      </c>
      <c r="D1022" s="162" t="s">
        <v>0</v>
      </c>
      <c r="E1022" s="231">
        <v>43804</v>
      </c>
      <c r="F1022" s="117">
        <v>1016.96</v>
      </c>
      <c r="G1022" s="117">
        <f>SUMIF(CONFERÊNCIA!A:A,A1022,CONFERÊNCIA!J:J)</f>
        <v>1016.96</v>
      </c>
      <c r="H1022" s="119">
        <f t="shared" si="78"/>
        <v>0</v>
      </c>
      <c r="I1022" s="240" t="s">
        <v>1229</v>
      </c>
    </row>
    <row r="1023" spans="1:9" x14ac:dyDescent="0.25">
      <c r="A1023" s="230">
        <v>113324</v>
      </c>
      <c r="B1023" s="162" t="s">
        <v>706</v>
      </c>
      <c r="C1023" s="162" t="s">
        <v>2</v>
      </c>
      <c r="D1023" s="162" t="s">
        <v>0</v>
      </c>
      <c r="E1023" s="231">
        <v>43617</v>
      </c>
      <c r="F1023" s="117">
        <v>1016.96</v>
      </c>
      <c r="G1023" s="117">
        <f>SUMIF(CONFERÊNCIA!A:A,A1023,CONFERÊNCIA!J:J)</f>
        <v>1016.96</v>
      </c>
      <c r="H1023" s="119">
        <f t="shared" si="78"/>
        <v>0</v>
      </c>
      <c r="I1023" s="240" t="s">
        <v>1229</v>
      </c>
    </row>
    <row r="1024" spans="1:9" x14ac:dyDescent="0.25">
      <c r="A1024" s="230">
        <v>122418</v>
      </c>
      <c r="B1024" s="162" t="s">
        <v>1693</v>
      </c>
      <c r="C1024" s="162" t="s">
        <v>15</v>
      </c>
      <c r="D1024" s="162" t="s">
        <v>1578</v>
      </c>
      <c r="E1024" s="231">
        <v>45117</v>
      </c>
      <c r="F1024" s="117">
        <v>1016.96</v>
      </c>
      <c r="G1024" s="117">
        <f>SUMIF(CONFERÊNCIA!A:A,A1024,CONFERÊNCIA!J:J)</f>
        <v>1016.96</v>
      </c>
      <c r="H1024" s="119">
        <f t="shared" si="78"/>
        <v>0</v>
      </c>
      <c r="I1024" s="240" t="s">
        <v>1229</v>
      </c>
    </row>
    <row r="1025" spans="1:9" x14ac:dyDescent="0.25">
      <c r="A1025" s="230">
        <v>113329</v>
      </c>
      <c r="B1025" s="162" t="s">
        <v>710</v>
      </c>
      <c r="C1025" s="162" t="s">
        <v>2</v>
      </c>
      <c r="D1025" s="162" t="s">
        <v>32</v>
      </c>
      <c r="E1025" s="231">
        <v>43617</v>
      </c>
      <c r="F1025" s="117">
        <v>1016.96</v>
      </c>
      <c r="G1025" s="117">
        <f>SUMIF(CONFERÊNCIA!A:A,A1025,CONFERÊNCIA!J:J)</f>
        <v>1016.96</v>
      </c>
      <c r="H1025" s="119">
        <f t="shared" si="78"/>
        <v>0</v>
      </c>
      <c r="I1025" s="240" t="s">
        <v>1229</v>
      </c>
    </row>
    <row r="1026" spans="1:9" x14ac:dyDescent="0.25">
      <c r="A1026" s="230">
        <v>114934</v>
      </c>
      <c r="B1026" s="162" t="s">
        <v>1116</v>
      </c>
      <c r="C1026" s="162" t="s">
        <v>480</v>
      </c>
      <c r="D1026" s="162" t="s">
        <v>1578</v>
      </c>
      <c r="E1026" s="231">
        <v>43916</v>
      </c>
      <c r="F1026" s="117">
        <v>1016.96</v>
      </c>
      <c r="G1026" s="117">
        <f>SUMIF(CONFERÊNCIA!A:A,A1026,CONFERÊNCIA!J:J)</f>
        <v>1016.96</v>
      </c>
      <c r="H1026" s="119">
        <f t="shared" si="78"/>
        <v>0</v>
      </c>
      <c r="I1026" s="240" t="s">
        <v>1230</v>
      </c>
    </row>
    <row r="1027" spans="1:9" x14ac:dyDescent="0.25">
      <c r="A1027" s="230">
        <v>113337</v>
      </c>
      <c r="B1027" s="162" t="s">
        <v>714</v>
      </c>
      <c r="C1027" s="162" t="s">
        <v>5</v>
      </c>
      <c r="D1027" s="162" t="s">
        <v>10</v>
      </c>
      <c r="E1027" s="231">
        <v>43617</v>
      </c>
      <c r="F1027" s="117">
        <v>1016.96</v>
      </c>
      <c r="G1027" s="117">
        <f>SUMIF(CONFERÊNCIA!A:A,A1027,CONFERÊNCIA!J:J)</f>
        <v>1016.96</v>
      </c>
      <c r="H1027" s="119">
        <f t="shared" si="78"/>
        <v>0</v>
      </c>
      <c r="I1027" s="240" t="s">
        <v>1229</v>
      </c>
    </row>
    <row r="1028" spans="1:9" x14ac:dyDescent="0.25">
      <c r="A1028" s="230">
        <v>113342</v>
      </c>
      <c r="B1028" s="162" t="s">
        <v>717</v>
      </c>
      <c r="C1028" s="162" t="s">
        <v>5</v>
      </c>
      <c r="D1028" s="162" t="s">
        <v>10</v>
      </c>
      <c r="E1028" s="231">
        <v>43617</v>
      </c>
      <c r="F1028" s="117">
        <v>1016.96</v>
      </c>
      <c r="G1028" s="117">
        <f>SUMIF(CONFERÊNCIA!A:A,A1028,CONFERÊNCIA!J:J)</f>
        <v>1016.96</v>
      </c>
      <c r="H1028" s="119">
        <f t="shared" si="78"/>
        <v>0</v>
      </c>
      <c r="I1028" s="240" t="s">
        <v>1229</v>
      </c>
    </row>
    <row r="1029" spans="1:9" x14ac:dyDescent="0.25">
      <c r="A1029" s="230">
        <v>118995</v>
      </c>
      <c r="B1029" s="162" t="s">
        <v>1427</v>
      </c>
      <c r="C1029" s="162" t="s">
        <v>15</v>
      </c>
      <c r="D1029" s="162" t="s">
        <v>1578</v>
      </c>
      <c r="E1029" s="231">
        <v>44613</v>
      </c>
      <c r="F1029" s="117">
        <v>1016.96</v>
      </c>
      <c r="G1029" s="117">
        <f>SUMIF(CONFERÊNCIA!A:A,A1029,CONFERÊNCIA!J:J)</f>
        <v>1016.96</v>
      </c>
      <c r="H1029" s="119">
        <f t="shared" si="78"/>
        <v>0</v>
      </c>
      <c r="I1029" s="240" t="s">
        <v>1229</v>
      </c>
    </row>
    <row r="1030" spans="1:9" x14ac:dyDescent="0.25">
      <c r="A1030" s="230">
        <v>113721</v>
      </c>
      <c r="B1030" s="162" t="s">
        <v>935</v>
      </c>
      <c r="C1030" s="162" t="s">
        <v>469</v>
      </c>
      <c r="D1030" s="162" t="s">
        <v>8</v>
      </c>
      <c r="E1030" s="231">
        <v>43619</v>
      </c>
      <c r="F1030" s="117">
        <v>1016.96</v>
      </c>
      <c r="G1030" s="117">
        <f>SUMIF(CONFERÊNCIA!A:A,A1030,CONFERÊNCIA!J:J)</f>
        <v>1016.96</v>
      </c>
      <c r="H1030" s="119">
        <f t="shared" si="78"/>
        <v>0</v>
      </c>
      <c r="I1030" s="240" t="s">
        <v>1229</v>
      </c>
    </row>
    <row r="1031" spans="1:9" x14ac:dyDescent="0.25">
      <c r="A1031" s="230">
        <v>113783</v>
      </c>
      <c r="B1031" s="162" t="s">
        <v>978</v>
      </c>
      <c r="C1031" s="162" t="s">
        <v>1650</v>
      </c>
      <c r="D1031" s="162" t="s">
        <v>1578</v>
      </c>
      <c r="E1031" s="231">
        <v>43624</v>
      </c>
      <c r="F1031" s="117">
        <v>1016.96</v>
      </c>
      <c r="G1031" s="117">
        <f>SUMIF(CONFERÊNCIA!A:A,A1031,CONFERÊNCIA!J:J)</f>
        <v>1016.96</v>
      </c>
      <c r="H1031" s="119">
        <f t="shared" si="78"/>
        <v>0</v>
      </c>
      <c r="I1031" s="240" t="s">
        <v>1229</v>
      </c>
    </row>
    <row r="1032" spans="1:9" x14ac:dyDescent="0.25">
      <c r="A1032" s="230">
        <v>112193</v>
      </c>
      <c r="B1032" s="162" t="s">
        <v>25</v>
      </c>
      <c r="C1032" s="162" t="s">
        <v>5</v>
      </c>
      <c r="D1032" s="162" t="s">
        <v>10</v>
      </c>
      <c r="E1032" s="231">
        <v>43617</v>
      </c>
      <c r="F1032" s="117">
        <v>1016.96</v>
      </c>
      <c r="G1032" s="117">
        <f>SUMIF(CONFERÊNCIA!A:A,A1032,CONFERÊNCIA!J:J)</f>
        <v>1016.96</v>
      </c>
      <c r="H1032" s="119">
        <f t="shared" si="78"/>
        <v>0</v>
      </c>
      <c r="I1032" s="240" t="s">
        <v>1229</v>
      </c>
    </row>
    <row r="1033" spans="1:9" x14ac:dyDescent="0.25">
      <c r="A1033" s="230">
        <v>122254</v>
      </c>
      <c r="B1033" s="162" t="s">
        <v>1657</v>
      </c>
      <c r="C1033" s="162" t="s">
        <v>963</v>
      </c>
      <c r="D1033" s="162" t="s">
        <v>1578</v>
      </c>
      <c r="E1033" s="231">
        <v>45089</v>
      </c>
      <c r="F1033" s="117">
        <v>1016.96</v>
      </c>
      <c r="G1033" s="117">
        <f>SUMIF(CONFERÊNCIA!A:A,A1033,CONFERÊNCIA!J:J)</f>
        <v>1016.96</v>
      </c>
      <c r="H1033" s="119">
        <f t="shared" si="78"/>
        <v>0</v>
      </c>
      <c r="I1033" s="240" t="s">
        <v>1229</v>
      </c>
    </row>
    <row r="1034" spans="1:9" x14ac:dyDescent="0.25">
      <c r="A1034" s="230">
        <v>117414</v>
      </c>
      <c r="B1034" s="162" t="s">
        <v>1274</v>
      </c>
      <c r="C1034" s="162" t="s">
        <v>2</v>
      </c>
      <c r="D1034" s="162" t="s">
        <v>10</v>
      </c>
      <c r="E1034" s="231">
        <v>44522</v>
      </c>
      <c r="F1034" s="117">
        <v>1016.96</v>
      </c>
      <c r="G1034" s="117">
        <f>SUMIF(CONFERÊNCIA!A:A,A1034,CONFERÊNCIA!J:J)</f>
        <v>1016.96</v>
      </c>
      <c r="H1034" s="119">
        <f t="shared" si="78"/>
        <v>0</v>
      </c>
      <c r="I1034" s="240" t="s">
        <v>1229</v>
      </c>
    </row>
    <row r="1035" spans="1:9" x14ac:dyDescent="0.25">
      <c r="A1035" s="230">
        <v>112201</v>
      </c>
      <c r="B1035" s="162" t="s">
        <v>30</v>
      </c>
      <c r="C1035" s="162" t="s">
        <v>5</v>
      </c>
      <c r="D1035" s="162" t="s">
        <v>10</v>
      </c>
      <c r="E1035" s="231">
        <v>43617</v>
      </c>
      <c r="F1035" s="117">
        <v>1016.96</v>
      </c>
      <c r="G1035" s="117">
        <f>SUMIF(CONFERÊNCIA!A:A,A1035,CONFERÊNCIA!J:J)</f>
        <v>1016.96</v>
      </c>
      <c r="H1035" s="119">
        <f t="shared" ref="H1035:H1070" si="79">G1035-F1035</f>
        <v>0</v>
      </c>
      <c r="I1035" s="240" t="s">
        <v>1229</v>
      </c>
    </row>
    <row r="1036" spans="1:9" x14ac:dyDescent="0.25">
      <c r="A1036" s="230">
        <v>113778</v>
      </c>
      <c r="B1036" s="162" t="s">
        <v>975</v>
      </c>
      <c r="C1036" s="162" t="s">
        <v>7</v>
      </c>
      <c r="D1036" s="162" t="s">
        <v>0</v>
      </c>
      <c r="E1036" s="231">
        <v>43623</v>
      </c>
      <c r="F1036" s="117">
        <v>1016.96</v>
      </c>
      <c r="G1036" s="117">
        <f>SUMIF(CONFERÊNCIA!A:A,A1036,CONFERÊNCIA!J:J)</f>
        <v>1016.96</v>
      </c>
      <c r="H1036" s="119">
        <f t="shared" si="79"/>
        <v>0</v>
      </c>
      <c r="I1036" s="240" t="s">
        <v>1229</v>
      </c>
    </row>
    <row r="1037" spans="1:9" x14ac:dyDescent="0.25">
      <c r="A1037" s="230">
        <v>112230</v>
      </c>
      <c r="B1037" s="162" t="s">
        <v>52</v>
      </c>
      <c r="C1037" s="162" t="s">
        <v>2</v>
      </c>
      <c r="D1037" s="162" t="s">
        <v>0</v>
      </c>
      <c r="E1037" s="231">
        <v>43617</v>
      </c>
      <c r="F1037" s="117">
        <v>1016.96</v>
      </c>
      <c r="G1037" s="117">
        <f>SUMIF(CONFERÊNCIA!A:A,A1037,CONFERÊNCIA!J:J)</f>
        <v>1016.96</v>
      </c>
      <c r="H1037" s="119">
        <f t="shared" si="79"/>
        <v>0</v>
      </c>
      <c r="I1037" s="240" t="s">
        <v>1229</v>
      </c>
    </row>
    <row r="1038" spans="1:9" x14ac:dyDescent="0.25">
      <c r="A1038" s="230">
        <v>114106</v>
      </c>
      <c r="B1038" s="162" t="s">
        <v>1006</v>
      </c>
      <c r="C1038" s="162" t="s">
        <v>5</v>
      </c>
      <c r="D1038" s="162" t="s">
        <v>10</v>
      </c>
      <c r="E1038" s="231">
        <v>43728</v>
      </c>
      <c r="F1038" s="117">
        <v>1016.96</v>
      </c>
      <c r="G1038" s="117">
        <f>SUMIF(CONFERÊNCIA!A:A,A1038,CONFERÊNCIA!J:J)</f>
        <v>1016.96</v>
      </c>
      <c r="H1038" s="119">
        <f t="shared" si="79"/>
        <v>0</v>
      </c>
      <c r="I1038" s="240" t="s">
        <v>1229</v>
      </c>
    </row>
    <row r="1039" spans="1:9" x14ac:dyDescent="0.25">
      <c r="A1039" s="230">
        <v>119672</v>
      </c>
      <c r="B1039" s="162" t="s">
        <v>1469</v>
      </c>
      <c r="C1039" s="162" t="s">
        <v>2</v>
      </c>
      <c r="D1039" s="162" t="s">
        <v>0</v>
      </c>
      <c r="E1039" s="231">
        <v>44725</v>
      </c>
      <c r="F1039" s="117">
        <v>1016.96</v>
      </c>
      <c r="G1039" s="117">
        <f>SUMIF(CONFERÊNCIA!A:A,A1039,CONFERÊNCIA!J:J)</f>
        <v>1016.96</v>
      </c>
      <c r="H1039" s="119">
        <f t="shared" si="79"/>
        <v>0</v>
      </c>
      <c r="I1039" s="240" t="s">
        <v>1229</v>
      </c>
    </row>
    <row r="1040" spans="1:9" x14ac:dyDescent="0.25">
      <c r="A1040" s="230">
        <v>112240</v>
      </c>
      <c r="B1040" s="162" t="s">
        <v>58</v>
      </c>
      <c r="C1040" s="162" t="s">
        <v>2</v>
      </c>
      <c r="D1040" s="162" t="s">
        <v>0</v>
      </c>
      <c r="E1040" s="231">
        <v>43617</v>
      </c>
      <c r="F1040" s="117">
        <v>1016.96</v>
      </c>
      <c r="G1040" s="117">
        <f>SUMIF(CONFERÊNCIA!A:A,A1040,CONFERÊNCIA!J:J)</f>
        <v>1016.96</v>
      </c>
      <c r="H1040" s="119">
        <f t="shared" si="79"/>
        <v>0</v>
      </c>
      <c r="I1040" s="240" t="s">
        <v>1229</v>
      </c>
    </row>
    <row r="1041" spans="1:9" x14ac:dyDescent="0.25">
      <c r="A1041" s="230">
        <v>112262</v>
      </c>
      <c r="B1041" s="162" t="s">
        <v>72</v>
      </c>
      <c r="C1041" s="162" t="s">
        <v>5</v>
      </c>
      <c r="D1041" s="162" t="s">
        <v>0</v>
      </c>
      <c r="E1041" s="231">
        <v>43617</v>
      </c>
      <c r="F1041" s="117">
        <v>1016.96</v>
      </c>
      <c r="G1041" s="117">
        <f>SUMIF(CONFERÊNCIA!A:A,A1041,CONFERÊNCIA!J:J)</f>
        <v>1016.96</v>
      </c>
      <c r="H1041" s="119">
        <f t="shared" si="79"/>
        <v>0</v>
      </c>
      <c r="I1041" s="240" t="s">
        <v>1229</v>
      </c>
    </row>
    <row r="1042" spans="1:9" x14ac:dyDescent="0.25">
      <c r="A1042" s="230">
        <v>119742</v>
      </c>
      <c r="B1042" s="162" t="s">
        <v>1161</v>
      </c>
      <c r="C1042" s="162" t="s">
        <v>120</v>
      </c>
      <c r="D1042" s="162" t="s">
        <v>1578</v>
      </c>
      <c r="E1042" s="231">
        <v>44733</v>
      </c>
      <c r="F1042" s="117">
        <v>1016.96</v>
      </c>
      <c r="G1042" s="117">
        <f>SUMIF(CONFERÊNCIA!A:A,A1042,CONFERÊNCIA!J:J)</f>
        <v>1016.96</v>
      </c>
      <c r="H1042" s="119">
        <f t="shared" si="79"/>
        <v>0</v>
      </c>
      <c r="I1042" s="240" t="s">
        <v>1229</v>
      </c>
    </row>
    <row r="1043" spans="1:9" x14ac:dyDescent="0.25">
      <c r="A1043" s="230">
        <v>112277</v>
      </c>
      <c r="B1043" s="162" t="s">
        <v>82</v>
      </c>
      <c r="C1043" s="162" t="s">
        <v>5</v>
      </c>
      <c r="D1043" s="162" t="s">
        <v>8</v>
      </c>
      <c r="E1043" s="231">
        <v>43617</v>
      </c>
      <c r="F1043" s="117">
        <v>1016.96</v>
      </c>
      <c r="G1043" s="117">
        <f>SUMIF(CONFERÊNCIA!A:A,A1043,CONFERÊNCIA!J:J)</f>
        <v>1016.96</v>
      </c>
      <c r="H1043" s="119">
        <f t="shared" si="79"/>
        <v>0</v>
      </c>
      <c r="I1043" s="240" t="s">
        <v>1229</v>
      </c>
    </row>
    <row r="1044" spans="1:9" x14ac:dyDescent="0.25">
      <c r="A1044" s="230">
        <v>112306</v>
      </c>
      <c r="B1044" s="162" t="s">
        <v>100</v>
      </c>
      <c r="C1044" s="162" t="s">
        <v>2</v>
      </c>
      <c r="D1044" s="162" t="s">
        <v>10</v>
      </c>
      <c r="E1044" s="231">
        <v>43617</v>
      </c>
      <c r="F1044" s="117">
        <v>1016.96</v>
      </c>
      <c r="G1044" s="117">
        <f>SUMIF(CONFERÊNCIA!A:A,A1044,CONFERÊNCIA!J:J)</f>
        <v>1016.96</v>
      </c>
      <c r="H1044" s="119">
        <f t="shared" si="79"/>
        <v>0</v>
      </c>
      <c r="I1044" s="240" t="s">
        <v>1229</v>
      </c>
    </row>
    <row r="1045" spans="1:9" x14ac:dyDescent="0.25">
      <c r="A1045" s="230">
        <v>113675</v>
      </c>
      <c r="B1045" s="162" t="s">
        <v>909</v>
      </c>
      <c r="C1045" s="162" t="s">
        <v>5</v>
      </c>
      <c r="D1045" s="162" t="s">
        <v>19</v>
      </c>
      <c r="E1045" s="231">
        <v>43617</v>
      </c>
      <c r="F1045" s="117">
        <v>1016.96</v>
      </c>
      <c r="G1045" s="117">
        <f>SUMIF(CONFERÊNCIA!A:A,A1045,CONFERÊNCIA!J:J)</f>
        <v>1016.96</v>
      </c>
      <c r="H1045" s="119">
        <f t="shared" si="79"/>
        <v>0</v>
      </c>
      <c r="I1045" s="240" t="s">
        <v>1229</v>
      </c>
    </row>
    <row r="1046" spans="1:9" x14ac:dyDescent="0.25">
      <c r="A1046" s="230">
        <v>112373</v>
      </c>
      <c r="B1046" s="162" t="s">
        <v>137</v>
      </c>
      <c r="C1046" s="162" t="s">
        <v>5</v>
      </c>
      <c r="D1046" s="162" t="s">
        <v>0</v>
      </c>
      <c r="E1046" s="231">
        <v>43617</v>
      </c>
      <c r="F1046" s="117">
        <v>1016.96</v>
      </c>
      <c r="G1046" s="117">
        <f>SUMIF(CONFERÊNCIA!A:A,A1046,CONFERÊNCIA!J:J)</f>
        <v>1016.96</v>
      </c>
      <c r="H1046" s="119">
        <f t="shared" si="79"/>
        <v>0</v>
      </c>
      <c r="I1046" s="240" t="s">
        <v>1230</v>
      </c>
    </row>
    <row r="1047" spans="1:9" x14ac:dyDescent="0.25">
      <c r="A1047" s="230">
        <v>112380</v>
      </c>
      <c r="B1047" s="162" t="s">
        <v>143</v>
      </c>
      <c r="C1047" s="162" t="s">
        <v>2</v>
      </c>
      <c r="D1047" s="162" t="s">
        <v>0</v>
      </c>
      <c r="E1047" s="231">
        <v>43617</v>
      </c>
      <c r="F1047" s="117">
        <v>1016.96</v>
      </c>
      <c r="G1047" s="117">
        <f>SUMIF(CONFERÊNCIA!A:A,A1047,CONFERÊNCIA!J:J)</f>
        <v>1016.96</v>
      </c>
      <c r="H1047" s="119">
        <f t="shared" si="79"/>
        <v>0</v>
      </c>
      <c r="I1047" s="240" t="s">
        <v>1229</v>
      </c>
    </row>
    <row r="1048" spans="1:9" x14ac:dyDescent="0.25">
      <c r="A1048" s="230">
        <v>112392</v>
      </c>
      <c r="B1048" s="162" t="s">
        <v>150</v>
      </c>
      <c r="C1048" s="162" t="s">
        <v>2</v>
      </c>
      <c r="D1048" s="162" t="s">
        <v>0</v>
      </c>
      <c r="E1048" s="231">
        <v>43617</v>
      </c>
      <c r="F1048" s="117">
        <v>1016.96</v>
      </c>
      <c r="G1048" s="117">
        <f>SUMIF(CONFERÊNCIA!A:A,A1048,CONFERÊNCIA!J:J)</f>
        <v>1016.96</v>
      </c>
      <c r="H1048" s="119">
        <f t="shared" si="79"/>
        <v>0</v>
      </c>
      <c r="I1048" s="240" t="s">
        <v>1229</v>
      </c>
    </row>
    <row r="1049" spans="1:9" x14ac:dyDescent="0.25">
      <c r="A1049" s="230">
        <v>116719</v>
      </c>
      <c r="B1049" s="162" t="s">
        <v>1217</v>
      </c>
      <c r="C1049" s="162" t="s">
        <v>2</v>
      </c>
      <c r="D1049" s="162" t="s">
        <v>8</v>
      </c>
      <c r="E1049" s="231">
        <v>44368</v>
      </c>
      <c r="F1049" s="117">
        <v>902.11</v>
      </c>
      <c r="G1049" s="117">
        <f>SUMIF(CONFERÊNCIA!A:A,A1049,CONFERÊNCIA!J:J)</f>
        <v>1016.96</v>
      </c>
      <c r="H1049" s="119">
        <f t="shared" si="79"/>
        <v>114.85000000000002</v>
      </c>
      <c r="I1049" s="240" t="s">
        <v>1229</v>
      </c>
    </row>
    <row r="1050" spans="1:9" x14ac:dyDescent="0.25">
      <c r="A1050" s="230">
        <v>112397</v>
      </c>
      <c r="B1050" s="162" t="s">
        <v>153</v>
      </c>
      <c r="C1050" s="162" t="s">
        <v>2</v>
      </c>
      <c r="D1050" s="162" t="s">
        <v>10</v>
      </c>
      <c r="E1050" s="231">
        <v>43617</v>
      </c>
      <c r="F1050" s="117">
        <v>1016.96</v>
      </c>
      <c r="G1050" s="117">
        <f>SUMIF(CONFERÊNCIA!A:A,A1050,CONFERÊNCIA!J:J)</f>
        <v>1016.96</v>
      </c>
      <c r="H1050" s="119">
        <f t="shared" si="79"/>
        <v>0</v>
      </c>
      <c r="I1050" s="240" t="s">
        <v>1229</v>
      </c>
    </row>
    <row r="1051" spans="1:9" x14ac:dyDescent="0.25">
      <c r="A1051" s="230">
        <v>112402</v>
      </c>
      <c r="B1051" s="162" t="s">
        <v>158</v>
      </c>
      <c r="C1051" s="162" t="s">
        <v>5</v>
      </c>
      <c r="D1051" s="162" t="s">
        <v>0</v>
      </c>
      <c r="E1051" s="231">
        <v>43617</v>
      </c>
      <c r="F1051" s="117">
        <v>1016.96</v>
      </c>
      <c r="G1051" s="117">
        <f>SUMIF(CONFERÊNCIA!A:A,A1051,CONFERÊNCIA!J:J)</f>
        <v>1016.96</v>
      </c>
      <c r="H1051" s="119">
        <f t="shared" si="79"/>
        <v>0</v>
      </c>
      <c r="I1051" s="240" t="s">
        <v>1229</v>
      </c>
    </row>
    <row r="1052" spans="1:9" x14ac:dyDescent="0.25">
      <c r="A1052" s="230">
        <v>112405</v>
      </c>
      <c r="B1052" s="162" t="s">
        <v>160</v>
      </c>
      <c r="C1052" s="162" t="s">
        <v>2</v>
      </c>
      <c r="D1052" s="162" t="s">
        <v>8</v>
      </c>
      <c r="E1052" s="231">
        <v>43617</v>
      </c>
      <c r="F1052" s="117">
        <v>1016.96</v>
      </c>
      <c r="G1052" s="117">
        <f>SUMIF(CONFERÊNCIA!A:A,A1052,CONFERÊNCIA!J:J)</f>
        <v>1016.96</v>
      </c>
      <c r="H1052" s="119">
        <f t="shared" si="79"/>
        <v>0</v>
      </c>
      <c r="I1052" s="240" t="s">
        <v>1229</v>
      </c>
    </row>
    <row r="1053" spans="1:9" x14ac:dyDescent="0.25">
      <c r="A1053" s="230">
        <v>114928</v>
      </c>
      <c r="B1053" s="162" t="s">
        <v>1113</v>
      </c>
      <c r="C1053" s="162" t="s">
        <v>5</v>
      </c>
      <c r="D1053" s="162" t="s">
        <v>1578</v>
      </c>
      <c r="E1053" s="231">
        <v>43916</v>
      </c>
      <c r="F1053" s="117">
        <v>1016.96</v>
      </c>
      <c r="G1053" s="117">
        <f>SUMIF(CONFERÊNCIA!A:A,A1053,CONFERÊNCIA!J:J)</f>
        <v>1016.96</v>
      </c>
      <c r="H1053" s="119">
        <f t="shared" si="79"/>
        <v>0</v>
      </c>
      <c r="I1053" s="240" t="s">
        <v>1229</v>
      </c>
    </row>
    <row r="1054" spans="1:9" x14ac:dyDescent="0.25">
      <c r="A1054" s="230">
        <v>112445</v>
      </c>
      <c r="B1054" s="162" t="s">
        <v>186</v>
      </c>
      <c r="C1054" s="162" t="s">
        <v>2</v>
      </c>
      <c r="D1054" s="162" t="s">
        <v>10</v>
      </c>
      <c r="E1054" s="231">
        <v>43617</v>
      </c>
      <c r="F1054" s="117">
        <v>1016.96</v>
      </c>
      <c r="G1054" s="117">
        <f>SUMIF(CONFERÊNCIA!A:A,A1054,CONFERÊNCIA!J:J)</f>
        <v>1016.96</v>
      </c>
      <c r="H1054" s="119">
        <f t="shared" si="79"/>
        <v>0</v>
      </c>
      <c r="I1054" s="240" t="s">
        <v>1229</v>
      </c>
    </row>
    <row r="1055" spans="1:9" x14ac:dyDescent="0.25">
      <c r="A1055" s="230">
        <v>121690</v>
      </c>
      <c r="B1055" s="162" t="s">
        <v>1590</v>
      </c>
      <c r="C1055" s="162" t="s">
        <v>469</v>
      </c>
      <c r="D1055" s="162" t="s">
        <v>1580</v>
      </c>
      <c r="E1055" s="231">
        <v>44994</v>
      </c>
      <c r="F1055" s="117">
        <v>1016.96</v>
      </c>
      <c r="G1055" s="117">
        <f>SUMIF(CONFERÊNCIA!A:A,A1055,CONFERÊNCIA!J:J)</f>
        <v>1016.96</v>
      </c>
      <c r="H1055" s="119">
        <f t="shared" si="79"/>
        <v>0</v>
      </c>
      <c r="I1055" s="240" t="s">
        <v>1229</v>
      </c>
    </row>
    <row r="1056" spans="1:9" x14ac:dyDescent="0.25">
      <c r="A1056" s="230">
        <v>114272</v>
      </c>
      <c r="B1056" s="162" t="s">
        <v>1029</v>
      </c>
      <c r="C1056" s="162" t="s">
        <v>2</v>
      </c>
      <c r="D1056" s="162" t="s">
        <v>10</v>
      </c>
      <c r="E1056" s="231">
        <v>43804</v>
      </c>
      <c r="F1056" s="117">
        <v>1016.96</v>
      </c>
      <c r="G1056" s="117">
        <f>SUMIF(CONFERÊNCIA!A:A,A1056,CONFERÊNCIA!J:J)</f>
        <v>1016.96</v>
      </c>
      <c r="H1056" s="119">
        <f t="shared" si="79"/>
        <v>0</v>
      </c>
      <c r="I1056" s="240" t="s">
        <v>1229</v>
      </c>
    </row>
    <row r="1057" spans="1:9" x14ac:dyDescent="0.25">
      <c r="A1057" s="230">
        <v>116713</v>
      </c>
      <c r="B1057" s="162" t="s">
        <v>1214</v>
      </c>
      <c r="C1057" s="162" t="s">
        <v>2</v>
      </c>
      <c r="D1057" s="162" t="s">
        <v>19</v>
      </c>
      <c r="E1057" s="231">
        <v>44368</v>
      </c>
      <c r="F1057" s="117">
        <v>1016.96</v>
      </c>
      <c r="G1057" s="117">
        <f>SUMIF(CONFERÊNCIA!A:A,A1057,CONFERÊNCIA!J:J)</f>
        <v>1016.96</v>
      </c>
      <c r="H1057" s="119">
        <f t="shared" si="79"/>
        <v>0</v>
      </c>
      <c r="I1057" s="240" t="s">
        <v>1229</v>
      </c>
    </row>
    <row r="1058" spans="1:9" x14ac:dyDescent="0.25">
      <c r="A1058" s="230">
        <v>112453</v>
      </c>
      <c r="B1058" s="162" t="s">
        <v>191</v>
      </c>
      <c r="C1058" s="162" t="s">
        <v>2</v>
      </c>
      <c r="D1058" s="162" t="s">
        <v>19</v>
      </c>
      <c r="E1058" s="231">
        <v>43617</v>
      </c>
      <c r="F1058" s="117">
        <v>1016.96</v>
      </c>
      <c r="G1058" s="117">
        <f>SUMIF(CONFERÊNCIA!A:A,A1058,CONFERÊNCIA!J:J)</f>
        <v>1016.96</v>
      </c>
      <c r="H1058" s="119">
        <f t="shared" si="79"/>
        <v>0</v>
      </c>
      <c r="I1058" s="240" t="s">
        <v>1229</v>
      </c>
    </row>
    <row r="1059" spans="1:9" x14ac:dyDescent="0.25">
      <c r="A1059" s="230">
        <v>112469</v>
      </c>
      <c r="B1059" s="162" t="s">
        <v>198</v>
      </c>
      <c r="C1059" s="162" t="s">
        <v>2</v>
      </c>
      <c r="D1059" s="162" t="s">
        <v>10</v>
      </c>
      <c r="E1059" s="231">
        <v>43617</v>
      </c>
      <c r="F1059" s="117">
        <v>1016.96</v>
      </c>
      <c r="G1059" s="117">
        <f>SUMIF(CONFERÊNCIA!A:A,A1059,CONFERÊNCIA!J:J)</f>
        <v>1016.96</v>
      </c>
      <c r="H1059" s="119">
        <f t="shared" si="79"/>
        <v>0</v>
      </c>
      <c r="I1059" s="240" t="s">
        <v>1229</v>
      </c>
    </row>
    <row r="1060" spans="1:9" x14ac:dyDescent="0.25">
      <c r="A1060" s="230">
        <v>112476</v>
      </c>
      <c r="B1060" s="162" t="s">
        <v>204</v>
      </c>
      <c r="C1060" s="162" t="s">
        <v>901</v>
      </c>
      <c r="D1060" s="162" t="s">
        <v>1580</v>
      </c>
      <c r="E1060" s="231">
        <v>43617</v>
      </c>
      <c r="F1060" s="117">
        <v>1016.96</v>
      </c>
      <c r="G1060" s="117">
        <f>SUMIF(CONFERÊNCIA!A:A,A1060,CONFERÊNCIA!J:J)</f>
        <v>1016.96</v>
      </c>
      <c r="H1060" s="119">
        <f t="shared" si="79"/>
        <v>0</v>
      </c>
      <c r="I1060" s="240" t="s">
        <v>1229</v>
      </c>
    </row>
    <row r="1061" spans="1:9" x14ac:dyDescent="0.25">
      <c r="A1061" s="230">
        <v>115012</v>
      </c>
      <c r="B1061" s="162" t="s">
        <v>1139</v>
      </c>
      <c r="C1061" s="162" t="s">
        <v>5</v>
      </c>
      <c r="D1061" s="162" t="s">
        <v>1578</v>
      </c>
      <c r="E1061" s="231">
        <v>43930</v>
      </c>
      <c r="F1061" s="117">
        <v>825.55</v>
      </c>
      <c r="G1061" s="117">
        <f>SUMIF(CONFERÊNCIA!A:A,A1061,CONFERÊNCIA!J:J)</f>
        <v>902.11</v>
      </c>
      <c r="H1061" s="119">
        <f t="shared" si="79"/>
        <v>76.560000000000059</v>
      </c>
      <c r="I1061" s="240" t="s">
        <v>1229</v>
      </c>
    </row>
    <row r="1062" spans="1:9" x14ac:dyDescent="0.25">
      <c r="A1062" s="230">
        <v>114733</v>
      </c>
      <c r="B1062" s="162" t="s">
        <v>1082</v>
      </c>
      <c r="C1062" s="162" t="s">
        <v>5</v>
      </c>
      <c r="D1062" s="162" t="s">
        <v>32</v>
      </c>
      <c r="E1062" s="231">
        <v>43874</v>
      </c>
      <c r="F1062" s="117">
        <v>978.67000000000007</v>
      </c>
      <c r="G1062" s="117">
        <f>SUMIF(CONFERÊNCIA!A:A,A1062,CONFERÊNCIA!J:J)</f>
        <v>978.67000000000007</v>
      </c>
      <c r="H1062" s="119">
        <f t="shared" si="79"/>
        <v>0</v>
      </c>
      <c r="I1062" s="240" t="s">
        <v>1229</v>
      </c>
    </row>
    <row r="1063" spans="1:9" x14ac:dyDescent="0.25">
      <c r="A1063" s="230">
        <v>116031</v>
      </c>
      <c r="B1063" s="162" t="s">
        <v>1177</v>
      </c>
      <c r="C1063" s="162" t="s">
        <v>5</v>
      </c>
      <c r="D1063" s="162" t="s">
        <v>0</v>
      </c>
      <c r="E1063" s="231">
        <v>44207</v>
      </c>
      <c r="F1063" s="117">
        <v>1016.96</v>
      </c>
      <c r="G1063" s="117">
        <f>SUMIF(CONFERÊNCIA!A:A,A1063,CONFERÊNCIA!J:J)</f>
        <v>1016.96</v>
      </c>
      <c r="H1063" s="119">
        <f t="shared" si="79"/>
        <v>0</v>
      </c>
      <c r="I1063" s="240" t="s">
        <v>1229</v>
      </c>
    </row>
    <row r="1064" spans="1:9" x14ac:dyDescent="0.25">
      <c r="A1064" s="230">
        <v>116977</v>
      </c>
      <c r="B1064" s="162" t="s">
        <v>1239</v>
      </c>
      <c r="C1064" s="162" t="s">
        <v>5</v>
      </c>
      <c r="D1064" s="162" t="s">
        <v>1578</v>
      </c>
      <c r="E1064" s="231">
        <v>44419</v>
      </c>
      <c r="F1064" s="117">
        <v>1016.96</v>
      </c>
      <c r="G1064" s="117">
        <f>SUMIF(CONFERÊNCIA!A:A,A1064,CONFERÊNCIA!J:J)</f>
        <v>1016.96</v>
      </c>
      <c r="H1064" s="119">
        <f t="shared" si="79"/>
        <v>0</v>
      </c>
      <c r="I1064" s="240" t="s">
        <v>1230</v>
      </c>
    </row>
    <row r="1065" spans="1:9" x14ac:dyDescent="0.25">
      <c r="A1065" s="230">
        <v>112492</v>
      </c>
      <c r="B1065" s="162" t="s">
        <v>213</v>
      </c>
      <c r="C1065" s="162" t="s">
        <v>2</v>
      </c>
      <c r="D1065" s="162" t="s">
        <v>8</v>
      </c>
      <c r="E1065" s="231">
        <v>43617</v>
      </c>
      <c r="F1065" s="117">
        <v>1016.96</v>
      </c>
      <c r="G1065" s="117">
        <f>SUMIF(CONFERÊNCIA!A:A,A1065,CONFERÊNCIA!J:J)</f>
        <v>1016.96</v>
      </c>
      <c r="H1065" s="119">
        <f t="shared" si="79"/>
        <v>0</v>
      </c>
      <c r="I1065" s="240" t="s">
        <v>1229</v>
      </c>
    </row>
    <row r="1066" spans="1:9" x14ac:dyDescent="0.25">
      <c r="A1066" s="230">
        <v>112497</v>
      </c>
      <c r="B1066" s="162" t="s">
        <v>216</v>
      </c>
      <c r="C1066" s="162" t="s">
        <v>5</v>
      </c>
      <c r="D1066" s="162" t="s">
        <v>10</v>
      </c>
      <c r="E1066" s="231">
        <v>43617</v>
      </c>
      <c r="F1066" s="117">
        <v>1016.96</v>
      </c>
      <c r="G1066" s="117">
        <f>SUMIF(CONFERÊNCIA!A:A,A1066,CONFERÊNCIA!J:J)</f>
        <v>1016.96</v>
      </c>
      <c r="H1066" s="119">
        <f t="shared" si="79"/>
        <v>0</v>
      </c>
      <c r="I1066" s="240" t="s">
        <v>1229</v>
      </c>
    </row>
    <row r="1067" spans="1:9" x14ac:dyDescent="0.25">
      <c r="A1067" s="230">
        <v>112578</v>
      </c>
      <c r="B1067" s="162" t="s">
        <v>275</v>
      </c>
      <c r="C1067" s="162" t="s">
        <v>5</v>
      </c>
      <c r="D1067" s="162" t="s">
        <v>19</v>
      </c>
      <c r="E1067" s="231">
        <v>43617</v>
      </c>
      <c r="F1067" s="117">
        <v>1016.96</v>
      </c>
      <c r="G1067" s="117">
        <f>SUMIF(CONFERÊNCIA!A:A,A1067,CONFERÊNCIA!J:J)</f>
        <v>1016.96</v>
      </c>
      <c r="H1067" s="119">
        <f t="shared" si="79"/>
        <v>0</v>
      </c>
      <c r="I1067" s="240" t="s">
        <v>1229</v>
      </c>
    </row>
    <row r="1068" spans="1:9" x14ac:dyDescent="0.25">
      <c r="A1068" s="230">
        <v>119925</v>
      </c>
      <c r="B1068" s="162" t="s">
        <v>1482</v>
      </c>
      <c r="C1068" s="162" t="s">
        <v>5</v>
      </c>
      <c r="D1068" s="162" t="s">
        <v>1578</v>
      </c>
      <c r="E1068" s="231">
        <v>44760</v>
      </c>
      <c r="F1068" s="117">
        <v>1016.96</v>
      </c>
      <c r="G1068" s="117">
        <f>SUMIF(CONFERÊNCIA!A:A,A1068,CONFERÊNCIA!J:J)</f>
        <v>1016.96</v>
      </c>
      <c r="H1068" s="119">
        <f t="shared" si="79"/>
        <v>0</v>
      </c>
      <c r="I1068" s="240" t="s">
        <v>1229</v>
      </c>
    </row>
    <row r="1069" spans="1:9" x14ac:dyDescent="0.25">
      <c r="A1069" s="230">
        <v>112608</v>
      </c>
      <c r="B1069" s="162" t="s">
        <v>292</v>
      </c>
      <c r="C1069" s="162" t="s">
        <v>15</v>
      </c>
      <c r="D1069" s="162" t="s">
        <v>1578</v>
      </c>
      <c r="E1069" s="231">
        <v>43617</v>
      </c>
      <c r="F1069" s="117">
        <v>1016.96</v>
      </c>
      <c r="G1069" s="117">
        <f>SUMIF(CONFERÊNCIA!A:A,A1069,CONFERÊNCIA!J:J)</f>
        <v>1016.96</v>
      </c>
      <c r="H1069" s="119">
        <f t="shared" si="79"/>
        <v>0</v>
      </c>
      <c r="I1069" s="240" t="s">
        <v>1229</v>
      </c>
    </row>
    <row r="1070" spans="1:9" x14ac:dyDescent="0.25">
      <c r="A1070" s="230">
        <v>121686</v>
      </c>
      <c r="B1070" s="162" t="s">
        <v>1591</v>
      </c>
      <c r="C1070" s="162" t="s">
        <v>5</v>
      </c>
      <c r="D1070" s="162" t="s">
        <v>10</v>
      </c>
      <c r="E1070" s="231">
        <v>44994</v>
      </c>
      <c r="F1070" s="117">
        <v>863.83</v>
      </c>
      <c r="G1070" s="117">
        <f>SUMIF(CONFERÊNCIA!A:A,A1070,CONFERÊNCIA!J:J)</f>
        <v>0</v>
      </c>
      <c r="H1070" s="119">
        <f t="shared" si="79"/>
        <v>-863.83</v>
      </c>
      <c r="I1070" s="240" t="s">
        <v>1287</v>
      </c>
    </row>
    <row r="1071" spans="1:9" x14ac:dyDescent="0.25">
      <c r="A1071" s="230">
        <v>122250</v>
      </c>
      <c r="B1071" s="162" t="s">
        <v>1658</v>
      </c>
      <c r="C1071" s="162" t="s">
        <v>5</v>
      </c>
      <c r="D1071" s="162" t="s">
        <v>1578</v>
      </c>
      <c r="E1071" s="231">
        <v>45089</v>
      </c>
      <c r="F1071" s="117">
        <v>634.14</v>
      </c>
      <c r="G1071" s="117">
        <f>SUMIF(CONFERÊNCIA!A:A,A1071,CONFERÊNCIA!J:J)</f>
        <v>0</v>
      </c>
      <c r="H1071" s="119">
        <f t="shared" ref="H1071:H1114" si="80">G1071-F1071</f>
        <v>-634.14</v>
      </c>
      <c r="I1071" s="240" t="s">
        <v>1287</v>
      </c>
    </row>
    <row r="1072" spans="1:9" x14ac:dyDescent="0.25">
      <c r="A1072" s="230">
        <v>116981</v>
      </c>
      <c r="B1072" s="162" t="s">
        <v>1242</v>
      </c>
      <c r="C1072" s="162" t="s">
        <v>5</v>
      </c>
      <c r="D1072" s="162" t="s">
        <v>0</v>
      </c>
      <c r="E1072" s="231">
        <v>44419</v>
      </c>
      <c r="F1072" s="117">
        <v>1016.96</v>
      </c>
      <c r="G1072" s="117">
        <f>SUMIF(CONFERÊNCIA!A:A,A1072,CONFERÊNCIA!J:J)</f>
        <v>1016.96</v>
      </c>
      <c r="H1072" s="119">
        <f t="shared" si="80"/>
        <v>0</v>
      </c>
      <c r="I1072" s="240" t="s">
        <v>1229</v>
      </c>
    </row>
    <row r="1073" spans="1:9" x14ac:dyDescent="0.25">
      <c r="A1073" s="230">
        <v>112615</v>
      </c>
      <c r="B1073" s="162" t="s">
        <v>299</v>
      </c>
      <c r="C1073" s="162" t="s">
        <v>2</v>
      </c>
      <c r="D1073" s="162" t="s">
        <v>8</v>
      </c>
      <c r="E1073" s="231">
        <v>43617</v>
      </c>
      <c r="F1073" s="117">
        <v>1016.96</v>
      </c>
      <c r="G1073" s="117">
        <f>SUMIF(CONFERÊNCIA!A:A,A1073,CONFERÊNCIA!J:J)</f>
        <v>1016.96</v>
      </c>
      <c r="H1073" s="119">
        <f t="shared" si="80"/>
        <v>0</v>
      </c>
      <c r="I1073" s="240" t="s">
        <v>1229</v>
      </c>
    </row>
    <row r="1074" spans="1:9" x14ac:dyDescent="0.25">
      <c r="A1074" s="230">
        <v>112621</v>
      </c>
      <c r="B1074" s="162" t="s">
        <v>304</v>
      </c>
      <c r="C1074" s="162" t="s">
        <v>5</v>
      </c>
      <c r="D1074" s="162" t="s">
        <v>1578</v>
      </c>
      <c r="E1074" s="231">
        <v>43617</v>
      </c>
      <c r="F1074" s="117">
        <v>1016.96</v>
      </c>
      <c r="G1074" s="117">
        <f>SUMIF(CONFERÊNCIA!A:A,A1074,CONFERÊNCIA!J:J)</f>
        <v>1016.96</v>
      </c>
      <c r="H1074" s="119">
        <f t="shared" si="80"/>
        <v>0</v>
      </c>
      <c r="I1074" s="240" t="s">
        <v>1229</v>
      </c>
    </row>
    <row r="1075" spans="1:9" x14ac:dyDescent="0.25">
      <c r="A1075" s="230">
        <v>112635</v>
      </c>
      <c r="B1075" s="162" t="s">
        <v>312</v>
      </c>
      <c r="C1075" s="162" t="s">
        <v>2</v>
      </c>
      <c r="D1075" s="162" t="s">
        <v>8</v>
      </c>
      <c r="E1075" s="231">
        <v>43617</v>
      </c>
      <c r="F1075" s="117">
        <v>1016.96</v>
      </c>
      <c r="G1075" s="117">
        <f>SUMIF(CONFERÊNCIA!A:A,A1075,CONFERÊNCIA!J:J)</f>
        <v>1016.96</v>
      </c>
      <c r="H1075" s="119">
        <f t="shared" si="80"/>
        <v>0</v>
      </c>
      <c r="I1075" s="240" t="s">
        <v>1229</v>
      </c>
    </row>
    <row r="1076" spans="1:9" x14ac:dyDescent="0.25">
      <c r="A1076" s="230">
        <v>112659</v>
      </c>
      <c r="B1076" s="162" t="s">
        <v>324</v>
      </c>
      <c r="C1076" s="162" t="s">
        <v>2</v>
      </c>
      <c r="D1076" s="162" t="s">
        <v>10</v>
      </c>
      <c r="E1076" s="231">
        <v>43617</v>
      </c>
      <c r="F1076" s="117">
        <v>1016.96</v>
      </c>
      <c r="G1076" s="117">
        <f>SUMIF(CONFERÊNCIA!A:A,A1076,CONFERÊNCIA!J:J)</f>
        <v>1016.96</v>
      </c>
      <c r="H1076" s="119">
        <f t="shared" si="80"/>
        <v>0</v>
      </c>
      <c r="I1076" s="240" t="s">
        <v>1229</v>
      </c>
    </row>
    <row r="1077" spans="1:9" x14ac:dyDescent="0.25">
      <c r="A1077" s="230">
        <v>114750</v>
      </c>
      <c r="B1077" s="162" t="s">
        <v>1090</v>
      </c>
      <c r="C1077" s="162" t="s">
        <v>5</v>
      </c>
      <c r="D1077" s="162" t="s">
        <v>0</v>
      </c>
      <c r="E1077" s="231">
        <v>43874</v>
      </c>
      <c r="F1077" s="117">
        <v>978.67000000000007</v>
      </c>
      <c r="G1077" s="117">
        <f>SUMIF(CONFERÊNCIA!A:A,A1077,CONFERÊNCIA!J:J)</f>
        <v>1016.96</v>
      </c>
      <c r="H1077" s="119">
        <f t="shared" si="80"/>
        <v>38.289999999999964</v>
      </c>
      <c r="I1077" s="240" t="s">
        <v>1230</v>
      </c>
    </row>
    <row r="1078" spans="1:9" x14ac:dyDescent="0.25">
      <c r="A1078" s="230">
        <v>112669</v>
      </c>
      <c r="B1078" s="162" t="s">
        <v>330</v>
      </c>
      <c r="C1078" s="162" t="s">
        <v>2</v>
      </c>
      <c r="D1078" s="162" t="s">
        <v>0</v>
      </c>
      <c r="E1078" s="231">
        <v>43617</v>
      </c>
      <c r="F1078" s="117">
        <v>1016.96</v>
      </c>
      <c r="G1078" s="117">
        <f>SUMIF(CONFERÊNCIA!A:A,A1078,CONFERÊNCIA!J:J)</f>
        <v>1016.96</v>
      </c>
      <c r="H1078" s="119">
        <f t="shared" si="80"/>
        <v>0</v>
      </c>
      <c r="I1078" s="240" t="s">
        <v>1229</v>
      </c>
    </row>
    <row r="1079" spans="1:9" x14ac:dyDescent="0.25">
      <c r="A1079" s="230">
        <v>112675</v>
      </c>
      <c r="B1079" s="162" t="s">
        <v>332</v>
      </c>
      <c r="C1079" s="162" t="s">
        <v>2</v>
      </c>
      <c r="D1079" s="162" t="s">
        <v>10</v>
      </c>
      <c r="E1079" s="231">
        <v>43617</v>
      </c>
      <c r="F1079" s="117">
        <v>1016.96</v>
      </c>
      <c r="G1079" s="117">
        <f>SUMIF(CONFERÊNCIA!A:A,A1079,CONFERÊNCIA!J:J)</f>
        <v>1016.96</v>
      </c>
      <c r="H1079" s="119">
        <f t="shared" si="80"/>
        <v>0</v>
      </c>
      <c r="I1079" s="240" t="s">
        <v>1229</v>
      </c>
    </row>
    <row r="1080" spans="1:9" x14ac:dyDescent="0.25">
      <c r="A1080" s="230">
        <v>112681</v>
      </c>
      <c r="B1080" s="162" t="s">
        <v>336</v>
      </c>
      <c r="C1080" s="162" t="s">
        <v>2</v>
      </c>
      <c r="D1080" s="162" t="s">
        <v>10</v>
      </c>
      <c r="E1080" s="231">
        <v>43617</v>
      </c>
      <c r="F1080" s="117">
        <v>1016.96</v>
      </c>
      <c r="G1080" s="117">
        <f>SUMIF(CONFERÊNCIA!A:A,A1080,CONFERÊNCIA!J:J)</f>
        <v>1016.96</v>
      </c>
      <c r="H1080" s="119">
        <f t="shared" si="80"/>
        <v>0</v>
      </c>
      <c r="I1080" s="240" t="s">
        <v>1229</v>
      </c>
    </row>
    <row r="1081" spans="1:9" x14ac:dyDescent="0.25">
      <c r="A1081" s="230">
        <v>114231</v>
      </c>
      <c r="B1081" s="162" t="s">
        <v>1015</v>
      </c>
      <c r="C1081" s="162" t="s">
        <v>146</v>
      </c>
      <c r="D1081" s="162" t="s">
        <v>19</v>
      </c>
      <c r="E1081" s="231">
        <v>43788</v>
      </c>
      <c r="F1081" s="117">
        <v>1016.96</v>
      </c>
      <c r="G1081" s="117">
        <f>SUMIF(CONFERÊNCIA!A:A,A1081,CONFERÊNCIA!J:J)</f>
        <v>1016.96</v>
      </c>
      <c r="H1081" s="119">
        <f t="shared" si="80"/>
        <v>0</v>
      </c>
      <c r="I1081" s="240" t="s">
        <v>1229</v>
      </c>
    </row>
    <row r="1082" spans="1:9" x14ac:dyDescent="0.25">
      <c r="A1082" s="230">
        <v>112692</v>
      </c>
      <c r="B1082" s="162" t="s">
        <v>344</v>
      </c>
      <c r="C1082" s="162" t="s">
        <v>2</v>
      </c>
      <c r="D1082" s="162" t="s">
        <v>32</v>
      </c>
      <c r="E1082" s="231">
        <v>43617</v>
      </c>
      <c r="F1082" s="117">
        <v>1016.96</v>
      </c>
      <c r="G1082" s="117">
        <f>SUMIF(CONFERÊNCIA!A:A,A1082,CONFERÊNCIA!J:J)</f>
        <v>1016.96</v>
      </c>
      <c r="H1082" s="119">
        <f t="shared" si="80"/>
        <v>0</v>
      </c>
      <c r="I1082" s="240" t="s">
        <v>1229</v>
      </c>
    </row>
    <row r="1083" spans="1:9" x14ac:dyDescent="0.25">
      <c r="A1083" s="230">
        <v>113741</v>
      </c>
      <c r="B1083" s="162" t="s">
        <v>959</v>
      </c>
      <c r="C1083" s="162" t="s">
        <v>960</v>
      </c>
      <c r="D1083" s="162" t="s">
        <v>1580</v>
      </c>
      <c r="E1083" s="231">
        <v>43619</v>
      </c>
      <c r="F1083" s="117">
        <v>1016.96</v>
      </c>
      <c r="G1083" s="117">
        <f>SUMIF(CONFERÊNCIA!A:A,A1083,CONFERÊNCIA!J:J)</f>
        <v>1016.96</v>
      </c>
      <c r="H1083" s="119">
        <f t="shared" si="80"/>
        <v>0</v>
      </c>
      <c r="I1083" s="240" t="s">
        <v>1229</v>
      </c>
    </row>
    <row r="1084" spans="1:9" x14ac:dyDescent="0.25">
      <c r="A1084" s="230">
        <v>113582</v>
      </c>
      <c r="B1084" s="162" t="s">
        <v>856</v>
      </c>
      <c r="C1084" s="162" t="s">
        <v>2</v>
      </c>
      <c r="D1084" s="162" t="s">
        <v>0</v>
      </c>
      <c r="E1084" s="231">
        <v>43617</v>
      </c>
      <c r="F1084" s="117">
        <v>1016.96</v>
      </c>
      <c r="G1084" s="117">
        <f>SUMIF(CONFERÊNCIA!A:A,A1084,CONFERÊNCIA!J:J)</f>
        <v>1016.96</v>
      </c>
      <c r="H1084" s="119">
        <f t="shared" si="80"/>
        <v>0</v>
      </c>
      <c r="I1084" s="240" t="s">
        <v>1229</v>
      </c>
    </row>
    <row r="1085" spans="1:9" x14ac:dyDescent="0.25">
      <c r="A1085" s="230">
        <v>116718</v>
      </c>
      <c r="B1085" s="162" t="s">
        <v>1216</v>
      </c>
      <c r="C1085" s="162" t="s">
        <v>2</v>
      </c>
      <c r="D1085" s="162" t="s">
        <v>19</v>
      </c>
      <c r="E1085" s="231">
        <v>44368</v>
      </c>
      <c r="F1085" s="117">
        <v>1016.96</v>
      </c>
      <c r="G1085" s="117">
        <f>SUMIF(CONFERÊNCIA!A:A,A1085,CONFERÊNCIA!J:J)</f>
        <v>1016.96</v>
      </c>
      <c r="H1085" s="119">
        <f t="shared" si="80"/>
        <v>0</v>
      </c>
      <c r="I1085" s="240" t="s">
        <v>1229</v>
      </c>
    </row>
    <row r="1086" spans="1:9" x14ac:dyDescent="0.25">
      <c r="A1086" s="230">
        <v>112703</v>
      </c>
      <c r="B1086" s="162" t="s">
        <v>352</v>
      </c>
      <c r="C1086" s="162" t="s">
        <v>2</v>
      </c>
      <c r="D1086" s="162" t="s">
        <v>10</v>
      </c>
      <c r="E1086" s="231">
        <v>43617</v>
      </c>
      <c r="F1086" s="117">
        <v>1016.96</v>
      </c>
      <c r="G1086" s="117">
        <f>SUMIF(CONFERÊNCIA!A:A,A1086,CONFERÊNCIA!J:J)</f>
        <v>1016.96</v>
      </c>
      <c r="H1086" s="119">
        <f t="shared" si="80"/>
        <v>0</v>
      </c>
      <c r="I1086" s="240" t="s">
        <v>1229</v>
      </c>
    </row>
    <row r="1087" spans="1:9" x14ac:dyDescent="0.25">
      <c r="A1087" s="230">
        <v>114105</v>
      </c>
      <c r="B1087" s="162" t="s">
        <v>1005</v>
      </c>
      <c r="C1087" s="162" t="s">
        <v>5</v>
      </c>
      <c r="D1087" s="162" t="s">
        <v>1578</v>
      </c>
      <c r="E1087" s="231">
        <v>43728</v>
      </c>
      <c r="F1087" s="117">
        <v>1016.96</v>
      </c>
      <c r="G1087" s="117">
        <f>SUMIF(CONFERÊNCIA!A:A,A1087,CONFERÊNCIA!J:J)</f>
        <v>1016.96</v>
      </c>
      <c r="H1087" s="119">
        <f t="shared" si="80"/>
        <v>0</v>
      </c>
      <c r="I1087" s="240" t="s">
        <v>1229</v>
      </c>
    </row>
    <row r="1088" spans="1:9" x14ac:dyDescent="0.25">
      <c r="A1088" s="230">
        <v>114930</v>
      </c>
      <c r="B1088" s="162" t="s">
        <v>1114</v>
      </c>
      <c r="C1088" s="162" t="s">
        <v>5</v>
      </c>
      <c r="D1088" s="162" t="s">
        <v>10</v>
      </c>
      <c r="E1088" s="231">
        <v>43916</v>
      </c>
      <c r="F1088" s="117">
        <v>1016.96</v>
      </c>
      <c r="G1088" s="117">
        <f>SUMIF(CONFERÊNCIA!A:A,A1088,CONFERÊNCIA!J:J)</f>
        <v>1016.96</v>
      </c>
      <c r="H1088" s="119">
        <f t="shared" si="80"/>
        <v>0</v>
      </c>
      <c r="I1088" s="240" t="s">
        <v>1229</v>
      </c>
    </row>
    <row r="1089" spans="1:9" x14ac:dyDescent="0.25">
      <c r="A1089" s="230">
        <v>112718</v>
      </c>
      <c r="B1089" s="162" t="s">
        <v>361</v>
      </c>
      <c r="C1089" s="162" t="s">
        <v>2</v>
      </c>
      <c r="D1089" s="162" t="s">
        <v>8</v>
      </c>
      <c r="E1089" s="231">
        <v>43617</v>
      </c>
      <c r="F1089" s="117">
        <v>1016.96</v>
      </c>
      <c r="G1089" s="117">
        <f>SUMIF(CONFERÊNCIA!A:A,A1089,CONFERÊNCIA!J:J)</f>
        <v>1016.96</v>
      </c>
      <c r="H1089" s="119">
        <f t="shared" si="80"/>
        <v>0</v>
      </c>
      <c r="I1089" s="240" t="s">
        <v>1229</v>
      </c>
    </row>
    <row r="1090" spans="1:9" x14ac:dyDescent="0.25">
      <c r="A1090" s="230">
        <v>112731</v>
      </c>
      <c r="B1090" s="162" t="s">
        <v>370</v>
      </c>
      <c r="C1090" s="162" t="s">
        <v>2</v>
      </c>
      <c r="D1090" s="162" t="s">
        <v>8</v>
      </c>
      <c r="E1090" s="231">
        <v>43617</v>
      </c>
      <c r="F1090" s="117">
        <v>1016.96</v>
      </c>
      <c r="G1090" s="117">
        <f>SUMIF(CONFERÊNCIA!A:A,A1090,CONFERÊNCIA!J:J)</f>
        <v>1016.96</v>
      </c>
      <c r="H1090" s="119">
        <f t="shared" si="80"/>
        <v>0</v>
      </c>
      <c r="I1090" s="240" t="s">
        <v>1229</v>
      </c>
    </row>
    <row r="1091" spans="1:9" x14ac:dyDescent="0.25">
      <c r="A1091" s="230">
        <v>115447</v>
      </c>
      <c r="B1091" s="162" t="s">
        <v>1160</v>
      </c>
      <c r="C1091" s="162" t="s">
        <v>146</v>
      </c>
      <c r="D1091" s="162" t="s">
        <v>19</v>
      </c>
      <c r="E1091" s="231">
        <v>44062</v>
      </c>
      <c r="F1091" s="117">
        <v>1016.96</v>
      </c>
      <c r="G1091" s="117">
        <f>SUMIF(CONFERÊNCIA!A:A,A1091,CONFERÊNCIA!J:J)</f>
        <v>1016.96</v>
      </c>
      <c r="H1091" s="119">
        <f t="shared" si="80"/>
        <v>0</v>
      </c>
      <c r="I1091" s="240" t="s">
        <v>1229</v>
      </c>
    </row>
    <row r="1092" spans="1:9" x14ac:dyDescent="0.25">
      <c r="A1092" s="230">
        <v>112744</v>
      </c>
      <c r="B1092" s="162" t="s">
        <v>378</v>
      </c>
      <c r="C1092" s="162" t="s">
        <v>39</v>
      </c>
      <c r="D1092" s="162" t="s">
        <v>10</v>
      </c>
      <c r="E1092" s="231">
        <v>43617</v>
      </c>
      <c r="F1092" s="117">
        <v>1016.96</v>
      </c>
      <c r="G1092" s="117">
        <f>SUMIF(CONFERÊNCIA!A:A,A1092,CONFERÊNCIA!J:J)</f>
        <v>1016.96</v>
      </c>
      <c r="H1092" s="119">
        <f t="shared" si="80"/>
        <v>0</v>
      </c>
      <c r="I1092" s="240" t="s">
        <v>1229</v>
      </c>
    </row>
    <row r="1093" spans="1:9" x14ac:dyDescent="0.25">
      <c r="A1093" s="230">
        <v>119928</v>
      </c>
      <c r="B1093" s="162" t="s">
        <v>1483</v>
      </c>
      <c r="C1093" s="162" t="s">
        <v>5</v>
      </c>
      <c r="D1093" s="162" t="s">
        <v>1578</v>
      </c>
      <c r="E1093" s="231">
        <v>44760</v>
      </c>
      <c r="F1093" s="117">
        <v>1016.96</v>
      </c>
      <c r="G1093" s="117">
        <f>SUMIF(CONFERÊNCIA!A:A,A1093,CONFERÊNCIA!J:J)</f>
        <v>1016.96</v>
      </c>
      <c r="H1093" s="119">
        <f t="shared" si="80"/>
        <v>0</v>
      </c>
      <c r="I1093" s="240" t="s">
        <v>1229</v>
      </c>
    </row>
    <row r="1094" spans="1:9" x14ac:dyDescent="0.25">
      <c r="A1094" s="230">
        <v>121319</v>
      </c>
      <c r="B1094" s="162" t="s">
        <v>1535</v>
      </c>
      <c r="C1094" s="162" t="s">
        <v>5</v>
      </c>
      <c r="D1094" s="162" t="s">
        <v>0</v>
      </c>
      <c r="E1094" s="231">
        <v>44945</v>
      </c>
      <c r="F1094" s="117">
        <v>1016.96</v>
      </c>
      <c r="G1094" s="117">
        <f>SUMIF(CONFERÊNCIA!A:A,A1094,CONFERÊNCIA!J:J)</f>
        <v>1016.96</v>
      </c>
      <c r="H1094" s="119">
        <f t="shared" si="80"/>
        <v>0</v>
      </c>
      <c r="I1094" s="240" t="s">
        <v>1229</v>
      </c>
    </row>
    <row r="1095" spans="1:9" x14ac:dyDescent="0.25">
      <c r="A1095" s="230">
        <v>121025</v>
      </c>
      <c r="B1095" s="162" t="s">
        <v>1516</v>
      </c>
      <c r="C1095" s="162" t="s">
        <v>2</v>
      </c>
      <c r="D1095" s="162" t="s">
        <v>8</v>
      </c>
      <c r="E1095" s="231">
        <v>44900</v>
      </c>
      <c r="F1095" s="117">
        <v>1016.96</v>
      </c>
      <c r="G1095" s="117">
        <f>SUMIF(CONFERÊNCIA!A:A,A1095,CONFERÊNCIA!J:J)</f>
        <v>1016.96</v>
      </c>
      <c r="H1095" s="119">
        <f t="shared" si="80"/>
        <v>0</v>
      </c>
      <c r="I1095" s="240" t="s">
        <v>1229</v>
      </c>
    </row>
    <row r="1096" spans="1:9" x14ac:dyDescent="0.25">
      <c r="A1096" s="230">
        <v>112761</v>
      </c>
      <c r="B1096" s="162" t="s">
        <v>388</v>
      </c>
      <c r="C1096" s="162" t="s">
        <v>2</v>
      </c>
      <c r="D1096" s="162" t="s">
        <v>10</v>
      </c>
      <c r="E1096" s="231">
        <v>43617</v>
      </c>
      <c r="F1096" s="117">
        <v>1016.96</v>
      </c>
      <c r="G1096" s="117">
        <f>SUMIF(CONFERÊNCIA!A:A,A1096,CONFERÊNCIA!J:J)</f>
        <v>1016.96</v>
      </c>
      <c r="H1096" s="119">
        <f t="shared" si="80"/>
        <v>0</v>
      </c>
      <c r="I1096" s="240" t="s">
        <v>1229</v>
      </c>
    </row>
    <row r="1097" spans="1:9" x14ac:dyDescent="0.25">
      <c r="A1097" s="230">
        <v>112765</v>
      </c>
      <c r="B1097" s="162" t="s">
        <v>391</v>
      </c>
      <c r="C1097" s="162" t="s">
        <v>2</v>
      </c>
      <c r="D1097" s="162" t="s">
        <v>0</v>
      </c>
      <c r="E1097" s="231">
        <v>43617</v>
      </c>
      <c r="F1097" s="117">
        <v>1016.96</v>
      </c>
      <c r="G1097" s="117">
        <f>SUMIF(CONFERÊNCIA!A:A,A1097,CONFERÊNCIA!J:J)</f>
        <v>1016.96</v>
      </c>
      <c r="H1097" s="119">
        <f t="shared" si="80"/>
        <v>0</v>
      </c>
      <c r="I1097" s="240" t="s">
        <v>1229</v>
      </c>
    </row>
    <row r="1098" spans="1:9" x14ac:dyDescent="0.25">
      <c r="A1098" s="230">
        <v>112772</v>
      </c>
      <c r="B1098" s="162" t="s">
        <v>397</v>
      </c>
      <c r="C1098" s="162" t="s">
        <v>2</v>
      </c>
      <c r="D1098" s="162" t="s">
        <v>0</v>
      </c>
      <c r="E1098" s="231">
        <v>43617</v>
      </c>
      <c r="F1098" s="117">
        <v>1016.96</v>
      </c>
      <c r="G1098" s="117">
        <f>SUMIF(CONFERÊNCIA!A:A,A1098,CONFERÊNCIA!J:J)</f>
        <v>1016.96</v>
      </c>
      <c r="H1098" s="119">
        <f t="shared" si="80"/>
        <v>0</v>
      </c>
      <c r="I1098" s="240" t="s">
        <v>1229</v>
      </c>
    </row>
    <row r="1099" spans="1:9" x14ac:dyDescent="0.25">
      <c r="A1099" s="230">
        <v>112780</v>
      </c>
      <c r="B1099" s="162" t="s">
        <v>403</v>
      </c>
      <c r="C1099" s="162" t="s">
        <v>2</v>
      </c>
      <c r="D1099" s="162" t="s">
        <v>8</v>
      </c>
      <c r="E1099" s="231">
        <v>43617</v>
      </c>
      <c r="F1099" s="117">
        <v>1016.96</v>
      </c>
      <c r="G1099" s="117">
        <f>SUMIF(CONFERÊNCIA!A:A,A1099,CONFERÊNCIA!J:J)</f>
        <v>1016.96</v>
      </c>
      <c r="H1099" s="119">
        <f t="shared" si="80"/>
        <v>0</v>
      </c>
      <c r="I1099" s="240" t="s">
        <v>1229</v>
      </c>
    </row>
    <row r="1100" spans="1:9" x14ac:dyDescent="0.25">
      <c r="A1100" s="230">
        <v>112785</v>
      </c>
      <c r="B1100" s="162" t="s">
        <v>407</v>
      </c>
      <c r="C1100" s="162" t="s">
        <v>2</v>
      </c>
      <c r="D1100" s="162" t="s">
        <v>10</v>
      </c>
      <c r="E1100" s="231">
        <v>43617</v>
      </c>
      <c r="F1100" s="117">
        <v>1016.96</v>
      </c>
      <c r="G1100" s="117">
        <f>SUMIF(CONFERÊNCIA!A:A,A1100,CONFERÊNCIA!J:J)</f>
        <v>1016.96</v>
      </c>
      <c r="H1100" s="119">
        <f t="shared" si="80"/>
        <v>0</v>
      </c>
      <c r="I1100" s="240" t="s">
        <v>1229</v>
      </c>
    </row>
    <row r="1101" spans="1:9" x14ac:dyDescent="0.25">
      <c r="A1101" s="230">
        <v>112802</v>
      </c>
      <c r="B1101" s="162" t="s">
        <v>420</v>
      </c>
      <c r="C1101" s="162" t="s">
        <v>15</v>
      </c>
      <c r="D1101" s="162" t="s">
        <v>1578</v>
      </c>
      <c r="E1101" s="231">
        <v>43617</v>
      </c>
      <c r="F1101" s="117">
        <v>1016.96</v>
      </c>
      <c r="G1101" s="117">
        <f>SUMIF(CONFERÊNCIA!A:A,A1101,CONFERÊNCIA!J:J)</f>
        <v>1016.96</v>
      </c>
      <c r="H1101" s="119">
        <f t="shared" si="80"/>
        <v>0</v>
      </c>
      <c r="I1101" s="240" t="s">
        <v>1229</v>
      </c>
    </row>
    <row r="1102" spans="1:9" x14ac:dyDescent="0.25">
      <c r="A1102" s="230">
        <v>112810</v>
      </c>
      <c r="B1102" s="162" t="s">
        <v>426</v>
      </c>
      <c r="C1102" s="162" t="s">
        <v>2</v>
      </c>
      <c r="D1102" s="162" t="s">
        <v>0</v>
      </c>
      <c r="E1102" s="231">
        <v>43617</v>
      </c>
      <c r="F1102" s="117">
        <v>1016.96</v>
      </c>
      <c r="G1102" s="117">
        <f>SUMIF(CONFERÊNCIA!A:A,A1102,CONFERÊNCIA!J:J)</f>
        <v>1016.96</v>
      </c>
      <c r="H1102" s="119">
        <f t="shared" si="80"/>
        <v>0</v>
      </c>
      <c r="I1102" s="240" t="s">
        <v>1229</v>
      </c>
    </row>
    <row r="1103" spans="1:9" x14ac:dyDescent="0.25">
      <c r="A1103" s="230">
        <v>112816</v>
      </c>
      <c r="B1103" s="162" t="s">
        <v>431</v>
      </c>
      <c r="C1103" s="162" t="s">
        <v>22</v>
      </c>
      <c r="D1103" s="162" t="s">
        <v>1578</v>
      </c>
      <c r="E1103" s="231">
        <v>43617</v>
      </c>
      <c r="F1103" s="117">
        <v>1016.96</v>
      </c>
      <c r="G1103" s="117">
        <f>SUMIF(CONFERÊNCIA!A:A,A1103,CONFERÊNCIA!J:J)</f>
        <v>1016.96</v>
      </c>
      <c r="H1103" s="119">
        <f t="shared" si="80"/>
        <v>0</v>
      </c>
      <c r="I1103" s="240" t="s">
        <v>1229</v>
      </c>
    </row>
    <row r="1104" spans="1:9" x14ac:dyDescent="0.25">
      <c r="A1104" s="230">
        <v>114711</v>
      </c>
      <c r="B1104" s="162" t="s">
        <v>1077</v>
      </c>
      <c r="C1104" s="162" t="s">
        <v>5</v>
      </c>
      <c r="D1104" s="162" t="s">
        <v>10</v>
      </c>
      <c r="E1104" s="231">
        <v>43874</v>
      </c>
      <c r="F1104" s="117">
        <v>1016.96</v>
      </c>
      <c r="G1104" s="117">
        <f>SUMIF(CONFERÊNCIA!A:A,A1104,CONFERÊNCIA!J:J)</f>
        <v>1016.96</v>
      </c>
      <c r="H1104" s="119">
        <f t="shared" si="80"/>
        <v>0</v>
      </c>
      <c r="I1104" s="240" t="s">
        <v>1229</v>
      </c>
    </row>
    <row r="1105" spans="1:9" x14ac:dyDescent="0.25">
      <c r="A1105" s="230">
        <v>114761</v>
      </c>
      <c r="B1105" s="162" t="s">
        <v>1094</v>
      </c>
      <c r="C1105" s="162" t="s">
        <v>15</v>
      </c>
      <c r="D1105" s="162" t="s">
        <v>1578</v>
      </c>
      <c r="E1105" s="231">
        <v>43874</v>
      </c>
      <c r="F1105" s="117">
        <v>1016.96</v>
      </c>
      <c r="G1105" s="117">
        <f>SUMIF(CONFERÊNCIA!A:A,A1105,CONFERÊNCIA!J:J)</f>
        <v>1016.96</v>
      </c>
      <c r="H1105" s="119">
        <f t="shared" si="80"/>
        <v>0</v>
      </c>
      <c r="I1105" s="240" t="s">
        <v>1229</v>
      </c>
    </row>
    <row r="1106" spans="1:9" x14ac:dyDescent="0.25">
      <c r="A1106" s="230">
        <v>112833</v>
      </c>
      <c r="B1106" s="162" t="s">
        <v>443</v>
      </c>
      <c r="C1106" s="162" t="s">
        <v>2</v>
      </c>
      <c r="D1106" s="162" t="s">
        <v>8</v>
      </c>
      <c r="E1106" s="231">
        <v>43617</v>
      </c>
      <c r="F1106" s="117">
        <v>1016.96</v>
      </c>
      <c r="G1106" s="117">
        <f>SUMIF(CONFERÊNCIA!A:A,A1106,CONFERÊNCIA!J:J)</f>
        <v>1016.96</v>
      </c>
      <c r="H1106" s="119">
        <f t="shared" si="80"/>
        <v>0</v>
      </c>
      <c r="I1106" s="240" t="s">
        <v>1229</v>
      </c>
    </row>
    <row r="1107" spans="1:9" x14ac:dyDescent="0.25">
      <c r="A1107" s="230">
        <v>112845</v>
      </c>
      <c r="B1107" s="162" t="s">
        <v>449</v>
      </c>
      <c r="C1107" s="162" t="s">
        <v>15</v>
      </c>
      <c r="D1107" s="162" t="s">
        <v>1578</v>
      </c>
      <c r="E1107" s="231">
        <v>43617</v>
      </c>
      <c r="F1107" s="117">
        <v>1016.96</v>
      </c>
      <c r="G1107" s="117">
        <f>SUMIF(CONFERÊNCIA!A:A,A1107,CONFERÊNCIA!J:J)</f>
        <v>1016.96</v>
      </c>
      <c r="H1107" s="119">
        <f t="shared" si="80"/>
        <v>0</v>
      </c>
      <c r="I1107" s="240" t="s">
        <v>1229</v>
      </c>
    </row>
    <row r="1108" spans="1:9" x14ac:dyDescent="0.25">
      <c r="A1108" s="230">
        <v>119107</v>
      </c>
      <c r="B1108" s="162" t="s">
        <v>1439</v>
      </c>
      <c r="C1108" s="162" t="s">
        <v>5</v>
      </c>
      <c r="D1108" s="162" t="s">
        <v>19</v>
      </c>
      <c r="E1108" s="231">
        <v>44630</v>
      </c>
      <c r="F1108" s="117">
        <v>1016.96</v>
      </c>
      <c r="G1108" s="117">
        <f>SUMIF(CONFERÊNCIA!A:A,A1108,CONFERÊNCIA!J:J)</f>
        <v>1016.96</v>
      </c>
      <c r="H1108" s="119">
        <f t="shared" si="80"/>
        <v>0</v>
      </c>
      <c r="I1108" s="240" t="s">
        <v>1229</v>
      </c>
    </row>
    <row r="1109" spans="1:9" x14ac:dyDescent="0.25">
      <c r="A1109" s="230">
        <v>112871</v>
      </c>
      <c r="B1109" s="162" t="s">
        <v>464</v>
      </c>
      <c r="C1109" s="162" t="s">
        <v>2</v>
      </c>
      <c r="D1109" s="162" t="s">
        <v>8</v>
      </c>
      <c r="E1109" s="231">
        <v>43617</v>
      </c>
      <c r="F1109" s="117">
        <v>1016.96</v>
      </c>
      <c r="G1109" s="117">
        <f>SUMIF(CONFERÊNCIA!A:A,A1109,CONFERÊNCIA!J:J)</f>
        <v>1016.96</v>
      </c>
      <c r="H1109" s="119">
        <f t="shared" si="80"/>
        <v>0</v>
      </c>
      <c r="I1109" s="240" t="s">
        <v>1229</v>
      </c>
    </row>
    <row r="1110" spans="1:9" x14ac:dyDescent="0.25">
      <c r="A1110" s="230">
        <v>114774</v>
      </c>
      <c r="B1110" s="162" t="s">
        <v>1100</v>
      </c>
      <c r="C1110" s="162" t="s">
        <v>5</v>
      </c>
      <c r="D1110" s="162" t="s">
        <v>32</v>
      </c>
      <c r="E1110" s="231">
        <v>43874</v>
      </c>
      <c r="F1110" s="117">
        <v>1016.96</v>
      </c>
      <c r="G1110" s="117">
        <f>SUMIF(CONFERÊNCIA!A:A,A1110,CONFERÊNCIA!J:J)</f>
        <v>1016.96</v>
      </c>
      <c r="H1110" s="119">
        <f t="shared" si="80"/>
        <v>0</v>
      </c>
      <c r="I1110" s="240" t="s">
        <v>1229</v>
      </c>
    </row>
    <row r="1111" spans="1:9" x14ac:dyDescent="0.25">
      <c r="A1111" s="230">
        <v>112877</v>
      </c>
      <c r="B1111" s="162" t="s">
        <v>470</v>
      </c>
      <c r="C1111" s="162" t="s">
        <v>5</v>
      </c>
      <c r="D1111" s="162" t="s">
        <v>19</v>
      </c>
      <c r="E1111" s="231">
        <v>43617</v>
      </c>
      <c r="F1111" s="117">
        <v>1016.96</v>
      </c>
      <c r="G1111" s="117">
        <f>SUMIF(CONFERÊNCIA!A:A,A1111,CONFERÊNCIA!J:J)</f>
        <v>1016.96</v>
      </c>
      <c r="H1111" s="119">
        <f t="shared" si="80"/>
        <v>0</v>
      </c>
      <c r="I1111" s="240" t="s">
        <v>1229</v>
      </c>
    </row>
    <row r="1112" spans="1:9" x14ac:dyDescent="0.25">
      <c r="A1112" s="230">
        <v>112887</v>
      </c>
      <c r="B1112" s="162" t="s">
        <v>476</v>
      </c>
      <c r="C1112" s="162" t="s">
        <v>2</v>
      </c>
      <c r="D1112" s="162" t="s">
        <v>8</v>
      </c>
      <c r="E1112" s="231">
        <v>43617</v>
      </c>
      <c r="F1112" s="117">
        <v>1016.96</v>
      </c>
      <c r="G1112" s="117">
        <f>SUMIF(CONFERÊNCIA!A:A,A1112,CONFERÊNCIA!J:J)</f>
        <v>1016.96</v>
      </c>
      <c r="H1112" s="119">
        <f t="shared" si="80"/>
        <v>0</v>
      </c>
      <c r="I1112" s="240" t="s">
        <v>1229</v>
      </c>
    </row>
    <row r="1113" spans="1:9" x14ac:dyDescent="0.25">
      <c r="A1113" s="230">
        <v>112894</v>
      </c>
      <c r="B1113" s="162" t="s">
        <v>482</v>
      </c>
      <c r="C1113" s="162" t="s">
        <v>2</v>
      </c>
      <c r="D1113" s="162" t="s">
        <v>19</v>
      </c>
      <c r="E1113" s="231">
        <v>43617</v>
      </c>
      <c r="F1113" s="117">
        <v>1016.96</v>
      </c>
      <c r="G1113" s="117">
        <f>SUMIF(CONFERÊNCIA!A:A,A1113,CONFERÊNCIA!J:J)</f>
        <v>1016.96</v>
      </c>
      <c r="H1113" s="119">
        <f t="shared" si="80"/>
        <v>0</v>
      </c>
      <c r="I1113" s="240" t="s">
        <v>1229</v>
      </c>
    </row>
    <row r="1114" spans="1:9" x14ac:dyDescent="0.25">
      <c r="A1114" s="230">
        <v>112908</v>
      </c>
      <c r="B1114" s="162" t="s">
        <v>491</v>
      </c>
      <c r="C1114" s="162" t="s">
        <v>5</v>
      </c>
      <c r="D1114" s="162" t="s">
        <v>10</v>
      </c>
      <c r="E1114" s="231">
        <v>43617</v>
      </c>
      <c r="F1114" s="117">
        <v>1016.96</v>
      </c>
      <c r="G1114" s="117">
        <f>SUMIF(CONFERÊNCIA!A:A,A1114,CONFERÊNCIA!J:J)</f>
        <v>1016.96</v>
      </c>
      <c r="H1114" s="119">
        <f t="shared" si="80"/>
        <v>0</v>
      </c>
      <c r="I1114" s="240" t="s">
        <v>1229</v>
      </c>
    </row>
    <row r="1115" spans="1:9" x14ac:dyDescent="0.25">
      <c r="A1115" s="230">
        <v>113004</v>
      </c>
      <c r="B1115" s="162" t="s">
        <v>541</v>
      </c>
      <c r="C1115" s="162" t="s">
        <v>5</v>
      </c>
      <c r="D1115" s="162" t="s">
        <v>0</v>
      </c>
      <c r="E1115" s="231">
        <v>43617</v>
      </c>
      <c r="F1115" s="117">
        <v>1016.96</v>
      </c>
      <c r="G1115" s="117">
        <f>SUMIF(CONFERÊNCIA!A:A,A1115,CONFERÊNCIA!J:J)</f>
        <v>1016.96</v>
      </c>
      <c r="H1115" s="119">
        <f t="shared" ref="H1115:H1154" si="81">G1115-F1115</f>
        <v>0</v>
      </c>
      <c r="I1115" s="240" t="s">
        <v>1229</v>
      </c>
    </row>
    <row r="1116" spans="1:9" x14ac:dyDescent="0.25">
      <c r="A1116" s="230">
        <v>115229</v>
      </c>
      <c r="B1116" s="162" t="s">
        <v>1146</v>
      </c>
      <c r="C1116" s="162" t="s">
        <v>939</v>
      </c>
      <c r="D1116" s="162" t="s">
        <v>1578</v>
      </c>
      <c r="E1116" s="231">
        <v>44018</v>
      </c>
      <c r="F1116" s="117">
        <v>1016.96</v>
      </c>
      <c r="G1116" s="117">
        <f>SUMIF(CONFERÊNCIA!A:A,A1116,CONFERÊNCIA!J:J)</f>
        <v>1016.96</v>
      </c>
      <c r="H1116" s="119">
        <f t="shared" si="81"/>
        <v>0</v>
      </c>
      <c r="I1116" s="240" t="s">
        <v>1229</v>
      </c>
    </row>
    <row r="1117" spans="1:9" x14ac:dyDescent="0.25">
      <c r="A1117" s="230">
        <v>113025</v>
      </c>
      <c r="B1117" s="162" t="s">
        <v>547</v>
      </c>
      <c r="C1117" s="162" t="s">
        <v>2</v>
      </c>
      <c r="D1117" s="162" t="s">
        <v>19</v>
      </c>
      <c r="E1117" s="231">
        <v>43617</v>
      </c>
      <c r="F1117" s="117">
        <v>1016.96</v>
      </c>
      <c r="G1117" s="117">
        <f>SUMIF(CONFERÊNCIA!A:A,A1117,CONFERÊNCIA!J:J)</f>
        <v>1016.96</v>
      </c>
      <c r="H1117" s="119">
        <f t="shared" si="81"/>
        <v>0</v>
      </c>
      <c r="I1117" s="240" t="s">
        <v>1229</v>
      </c>
    </row>
    <row r="1118" spans="1:9" x14ac:dyDescent="0.25">
      <c r="A1118" s="230">
        <v>113032</v>
      </c>
      <c r="B1118" s="162" t="s">
        <v>1282</v>
      </c>
      <c r="C1118" s="162" t="s">
        <v>2</v>
      </c>
      <c r="D1118" s="162" t="s">
        <v>0</v>
      </c>
      <c r="E1118" s="231">
        <v>43617</v>
      </c>
      <c r="F1118" s="117">
        <v>1016.96</v>
      </c>
      <c r="G1118" s="117">
        <f>SUMIF(CONFERÊNCIA!A:A,A1118,CONFERÊNCIA!J:J)</f>
        <v>1016.96</v>
      </c>
      <c r="H1118" s="119">
        <f t="shared" si="81"/>
        <v>0</v>
      </c>
      <c r="I1118" s="240" t="s">
        <v>1229</v>
      </c>
    </row>
    <row r="1119" spans="1:9" x14ac:dyDescent="0.25">
      <c r="A1119" s="230">
        <v>113044</v>
      </c>
      <c r="B1119" s="162" t="s">
        <v>558</v>
      </c>
      <c r="C1119" s="162" t="s">
        <v>15</v>
      </c>
      <c r="D1119" s="162" t="s">
        <v>1578</v>
      </c>
      <c r="E1119" s="231">
        <v>43617</v>
      </c>
      <c r="F1119" s="117">
        <v>1016.96</v>
      </c>
      <c r="G1119" s="117">
        <f>SUMIF(CONFERÊNCIA!A:A,A1119,CONFERÊNCIA!J:J)</f>
        <v>1016.96</v>
      </c>
      <c r="H1119" s="119">
        <f t="shared" si="81"/>
        <v>0</v>
      </c>
      <c r="I1119" s="240" t="s">
        <v>1229</v>
      </c>
    </row>
    <row r="1120" spans="1:9" x14ac:dyDescent="0.25">
      <c r="A1120" s="230">
        <v>113083</v>
      </c>
      <c r="B1120" s="162" t="s">
        <v>578</v>
      </c>
      <c r="C1120" s="162" t="s">
        <v>146</v>
      </c>
      <c r="D1120" s="162" t="s">
        <v>0</v>
      </c>
      <c r="E1120" s="231">
        <v>43617</v>
      </c>
      <c r="F1120" s="117">
        <v>1016.96</v>
      </c>
      <c r="G1120" s="117">
        <f>SUMIF(CONFERÊNCIA!A:A,A1120,CONFERÊNCIA!J:J)</f>
        <v>1016.96</v>
      </c>
      <c r="H1120" s="119">
        <f t="shared" si="81"/>
        <v>0</v>
      </c>
      <c r="I1120" s="240" t="s">
        <v>1229</v>
      </c>
    </row>
    <row r="1121" spans="1:9" x14ac:dyDescent="0.25">
      <c r="A1121" s="230">
        <v>113141</v>
      </c>
      <c r="B1121" s="162" t="s">
        <v>608</v>
      </c>
      <c r="C1121" s="162" t="s">
        <v>2</v>
      </c>
      <c r="D1121" s="162" t="s">
        <v>10</v>
      </c>
      <c r="E1121" s="231">
        <v>43617</v>
      </c>
      <c r="F1121" s="117">
        <v>1016.96</v>
      </c>
      <c r="G1121" s="117">
        <f>SUMIF(CONFERÊNCIA!A:A,A1121,CONFERÊNCIA!J:J)</f>
        <v>1016.96</v>
      </c>
      <c r="H1121" s="119">
        <f t="shared" si="81"/>
        <v>0</v>
      </c>
      <c r="I1121" s="240" t="s">
        <v>1229</v>
      </c>
    </row>
    <row r="1122" spans="1:9" x14ac:dyDescent="0.25">
      <c r="A1122" s="230">
        <v>113669</v>
      </c>
      <c r="B1122" s="162" t="s">
        <v>906</v>
      </c>
      <c r="C1122" s="162" t="s">
        <v>2</v>
      </c>
      <c r="D1122" s="162" t="s">
        <v>0</v>
      </c>
      <c r="E1122" s="231">
        <v>43617</v>
      </c>
      <c r="F1122" s="117">
        <v>1016.96</v>
      </c>
      <c r="G1122" s="117">
        <f>SUMIF(CONFERÊNCIA!A:A,A1122,CONFERÊNCIA!J:J)</f>
        <v>978.67000000000007</v>
      </c>
      <c r="H1122" s="119">
        <f t="shared" si="81"/>
        <v>-38.289999999999964</v>
      </c>
      <c r="I1122" s="240" t="s">
        <v>1229</v>
      </c>
    </row>
    <row r="1123" spans="1:9" x14ac:dyDescent="0.25">
      <c r="A1123" s="230">
        <v>113671</v>
      </c>
      <c r="B1123" s="162" t="s">
        <v>907</v>
      </c>
      <c r="C1123" s="162" t="s">
        <v>5</v>
      </c>
      <c r="D1123" s="162" t="s">
        <v>8</v>
      </c>
      <c r="E1123" s="231">
        <v>43617</v>
      </c>
      <c r="F1123" s="117">
        <v>1016.96</v>
      </c>
      <c r="G1123" s="117">
        <f>SUMIF(CONFERÊNCIA!A:A,A1123,CONFERÊNCIA!J:J)</f>
        <v>1016.96</v>
      </c>
      <c r="H1123" s="119">
        <f t="shared" si="81"/>
        <v>0</v>
      </c>
      <c r="I1123" s="240" t="s">
        <v>1229</v>
      </c>
    </row>
    <row r="1124" spans="1:9" x14ac:dyDescent="0.25">
      <c r="A1124" s="230">
        <v>113183</v>
      </c>
      <c r="B1124" s="162" t="s">
        <v>632</v>
      </c>
      <c r="C1124" s="162" t="s">
        <v>22</v>
      </c>
      <c r="D1124" s="162" t="s">
        <v>1578</v>
      </c>
      <c r="E1124" s="231">
        <v>43617</v>
      </c>
      <c r="F1124" s="117">
        <v>1016.96</v>
      </c>
      <c r="G1124" s="117">
        <f>SUMIF(CONFERÊNCIA!A:A,A1124,CONFERÊNCIA!J:J)</f>
        <v>1016.96</v>
      </c>
      <c r="H1124" s="119">
        <f t="shared" si="81"/>
        <v>0</v>
      </c>
      <c r="I1124" s="240" t="s">
        <v>1229</v>
      </c>
    </row>
    <row r="1125" spans="1:9" x14ac:dyDescent="0.25">
      <c r="A1125" s="230">
        <v>113188</v>
      </c>
      <c r="B1125" s="162" t="s">
        <v>635</v>
      </c>
      <c r="C1125" s="162" t="s">
        <v>5</v>
      </c>
      <c r="D1125" s="162" t="s">
        <v>8</v>
      </c>
      <c r="E1125" s="231">
        <v>43617</v>
      </c>
      <c r="F1125" s="117">
        <v>1016.96</v>
      </c>
      <c r="G1125" s="117">
        <f>SUMIF(CONFERÊNCIA!A:A,A1125,CONFERÊNCIA!J:J)</f>
        <v>1016.96</v>
      </c>
      <c r="H1125" s="119">
        <f t="shared" si="81"/>
        <v>0</v>
      </c>
      <c r="I1125" s="240" t="s">
        <v>1229</v>
      </c>
    </row>
    <row r="1126" spans="1:9" x14ac:dyDescent="0.25">
      <c r="A1126" s="230">
        <v>113743</v>
      </c>
      <c r="B1126" s="162" t="s">
        <v>962</v>
      </c>
      <c r="C1126" s="162" t="s">
        <v>1517</v>
      </c>
      <c r="D1126" s="162" t="s">
        <v>1580</v>
      </c>
      <c r="E1126" s="231">
        <v>43619</v>
      </c>
      <c r="F1126" s="117">
        <v>1016.96</v>
      </c>
      <c r="G1126" s="117">
        <f>SUMIF(CONFERÊNCIA!A:A,A1126,CONFERÊNCIA!J:J)</f>
        <v>1016.96</v>
      </c>
      <c r="H1126" s="119">
        <f t="shared" si="81"/>
        <v>0</v>
      </c>
      <c r="I1126" s="240" t="s">
        <v>1229</v>
      </c>
    </row>
    <row r="1127" spans="1:9" x14ac:dyDescent="0.25">
      <c r="A1127" s="230">
        <v>113192</v>
      </c>
      <c r="B1127" s="162" t="s">
        <v>637</v>
      </c>
      <c r="C1127" s="162" t="s">
        <v>2</v>
      </c>
      <c r="D1127" s="162" t="s">
        <v>19</v>
      </c>
      <c r="E1127" s="231">
        <v>43617</v>
      </c>
      <c r="F1127" s="117">
        <v>1016.96</v>
      </c>
      <c r="G1127" s="117">
        <f>SUMIF(CONFERÊNCIA!A:A,A1127,CONFERÊNCIA!J:J)</f>
        <v>1016.96</v>
      </c>
      <c r="H1127" s="119">
        <f t="shared" si="81"/>
        <v>0</v>
      </c>
      <c r="I1127" s="240" t="s">
        <v>1229</v>
      </c>
    </row>
    <row r="1128" spans="1:9" x14ac:dyDescent="0.25">
      <c r="A1128" s="230">
        <v>122555</v>
      </c>
      <c r="B1128" s="162" t="s">
        <v>1694</v>
      </c>
      <c r="C1128" s="162" t="s">
        <v>5</v>
      </c>
      <c r="D1128" s="162" t="s">
        <v>8</v>
      </c>
      <c r="E1128" s="231">
        <v>45131</v>
      </c>
      <c r="F1128" s="117">
        <v>1016.96</v>
      </c>
      <c r="G1128" s="117">
        <f>SUMIF(CONFERÊNCIA!A:A,A1128,CONFERÊNCIA!J:J)</f>
        <v>1016.96</v>
      </c>
      <c r="H1128" s="119">
        <f t="shared" si="81"/>
        <v>0</v>
      </c>
      <c r="I1128" s="240" t="s">
        <v>1229</v>
      </c>
    </row>
    <row r="1129" spans="1:9" x14ac:dyDescent="0.25">
      <c r="A1129" s="230">
        <v>118054</v>
      </c>
      <c r="B1129" s="162" t="s">
        <v>1406</v>
      </c>
      <c r="C1129" s="162" t="s">
        <v>5</v>
      </c>
      <c r="D1129" s="162" t="s">
        <v>10</v>
      </c>
      <c r="E1129" s="231">
        <v>44567</v>
      </c>
      <c r="F1129" s="117">
        <v>1016.96</v>
      </c>
      <c r="G1129" s="117">
        <f>SUMIF(CONFERÊNCIA!A:A,A1129,CONFERÊNCIA!J:J)</f>
        <v>1016.96</v>
      </c>
      <c r="H1129" s="119">
        <f t="shared" si="81"/>
        <v>0</v>
      </c>
      <c r="I1129" s="240" t="s">
        <v>1229</v>
      </c>
    </row>
    <row r="1130" spans="1:9" x14ac:dyDescent="0.25">
      <c r="A1130" s="230">
        <v>113722</v>
      </c>
      <c r="B1130" s="162" t="s">
        <v>936</v>
      </c>
      <c r="C1130" s="162" t="s">
        <v>5</v>
      </c>
      <c r="D1130" s="162" t="s">
        <v>10</v>
      </c>
      <c r="E1130" s="231">
        <v>43619</v>
      </c>
      <c r="F1130" s="117">
        <v>1016.96</v>
      </c>
      <c r="G1130" s="117">
        <f>SUMIF(CONFERÊNCIA!A:A,A1130,CONFERÊNCIA!J:J)</f>
        <v>1016.96</v>
      </c>
      <c r="H1130" s="119">
        <f t="shared" si="81"/>
        <v>0</v>
      </c>
      <c r="I1130" s="240" t="s">
        <v>1229</v>
      </c>
    </row>
    <row r="1131" spans="1:9" x14ac:dyDescent="0.25">
      <c r="A1131" s="230">
        <v>113201</v>
      </c>
      <c r="B1131" s="162" t="s">
        <v>641</v>
      </c>
      <c r="C1131" s="162" t="s">
        <v>2</v>
      </c>
      <c r="D1131" s="162" t="s">
        <v>8</v>
      </c>
      <c r="E1131" s="231">
        <v>43617</v>
      </c>
      <c r="F1131" s="117">
        <v>1016.96</v>
      </c>
      <c r="G1131" s="117">
        <f>SUMIF(CONFERÊNCIA!A:A,A1131,CONFERÊNCIA!J:J)</f>
        <v>1016.96</v>
      </c>
      <c r="H1131" s="119">
        <f t="shared" si="81"/>
        <v>0</v>
      </c>
      <c r="I1131" s="240" t="s">
        <v>1229</v>
      </c>
    </row>
    <row r="1132" spans="1:9" x14ac:dyDescent="0.25">
      <c r="A1132" s="230">
        <v>113803</v>
      </c>
      <c r="B1132" s="162" t="s">
        <v>983</v>
      </c>
      <c r="C1132" s="162" t="s">
        <v>15</v>
      </c>
      <c r="D1132" s="162" t="s">
        <v>1578</v>
      </c>
      <c r="E1132" s="231">
        <v>43630</v>
      </c>
      <c r="F1132" s="117">
        <v>1016.96</v>
      </c>
      <c r="G1132" s="117">
        <f>SUMIF(CONFERÊNCIA!A:A,A1132,CONFERÊNCIA!J:J)</f>
        <v>1016.96</v>
      </c>
      <c r="H1132" s="119">
        <f t="shared" si="81"/>
        <v>0</v>
      </c>
      <c r="I1132" s="240" t="s">
        <v>1229</v>
      </c>
    </row>
    <row r="1133" spans="1:9" x14ac:dyDescent="0.25">
      <c r="A1133" s="230">
        <v>113218</v>
      </c>
      <c r="B1133" s="162" t="s">
        <v>652</v>
      </c>
      <c r="C1133" s="162" t="s">
        <v>15</v>
      </c>
      <c r="D1133" s="162" t="s">
        <v>1578</v>
      </c>
      <c r="E1133" s="231">
        <v>43617</v>
      </c>
      <c r="F1133" s="117">
        <v>1016.96</v>
      </c>
      <c r="G1133" s="117">
        <f>SUMIF(CONFERÊNCIA!A:A,A1133,CONFERÊNCIA!J:J)</f>
        <v>1016.96</v>
      </c>
      <c r="H1133" s="119">
        <f t="shared" si="81"/>
        <v>0</v>
      </c>
      <c r="I1133" s="240" t="s">
        <v>1229</v>
      </c>
    </row>
    <row r="1134" spans="1:9" x14ac:dyDescent="0.25">
      <c r="A1134" s="230">
        <v>113224</v>
      </c>
      <c r="B1134" s="162" t="s">
        <v>655</v>
      </c>
      <c r="C1134" s="162" t="s">
        <v>5</v>
      </c>
      <c r="D1134" s="162" t="s">
        <v>0</v>
      </c>
      <c r="E1134" s="231">
        <v>43617</v>
      </c>
      <c r="F1134" s="117">
        <v>1016.96</v>
      </c>
      <c r="G1134" s="117">
        <f>SUMIF(CONFERÊNCIA!A:A,A1134,CONFERÊNCIA!J:J)</f>
        <v>1016.96</v>
      </c>
      <c r="H1134" s="119">
        <f t="shared" si="81"/>
        <v>0</v>
      </c>
      <c r="I1134" s="240" t="s">
        <v>1229</v>
      </c>
    </row>
    <row r="1135" spans="1:9" x14ac:dyDescent="0.25">
      <c r="A1135" s="230">
        <v>114094</v>
      </c>
      <c r="B1135" s="162" t="s">
        <v>1002</v>
      </c>
      <c r="C1135" s="162" t="s">
        <v>5</v>
      </c>
      <c r="D1135" s="162" t="s">
        <v>8</v>
      </c>
      <c r="E1135" s="231">
        <v>43728</v>
      </c>
      <c r="F1135" s="117">
        <v>1016.96</v>
      </c>
      <c r="G1135" s="117">
        <f>SUMIF(CONFERÊNCIA!A:A,A1135,CONFERÊNCIA!J:J)</f>
        <v>1016.96</v>
      </c>
      <c r="H1135" s="119">
        <f t="shared" si="81"/>
        <v>0</v>
      </c>
      <c r="I1135" s="240" t="s">
        <v>1229</v>
      </c>
    </row>
    <row r="1136" spans="1:9" x14ac:dyDescent="0.25">
      <c r="A1136" s="230">
        <v>113235</v>
      </c>
      <c r="B1136" s="162" t="s">
        <v>662</v>
      </c>
      <c r="C1136" s="162" t="s">
        <v>5</v>
      </c>
      <c r="D1136" s="162" t="s">
        <v>0</v>
      </c>
      <c r="E1136" s="231">
        <v>43617</v>
      </c>
      <c r="F1136" s="117">
        <v>1016.96</v>
      </c>
      <c r="G1136" s="117">
        <f>SUMIF(CONFERÊNCIA!A:A,A1136,CONFERÊNCIA!J:J)</f>
        <v>1016.96</v>
      </c>
      <c r="H1136" s="119">
        <f t="shared" si="81"/>
        <v>0</v>
      </c>
      <c r="I1136" s="240" t="s">
        <v>1229</v>
      </c>
    </row>
    <row r="1137" spans="1:9" x14ac:dyDescent="0.25">
      <c r="A1137" s="230">
        <v>119125</v>
      </c>
      <c r="B1137" s="162" t="s">
        <v>1440</v>
      </c>
      <c r="C1137" s="162" t="s">
        <v>15</v>
      </c>
      <c r="D1137" s="162" t="s">
        <v>1578</v>
      </c>
      <c r="E1137" s="231">
        <v>44630</v>
      </c>
      <c r="F1137" s="117">
        <v>1016.96</v>
      </c>
      <c r="G1137" s="117">
        <f>SUMIF(CONFERÊNCIA!A:A,A1137,CONFERÊNCIA!J:J)</f>
        <v>1016.96</v>
      </c>
      <c r="H1137" s="119">
        <f t="shared" si="81"/>
        <v>0</v>
      </c>
      <c r="I1137" s="240" t="s">
        <v>1229</v>
      </c>
    </row>
    <row r="1138" spans="1:9" x14ac:dyDescent="0.25">
      <c r="A1138" s="230">
        <v>116730</v>
      </c>
      <c r="B1138" s="162" t="s">
        <v>1221</v>
      </c>
      <c r="C1138" s="162" t="s">
        <v>15</v>
      </c>
      <c r="D1138" s="162" t="s">
        <v>1578</v>
      </c>
      <c r="E1138" s="231">
        <v>44368</v>
      </c>
      <c r="F1138" s="117">
        <v>1016.96</v>
      </c>
      <c r="G1138" s="117">
        <f>SUMIF(CONFERÊNCIA!A:A,A1138,CONFERÊNCIA!J:J)</f>
        <v>1016.96</v>
      </c>
      <c r="H1138" s="119">
        <f t="shared" si="81"/>
        <v>0</v>
      </c>
      <c r="I1138" s="240" t="s">
        <v>1229</v>
      </c>
    </row>
    <row r="1139" spans="1:9" x14ac:dyDescent="0.25">
      <c r="A1139" s="230">
        <v>114088</v>
      </c>
      <c r="B1139" s="162" t="s">
        <v>999</v>
      </c>
      <c r="C1139" s="162" t="s">
        <v>5</v>
      </c>
      <c r="D1139" s="162" t="s">
        <v>0</v>
      </c>
      <c r="E1139" s="231">
        <v>43728</v>
      </c>
      <c r="F1139" s="117">
        <v>1016.96</v>
      </c>
      <c r="G1139" s="117">
        <f>SUMIF(CONFERÊNCIA!A:A,A1139,CONFERÊNCIA!J:J)</f>
        <v>1016.96</v>
      </c>
      <c r="H1139" s="119">
        <f t="shared" si="81"/>
        <v>0</v>
      </c>
      <c r="I1139" s="240" t="s">
        <v>1229</v>
      </c>
    </row>
    <row r="1140" spans="1:9" x14ac:dyDescent="0.25">
      <c r="A1140" s="230">
        <v>122247</v>
      </c>
      <c r="B1140" s="162" t="s">
        <v>1659</v>
      </c>
      <c r="C1140" s="162" t="s">
        <v>5</v>
      </c>
      <c r="D1140" s="162" t="s">
        <v>0</v>
      </c>
      <c r="E1140" s="231">
        <v>45089</v>
      </c>
      <c r="F1140" s="117">
        <v>940.39</v>
      </c>
      <c r="G1140" s="117">
        <f>SUMIF(CONFERÊNCIA!A:A,A1140,CONFERÊNCIA!J:J)</f>
        <v>1016.96</v>
      </c>
      <c r="H1140" s="119">
        <f t="shared" si="81"/>
        <v>76.57000000000005</v>
      </c>
      <c r="I1140" s="240" t="s">
        <v>1229</v>
      </c>
    </row>
    <row r="1141" spans="1:9" x14ac:dyDescent="0.25">
      <c r="A1141" s="230">
        <v>114980</v>
      </c>
      <c r="B1141" s="162" t="s">
        <v>1134</v>
      </c>
      <c r="C1141" s="162" t="s">
        <v>5</v>
      </c>
      <c r="D1141" s="162" t="s">
        <v>0</v>
      </c>
      <c r="E1141" s="231">
        <v>43917</v>
      </c>
      <c r="F1141" s="117">
        <v>1016.96</v>
      </c>
      <c r="G1141" s="117">
        <f>SUMIF(CONFERÊNCIA!A:A,A1141,CONFERÊNCIA!J:J)</f>
        <v>940.39</v>
      </c>
      <c r="H1141" s="119">
        <f t="shared" si="81"/>
        <v>-76.57000000000005</v>
      </c>
      <c r="I1141" s="240" t="s">
        <v>1229</v>
      </c>
    </row>
    <row r="1142" spans="1:9" x14ac:dyDescent="0.25">
      <c r="A1142" s="230">
        <v>113255</v>
      </c>
      <c r="B1142" s="162" t="s">
        <v>671</v>
      </c>
      <c r="C1142" s="162" t="s">
        <v>22</v>
      </c>
      <c r="D1142" s="162" t="s">
        <v>1578</v>
      </c>
      <c r="E1142" s="231">
        <v>43617</v>
      </c>
      <c r="F1142" s="117">
        <v>1016.96</v>
      </c>
      <c r="G1142" s="117">
        <f>SUMIF(CONFERÊNCIA!A:A,A1142,CONFERÊNCIA!J:J)</f>
        <v>1016.96</v>
      </c>
      <c r="H1142" s="119">
        <f t="shared" si="81"/>
        <v>0</v>
      </c>
      <c r="I1142" s="240" t="s">
        <v>1229</v>
      </c>
    </row>
    <row r="1143" spans="1:9" x14ac:dyDescent="0.25">
      <c r="A1143" s="230">
        <v>116983</v>
      </c>
      <c r="B1143" s="162" t="s">
        <v>1243</v>
      </c>
      <c r="C1143" s="162" t="s">
        <v>5</v>
      </c>
      <c r="D1143" s="162" t="s">
        <v>0</v>
      </c>
      <c r="E1143" s="231">
        <v>44419</v>
      </c>
      <c r="F1143" s="117">
        <v>1016.96</v>
      </c>
      <c r="G1143" s="117">
        <f>SUMIF(CONFERÊNCIA!A:A,A1143,CONFERÊNCIA!J:J)</f>
        <v>1016.96</v>
      </c>
      <c r="H1143" s="119">
        <f t="shared" si="81"/>
        <v>0</v>
      </c>
      <c r="I1143" s="240" t="s">
        <v>1229</v>
      </c>
    </row>
    <row r="1144" spans="1:9" x14ac:dyDescent="0.25">
      <c r="A1144" s="230">
        <v>113262</v>
      </c>
      <c r="B1144" s="162" t="s">
        <v>674</v>
      </c>
      <c r="C1144" s="162" t="s">
        <v>2</v>
      </c>
      <c r="D1144" s="162" t="s">
        <v>10</v>
      </c>
      <c r="E1144" s="231">
        <v>43617</v>
      </c>
      <c r="F1144" s="117">
        <v>1016.96</v>
      </c>
      <c r="G1144" s="117">
        <f>SUMIF(CONFERÊNCIA!A:A,A1144,CONFERÊNCIA!J:J)</f>
        <v>1016.96</v>
      </c>
      <c r="H1144" s="119">
        <f t="shared" si="81"/>
        <v>0</v>
      </c>
      <c r="I1144" s="240" t="s">
        <v>1229</v>
      </c>
    </row>
    <row r="1145" spans="1:9" x14ac:dyDescent="0.25">
      <c r="A1145" s="230">
        <v>116720</v>
      </c>
      <c r="B1145" s="162" t="s">
        <v>678</v>
      </c>
      <c r="C1145" s="162" t="s">
        <v>2</v>
      </c>
      <c r="D1145" s="162" t="s">
        <v>10</v>
      </c>
      <c r="E1145" s="231">
        <v>44368</v>
      </c>
      <c r="F1145" s="117">
        <v>1016.96</v>
      </c>
      <c r="G1145" s="117">
        <f>SUMIF(CONFERÊNCIA!A:A,A1145,CONFERÊNCIA!J:J)</f>
        <v>1016.96</v>
      </c>
      <c r="H1145" s="119">
        <f t="shared" si="81"/>
        <v>0</v>
      </c>
      <c r="I1145" s="240" t="s">
        <v>1229</v>
      </c>
    </row>
    <row r="1146" spans="1:9" x14ac:dyDescent="0.25">
      <c r="A1146" s="230">
        <v>113288</v>
      </c>
      <c r="B1146" s="162" t="s">
        <v>689</v>
      </c>
      <c r="C1146" s="162" t="s">
        <v>2</v>
      </c>
      <c r="D1146" s="162" t="s">
        <v>0</v>
      </c>
      <c r="E1146" s="231">
        <v>43617</v>
      </c>
      <c r="F1146" s="117">
        <v>1016.96</v>
      </c>
      <c r="G1146" s="117">
        <f>SUMIF(CONFERÊNCIA!A:A,A1146,CONFERÊNCIA!J:J)</f>
        <v>1016.96</v>
      </c>
      <c r="H1146" s="119">
        <f t="shared" si="81"/>
        <v>0</v>
      </c>
      <c r="I1146" s="240" t="s">
        <v>1229</v>
      </c>
    </row>
    <row r="1147" spans="1:9" x14ac:dyDescent="0.25">
      <c r="A1147" s="230">
        <v>120623</v>
      </c>
      <c r="B1147" s="162" t="s">
        <v>1508</v>
      </c>
      <c r="C1147" s="162" t="s">
        <v>205</v>
      </c>
      <c r="D1147" s="162" t="s">
        <v>1578</v>
      </c>
      <c r="E1147" s="231">
        <v>44837</v>
      </c>
      <c r="F1147" s="117">
        <v>1016.96</v>
      </c>
      <c r="G1147" s="117">
        <f>SUMIF(CONFERÊNCIA!A:A,A1147,CONFERÊNCIA!J:J)</f>
        <v>1016.96</v>
      </c>
      <c r="H1147" s="119">
        <f t="shared" si="81"/>
        <v>0</v>
      </c>
      <c r="I1147" s="240" t="s">
        <v>1229</v>
      </c>
    </row>
    <row r="1148" spans="1:9" x14ac:dyDescent="0.25">
      <c r="A1148" s="230">
        <v>114742</v>
      </c>
      <c r="B1148" s="162" t="s">
        <v>1085</v>
      </c>
      <c r="C1148" s="162" t="s">
        <v>5</v>
      </c>
      <c r="D1148" s="162" t="s">
        <v>0</v>
      </c>
      <c r="E1148" s="231">
        <v>43874</v>
      </c>
      <c r="F1148" s="117">
        <v>1055.92</v>
      </c>
      <c r="G1148" s="117">
        <f>SUMIF(CONFERÊNCIA!A:A,A1148,CONFERÊNCIA!J:J)</f>
        <v>978.67000000000007</v>
      </c>
      <c r="H1148" s="119">
        <f t="shared" si="81"/>
        <v>-77.25</v>
      </c>
      <c r="I1148" s="240" t="s">
        <v>1229</v>
      </c>
    </row>
    <row r="1149" spans="1:9" x14ac:dyDescent="0.25">
      <c r="A1149" s="230">
        <v>113350</v>
      </c>
      <c r="B1149" s="162" t="s">
        <v>719</v>
      </c>
      <c r="C1149" s="162" t="s">
        <v>5</v>
      </c>
      <c r="D1149" s="162" t="s">
        <v>0</v>
      </c>
      <c r="E1149" s="231">
        <v>43617</v>
      </c>
      <c r="F1149" s="117">
        <v>1016.96</v>
      </c>
      <c r="G1149" s="117">
        <f>SUMIF(CONFERÊNCIA!A:A,A1149,CONFERÊNCIA!J:J)</f>
        <v>1016.96</v>
      </c>
      <c r="H1149" s="119">
        <f t="shared" si="81"/>
        <v>0</v>
      </c>
      <c r="I1149" s="240" t="s">
        <v>1229</v>
      </c>
    </row>
    <row r="1150" spans="1:9" x14ac:dyDescent="0.25">
      <c r="A1150" s="230">
        <v>113356</v>
      </c>
      <c r="B1150" s="162" t="s">
        <v>646</v>
      </c>
      <c r="C1150" s="162" t="s">
        <v>5</v>
      </c>
      <c r="D1150" s="162" t="s">
        <v>8</v>
      </c>
      <c r="E1150" s="231">
        <v>43617</v>
      </c>
      <c r="F1150" s="117">
        <v>1016.96</v>
      </c>
      <c r="G1150" s="117">
        <f>SUMIF(CONFERÊNCIA!A:A,A1150,CONFERÊNCIA!J:J)</f>
        <v>1016.96</v>
      </c>
      <c r="H1150" s="119">
        <f t="shared" si="81"/>
        <v>0</v>
      </c>
      <c r="I1150" s="240" t="s">
        <v>1230</v>
      </c>
    </row>
    <row r="1151" spans="1:9" x14ac:dyDescent="0.25">
      <c r="A1151" s="230">
        <v>113365</v>
      </c>
      <c r="B1151" s="162" t="s">
        <v>646</v>
      </c>
      <c r="C1151" s="162" t="s">
        <v>15</v>
      </c>
      <c r="D1151" s="162" t="s">
        <v>1578</v>
      </c>
      <c r="E1151" s="231">
        <v>43617</v>
      </c>
      <c r="F1151" s="117">
        <v>1016.96</v>
      </c>
      <c r="G1151" s="117">
        <f>SUMIF(CONFERÊNCIA!A:A,A1151,CONFERÊNCIA!J:J)</f>
        <v>1016.96</v>
      </c>
      <c r="H1151" s="119">
        <f t="shared" si="81"/>
        <v>0</v>
      </c>
      <c r="I1151" s="240" t="s">
        <v>1229</v>
      </c>
    </row>
    <row r="1152" spans="1:9" x14ac:dyDescent="0.25">
      <c r="A1152" s="230">
        <v>122424</v>
      </c>
      <c r="B1152" s="162" t="s">
        <v>1695</v>
      </c>
      <c r="C1152" s="162" t="s">
        <v>5</v>
      </c>
      <c r="D1152" s="162" t="s">
        <v>1578</v>
      </c>
      <c r="E1152" s="231">
        <v>45117</v>
      </c>
      <c r="F1152" s="117">
        <v>902.11</v>
      </c>
      <c r="G1152" s="117">
        <f>SUMIF(CONFERÊNCIA!A:A,A1152,CONFERÊNCIA!J:J)</f>
        <v>863.83</v>
      </c>
      <c r="H1152" s="119">
        <f t="shared" si="81"/>
        <v>-38.279999999999973</v>
      </c>
      <c r="I1152" s="240" t="s">
        <v>1229</v>
      </c>
    </row>
    <row r="1153" spans="1:9" x14ac:dyDescent="0.25">
      <c r="A1153" s="230">
        <v>113389</v>
      </c>
      <c r="B1153" s="162" t="s">
        <v>746</v>
      </c>
      <c r="C1153" s="162" t="s">
        <v>22</v>
      </c>
      <c r="D1153" s="162" t="s">
        <v>1578</v>
      </c>
      <c r="E1153" s="231">
        <v>43617</v>
      </c>
      <c r="F1153" s="117">
        <v>1016.96</v>
      </c>
      <c r="G1153" s="117">
        <f>SUMIF(CONFERÊNCIA!A:A,A1153,CONFERÊNCIA!J:J)</f>
        <v>1016.96</v>
      </c>
      <c r="H1153" s="119">
        <f t="shared" si="81"/>
        <v>0</v>
      </c>
      <c r="I1153" s="240" t="s">
        <v>1229</v>
      </c>
    </row>
    <row r="1154" spans="1:9" x14ac:dyDescent="0.25">
      <c r="A1154" s="230">
        <v>119646</v>
      </c>
      <c r="B1154" s="162" t="s">
        <v>1470</v>
      </c>
      <c r="C1154" s="162" t="s">
        <v>5</v>
      </c>
      <c r="D1154" s="162" t="s">
        <v>8</v>
      </c>
      <c r="E1154" s="231">
        <v>44725</v>
      </c>
      <c r="F1154" s="117">
        <v>1016.96</v>
      </c>
      <c r="G1154" s="117">
        <f>SUMIF(CONFERÊNCIA!A:A,A1154,CONFERÊNCIA!J:J)</f>
        <v>1016.96</v>
      </c>
      <c r="H1154" s="119">
        <f t="shared" si="81"/>
        <v>0</v>
      </c>
      <c r="I1154" s="240" t="s">
        <v>1229</v>
      </c>
    </row>
    <row r="1155" spans="1:9" x14ac:dyDescent="0.25">
      <c r="A1155" s="230">
        <v>121028</v>
      </c>
      <c r="B1155" s="162" t="s">
        <v>1518</v>
      </c>
      <c r="C1155" s="162" t="s">
        <v>2</v>
      </c>
      <c r="D1155" s="162" t="s">
        <v>32</v>
      </c>
      <c r="E1155" s="231">
        <v>44900</v>
      </c>
      <c r="F1155" s="117">
        <v>1016.96</v>
      </c>
      <c r="G1155" s="117">
        <f>SUMIF(CONFERÊNCIA!A:A,A1155,CONFERÊNCIA!J:J)</f>
        <v>1016.96</v>
      </c>
      <c r="H1155" s="119">
        <f t="shared" ref="H1155:H1186" si="82">G1155-F1155</f>
        <v>0</v>
      </c>
      <c r="I1155" s="240" t="s">
        <v>1229</v>
      </c>
    </row>
    <row r="1156" spans="1:9" x14ac:dyDescent="0.25">
      <c r="A1156" s="230">
        <v>113399</v>
      </c>
      <c r="B1156" s="162" t="s">
        <v>754</v>
      </c>
      <c r="C1156" s="162" t="s">
        <v>5</v>
      </c>
      <c r="D1156" s="162" t="s">
        <v>8</v>
      </c>
      <c r="E1156" s="231">
        <v>43617</v>
      </c>
      <c r="F1156" s="117">
        <v>1016.96</v>
      </c>
      <c r="G1156" s="117">
        <f>SUMIF(CONFERÊNCIA!A:A,A1156,CONFERÊNCIA!J:J)</f>
        <v>1016.96</v>
      </c>
      <c r="H1156" s="119">
        <f t="shared" si="82"/>
        <v>0</v>
      </c>
      <c r="I1156" s="240" t="s">
        <v>1229</v>
      </c>
    </row>
    <row r="1157" spans="1:9" x14ac:dyDescent="0.25">
      <c r="A1157" s="230">
        <v>113407</v>
      </c>
      <c r="B1157" s="162" t="s">
        <v>759</v>
      </c>
      <c r="C1157" s="162" t="s">
        <v>15</v>
      </c>
      <c r="D1157" s="162" t="s">
        <v>1578</v>
      </c>
      <c r="E1157" s="231">
        <v>43617</v>
      </c>
      <c r="F1157" s="117">
        <v>1016.96</v>
      </c>
      <c r="G1157" s="117">
        <f>SUMIF(CONFERÊNCIA!A:A,A1157,CONFERÊNCIA!J:J)</f>
        <v>1016.96</v>
      </c>
      <c r="H1157" s="119">
        <f t="shared" si="82"/>
        <v>0</v>
      </c>
      <c r="I1157" s="240" t="s">
        <v>1229</v>
      </c>
    </row>
    <row r="1158" spans="1:9" x14ac:dyDescent="0.25">
      <c r="A1158" s="230">
        <v>113429</v>
      </c>
      <c r="B1158" s="162" t="s">
        <v>773</v>
      </c>
      <c r="C1158" s="162" t="s">
        <v>2</v>
      </c>
      <c r="D1158" s="162" t="s">
        <v>0</v>
      </c>
      <c r="E1158" s="231">
        <v>43617</v>
      </c>
      <c r="F1158" s="117">
        <v>1016.96</v>
      </c>
      <c r="G1158" s="117">
        <f>SUMIF(CONFERÊNCIA!A:A,A1158,CONFERÊNCIA!J:J)</f>
        <v>1016.96</v>
      </c>
      <c r="H1158" s="119">
        <f t="shared" si="82"/>
        <v>0</v>
      </c>
      <c r="I1158" s="240" t="s">
        <v>1229</v>
      </c>
    </row>
    <row r="1159" spans="1:9" x14ac:dyDescent="0.25">
      <c r="A1159" s="230">
        <v>113436</v>
      </c>
      <c r="B1159" s="162" t="s">
        <v>778</v>
      </c>
      <c r="C1159" s="162" t="s">
        <v>2</v>
      </c>
      <c r="D1159" s="162" t="s">
        <v>10</v>
      </c>
      <c r="E1159" s="231">
        <v>43617</v>
      </c>
      <c r="F1159" s="117">
        <v>1016.96</v>
      </c>
      <c r="G1159" s="117">
        <f>SUMIF(CONFERÊNCIA!A:A,A1159,CONFERÊNCIA!J:J)</f>
        <v>1016.96</v>
      </c>
      <c r="H1159" s="119">
        <f t="shared" si="82"/>
        <v>0</v>
      </c>
      <c r="I1159" s="240" t="s">
        <v>1229</v>
      </c>
    </row>
    <row r="1160" spans="1:9" x14ac:dyDescent="0.25">
      <c r="A1160" s="230">
        <v>122086</v>
      </c>
      <c r="B1160" s="162" t="s">
        <v>1633</v>
      </c>
      <c r="C1160" s="162" t="s">
        <v>5</v>
      </c>
      <c r="D1160" s="162" t="s">
        <v>1578</v>
      </c>
      <c r="E1160" s="231">
        <v>45061</v>
      </c>
      <c r="F1160" s="117">
        <v>1016.96</v>
      </c>
      <c r="G1160" s="117">
        <f>SUMIF(CONFERÊNCIA!A:A,A1160,CONFERÊNCIA!J:J)</f>
        <v>1016.96</v>
      </c>
      <c r="H1160" s="119">
        <f t="shared" si="82"/>
        <v>0</v>
      </c>
      <c r="I1160" s="240" t="s">
        <v>1229</v>
      </c>
    </row>
    <row r="1161" spans="1:9" x14ac:dyDescent="0.25">
      <c r="A1161" s="230">
        <v>113443</v>
      </c>
      <c r="B1161" s="162" t="s">
        <v>373</v>
      </c>
      <c r="C1161" s="162" t="s">
        <v>2</v>
      </c>
      <c r="D1161" s="162" t="s">
        <v>19</v>
      </c>
      <c r="E1161" s="231">
        <v>43617</v>
      </c>
      <c r="F1161" s="117">
        <v>1016.96</v>
      </c>
      <c r="G1161" s="117">
        <f>SUMIF(CONFERÊNCIA!A:A,A1161,CONFERÊNCIA!J:J)</f>
        <v>1016.96</v>
      </c>
      <c r="H1161" s="119">
        <f t="shared" si="82"/>
        <v>0</v>
      </c>
      <c r="I1161" s="240" t="s">
        <v>1229</v>
      </c>
    </row>
    <row r="1162" spans="1:9" x14ac:dyDescent="0.25">
      <c r="A1162" s="230">
        <v>113449</v>
      </c>
      <c r="B1162" s="162" t="s">
        <v>786</v>
      </c>
      <c r="C1162" s="162" t="s">
        <v>5</v>
      </c>
      <c r="D1162" s="162" t="s">
        <v>0</v>
      </c>
      <c r="E1162" s="231">
        <v>43617</v>
      </c>
      <c r="F1162" s="117">
        <v>1016.96</v>
      </c>
      <c r="G1162" s="117">
        <f>SUMIF(CONFERÊNCIA!A:A,A1162,CONFERÊNCIA!J:J)</f>
        <v>940.39</v>
      </c>
      <c r="H1162" s="119">
        <f t="shared" si="82"/>
        <v>-76.57000000000005</v>
      </c>
      <c r="I1162" s="240" t="s">
        <v>1229</v>
      </c>
    </row>
    <row r="1163" spans="1:9" x14ac:dyDescent="0.25">
      <c r="A1163" s="230">
        <v>113463</v>
      </c>
      <c r="B1163" s="162" t="s">
        <v>793</v>
      </c>
      <c r="C1163" s="162" t="s">
        <v>2</v>
      </c>
      <c r="D1163" s="162" t="s">
        <v>32</v>
      </c>
      <c r="E1163" s="231">
        <v>43617</v>
      </c>
      <c r="F1163" s="117">
        <v>1016.96</v>
      </c>
      <c r="G1163" s="117">
        <f>SUMIF(CONFERÊNCIA!A:A,A1163,CONFERÊNCIA!J:J)</f>
        <v>0</v>
      </c>
      <c r="H1163" s="119">
        <f t="shared" si="82"/>
        <v>-1016.96</v>
      </c>
      <c r="I1163" s="240" t="s">
        <v>1287</v>
      </c>
    </row>
    <row r="1164" spans="1:9" x14ac:dyDescent="0.25">
      <c r="A1164" s="230">
        <v>113470</v>
      </c>
      <c r="B1164" s="162" t="s">
        <v>797</v>
      </c>
      <c r="C1164" s="162" t="s">
        <v>2</v>
      </c>
      <c r="D1164" s="162" t="s">
        <v>0</v>
      </c>
      <c r="E1164" s="231">
        <v>43617</v>
      </c>
      <c r="F1164" s="117">
        <v>1016.96</v>
      </c>
      <c r="G1164" s="117">
        <f>SUMIF(CONFERÊNCIA!A:A,A1164,CONFERÊNCIA!J:J)</f>
        <v>1016.96</v>
      </c>
      <c r="H1164" s="119">
        <f t="shared" si="82"/>
        <v>0</v>
      </c>
      <c r="I1164" s="240" t="s">
        <v>1229</v>
      </c>
    </row>
    <row r="1165" spans="1:9" x14ac:dyDescent="0.25">
      <c r="A1165" s="230">
        <v>113708</v>
      </c>
      <c r="B1165" s="162" t="s">
        <v>925</v>
      </c>
      <c r="C1165" s="162" t="s">
        <v>5</v>
      </c>
      <c r="D1165" s="162" t="s">
        <v>32</v>
      </c>
      <c r="E1165" s="231">
        <v>43617</v>
      </c>
      <c r="F1165" s="117">
        <v>1016.96</v>
      </c>
      <c r="G1165" s="117">
        <f>SUMIF(CONFERÊNCIA!A:A,A1165,CONFERÊNCIA!J:J)</f>
        <v>1016.96</v>
      </c>
      <c r="H1165" s="119">
        <f t="shared" si="82"/>
        <v>0</v>
      </c>
      <c r="I1165" s="240" t="s">
        <v>1229</v>
      </c>
    </row>
    <row r="1166" spans="1:9" x14ac:dyDescent="0.25">
      <c r="A1166" s="230">
        <v>113742</v>
      </c>
      <c r="B1166" s="162" t="s">
        <v>961</v>
      </c>
      <c r="C1166" s="162" t="s">
        <v>1701</v>
      </c>
      <c r="D1166" s="162" t="s">
        <v>1580</v>
      </c>
      <c r="E1166" s="231">
        <v>43619</v>
      </c>
      <c r="F1166" s="117">
        <v>1016.96</v>
      </c>
      <c r="G1166" s="117">
        <f>SUMIF(CONFERÊNCIA!A:A,A1166,CONFERÊNCIA!J:J)</f>
        <v>1016.96</v>
      </c>
      <c r="H1166" s="119">
        <f t="shared" si="82"/>
        <v>0</v>
      </c>
      <c r="I1166" s="240" t="s">
        <v>1229</v>
      </c>
    </row>
    <row r="1167" spans="1:9" x14ac:dyDescent="0.25">
      <c r="A1167" s="230">
        <v>120178</v>
      </c>
      <c r="B1167" s="162" t="s">
        <v>1496</v>
      </c>
      <c r="C1167" s="162" t="s">
        <v>5</v>
      </c>
      <c r="D1167" s="162" t="s">
        <v>1578</v>
      </c>
      <c r="E1167" s="231">
        <v>44791</v>
      </c>
      <c r="F1167" s="117">
        <v>1016.96</v>
      </c>
      <c r="G1167" s="117">
        <f>SUMIF(CONFERÊNCIA!A:A,A1167,CONFERÊNCIA!J:J)</f>
        <v>359.46</v>
      </c>
      <c r="H1167" s="119">
        <f t="shared" si="82"/>
        <v>-657.5</v>
      </c>
      <c r="I1167" s="240" t="s">
        <v>1279</v>
      </c>
    </row>
    <row r="1168" spans="1:9" x14ac:dyDescent="0.25">
      <c r="A1168" s="230">
        <v>122348</v>
      </c>
      <c r="B1168" s="162" t="s">
        <v>1660</v>
      </c>
      <c r="C1168" s="162" t="s">
        <v>2</v>
      </c>
      <c r="D1168" s="162" t="s">
        <v>8</v>
      </c>
      <c r="E1168" s="231">
        <v>45098</v>
      </c>
      <c r="F1168" s="117">
        <v>1016.96</v>
      </c>
      <c r="G1168" s="117">
        <f>SUMIF(CONFERÊNCIA!A:A,A1168,CONFERÊNCIA!J:J)</f>
        <v>1016.96</v>
      </c>
      <c r="H1168" s="119">
        <f t="shared" si="82"/>
        <v>0</v>
      </c>
      <c r="I1168" s="240" t="s">
        <v>1229</v>
      </c>
    </row>
    <row r="1169" spans="1:9" x14ac:dyDescent="0.25">
      <c r="A1169" s="230">
        <v>113764</v>
      </c>
      <c r="B1169" s="162" t="s">
        <v>966</v>
      </c>
      <c r="C1169" s="162" t="s">
        <v>1655</v>
      </c>
      <c r="D1169" s="162" t="s">
        <v>1578</v>
      </c>
      <c r="E1169" s="231">
        <v>43621</v>
      </c>
      <c r="F1169" s="117">
        <v>1016.96</v>
      </c>
      <c r="G1169" s="117">
        <f>SUMIF(CONFERÊNCIA!A:A,A1169,CONFERÊNCIA!J:J)</f>
        <v>1016.96</v>
      </c>
      <c r="H1169" s="119">
        <f t="shared" si="82"/>
        <v>0</v>
      </c>
      <c r="I1169" s="240" t="s">
        <v>1229</v>
      </c>
    </row>
    <row r="1170" spans="1:9" x14ac:dyDescent="0.25">
      <c r="A1170" s="230">
        <v>113477</v>
      </c>
      <c r="B1170" s="162" t="s">
        <v>800</v>
      </c>
      <c r="C1170" s="162" t="s">
        <v>5</v>
      </c>
      <c r="D1170" s="162" t="s">
        <v>10</v>
      </c>
      <c r="E1170" s="231">
        <v>43617</v>
      </c>
      <c r="F1170" s="117">
        <v>1016.96</v>
      </c>
      <c r="G1170" s="117">
        <f>SUMIF(CONFERÊNCIA!A:A,A1170,CONFERÊNCIA!J:J)</f>
        <v>1016.96</v>
      </c>
      <c r="H1170" s="119">
        <f t="shared" si="82"/>
        <v>0</v>
      </c>
      <c r="I1170" s="240" t="s">
        <v>1229</v>
      </c>
    </row>
    <row r="1171" spans="1:9" x14ac:dyDescent="0.25">
      <c r="A1171" s="230">
        <v>113496</v>
      </c>
      <c r="B1171" s="162" t="s">
        <v>809</v>
      </c>
      <c r="C1171" s="162" t="s">
        <v>2</v>
      </c>
      <c r="D1171" s="162" t="s">
        <v>10</v>
      </c>
      <c r="E1171" s="231">
        <v>43617</v>
      </c>
      <c r="F1171" s="117">
        <v>1016.96</v>
      </c>
      <c r="G1171" s="117">
        <f>SUMIF(CONFERÊNCIA!A:A,A1171,CONFERÊNCIA!J:J)</f>
        <v>1016.96</v>
      </c>
      <c r="H1171" s="119">
        <f t="shared" si="82"/>
        <v>0</v>
      </c>
      <c r="I1171" s="240" t="s">
        <v>1229</v>
      </c>
    </row>
    <row r="1172" spans="1:9" x14ac:dyDescent="0.25">
      <c r="A1172" s="230">
        <v>114554</v>
      </c>
      <c r="B1172" s="162" t="s">
        <v>1057</v>
      </c>
      <c r="C1172" s="162" t="s">
        <v>5</v>
      </c>
      <c r="D1172" s="162" t="s">
        <v>8</v>
      </c>
      <c r="E1172" s="231">
        <v>43817</v>
      </c>
      <c r="F1172" s="117">
        <v>978.67000000000007</v>
      </c>
      <c r="G1172" s="117">
        <f>SUMIF(CONFERÊNCIA!A:A,A1172,CONFERÊNCIA!J:J)</f>
        <v>1016.96</v>
      </c>
      <c r="H1172" s="119">
        <f t="shared" si="82"/>
        <v>38.289999999999964</v>
      </c>
      <c r="I1172" s="240" t="s">
        <v>1229</v>
      </c>
    </row>
    <row r="1173" spans="1:9" x14ac:dyDescent="0.25">
      <c r="A1173" s="230">
        <v>113500</v>
      </c>
      <c r="B1173" s="162" t="s">
        <v>812</v>
      </c>
      <c r="C1173" s="162" t="s">
        <v>5</v>
      </c>
      <c r="D1173" s="162" t="s">
        <v>19</v>
      </c>
      <c r="E1173" s="231">
        <v>43617</v>
      </c>
      <c r="F1173" s="117">
        <v>1016.96</v>
      </c>
      <c r="G1173" s="117">
        <f>SUMIF(CONFERÊNCIA!A:A,A1173,CONFERÊNCIA!J:J)</f>
        <v>1016.96</v>
      </c>
      <c r="H1173" s="119">
        <f t="shared" si="82"/>
        <v>0</v>
      </c>
      <c r="I1173" s="240" t="s">
        <v>1229</v>
      </c>
    </row>
    <row r="1174" spans="1:9" x14ac:dyDescent="0.25">
      <c r="A1174" s="230">
        <v>113504</v>
      </c>
      <c r="B1174" s="162" t="s">
        <v>813</v>
      </c>
      <c r="C1174" s="162" t="s">
        <v>2</v>
      </c>
      <c r="D1174" s="162" t="s">
        <v>19</v>
      </c>
      <c r="E1174" s="231">
        <v>43617</v>
      </c>
      <c r="F1174" s="117">
        <v>1016.96</v>
      </c>
      <c r="G1174" s="117">
        <f>SUMIF(CONFERÊNCIA!A:A,A1174,CONFERÊNCIA!J:J)</f>
        <v>1016.96</v>
      </c>
      <c r="H1174" s="119">
        <f t="shared" si="82"/>
        <v>0</v>
      </c>
      <c r="I1174" s="240" t="s">
        <v>1229</v>
      </c>
    </row>
    <row r="1175" spans="1:9" x14ac:dyDescent="0.25">
      <c r="A1175" s="230">
        <v>116985</v>
      </c>
      <c r="B1175" s="162" t="s">
        <v>1244</v>
      </c>
      <c r="C1175" s="162" t="s">
        <v>5</v>
      </c>
      <c r="D1175" s="162" t="s">
        <v>0</v>
      </c>
      <c r="E1175" s="231">
        <v>44419</v>
      </c>
      <c r="F1175" s="117">
        <v>1016.96</v>
      </c>
      <c r="G1175" s="117">
        <f>SUMIF(CONFERÊNCIA!A:A,A1175,CONFERÊNCIA!J:J)</f>
        <v>1016.96</v>
      </c>
      <c r="H1175" s="119">
        <f t="shared" si="82"/>
        <v>0</v>
      </c>
      <c r="I1175" s="240" t="s">
        <v>1229</v>
      </c>
    </row>
    <row r="1176" spans="1:9" x14ac:dyDescent="0.25">
      <c r="A1176" s="230">
        <v>113520</v>
      </c>
      <c r="B1176" s="162" t="s">
        <v>821</v>
      </c>
      <c r="C1176" s="162" t="s">
        <v>146</v>
      </c>
      <c r="D1176" s="162" t="s">
        <v>32</v>
      </c>
      <c r="E1176" s="231">
        <v>43617</v>
      </c>
      <c r="F1176" s="117">
        <v>1016.96</v>
      </c>
      <c r="G1176" s="117">
        <f>SUMIF(CONFERÊNCIA!A:A,A1176,CONFERÊNCIA!J:J)</f>
        <v>1016.96</v>
      </c>
      <c r="H1176" s="119">
        <f t="shared" si="82"/>
        <v>0</v>
      </c>
      <c r="I1176" s="240" t="s">
        <v>1229</v>
      </c>
    </row>
    <row r="1177" spans="1:9" x14ac:dyDescent="0.25">
      <c r="A1177" s="230">
        <v>113526</v>
      </c>
      <c r="B1177" s="162" t="s">
        <v>824</v>
      </c>
      <c r="C1177" s="162" t="s">
        <v>5</v>
      </c>
      <c r="D1177" s="162" t="s">
        <v>19</v>
      </c>
      <c r="E1177" s="231">
        <v>43617</v>
      </c>
      <c r="F1177" s="117">
        <v>1016.96</v>
      </c>
      <c r="G1177" s="117">
        <f>SUMIF(CONFERÊNCIA!A:A,A1177,CONFERÊNCIA!J:J)</f>
        <v>1016.96</v>
      </c>
      <c r="H1177" s="119">
        <f t="shared" si="82"/>
        <v>0</v>
      </c>
      <c r="I1177" s="240" t="s">
        <v>1229</v>
      </c>
    </row>
    <row r="1178" spans="1:9" x14ac:dyDescent="0.25">
      <c r="A1178" s="230">
        <v>121325</v>
      </c>
      <c r="B1178" s="162" t="s">
        <v>1536</v>
      </c>
      <c r="C1178" s="162" t="s">
        <v>2</v>
      </c>
      <c r="D1178" s="162" t="s">
        <v>19</v>
      </c>
      <c r="E1178" s="231">
        <v>44945</v>
      </c>
      <c r="F1178" s="117">
        <v>978.67000000000007</v>
      </c>
      <c r="G1178" s="117">
        <f>SUMIF(CONFERÊNCIA!A:A,A1178,CONFERÊNCIA!J:J)</f>
        <v>1016.96</v>
      </c>
      <c r="H1178" s="119">
        <f t="shared" si="82"/>
        <v>38.289999999999964</v>
      </c>
      <c r="I1178" s="240" t="s">
        <v>1229</v>
      </c>
    </row>
    <row r="1179" spans="1:9" x14ac:dyDescent="0.25">
      <c r="A1179" s="230">
        <v>113531</v>
      </c>
      <c r="B1179" s="162" t="s">
        <v>827</v>
      </c>
      <c r="C1179" s="162" t="s">
        <v>2</v>
      </c>
      <c r="D1179" s="162" t="s">
        <v>10</v>
      </c>
      <c r="E1179" s="231">
        <v>43617</v>
      </c>
      <c r="F1179" s="117">
        <v>1016.96</v>
      </c>
      <c r="G1179" s="117">
        <f>SUMIF(CONFERÊNCIA!A:A,A1179,CONFERÊNCIA!J:J)</f>
        <v>1016.96</v>
      </c>
      <c r="H1179" s="119">
        <f t="shared" si="82"/>
        <v>0</v>
      </c>
      <c r="I1179" s="240" t="s">
        <v>1229</v>
      </c>
    </row>
    <row r="1180" spans="1:9" x14ac:dyDescent="0.25">
      <c r="A1180" s="230">
        <v>113536</v>
      </c>
      <c r="B1180" s="162" t="s">
        <v>831</v>
      </c>
      <c r="C1180" s="162" t="s">
        <v>2</v>
      </c>
      <c r="D1180" s="162" t="s">
        <v>10</v>
      </c>
      <c r="E1180" s="231">
        <v>43617</v>
      </c>
      <c r="F1180" s="117">
        <v>1016.96</v>
      </c>
      <c r="G1180" s="117">
        <f>SUMIF(CONFERÊNCIA!A:A,A1180,CONFERÊNCIA!J:J)</f>
        <v>1016.96</v>
      </c>
      <c r="H1180" s="119">
        <f t="shared" si="82"/>
        <v>0</v>
      </c>
      <c r="I1180" s="240" t="s">
        <v>1229</v>
      </c>
    </row>
    <row r="1181" spans="1:9" x14ac:dyDescent="0.25">
      <c r="A1181" s="230">
        <v>113547</v>
      </c>
      <c r="B1181" s="162" t="s">
        <v>838</v>
      </c>
      <c r="C1181" s="162" t="s">
        <v>146</v>
      </c>
      <c r="D1181" s="162" t="s">
        <v>8</v>
      </c>
      <c r="E1181" s="231">
        <v>43617</v>
      </c>
      <c r="F1181" s="117">
        <v>1016.96</v>
      </c>
      <c r="G1181" s="117">
        <f>SUMIF(CONFERÊNCIA!A:A,A1181,CONFERÊNCIA!J:J)</f>
        <v>1016.96</v>
      </c>
      <c r="H1181" s="119">
        <f t="shared" si="82"/>
        <v>0</v>
      </c>
      <c r="I1181" s="240" t="s">
        <v>1229</v>
      </c>
    </row>
    <row r="1182" spans="1:9" x14ac:dyDescent="0.25">
      <c r="A1182" s="230">
        <v>113552</v>
      </c>
      <c r="B1182" s="162" t="s">
        <v>843</v>
      </c>
      <c r="C1182" s="162" t="s">
        <v>22</v>
      </c>
      <c r="D1182" s="162" t="s">
        <v>1578</v>
      </c>
      <c r="E1182" s="231">
        <v>43617</v>
      </c>
      <c r="F1182" s="117">
        <v>1016.96</v>
      </c>
      <c r="G1182" s="117">
        <f>SUMIF(CONFERÊNCIA!A:A,A1182,CONFERÊNCIA!J:J)</f>
        <v>1016.96</v>
      </c>
      <c r="H1182" s="119">
        <f t="shared" si="82"/>
        <v>0</v>
      </c>
      <c r="I1182" s="240" t="s">
        <v>1229</v>
      </c>
    </row>
    <row r="1183" spans="1:9" x14ac:dyDescent="0.25">
      <c r="A1183" s="230">
        <v>113555</v>
      </c>
      <c r="B1183" s="162" t="s">
        <v>726</v>
      </c>
      <c r="C1183" s="162" t="s">
        <v>2</v>
      </c>
      <c r="D1183" s="162" t="s">
        <v>19</v>
      </c>
      <c r="E1183" s="231">
        <v>43617</v>
      </c>
      <c r="F1183" s="117">
        <v>1016.96</v>
      </c>
      <c r="G1183" s="117">
        <f>SUMIF(CONFERÊNCIA!A:A,A1183,CONFERÊNCIA!J:J)</f>
        <v>1016.96</v>
      </c>
      <c r="H1183" s="119">
        <f t="shared" si="82"/>
        <v>0</v>
      </c>
      <c r="I1183" s="240" t="s">
        <v>1229</v>
      </c>
    </row>
    <row r="1184" spans="1:9" x14ac:dyDescent="0.25">
      <c r="A1184" s="230">
        <v>113557</v>
      </c>
      <c r="B1184" s="162" t="s">
        <v>845</v>
      </c>
      <c r="C1184" s="162" t="s">
        <v>2</v>
      </c>
      <c r="D1184" s="162" t="s">
        <v>32</v>
      </c>
      <c r="E1184" s="231">
        <v>43617</v>
      </c>
      <c r="F1184" s="117">
        <v>1016.96</v>
      </c>
      <c r="G1184" s="117">
        <f>SUMIF(CONFERÊNCIA!A:A,A1184,CONFERÊNCIA!J:J)</f>
        <v>1016.96</v>
      </c>
      <c r="H1184" s="119">
        <f t="shared" si="82"/>
        <v>0</v>
      </c>
      <c r="I1184" s="240" t="s">
        <v>1229</v>
      </c>
    </row>
    <row r="1185" spans="1:9" x14ac:dyDescent="0.25">
      <c r="A1185" s="230">
        <v>113559</v>
      </c>
      <c r="B1185" s="162" t="s">
        <v>847</v>
      </c>
      <c r="C1185" s="162" t="s">
        <v>2</v>
      </c>
      <c r="D1185" s="162" t="s">
        <v>0</v>
      </c>
      <c r="E1185" s="231">
        <v>43617</v>
      </c>
      <c r="F1185" s="117">
        <v>1016.96</v>
      </c>
      <c r="G1185" s="117">
        <f>SUMIF(CONFERÊNCIA!A:A,A1185,CONFERÊNCIA!J:J)</f>
        <v>1016.96</v>
      </c>
      <c r="H1185" s="119">
        <f t="shared" si="82"/>
        <v>0</v>
      </c>
      <c r="I1185" s="240" t="s">
        <v>1229</v>
      </c>
    </row>
    <row r="1186" spans="1:9" x14ac:dyDescent="0.25">
      <c r="A1186" s="230">
        <v>113565</v>
      </c>
      <c r="B1186" s="162" t="s">
        <v>850</v>
      </c>
      <c r="C1186" s="162" t="s">
        <v>15</v>
      </c>
      <c r="D1186" s="162" t="s">
        <v>1578</v>
      </c>
      <c r="E1186" s="231">
        <v>43617</v>
      </c>
      <c r="F1186" s="117">
        <v>1016.96</v>
      </c>
      <c r="G1186" s="117">
        <f>SUMIF(CONFERÊNCIA!A:A,A1186,CONFERÊNCIA!J:J)</f>
        <v>1016.96</v>
      </c>
      <c r="H1186" s="119">
        <f t="shared" si="82"/>
        <v>0</v>
      </c>
      <c r="I1186" s="240" t="s">
        <v>1229</v>
      </c>
    </row>
    <row r="1187" spans="1:9" x14ac:dyDescent="0.25">
      <c r="A1187" s="230">
        <v>121816</v>
      </c>
      <c r="B1187" s="162" t="s">
        <v>1596</v>
      </c>
      <c r="C1187" s="162" t="s">
        <v>1456</v>
      </c>
      <c r="D1187" s="162" t="s">
        <v>1580</v>
      </c>
      <c r="E1187" s="231">
        <v>45019</v>
      </c>
      <c r="F1187" s="117">
        <v>657.5</v>
      </c>
      <c r="G1187" s="117">
        <f>SUMIF(CONFERÊNCIA!A:A,A1187,CONFERÊNCIA!J:J)</f>
        <v>657.5</v>
      </c>
      <c r="H1187" s="119">
        <f t="shared" ref="H1187:H1232" si="83">G1187-F1187</f>
        <v>0</v>
      </c>
      <c r="I1187" s="240" t="s">
        <v>1229</v>
      </c>
    </row>
    <row r="1188" spans="1:9" x14ac:dyDescent="0.25">
      <c r="A1188" s="230">
        <v>113573</v>
      </c>
      <c r="B1188" s="162" t="s">
        <v>853</v>
      </c>
      <c r="C1188" s="162" t="s">
        <v>2</v>
      </c>
      <c r="D1188" s="162" t="s">
        <v>8</v>
      </c>
      <c r="E1188" s="231">
        <v>43617</v>
      </c>
      <c r="F1188" s="117">
        <v>1016.96</v>
      </c>
      <c r="G1188" s="117">
        <f>SUMIF(CONFERÊNCIA!A:A,A1188,CONFERÊNCIA!J:J)</f>
        <v>1016.96</v>
      </c>
      <c r="H1188" s="119">
        <f t="shared" si="83"/>
        <v>0</v>
      </c>
      <c r="I1188" s="240" t="s">
        <v>1229</v>
      </c>
    </row>
    <row r="1189" spans="1:9" x14ac:dyDescent="0.25">
      <c r="A1189" s="230">
        <v>113577</v>
      </c>
      <c r="B1189" s="162" t="s">
        <v>854</v>
      </c>
      <c r="C1189" s="162" t="s">
        <v>22</v>
      </c>
      <c r="D1189" s="162" t="s">
        <v>1578</v>
      </c>
      <c r="E1189" s="231">
        <v>43617</v>
      </c>
      <c r="F1189" s="117">
        <v>1016.96</v>
      </c>
      <c r="G1189" s="117">
        <f>SUMIF(CONFERÊNCIA!A:A,A1189,CONFERÊNCIA!J:J)</f>
        <v>1016.96</v>
      </c>
      <c r="H1189" s="119">
        <f t="shared" si="83"/>
        <v>0</v>
      </c>
      <c r="I1189" s="240" t="s">
        <v>1229</v>
      </c>
    </row>
    <row r="1190" spans="1:9" x14ac:dyDescent="0.25">
      <c r="A1190" s="230">
        <v>113687</v>
      </c>
      <c r="B1190" s="162" t="s">
        <v>915</v>
      </c>
      <c r="C1190" s="162" t="s">
        <v>2</v>
      </c>
      <c r="D1190" s="162" t="s">
        <v>0</v>
      </c>
      <c r="E1190" s="231">
        <v>43617</v>
      </c>
      <c r="F1190" s="117">
        <v>1016.96</v>
      </c>
      <c r="G1190" s="117">
        <f>SUMIF(CONFERÊNCIA!A:A,A1190,CONFERÊNCIA!J:J)</f>
        <v>1016.96</v>
      </c>
      <c r="H1190" s="119">
        <f t="shared" si="83"/>
        <v>0</v>
      </c>
      <c r="I1190" s="240" t="s">
        <v>1229</v>
      </c>
    </row>
    <row r="1191" spans="1:9" x14ac:dyDescent="0.25">
      <c r="A1191" s="230">
        <v>113587</v>
      </c>
      <c r="B1191" s="162" t="s">
        <v>860</v>
      </c>
      <c r="C1191" s="162" t="s">
        <v>2</v>
      </c>
      <c r="D1191" s="162" t="s">
        <v>32</v>
      </c>
      <c r="E1191" s="231">
        <v>43617</v>
      </c>
      <c r="F1191" s="117">
        <v>1016.96</v>
      </c>
      <c r="G1191" s="117">
        <f>SUMIF(CONFERÊNCIA!A:A,A1191,CONFERÊNCIA!J:J)</f>
        <v>1016.96</v>
      </c>
      <c r="H1191" s="119">
        <f t="shared" si="83"/>
        <v>0</v>
      </c>
      <c r="I1191" s="240" t="s">
        <v>1229</v>
      </c>
    </row>
    <row r="1192" spans="1:9" x14ac:dyDescent="0.25">
      <c r="A1192" s="230">
        <v>114259</v>
      </c>
      <c r="B1192" s="162" t="s">
        <v>1022</v>
      </c>
      <c r="C1192" s="162" t="s">
        <v>5</v>
      </c>
      <c r="D1192" s="162" t="s">
        <v>32</v>
      </c>
      <c r="E1192" s="231">
        <v>43804</v>
      </c>
      <c r="F1192" s="117">
        <v>1016.96</v>
      </c>
      <c r="G1192" s="117">
        <f>SUMIF(CONFERÊNCIA!A:A,A1192,CONFERÊNCIA!J:J)</f>
        <v>1016.96</v>
      </c>
      <c r="H1192" s="119">
        <f t="shared" si="83"/>
        <v>0</v>
      </c>
      <c r="I1192" s="240" t="s">
        <v>1229</v>
      </c>
    </row>
    <row r="1193" spans="1:9" x14ac:dyDescent="0.25">
      <c r="A1193" s="230">
        <v>113608</v>
      </c>
      <c r="B1193" s="162" t="s">
        <v>870</v>
      </c>
      <c r="C1193" s="162" t="s">
        <v>2</v>
      </c>
      <c r="D1193" s="162" t="s">
        <v>19</v>
      </c>
      <c r="E1193" s="231">
        <v>43617</v>
      </c>
      <c r="F1193" s="117">
        <v>1016.96</v>
      </c>
      <c r="G1193" s="117">
        <f>SUMIF(CONFERÊNCIA!A:A,A1193,CONFERÊNCIA!J:J)</f>
        <v>1016.96</v>
      </c>
      <c r="H1193" s="119">
        <f t="shared" si="83"/>
        <v>0</v>
      </c>
      <c r="I1193" s="240" t="s">
        <v>1229</v>
      </c>
    </row>
    <row r="1194" spans="1:9" x14ac:dyDescent="0.25">
      <c r="A1194" s="230">
        <v>113667</v>
      </c>
      <c r="B1194" s="162" t="s">
        <v>904</v>
      </c>
      <c r="C1194" s="162" t="s">
        <v>2</v>
      </c>
      <c r="D1194" s="162" t="s">
        <v>19</v>
      </c>
      <c r="E1194" s="231">
        <v>43617</v>
      </c>
      <c r="F1194" s="117">
        <v>1016.96</v>
      </c>
      <c r="G1194" s="117">
        <f>SUMIF(CONFERÊNCIA!A:A,A1194,CONFERÊNCIA!J:J)</f>
        <v>1016.96</v>
      </c>
      <c r="H1194" s="119">
        <f t="shared" si="83"/>
        <v>0</v>
      </c>
      <c r="I1194" s="240" t="s">
        <v>1229</v>
      </c>
    </row>
    <row r="1195" spans="1:9" x14ac:dyDescent="0.25">
      <c r="A1195" s="230">
        <v>113668</v>
      </c>
      <c r="B1195" s="162" t="s">
        <v>905</v>
      </c>
      <c r="C1195" s="162" t="s">
        <v>15</v>
      </c>
      <c r="D1195" s="162" t="s">
        <v>1578</v>
      </c>
      <c r="E1195" s="231">
        <v>43617</v>
      </c>
      <c r="F1195" s="117">
        <v>1016.96</v>
      </c>
      <c r="G1195" s="117">
        <f>SUMIF(CONFERÊNCIA!A:A,A1195,CONFERÊNCIA!J:J)</f>
        <v>1016.96</v>
      </c>
      <c r="H1195" s="119">
        <f t="shared" si="83"/>
        <v>0</v>
      </c>
      <c r="I1195" s="240" t="s">
        <v>1229</v>
      </c>
    </row>
    <row r="1196" spans="1:9" x14ac:dyDescent="0.25">
      <c r="A1196" s="230">
        <v>114099</v>
      </c>
      <c r="B1196" s="162" t="s">
        <v>1003</v>
      </c>
      <c r="C1196" s="162" t="s">
        <v>5</v>
      </c>
      <c r="D1196" s="162" t="s">
        <v>1578</v>
      </c>
      <c r="E1196" s="231">
        <v>43728</v>
      </c>
      <c r="F1196" s="117">
        <v>1016.96</v>
      </c>
      <c r="G1196" s="117">
        <f>SUMIF(CONFERÊNCIA!A:A,A1196,CONFERÊNCIA!J:J)</f>
        <v>1016.96</v>
      </c>
      <c r="H1196" s="119">
        <f t="shared" si="83"/>
        <v>0</v>
      </c>
      <c r="I1196" s="240" t="s">
        <v>1229</v>
      </c>
    </row>
    <row r="1197" spans="1:9" x14ac:dyDescent="0.25">
      <c r="A1197" s="230">
        <v>113663</v>
      </c>
      <c r="B1197" s="162" t="s">
        <v>902</v>
      </c>
      <c r="C1197" s="162" t="s">
        <v>15</v>
      </c>
      <c r="D1197" s="162" t="s">
        <v>1578</v>
      </c>
      <c r="E1197" s="231">
        <v>43617</v>
      </c>
      <c r="F1197" s="117">
        <v>1016.96</v>
      </c>
      <c r="G1197" s="117">
        <f>SUMIF(CONFERÊNCIA!A:A,A1197,CONFERÊNCIA!J:J)</f>
        <v>1016.96</v>
      </c>
      <c r="H1197" s="119">
        <f t="shared" si="83"/>
        <v>0</v>
      </c>
      <c r="I1197" s="240" t="s">
        <v>1229</v>
      </c>
    </row>
    <row r="1198" spans="1:9" x14ac:dyDescent="0.25">
      <c r="A1198" s="230">
        <v>114539</v>
      </c>
      <c r="B1198" s="162" t="s">
        <v>1051</v>
      </c>
      <c r="C1198" s="162" t="s">
        <v>2</v>
      </c>
      <c r="D1198" s="162" t="s">
        <v>0</v>
      </c>
      <c r="E1198" s="231">
        <v>43817</v>
      </c>
      <c r="F1198" s="117">
        <v>1016.96</v>
      </c>
      <c r="G1198" s="117">
        <f>SUMIF(CONFERÊNCIA!A:A,A1198,CONFERÊNCIA!J:J)</f>
        <v>1016.96</v>
      </c>
      <c r="H1198" s="119">
        <f t="shared" si="83"/>
        <v>0</v>
      </c>
      <c r="I1198" s="240" t="s">
        <v>1229</v>
      </c>
    </row>
    <row r="1199" spans="1:9" x14ac:dyDescent="0.25">
      <c r="A1199" s="230">
        <v>119675</v>
      </c>
      <c r="B1199" s="162" t="s">
        <v>1471</v>
      </c>
      <c r="C1199" s="162" t="s">
        <v>5</v>
      </c>
      <c r="D1199" s="162" t="s">
        <v>1578</v>
      </c>
      <c r="E1199" s="231">
        <v>44725</v>
      </c>
      <c r="F1199" s="117">
        <v>1016.96</v>
      </c>
      <c r="G1199" s="117">
        <f>SUMIF(CONFERÊNCIA!A:A,A1199,CONFERÊNCIA!J:J)</f>
        <v>1016.96</v>
      </c>
      <c r="H1199" s="119">
        <f t="shared" si="83"/>
        <v>0</v>
      </c>
      <c r="I1199" s="240" t="s">
        <v>1229</v>
      </c>
    </row>
    <row r="1200" spans="1:9" x14ac:dyDescent="0.25">
      <c r="A1200" s="230">
        <v>113658</v>
      </c>
      <c r="B1200" s="162" t="s">
        <v>899</v>
      </c>
      <c r="C1200" s="162" t="s">
        <v>146</v>
      </c>
      <c r="D1200" s="162" t="s">
        <v>10</v>
      </c>
      <c r="E1200" s="231">
        <v>43617</v>
      </c>
      <c r="F1200" s="117">
        <v>1016.96</v>
      </c>
      <c r="G1200" s="117">
        <f>SUMIF(CONFERÊNCIA!A:A,A1200,CONFERÊNCIA!J:J)</f>
        <v>1016.96</v>
      </c>
      <c r="H1200" s="119">
        <f t="shared" si="83"/>
        <v>0</v>
      </c>
      <c r="I1200" s="240" t="s">
        <v>1229</v>
      </c>
    </row>
    <row r="1201" spans="1:9" x14ac:dyDescent="0.25">
      <c r="A1201" s="230">
        <v>113654</v>
      </c>
      <c r="B1201" s="162" t="s">
        <v>896</v>
      </c>
      <c r="C1201" s="162" t="s">
        <v>22</v>
      </c>
      <c r="D1201" s="162" t="s">
        <v>1578</v>
      </c>
      <c r="E1201" s="231">
        <v>43617</v>
      </c>
      <c r="F1201" s="117">
        <v>1016.96</v>
      </c>
      <c r="G1201" s="117">
        <f>SUMIF(CONFERÊNCIA!A:A,A1201,CONFERÊNCIA!J:J)</f>
        <v>1016.96</v>
      </c>
      <c r="H1201" s="119">
        <f t="shared" si="83"/>
        <v>0</v>
      </c>
      <c r="I1201" s="240" t="s">
        <v>1229</v>
      </c>
    </row>
    <row r="1202" spans="1:9" x14ac:dyDescent="0.25">
      <c r="A1202" s="230">
        <v>113929</v>
      </c>
      <c r="B1202" s="162" t="s">
        <v>990</v>
      </c>
      <c r="C1202" s="162" t="s">
        <v>2</v>
      </c>
      <c r="D1202" s="162" t="s">
        <v>0</v>
      </c>
      <c r="E1202" s="231">
        <v>43682</v>
      </c>
      <c r="F1202" s="117">
        <v>1016.96</v>
      </c>
      <c r="G1202" s="117">
        <f>SUMIF(CONFERÊNCIA!A:A,A1202,CONFERÊNCIA!J:J)</f>
        <v>1016.96</v>
      </c>
      <c r="H1202" s="119">
        <f t="shared" si="83"/>
        <v>0</v>
      </c>
      <c r="I1202" s="240" t="s">
        <v>1229</v>
      </c>
    </row>
    <row r="1203" spans="1:9" x14ac:dyDescent="0.25">
      <c r="A1203" s="230">
        <v>118055</v>
      </c>
      <c r="B1203" s="162" t="s">
        <v>1407</v>
      </c>
      <c r="C1203" s="162" t="s">
        <v>5</v>
      </c>
      <c r="D1203" s="162" t="s">
        <v>8</v>
      </c>
      <c r="E1203" s="231">
        <v>44567</v>
      </c>
      <c r="F1203" s="117">
        <v>978.67000000000007</v>
      </c>
      <c r="G1203" s="117">
        <f>SUMIF(CONFERÊNCIA!A:A,A1203,CONFERÊNCIA!J:J)</f>
        <v>1016.96</v>
      </c>
      <c r="H1203" s="119">
        <f t="shared" si="83"/>
        <v>38.289999999999964</v>
      </c>
      <c r="I1203" s="240" t="s">
        <v>1229</v>
      </c>
    </row>
    <row r="1204" spans="1:9" x14ac:dyDescent="0.25">
      <c r="A1204" s="230">
        <v>114933</v>
      </c>
      <c r="B1204" s="162" t="s">
        <v>1115</v>
      </c>
      <c r="C1204" s="162" t="s">
        <v>22</v>
      </c>
      <c r="D1204" s="162" t="s">
        <v>1578</v>
      </c>
      <c r="E1204" s="231">
        <v>43916</v>
      </c>
      <c r="F1204" s="117">
        <v>1016.96</v>
      </c>
      <c r="G1204" s="117">
        <f>SUMIF(CONFERÊNCIA!A:A,A1204,CONFERÊNCIA!J:J)</f>
        <v>1016.96</v>
      </c>
      <c r="H1204" s="119">
        <f t="shared" si="83"/>
        <v>0</v>
      </c>
      <c r="I1204" s="240" t="s">
        <v>1229</v>
      </c>
    </row>
    <row r="1205" spans="1:9" x14ac:dyDescent="0.25">
      <c r="A1205" s="230">
        <v>116232</v>
      </c>
      <c r="B1205" s="162" t="s">
        <v>1193</v>
      </c>
      <c r="C1205" s="162" t="s">
        <v>5</v>
      </c>
      <c r="D1205" s="162" t="s">
        <v>0</v>
      </c>
      <c r="E1205" s="231">
        <v>44273</v>
      </c>
      <c r="F1205" s="117">
        <v>1016.96</v>
      </c>
      <c r="G1205" s="117">
        <f>SUMIF(CONFERÊNCIA!A:A,A1205,CONFERÊNCIA!J:J)</f>
        <v>1016.96</v>
      </c>
      <c r="H1205" s="119">
        <f t="shared" si="83"/>
        <v>0</v>
      </c>
      <c r="I1205" s="240" t="s">
        <v>1229</v>
      </c>
    </row>
    <row r="1206" spans="1:9" x14ac:dyDescent="0.25">
      <c r="A1206" s="230">
        <v>113884</v>
      </c>
      <c r="B1206" s="162" t="s">
        <v>1249</v>
      </c>
      <c r="C1206" s="162" t="s">
        <v>1250</v>
      </c>
      <c r="D1206" s="162" t="s">
        <v>1246</v>
      </c>
      <c r="E1206" s="231">
        <v>43663</v>
      </c>
      <c r="F1206" s="117">
        <v>1200</v>
      </c>
      <c r="G1206" s="117">
        <f>SUMIF(CONFERÊNCIA!A:A,A1206,CONFERÊNCIA!J:J)</f>
        <v>1260</v>
      </c>
      <c r="H1206" s="119">
        <f t="shared" si="83"/>
        <v>60</v>
      </c>
      <c r="I1206" s="240" t="s">
        <v>1229</v>
      </c>
    </row>
    <row r="1207" spans="1:9" x14ac:dyDescent="0.25">
      <c r="A1207" s="230">
        <v>113648</v>
      </c>
      <c r="B1207" s="162" t="s">
        <v>893</v>
      </c>
      <c r="C1207" s="162" t="s">
        <v>2</v>
      </c>
      <c r="D1207" s="162" t="s">
        <v>0</v>
      </c>
      <c r="E1207" s="231">
        <v>43617</v>
      </c>
      <c r="F1207" s="117">
        <v>1016.96</v>
      </c>
      <c r="G1207" s="117">
        <f>SUMIF(CONFERÊNCIA!A:A,A1207,CONFERÊNCIA!J:J)</f>
        <v>1016.96</v>
      </c>
      <c r="H1207" s="119">
        <f t="shared" si="83"/>
        <v>0</v>
      </c>
      <c r="I1207" s="240" t="s">
        <v>1229</v>
      </c>
    </row>
    <row r="1208" spans="1:9" x14ac:dyDescent="0.25">
      <c r="A1208" s="230">
        <v>113643</v>
      </c>
      <c r="B1208" s="162" t="s">
        <v>890</v>
      </c>
      <c r="C1208" s="162" t="s">
        <v>5</v>
      </c>
      <c r="D1208" s="162" t="s">
        <v>0</v>
      </c>
      <c r="E1208" s="231">
        <v>43617</v>
      </c>
      <c r="F1208" s="117">
        <v>1016.96</v>
      </c>
      <c r="G1208" s="117">
        <f>SUMIF(CONFERÊNCIA!A:A,A1208,CONFERÊNCIA!J:J)</f>
        <v>1016.96</v>
      </c>
      <c r="H1208" s="119">
        <f t="shared" si="83"/>
        <v>0</v>
      </c>
      <c r="I1208" s="240" t="s">
        <v>1229</v>
      </c>
    </row>
    <row r="1209" spans="1:9" x14ac:dyDescent="0.25">
      <c r="A1209" s="230">
        <v>113638</v>
      </c>
      <c r="B1209" s="162" t="s">
        <v>889</v>
      </c>
      <c r="C1209" s="162" t="s">
        <v>146</v>
      </c>
      <c r="D1209" s="162" t="s">
        <v>8</v>
      </c>
      <c r="E1209" s="231">
        <v>43617</v>
      </c>
      <c r="F1209" s="117">
        <v>1016.96</v>
      </c>
      <c r="G1209" s="117">
        <f>SUMIF(CONFERÊNCIA!A:A,A1209,CONFERÊNCIA!J:J)</f>
        <v>1016.96</v>
      </c>
      <c r="H1209" s="119">
        <f t="shared" si="83"/>
        <v>0</v>
      </c>
      <c r="I1209" s="240" t="s">
        <v>1229</v>
      </c>
    </row>
    <row r="1210" spans="1:9" x14ac:dyDescent="0.25">
      <c r="A1210" s="230">
        <v>113634</v>
      </c>
      <c r="B1210" s="162" t="s">
        <v>885</v>
      </c>
      <c r="C1210" s="162" t="s">
        <v>22</v>
      </c>
      <c r="D1210" s="162" t="s">
        <v>1578</v>
      </c>
      <c r="E1210" s="231">
        <v>43617</v>
      </c>
      <c r="F1210" s="117">
        <v>1016.96</v>
      </c>
      <c r="G1210" s="117">
        <f>SUMIF(CONFERÊNCIA!A:A,A1210,CONFERÊNCIA!J:J)</f>
        <v>1016.96</v>
      </c>
      <c r="H1210" s="119">
        <f t="shared" si="83"/>
        <v>0</v>
      </c>
      <c r="I1210" s="240" t="s">
        <v>1229</v>
      </c>
    </row>
    <row r="1211" spans="1:9" x14ac:dyDescent="0.25">
      <c r="A1211" s="230">
        <v>113630</v>
      </c>
      <c r="B1211" s="162" t="s">
        <v>882</v>
      </c>
      <c r="C1211" s="162" t="s">
        <v>2</v>
      </c>
      <c r="D1211" s="162" t="s">
        <v>32</v>
      </c>
      <c r="E1211" s="231">
        <v>43617</v>
      </c>
      <c r="F1211" s="117">
        <v>1016.96</v>
      </c>
      <c r="G1211" s="117">
        <f>SUMIF(CONFERÊNCIA!A:A,A1211,CONFERÊNCIA!J:J)</f>
        <v>1016.96</v>
      </c>
      <c r="H1211" s="119">
        <f t="shared" si="83"/>
        <v>0</v>
      </c>
      <c r="I1211" s="240" t="s">
        <v>1230</v>
      </c>
    </row>
    <row r="1212" spans="1:9" x14ac:dyDescent="0.25">
      <c r="A1212" s="230">
        <v>113627</v>
      </c>
      <c r="B1212" s="162" t="s">
        <v>880</v>
      </c>
      <c r="C1212" s="162" t="s">
        <v>5</v>
      </c>
      <c r="D1212" s="162" t="s">
        <v>10</v>
      </c>
      <c r="E1212" s="231">
        <v>43617</v>
      </c>
      <c r="F1212" s="117">
        <v>1016.96</v>
      </c>
      <c r="G1212" s="117">
        <f>SUMIF(CONFERÊNCIA!A:A,A1212,CONFERÊNCIA!J:J)</f>
        <v>1016.96</v>
      </c>
      <c r="H1212" s="119">
        <f t="shared" si="83"/>
        <v>0</v>
      </c>
      <c r="I1212" s="240" t="s">
        <v>1229</v>
      </c>
    </row>
    <row r="1213" spans="1:9" x14ac:dyDescent="0.25">
      <c r="A1213" s="230">
        <v>114734</v>
      </c>
      <c r="B1213" s="162" t="s">
        <v>1083</v>
      </c>
      <c r="C1213" s="162" t="s">
        <v>5</v>
      </c>
      <c r="D1213" s="162" t="s">
        <v>0</v>
      </c>
      <c r="E1213" s="231">
        <v>43874</v>
      </c>
      <c r="F1213" s="117">
        <v>1016.96</v>
      </c>
      <c r="G1213" s="117">
        <f>SUMIF(CONFERÊNCIA!A:A,A1213,CONFERÊNCIA!J:J)</f>
        <v>1016.96</v>
      </c>
      <c r="H1213" s="119">
        <f t="shared" si="83"/>
        <v>0</v>
      </c>
      <c r="I1213" s="240" t="s">
        <v>1229</v>
      </c>
    </row>
    <row r="1214" spans="1:9" x14ac:dyDescent="0.25">
      <c r="A1214" s="230">
        <v>113734</v>
      </c>
      <c r="B1214" s="162" t="s">
        <v>948</v>
      </c>
      <c r="C1214" s="162" t="s">
        <v>949</v>
      </c>
      <c r="D1214" s="162" t="s">
        <v>1578</v>
      </c>
      <c r="E1214" s="231">
        <v>43619</v>
      </c>
      <c r="F1214" s="117">
        <v>1016.96</v>
      </c>
      <c r="G1214" s="117">
        <f>SUMIF(CONFERÊNCIA!A:A,A1214,CONFERÊNCIA!J:J)</f>
        <v>1016.96</v>
      </c>
      <c r="H1214" s="119">
        <f t="shared" si="83"/>
        <v>0</v>
      </c>
      <c r="I1214" s="240" t="s">
        <v>1229</v>
      </c>
    </row>
    <row r="1215" spans="1:9" x14ac:dyDescent="0.25">
      <c r="A1215" s="230">
        <v>122403</v>
      </c>
      <c r="B1215" s="162" t="s">
        <v>1696</v>
      </c>
      <c r="C1215" s="162" t="s">
        <v>5</v>
      </c>
      <c r="D1215" s="162" t="s">
        <v>1578</v>
      </c>
      <c r="E1215" s="231">
        <v>45117</v>
      </c>
      <c r="F1215" s="117">
        <v>1016.96</v>
      </c>
      <c r="G1215" s="117">
        <f>SUMIF(CONFERÊNCIA!A:A,A1215,CONFERÊNCIA!J:J)</f>
        <v>1016.96</v>
      </c>
      <c r="H1215" s="119">
        <f t="shared" si="83"/>
        <v>0</v>
      </c>
      <c r="I1215" s="240" t="s">
        <v>1229</v>
      </c>
    </row>
    <row r="1216" spans="1:9" x14ac:dyDescent="0.25">
      <c r="A1216" s="230">
        <v>116329</v>
      </c>
      <c r="B1216" s="162" t="s">
        <v>1206</v>
      </c>
      <c r="C1216" s="162" t="s">
        <v>5</v>
      </c>
      <c r="D1216" s="162" t="s">
        <v>0</v>
      </c>
      <c r="E1216" s="231">
        <v>44308</v>
      </c>
      <c r="F1216" s="117">
        <v>978.67000000000007</v>
      </c>
      <c r="G1216" s="117">
        <f>SUMIF(CONFERÊNCIA!A:A,A1216,CONFERÊNCIA!J:J)</f>
        <v>978.67000000000007</v>
      </c>
      <c r="H1216" s="119">
        <f t="shared" si="83"/>
        <v>0</v>
      </c>
      <c r="I1216" s="240" t="s">
        <v>1229</v>
      </c>
    </row>
    <row r="1217" spans="1:9" x14ac:dyDescent="0.25">
      <c r="A1217" s="230">
        <v>118642</v>
      </c>
      <c r="B1217" s="162" t="s">
        <v>1408</v>
      </c>
      <c r="C1217" s="162" t="s">
        <v>938</v>
      </c>
      <c r="D1217" s="162" t="s">
        <v>1578</v>
      </c>
      <c r="E1217" s="231">
        <v>44582</v>
      </c>
      <c r="F1217" s="117">
        <v>1016.96</v>
      </c>
      <c r="G1217" s="117">
        <f>SUMIF(CONFERÊNCIA!A:A,A1217,CONFERÊNCIA!J:J)</f>
        <v>1016.96</v>
      </c>
      <c r="H1217" s="119">
        <f t="shared" si="83"/>
        <v>0</v>
      </c>
      <c r="I1217" s="240" t="s">
        <v>1229</v>
      </c>
    </row>
    <row r="1218" spans="1:9" x14ac:dyDescent="0.25">
      <c r="A1218" s="230">
        <v>114031</v>
      </c>
      <c r="B1218" s="162" t="s">
        <v>996</v>
      </c>
      <c r="C1218" s="162" t="s">
        <v>146</v>
      </c>
      <c r="D1218" s="162" t="s">
        <v>0</v>
      </c>
      <c r="E1218" s="231">
        <v>43710</v>
      </c>
      <c r="F1218" s="117">
        <v>1016.96</v>
      </c>
      <c r="G1218" s="117">
        <f>SUMIF(CONFERÊNCIA!A:A,A1218,CONFERÊNCIA!J:J)</f>
        <v>978.67000000000007</v>
      </c>
      <c r="H1218" s="119">
        <f t="shared" si="83"/>
        <v>-38.289999999999964</v>
      </c>
      <c r="I1218" s="240" t="s">
        <v>1229</v>
      </c>
    </row>
    <row r="1219" spans="1:9" x14ac:dyDescent="0.25">
      <c r="A1219" s="230">
        <v>113689</v>
      </c>
      <c r="B1219" s="162" t="s">
        <v>916</v>
      </c>
      <c r="C1219" s="162" t="s">
        <v>22</v>
      </c>
      <c r="D1219" s="162" t="s">
        <v>1578</v>
      </c>
      <c r="E1219" s="231">
        <v>43617</v>
      </c>
      <c r="F1219" s="117">
        <v>1016.96</v>
      </c>
      <c r="G1219" s="117">
        <f>SUMIF(CONFERÊNCIA!A:A,A1219,CONFERÊNCIA!J:J)</f>
        <v>1016.96</v>
      </c>
      <c r="H1219" s="119">
        <f t="shared" si="83"/>
        <v>0</v>
      </c>
      <c r="I1219" s="240" t="s">
        <v>1229</v>
      </c>
    </row>
    <row r="1220" spans="1:9" x14ac:dyDescent="0.25">
      <c r="A1220" s="230">
        <v>117240</v>
      </c>
      <c r="B1220" s="162" t="s">
        <v>1256</v>
      </c>
      <c r="C1220" s="162" t="s">
        <v>5</v>
      </c>
      <c r="D1220" s="162" t="s">
        <v>0</v>
      </c>
      <c r="E1220" s="231">
        <v>44487</v>
      </c>
      <c r="F1220" s="117">
        <v>1016.96</v>
      </c>
      <c r="G1220" s="117">
        <f>SUMIF(CONFERÊNCIA!A:A,A1220,CONFERÊNCIA!J:J)</f>
        <v>1016.96</v>
      </c>
      <c r="H1220" s="119">
        <f t="shared" si="83"/>
        <v>0</v>
      </c>
      <c r="I1220" s="240" t="s">
        <v>1229</v>
      </c>
    </row>
    <row r="1221" spans="1:9" x14ac:dyDescent="0.25">
      <c r="A1221" s="230">
        <v>120192</v>
      </c>
      <c r="B1221" s="162" t="s">
        <v>1497</v>
      </c>
      <c r="C1221" s="162" t="s">
        <v>5</v>
      </c>
      <c r="D1221" s="162" t="s">
        <v>8</v>
      </c>
      <c r="E1221" s="231">
        <v>44791</v>
      </c>
      <c r="F1221" s="117">
        <v>1016.96</v>
      </c>
      <c r="G1221" s="117">
        <f>SUMIF(CONFERÊNCIA!A:A,A1221,CONFERÊNCIA!J:J)</f>
        <v>1016.96</v>
      </c>
      <c r="H1221" s="119">
        <f t="shared" si="83"/>
        <v>0</v>
      </c>
      <c r="I1221" s="240" t="s">
        <v>1229</v>
      </c>
    </row>
    <row r="1222" spans="1:9" x14ac:dyDescent="0.25">
      <c r="A1222" s="230">
        <v>116320</v>
      </c>
      <c r="B1222" s="162" t="s">
        <v>1201</v>
      </c>
      <c r="C1222" s="162" t="s">
        <v>5</v>
      </c>
      <c r="D1222" s="162" t="s">
        <v>10</v>
      </c>
      <c r="E1222" s="231">
        <v>44308</v>
      </c>
      <c r="F1222" s="117">
        <v>1016.96</v>
      </c>
      <c r="G1222" s="117">
        <f>SUMIF(CONFERÊNCIA!A:A,A1222,CONFERÊNCIA!J:J)</f>
        <v>1016.96</v>
      </c>
      <c r="H1222" s="119">
        <f t="shared" si="83"/>
        <v>0</v>
      </c>
      <c r="I1222" s="240" t="s">
        <v>1229</v>
      </c>
    </row>
    <row r="1223" spans="1:9" x14ac:dyDescent="0.25">
      <c r="A1223" s="230">
        <v>119681</v>
      </c>
      <c r="B1223" s="162" t="s">
        <v>1472</v>
      </c>
      <c r="C1223" s="162" t="s">
        <v>5</v>
      </c>
      <c r="D1223" s="162" t="s">
        <v>10</v>
      </c>
      <c r="E1223" s="231">
        <v>44725</v>
      </c>
      <c r="F1223" s="117">
        <v>1016.96</v>
      </c>
      <c r="G1223" s="117">
        <f>SUMIF(CONFERÊNCIA!A:A,A1223,CONFERÊNCIA!J:J)</f>
        <v>1016.96</v>
      </c>
      <c r="H1223" s="119">
        <f t="shared" si="83"/>
        <v>0</v>
      </c>
      <c r="I1223" s="240" t="s">
        <v>1229</v>
      </c>
    </row>
    <row r="1224" spans="1:9" x14ac:dyDescent="0.25">
      <c r="A1224" s="230">
        <v>114258</v>
      </c>
      <c r="B1224" s="162" t="s">
        <v>1021</v>
      </c>
      <c r="C1224" s="162" t="s">
        <v>5</v>
      </c>
      <c r="D1224" s="162" t="s">
        <v>0</v>
      </c>
      <c r="E1224" s="231">
        <v>43804</v>
      </c>
      <c r="F1224" s="117">
        <v>1016.96</v>
      </c>
      <c r="G1224" s="117">
        <f>SUMIF(CONFERÊNCIA!A:A,A1224,CONFERÊNCIA!J:J)</f>
        <v>1016.96</v>
      </c>
      <c r="H1224" s="119">
        <f t="shared" si="83"/>
        <v>0</v>
      </c>
      <c r="I1224" s="240" t="s">
        <v>1229</v>
      </c>
    </row>
    <row r="1225" spans="1:9" x14ac:dyDescent="0.25">
      <c r="A1225" s="230">
        <v>113611</v>
      </c>
      <c r="B1225" s="162" t="s">
        <v>872</v>
      </c>
      <c r="C1225" s="162" t="s">
        <v>146</v>
      </c>
      <c r="D1225" s="162" t="s">
        <v>0</v>
      </c>
      <c r="E1225" s="231">
        <v>43617</v>
      </c>
      <c r="F1225" s="117">
        <v>1016.96</v>
      </c>
      <c r="G1225" s="117">
        <f>SUMIF(CONFERÊNCIA!A:A,A1225,CONFERÊNCIA!J:J)</f>
        <v>1016.96</v>
      </c>
      <c r="H1225" s="119">
        <f t="shared" si="83"/>
        <v>0</v>
      </c>
      <c r="I1225" s="240" t="s">
        <v>1229</v>
      </c>
    </row>
    <row r="1226" spans="1:9" x14ac:dyDescent="0.25">
      <c r="A1226" s="230">
        <v>112862</v>
      </c>
      <c r="B1226" s="162" t="s">
        <v>458</v>
      </c>
      <c r="C1226" s="162" t="s">
        <v>2</v>
      </c>
      <c r="D1226" s="162" t="s">
        <v>19</v>
      </c>
      <c r="E1226" s="231">
        <v>43617</v>
      </c>
      <c r="F1226" s="117">
        <v>1016.96</v>
      </c>
      <c r="G1226" s="117">
        <f>SUMIF(CONFERÊNCIA!A:A,A1226,CONFERÊNCIA!J:J)</f>
        <v>1016.96</v>
      </c>
      <c r="H1226" s="119">
        <f t="shared" si="83"/>
        <v>0</v>
      </c>
      <c r="I1226" s="240" t="s">
        <v>1229</v>
      </c>
    </row>
    <row r="1227" spans="1:9" x14ac:dyDescent="0.25">
      <c r="A1227" s="230">
        <v>112853</v>
      </c>
      <c r="B1227" s="162" t="s">
        <v>454</v>
      </c>
      <c r="C1227" s="162" t="s">
        <v>2</v>
      </c>
      <c r="D1227" s="162" t="s">
        <v>0</v>
      </c>
      <c r="E1227" s="231">
        <v>43617</v>
      </c>
      <c r="F1227" s="117">
        <v>1016.96</v>
      </c>
      <c r="G1227" s="117">
        <f>SUMIF(CONFERÊNCIA!A:A,A1227,CONFERÊNCIA!J:J)</f>
        <v>1016.96</v>
      </c>
      <c r="H1227" s="119">
        <f t="shared" si="83"/>
        <v>0</v>
      </c>
      <c r="I1227" s="240" t="s">
        <v>1229</v>
      </c>
    </row>
    <row r="1228" spans="1:9" x14ac:dyDescent="0.25">
      <c r="A1228" s="230">
        <v>122825</v>
      </c>
      <c r="B1228" s="162" t="s">
        <v>1727</v>
      </c>
      <c r="C1228" s="162" t="s">
        <v>5</v>
      </c>
      <c r="D1228" s="162" t="s">
        <v>8</v>
      </c>
      <c r="E1228" s="231">
        <v>45180</v>
      </c>
      <c r="F1228" s="117">
        <v>0</v>
      </c>
      <c r="G1228" s="117">
        <f>SUMIF(CONFERÊNCIA!A:A,A1228,CONFERÊNCIA!J:J)</f>
        <v>1016.96</v>
      </c>
      <c r="H1228" s="119">
        <f t="shared" si="83"/>
        <v>1016.96</v>
      </c>
      <c r="I1228" s="240" t="s">
        <v>1231</v>
      </c>
    </row>
    <row r="1229" spans="1:9" x14ac:dyDescent="0.25">
      <c r="A1229" s="230">
        <v>114093</v>
      </c>
      <c r="B1229" s="162" t="s">
        <v>1001</v>
      </c>
      <c r="C1229" s="162" t="s">
        <v>5</v>
      </c>
      <c r="D1229" s="162" t="s">
        <v>8</v>
      </c>
      <c r="E1229" s="231">
        <v>43728</v>
      </c>
      <c r="F1229" s="117">
        <v>1016.96</v>
      </c>
      <c r="G1229" s="117">
        <f>SUMIF(CONFERÊNCIA!A:A,A1229,CONFERÊNCIA!J:J)</f>
        <v>251.32</v>
      </c>
      <c r="H1229" s="119">
        <f t="shared" si="83"/>
        <v>-765.6400000000001</v>
      </c>
      <c r="I1229" s="240" t="s">
        <v>1229</v>
      </c>
    </row>
    <row r="1230" spans="1:9" x14ac:dyDescent="0.25">
      <c r="A1230" s="230">
        <v>112823</v>
      </c>
      <c r="B1230" s="162" t="s">
        <v>435</v>
      </c>
      <c r="C1230" s="162" t="s">
        <v>2</v>
      </c>
      <c r="D1230" s="162" t="s">
        <v>32</v>
      </c>
      <c r="E1230" s="231">
        <v>43617</v>
      </c>
      <c r="F1230" s="117">
        <v>1016.96</v>
      </c>
      <c r="G1230" s="117">
        <f>SUMIF(CONFERÊNCIA!A:A,A1230,CONFERÊNCIA!J:J)</f>
        <v>1016.96</v>
      </c>
      <c r="H1230" s="119">
        <f t="shared" si="83"/>
        <v>0</v>
      </c>
      <c r="I1230" s="240" t="s">
        <v>1229</v>
      </c>
    </row>
    <row r="1231" spans="1:9" x14ac:dyDescent="0.25">
      <c r="A1231" s="230">
        <v>112811</v>
      </c>
      <c r="B1231" s="162" t="s">
        <v>427</v>
      </c>
      <c r="C1231" s="162" t="s">
        <v>15</v>
      </c>
      <c r="D1231" s="162" t="s">
        <v>1578</v>
      </c>
      <c r="E1231" s="231">
        <v>43617</v>
      </c>
      <c r="F1231" s="117">
        <v>1016.96</v>
      </c>
      <c r="G1231" s="117">
        <f>SUMIF(CONFERÊNCIA!A:A,A1231,CONFERÊNCIA!J:J)</f>
        <v>1016.96</v>
      </c>
      <c r="H1231" s="119">
        <f t="shared" si="83"/>
        <v>0</v>
      </c>
      <c r="I1231" s="240" t="s">
        <v>1230</v>
      </c>
    </row>
    <row r="1232" spans="1:9" x14ac:dyDescent="0.25">
      <c r="A1232" s="230">
        <v>113733</v>
      </c>
      <c r="B1232" s="162" t="s">
        <v>946</v>
      </c>
      <c r="C1232" s="162" t="s">
        <v>947</v>
      </c>
      <c r="D1232" s="162" t="s">
        <v>1578</v>
      </c>
      <c r="E1232" s="231">
        <v>43619</v>
      </c>
      <c r="F1232" s="117">
        <v>1016.96</v>
      </c>
      <c r="G1232" s="117">
        <f>SUMIF(CONFERÊNCIA!A:A,A1232,CONFERÊNCIA!J:J)</f>
        <v>1016.96</v>
      </c>
      <c r="H1232" s="119">
        <f t="shared" si="83"/>
        <v>0</v>
      </c>
      <c r="I1232" s="240" t="s">
        <v>1229</v>
      </c>
    </row>
    <row r="1233" spans="1:9" x14ac:dyDescent="0.25">
      <c r="A1233" s="230">
        <v>114732</v>
      </c>
      <c r="B1233" s="162" t="s">
        <v>1081</v>
      </c>
      <c r="C1233" s="162" t="s">
        <v>2</v>
      </c>
      <c r="D1233" s="162" t="s">
        <v>0</v>
      </c>
      <c r="E1233" s="231">
        <v>43874</v>
      </c>
      <c r="F1233" s="117">
        <v>1016.96</v>
      </c>
      <c r="G1233" s="117">
        <f>SUMIF(CONFERÊNCIA!A:A,A1233,CONFERÊNCIA!J:J)</f>
        <v>1016.96</v>
      </c>
      <c r="H1233" s="119">
        <f t="shared" ref="H1233:H1268" si="84">G1233-F1233</f>
        <v>0</v>
      </c>
      <c r="I1233" s="240" t="s">
        <v>1229</v>
      </c>
    </row>
    <row r="1234" spans="1:9" x14ac:dyDescent="0.25">
      <c r="A1234" s="230">
        <v>112788</v>
      </c>
      <c r="B1234" s="162" t="s">
        <v>409</v>
      </c>
      <c r="C1234" s="162" t="s">
        <v>410</v>
      </c>
      <c r="D1234" s="162" t="s">
        <v>1578</v>
      </c>
      <c r="E1234" s="231">
        <v>43617</v>
      </c>
      <c r="F1234" s="117">
        <v>1016.96</v>
      </c>
      <c r="G1234" s="117">
        <f>SUMIF(CONFERÊNCIA!A:A,A1234,CONFERÊNCIA!J:J)</f>
        <v>1016.96</v>
      </c>
      <c r="H1234" s="119">
        <f t="shared" si="84"/>
        <v>0</v>
      </c>
      <c r="I1234" s="240" t="s">
        <v>1229</v>
      </c>
    </row>
    <row r="1235" spans="1:9" x14ac:dyDescent="0.25">
      <c r="A1235" s="230">
        <v>112778</v>
      </c>
      <c r="B1235" s="162" t="s">
        <v>401</v>
      </c>
      <c r="C1235" s="162" t="s">
        <v>2</v>
      </c>
      <c r="D1235" s="162" t="s">
        <v>8</v>
      </c>
      <c r="E1235" s="231">
        <v>43617</v>
      </c>
      <c r="F1235" s="117">
        <v>1016.96</v>
      </c>
      <c r="G1235" s="117">
        <f>SUMIF(CONFERÊNCIA!A:A,A1235,CONFERÊNCIA!J:J)</f>
        <v>1016.96</v>
      </c>
      <c r="H1235" s="119">
        <f t="shared" si="84"/>
        <v>0</v>
      </c>
      <c r="I1235" s="240" t="s">
        <v>1229</v>
      </c>
    </row>
    <row r="1236" spans="1:9" x14ac:dyDescent="0.25">
      <c r="A1236" s="230">
        <v>112769</v>
      </c>
      <c r="B1236" s="162" t="s">
        <v>395</v>
      </c>
      <c r="C1236" s="162" t="s">
        <v>15</v>
      </c>
      <c r="D1236" s="162" t="s">
        <v>1578</v>
      </c>
      <c r="E1236" s="231">
        <v>43617</v>
      </c>
      <c r="F1236" s="117">
        <v>1016.96</v>
      </c>
      <c r="G1236" s="117">
        <f>SUMIF(CONFERÊNCIA!A:A,A1236,CONFERÊNCIA!J:J)</f>
        <v>1016.96</v>
      </c>
      <c r="H1236" s="119">
        <f t="shared" si="84"/>
        <v>0</v>
      </c>
      <c r="I1236" s="240" t="s">
        <v>1229</v>
      </c>
    </row>
    <row r="1237" spans="1:9" x14ac:dyDescent="0.25">
      <c r="A1237" s="230">
        <v>116132</v>
      </c>
      <c r="B1237" s="162" t="s">
        <v>1186</v>
      </c>
      <c r="C1237" s="162" t="s">
        <v>15</v>
      </c>
      <c r="D1237" s="162" t="s">
        <v>1578</v>
      </c>
      <c r="E1237" s="231">
        <v>44249</v>
      </c>
      <c r="F1237" s="117">
        <v>1016.96</v>
      </c>
      <c r="G1237" s="117">
        <f>SUMIF(CONFERÊNCIA!A:A,A1237,CONFERÊNCIA!J:J)</f>
        <v>1016.96</v>
      </c>
      <c r="H1237" s="119">
        <f t="shared" si="84"/>
        <v>0</v>
      </c>
      <c r="I1237" s="240" t="s">
        <v>1229</v>
      </c>
    </row>
    <row r="1238" spans="1:9" x14ac:dyDescent="0.25">
      <c r="A1238" s="230">
        <v>112754</v>
      </c>
      <c r="B1238" s="162" t="s">
        <v>385</v>
      </c>
      <c r="C1238" s="162" t="s">
        <v>2</v>
      </c>
      <c r="D1238" s="162" t="s">
        <v>8</v>
      </c>
      <c r="E1238" s="231">
        <v>43617</v>
      </c>
      <c r="F1238" s="117">
        <v>1016.96</v>
      </c>
      <c r="G1238" s="117">
        <f>SUMIF(CONFERÊNCIA!A:A,A1238,CONFERÊNCIA!J:J)</f>
        <v>1016.96</v>
      </c>
      <c r="H1238" s="119">
        <f t="shared" si="84"/>
        <v>0</v>
      </c>
      <c r="I1238" s="240" t="s">
        <v>1229</v>
      </c>
    </row>
    <row r="1239" spans="1:9" x14ac:dyDescent="0.25">
      <c r="A1239" s="230">
        <v>113723</v>
      </c>
      <c r="B1239" s="162" t="s">
        <v>937</v>
      </c>
      <c r="C1239" s="162" t="s">
        <v>938</v>
      </c>
      <c r="D1239" s="162" t="s">
        <v>1578</v>
      </c>
      <c r="E1239" s="231">
        <v>43619</v>
      </c>
      <c r="F1239" s="117">
        <v>1016.96</v>
      </c>
      <c r="G1239" s="117">
        <f>SUMIF(CONFERÊNCIA!A:A,A1239,CONFERÊNCIA!J:J)</f>
        <v>1016.96</v>
      </c>
      <c r="H1239" s="119">
        <f t="shared" si="84"/>
        <v>0</v>
      </c>
      <c r="I1239" s="240" t="s">
        <v>1229</v>
      </c>
    </row>
    <row r="1240" spans="1:9" x14ac:dyDescent="0.25">
      <c r="A1240" s="230">
        <v>117241</v>
      </c>
      <c r="B1240" s="162" t="s">
        <v>1257</v>
      </c>
      <c r="C1240" s="162" t="s">
        <v>5</v>
      </c>
      <c r="D1240" s="162" t="s">
        <v>19</v>
      </c>
      <c r="E1240" s="231">
        <v>44487</v>
      </c>
      <c r="F1240" s="117">
        <v>1016.96</v>
      </c>
      <c r="G1240" s="117">
        <f>SUMIF(CONFERÊNCIA!A:A,A1240,CONFERÊNCIA!J:J)</f>
        <v>1016.96</v>
      </c>
      <c r="H1240" s="119">
        <f t="shared" si="84"/>
        <v>0</v>
      </c>
      <c r="I1240" s="240" t="s">
        <v>1229</v>
      </c>
    </row>
    <row r="1241" spans="1:9" x14ac:dyDescent="0.25">
      <c r="A1241" s="230">
        <v>112747</v>
      </c>
      <c r="B1241" s="162" t="s">
        <v>380</v>
      </c>
      <c r="C1241" s="162" t="s">
        <v>22</v>
      </c>
      <c r="D1241" s="162" t="s">
        <v>1578</v>
      </c>
      <c r="E1241" s="231">
        <v>43617</v>
      </c>
      <c r="F1241" s="117">
        <v>1016.96</v>
      </c>
      <c r="G1241" s="117">
        <f>SUMIF(CONFERÊNCIA!A:A,A1241,CONFERÊNCIA!J:J)</f>
        <v>1016.96</v>
      </c>
      <c r="H1241" s="119">
        <f t="shared" si="84"/>
        <v>0</v>
      </c>
      <c r="I1241" s="240" t="s">
        <v>1229</v>
      </c>
    </row>
    <row r="1242" spans="1:9" x14ac:dyDescent="0.25">
      <c r="A1242" s="230">
        <v>112741</v>
      </c>
      <c r="B1242" s="162" t="s">
        <v>375</v>
      </c>
      <c r="C1242" s="162" t="s">
        <v>2</v>
      </c>
      <c r="D1242" s="162" t="s">
        <v>8</v>
      </c>
      <c r="E1242" s="231">
        <v>43617</v>
      </c>
      <c r="F1242" s="117">
        <v>1016.96</v>
      </c>
      <c r="G1242" s="117">
        <f>SUMIF(CONFERÊNCIA!A:A,A1242,CONFERÊNCIA!J:J)</f>
        <v>1016.96</v>
      </c>
      <c r="H1242" s="119">
        <f t="shared" si="84"/>
        <v>0</v>
      </c>
      <c r="I1242" s="240" t="s">
        <v>1229</v>
      </c>
    </row>
    <row r="1243" spans="1:9" x14ac:dyDescent="0.25">
      <c r="A1243" s="230">
        <v>120355</v>
      </c>
      <c r="B1243" s="162" t="s">
        <v>1505</v>
      </c>
      <c r="C1243" s="162" t="s">
        <v>5</v>
      </c>
      <c r="D1243" s="162" t="s">
        <v>0</v>
      </c>
      <c r="E1243" s="231">
        <v>44820</v>
      </c>
      <c r="F1243" s="117">
        <v>1016.96</v>
      </c>
      <c r="G1243" s="117">
        <f>SUMIF(CONFERÊNCIA!A:A,A1243,CONFERÊNCIA!J:J)</f>
        <v>1016.96</v>
      </c>
      <c r="H1243" s="119">
        <f t="shared" si="84"/>
        <v>0</v>
      </c>
      <c r="I1243" s="240" t="s">
        <v>1229</v>
      </c>
    </row>
    <row r="1244" spans="1:9" x14ac:dyDescent="0.25">
      <c r="A1244" s="230">
        <v>119933</v>
      </c>
      <c r="B1244" s="162" t="s">
        <v>1484</v>
      </c>
      <c r="C1244" s="162" t="s">
        <v>5</v>
      </c>
      <c r="D1244" s="162" t="s">
        <v>32</v>
      </c>
      <c r="E1244" s="231">
        <v>44760</v>
      </c>
      <c r="F1244" s="117">
        <v>1016.96</v>
      </c>
      <c r="G1244" s="117">
        <f>SUMIF(CONFERÊNCIA!A:A,A1244,CONFERÊNCIA!J:J)</f>
        <v>0</v>
      </c>
      <c r="H1244" s="119">
        <f t="shared" si="84"/>
        <v>-1016.96</v>
      </c>
      <c r="I1244" s="240" t="s">
        <v>1287</v>
      </c>
    </row>
    <row r="1245" spans="1:9" x14ac:dyDescent="0.25">
      <c r="A1245" s="230">
        <v>112458</v>
      </c>
      <c r="B1245" s="162" t="s">
        <v>194</v>
      </c>
      <c r="C1245" s="162" t="s">
        <v>5</v>
      </c>
      <c r="D1245" s="162" t="s">
        <v>0</v>
      </c>
      <c r="E1245" s="231">
        <v>43617</v>
      </c>
      <c r="F1245" s="117">
        <v>1016.96</v>
      </c>
      <c r="G1245" s="117">
        <f>SUMIF(CONFERÊNCIA!A:A,A1245,CONFERÊNCIA!J:J)</f>
        <v>1016.96</v>
      </c>
      <c r="H1245" s="119">
        <f t="shared" si="84"/>
        <v>0</v>
      </c>
      <c r="I1245" s="240" t="s">
        <v>1229</v>
      </c>
    </row>
    <row r="1246" spans="1:9" x14ac:dyDescent="0.25">
      <c r="A1246" s="230">
        <v>115379</v>
      </c>
      <c r="B1246" s="162" t="s">
        <v>1266</v>
      </c>
      <c r="C1246" s="162" t="s">
        <v>5</v>
      </c>
      <c r="D1246" s="162" t="s">
        <v>32</v>
      </c>
      <c r="E1246" s="231">
        <v>44046</v>
      </c>
      <c r="F1246" s="117">
        <v>1016.96</v>
      </c>
      <c r="G1246" s="117">
        <f>SUMIF(CONFERÊNCIA!A:A,A1246,CONFERÊNCIA!J:J)</f>
        <v>1016.96</v>
      </c>
      <c r="H1246" s="119">
        <f t="shared" si="84"/>
        <v>0</v>
      </c>
      <c r="I1246" s="240" t="s">
        <v>1229</v>
      </c>
    </row>
    <row r="1247" spans="1:9" x14ac:dyDescent="0.25">
      <c r="A1247" s="230">
        <v>112448</v>
      </c>
      <c r="B1247" s="162" t="s">
        <v>187</v>
      </c>
      <c r="C1247" s="162" t="s">
        <v>2</v>
      </c>
      <c r="D1247" s="162" t="s">
        <v>19</v>
      </c>
      <c r="E1247" s="231">
        <v>43617</v>
      </c>
      <c r="F1247" s="117">
        <v>1016.96</v>
      </c>
      <c r="G1247" s="117">
        <f>SUMIF(CONFERÊNCIA!A:A,A1247,CONFERÊNCIA!J:J)</f>
        <v>1016.96</v>
      </c>
      <c r="H1247" s="119">
        <f t="shared" si="84"/>
        <v>0</v>
      </c>
      <c r="I1247" s="240" t="s">
        <v>1229</v>
      </c>
    </row>
    <row r="1248" spans="1:9" x14ac:dyDescent="0.25">
      <c r="A1248" s="230">
        <v>119117</v>
      </c>
      <c r="B1248" s="162" t="s">
        <v>1442</v>
      </c>
      <c r="C1248" s="162" t="s">
        <v>5</v>
      </c>
      <c r="D1248" s="162" t="s">
        <v>19</v>
      </c>
      <c r="E1248" s="231">
        <v>44630</v>
      </c>
      <c r="F1248" s="117">
        <v>1016.96</v>
      </c>
      <c r="G1248" s="117">
        <f>SUMIF(CONFERÊNCIA!A:A,A1248,CONFERÊNCIA!J:J)</f>
        <v>1016.96</v>
      </c>
      <c r="H1248" s="119">
        <f t="shared" si="84"/>
        <v>0</v>
      </c>
      <c r="I1248" s="240" t="s">
        <v>1229</v>
      </c>
    </row>
    <row r="1249" spans="1:9" x14ac:dyDescent="0.25">
      <c r="A1249" s="230">
        <v>112440</v>
      </c>
      <c r="B1249" s="162" t="s">
        <v>181</v>
      </c>
      <c r="C1249" s="162" t="s">
        <v>182</v>
      </c>
      <c r="D1249" s="162" t="s">
        <v>32</v>
      </c>
      <c r="E1249" s="231">
        <v>43617</v>
      </c>
      <c r="F1249" s="117">
        <v>1016.96</v>
      </c>
      <c r="G1249" s="117">
        <f>SUMIF(CONFERÊNCIA!A:A,A1249,CONFERÊNCIA!J:J)</f>
        <v>1016.96</v>
      </c>
      <c r="H1249" s="119">
        <f t="shared" si="84"/>
        <v>0</v>
      </c>
      <c r="I1249" s="240" t="s">
        <v>1229</v>
      </c>
    </row>
    <row r="1250" spans="1:9" x14ac:dyDescent="0.25">
      <c r="A1250" s="230">
        <v>116110</v>
      </c>
      <c r="B1250" s="162" t="s">
        <v>1183</v>
      </c>
      <c r="C1250" s="162" t="s">
        <v>15</v>
      </c>
      <c r="D1250" s="162" t="s">
        <v>1578</v>
      </c>
      <c r="E1250" s="231">
        <v>44236</v>
      </c>
      <c r="F1250" s="117">
        <v>1016.96</v>
      </c>
      <c r="G1250" s="117">
        <f>SUMIF(CONFERÊNCIA!A:A,A1250,CONFERÊNCIA!J:J)</f>
        <v>1016.96</v>
      </c>
      <c r="H1250" s="119">
        <f t="shared" si="84"/>
        <v>0</v>
      </c>
      <c r="I1250" s="240" t="s">
        <v>1229</v>
      </c>
    </row>
    <row r="1251" spans="1:9" x14ac:dyDescent="0.25">
      <c r="A1251" s="230">
        <v>114454</v>
      </c>
      <c r="B1251" s="162" t="s">
        <v>1037</v>
      </c>
      <c r="C1251" s="162" t="s">
        <v>5</v>
      </c>
      <c r="D1251" s="162" t="s">
        <v>0</v>
      </c>
      <c r="E1251" s="231">
        <v>43811</v>
      </c>
      <c r="F1251" s="117">
        <v>1016.96</v>
      </c>
      <c r="G1251" s="117">
        <f>SUMIF(CONFERÊNCIA!A:A,A1251,CONFERÊNCIA!J:J)</f>
        <v>1016.96</v>
      </c>
      <c r="H1251" s="119">
        <f t="shared" si="84"/>
        <v>0</v>
      </c>
      <c r="I1251" s="240" t="s">
        <v>1230</v>
      </c>
    </row>
    <row r="1252" spans="1:9" x14ac:dyDescent="0.25">
      <c r="A1252" s="230">
        <v>114937</v>
      </c>
      <c r="B1252" s="162" t="s">
        <v>1117</v>
      </c>
      <c r="C1252" s="162" t="s">
        <v>5</v>
      </c>
      <c r="D1252" s="162" t="s">
        <v>1578</v>
      </c>
      <c r="E1252" s="231">
        <v>43916</v>
      </c>
      <c r="F1252" s="117">
        <v>902.11</v>
      </c>
      <c r="G1252" s="117">
        <f>SUMIF(CONFERÊNCIA!A:A,A1252,CONFERÊNCIA!J:J)</f>
        <v>825.55</v>
      </c>
      <c r="H1252" s="119">
        <f t="shared" si="84"/>
        <v>-76.560000000000059</v>
      </c>
      <c r="I1252" s="240" t="s">
        <v>1229</v>
      </c>
    </row>
    <row r="1253" spans="1:9" x14ac:dyDescent="0.25">
      <c r="A1253" s="230">
        <v>112414</v>
      </c>
      <c r="B1253" s="162" t="s">
        <v>165</v>
      </c>
      <c r="C1253" s="162" t="s">
        <v>15</v>
      </c>
      <c r="D1253" s="162" t="s">
        <v>1578</v>
      </c>
      <c r="E1253" s="231">
        <v>43617</v>
      </c>
      <c r="F1253" s="117">
        <v>1016.96</v>
      </c>
      <c r="G1253" s="117">
        <f>SUMIF(CONFERÊNCIA!A:A,A1253,CONFERÊNCIA!J:J)</f>
        <v>1016.96</v>
      </c>
      <c r="H1253" s="119">
        <f t="shared" si="84"/>
        <v>0</v>
      </c>
      <c r="I1253" s="240" t="s">
        <v>1229</v>
      </c>
    </row>
    <row r="1254" spans="1:9" x14ac:dyDescent="0.25">
      <c r="A1254" s="230">
        <v>112403</v>
      </c>
      <c r="B1254" s="162" t="s">
        <v>159</v>
      </c>
      <c r="C1254" s="162" t="s">
        <v>2</v>
      </c>
      <c r="D1254" s="162" t="s">
        <v>0</v>
      </c>
      <c r="E1254" s="231">
        <v>43617</v>
      </c>
      <c r="F1254" s="117">
        <v>1016.96</v>
      </c>
      <c r="G1254" s="117">
        <f>SUMIF(CONFERÊNCIA!A:A,A1254,CONFERÊNCIA!J:J)</f>
        <v>1016.96</v>
      </c>
      <c r="H1254" s="119">
        <f t="shared" si="84"/>
        <v>0</v>
      </c>
      <c r="I1254" s="240" t="s">
        <v>1229</v>
      </c>
    </row>
    <row r="1255" spans="1:9" x14ac:dyDescent="0.25">
      <c r="A1255" s="230">
        <v>112398</v>
      </c>
      <c r="B1255" s="162" t="s">
        <v>154</v>
      </c>
      <c r="C1255" s="162" t="s">
        <v>2</v>
      </c>
      <c r="D1255" s="162" t="s">
        <v>10</v>
      </c>
      <c r="E1255" s="231">
        <v>43617</v>
      </c>
      <c r="F1255" s="117">
        <v>1016.96</v>
      </c>
      <c r="G1255" s="117">
        <f>SUMIF(CONFERÊNCIA!A:A,A1255,CONFERÊNCIA!J:J)</f>
        <v>1016.96</v>
      </c>
      <c r="H1255" s="119">
        <f t="shared" si="84"/>
        <v>0</v>
      </c>
      <c r="I1255" s="240" t="s">
        <v>1229</v>
      </c>
    </row>
    <row r="1256" spans="1:9" x14ac:dyDescent="0.25">
      <c r="A1256" s="230">
        <v>120188</v>
      </c>
      <c r="B1256" s="162" t="s">
        <v>1498</v>
      </c>
      <c r="C1256" s="162" t="s">
        <v>5</v>
      </c>
      <c r="D1256" s="162" t="s">
        <v>19</v>
      </c>
      <c r="E1256" s="231">
        <v>44791</v>
      </c>
      <c r="F1256" s="117">
        <v>1016.96</v>
      </c>
      <c r="G1256" s="117">
        <f>SUMIF(CONFERÊNCIA!A:A,A1256,CONFERÊNCIA!J:J)</f>
        <v>1016.96</v>
      </c>
      <c r="H1256" s="119">
        <f t="shared" si="84"/>
        <v>0</v>
      </c>
      <c r="I1256" s="240" t="s">
        <v>1229</v>
      </c>
    </row>
    <row r="1257" spans="1:9" x14ac:dyDescent="0.25">
      <c r="A1257" s="230">
        <v>112301</v>
      </c>
      <c r="B1257" s="162" t="s">
        <v>98</v>
      </c>
      <c r="C1257" s="162" t="s">
        <v>5</v>
      </c>
      <c r="D1257" s="162" t="s">
        <v>19</v>
      </c>
      <c r="E1257" s="231">
        <v>43617</v>
      </c>
      <c r="F1257" s="117">
        <v>1016.96</v>
      </c>
      <c r="G1257" s="117">
        <f>SUMIF(CONFERÊNCIA!A:A,A1257,CONFERÊNCIA!J:J)</f>
        <v>1016.96</v>
      </c>
      <c r="H1257" s="119">
        <f t="shared" si="84"/>
        <v>0</v>
      </c>
      <c r="I1257" s="240" t="s">
        <v>1229</v>
      </c>
    </row>
    <row r="1258" spans="1:9" x14ac:dyDescent="0.25">
      <c r="A1258" s="230">
        <v>112172</v>
      </c>
      <c r="B1258" s="162" t="s">
        <v>6</v>
      </c>
      <c r="C1258" s="162" t="s">
        <v>7</v>
      </c>
      <c r="D1258" s="162" t="s">
        <v>10</v>
      </c>
      <c r="E1258" s="231">
        <v>43617</v>
      </c>
      <c r="F1258" s="117">
        <v>1016.96</v>
      </c>
      <c r="G1258" s="117">
        <f>SUMIF(CONFERÊNCIA!A:A,A1258,CONFERÊNCIA!J:J)</f>
        <v>1016.96</v>
      </c>
      <c r="H1258" s="119">
        <f t="shared" si="84"/>
        <v>0</v>
      </c>
      <c r="I1258" s="240" t="s">
        <v>1229</v>
      </c>
    </row>
    <row r="1259" spans="1:9" x14ac:dyDescent="0.25">
      <c r="A1259" s="230">
        <v>112196</v>
      </c>
      <c r="B1259" s="162" t="s">
        <v>27</v>
      </c>
      <c r="C1259" s="162" t="s">
        <v>5</v>
      </c>
      <c r="D1259" s="162" t="s">
        <v>19</v>
      </c>
      <c r="E1259" s="231">
        <v>43617</v>
      </c>
      <c r="F1259" s="117">
        <v>1016.96</v>
      </c>
      <c r="G1259" s="117">
        <f>SUMIF(CONFERÊNCIA!A:A,A1259,CONFERÊNCIA!J:J)</f>
        <v>1016.96</v>
      </c>
      <c r="H1259" s="119">
        <f t="shared" si="84"/>
        <v>0</v>
      </c>
      <c r="I1259" s="240" t="s">
        <v>1229</v>
      </c>
    </row>
    <row r="1260" spans="1:9" x14ac:dyDescent="0.25">
      <c r="A1260" s="230">
        <v>112199</v>
      </c>
      <c r="B1260" s="162" t="s">
        <v>29</v>
      </c>
      <c r="C1260" s="162" t="s">
        <v>5</v>
      </c>
      <c r="D1260" s="162" t="s">
        <v>19</v>
      </c>
      <c r="E1260" s="231">
        <v>43617</v>
      </c>
      <c r="F1260" s="117">
        <v>1016.96</v>
      </c>
      <c r="G1260" s="117">
        <f>SUMIF(CONFERÊNCIA!A:A,A1260,CONFERÊNCIA!J:J)</f>
        <v>1016.96</v>
      </c>
      <c r="H1260" s="119">
        <f t="shared" si="84"/>
        <v>0</v>
      </c>
      <c r="I1260" s="240" t="s">
        <v>1229</v>
      </c>
    </row>
    <row r="1261" spans="1:9" x14ac:dyDescent="0.25">
      <c r="A1261" s="230">
        <v>114256</v>
      </c>
      <c r="B1261" s="162" t="s">
        <v>1020</v>
      </c>
      <c r="C1261" s="162" t="s">
        <v>377</v>
      </c>
      <c r="D1261" s="162" t="s">
        <v>1578</v>
      </c>
      <c r="E1261" s="231">
        <v>43804</v>
      </c>
      <c r="F1261" s="117">
        <v>1016.96</v>
      </c>
      <c r="G1261" s="117">
        <f>SUMIF(CONFERÊNCIA!A:A,A1261,CONFERÊNCIA!J:J)</f>
        <v>1016.96</v>
      </c>
      <c r="H1261" s="119">
        <f t="shared" si="84"/>
        <v>0</v>
      </c>
      <c r="I1261" s="240" t="s">
        <v>1229</v>
      </c>
    </row>
    <row r="1262" spans="1:9" x14ac:dyDescent="0.25">
      <c r="A1262" s="230">
        <v>112202</v>
      </c>
      <c r="B1262" s="162" t="s">
        <v>31</v>
      </c>
      <c r="C1262" s="162" t="s">
        <v>5</v>
      </c>
      <c r="D1262" s="162" t="s">
        <v>19</v>
      </c>
      <c r="E1262" s="231">
        <v>43617</v>
      </c>
      <c r="F1262" s="117">
        <v>1016.96</v>
      </c>
      <c r="G1262" s="117">
        <f>SUMIF(CONFERÊNCIA!A:A,A1262,CONFERÊNCIA!J:J)</f>
        <v>1016.96</v>
      </c>
      <c r="H1262" s="119">
        <f t="shared" si="84"/>
        <v>0</v>
      </c>
      <c r="I1262" s="240" t="s">
        <v>1229</v>
      </c>
    </row>
    <row r="1263" spans="1:9" x14ac:dyDescent="0.25">
      <c r="A1263" s="230">
        <v>114958</v>
      </c>
      <c r="B1263" s="162" t="s">
        <v>1127</v>
      </c>
      <c r="C1263" s="162" t="s">
        <v>15</v>
      </c>
      <c r="D1263" s="162" t="s">
        <v>1578</v>
      </c>
      <c r="E1263" s="231">
        <v>43916</v>
      </c>
      <c r="F1263" s="117">
        <v>1016.96</v>
      </c>
      <c r="G1263" s="117">
        <f>SUMIF(CONFERÊNCIA!A:A,A1263,CONFERÊNCIA!J:J)</f>
        <v>1016.96</v>
      </c>
      <c r="H1263" s="119">
        <f t="shared" si="84"/>
        <v>0</v>
      </c>
      <c r="I1263" s="240" t="s">
        <v>1229</v>
      </c>
    </row>
    <row r="1264" spans="1:9" x14ac:dyDescent="0.25">
      <c r="A1264" s="230">
        <v>112639</v>
      </c>
      <c r="B1264" s="162" t="s">
        <v>210</v>
      </c>
      <c r="C1264" s="162" t="s">
        <v>2</v>
      </c>
      <c r="D1264" s="162" t="s">
        <v>0</v>
      </c>
      <c r="E1264" s="231">
        <v>43617</v>
      </c>
      <c r="F1264" s="117">
        <v>1016.96</v>
      </c>
      <c r="G1264" s="117">
        <f>SUMIF(CONFERÊNCIA!A:A,A1264,CONFERÊNCIA!J:J)</f>
        <v>1016.96</v>
      </c>
      <c r="H1264" s="119">
        <f t="shared" si="84"/>
        <v>0</v>
      </c>
      <c r="I1264" s="240" t="s">
        <v>1229</v>
      </c>
    </row>
    <row r="1265" spans="1:9" x14ac:dyDescent="0.25">
      <c r="A1265" s="230">
        <v>112257</v>
      </c>
      <c r="B1265" s="162" t="s">
        <v>68</v>
      </c>
      <c r="C1265" s="162" t="s">
        <v>2</v>
      </c>
      <c r="D1265" s="162" t="s">
        <v>19</v>
      </c>
      <c r="E1265" s="231">
        <v>43617</v>
      </c>
      <c r="F1265" s="117">
        <v>1016.96</v>
      </c>
      <c r="G1265" s="117">
        <f>SUMIF(CONFERÊNCIA!A:A,A1265,CONFERÊNCIA!J:J)</f>
        <v>1016.96</v>
      </c>
      <c r="H1265" s="119">
        <f t="shared" si="84"/>
        <v>0</v>
      </c>
      <c r="I1265" s="240" t="s">
        <v>1229</v>
      </c>
    </row>
    <row r="1266" spans="1:9" x14ac:dyDescent="0.25">
      <c r="A1266" s="230">
        <v>112261</v>
      </c>
      <c r="B1266" s="162" t="s">
        <v>71</v>
      </c>
      <c r="C1266" s="162" t="s">
        <v>2</v>
      </c>
      <c r="D1266" s="162" t="s">
        <v>10</v>
      </c>
      <c r="E1266" s="231">
        <v>43617</v>
      </c>
      <c r="F1266" s="117">
        <v>1016.96</v>
      </c>
      <c r="G1266" s="117">
        <f>SUMIF(CONFERÊNCIA!A:A,A1266,CONFERÊNCIA!J:J)</f>
        <v>1016.96</v>
      </c>
      <c r="H1266" s="119">
        <f t="shared" si="84"/>
        <v>0</v>
      </c>
      <c r="I1266" s="240" t="s">
        <v>1229</v>
      </c>
    </row>
    <row r="1267" spans="1:9" x14ac:dyDescent="0.25">
      <c r="A1267" s="230">
        <v>112263</v>
      </c>
      <c r="B1267" s="162" t="s">
        <v>73</v>
      </c>
      <c r="C1267" s="162" t="s">
        <v>2</v>
      </c>
      <c r="D1267" s="162" t="s">
        <v>10</v>
      </c>
      <c r="E1267" s="231">
        <v>43617</v>
      </c>
      <c r="F1267" s="117">
        <v>1016.96</v>
      </c>
      <c r="G1267" s="117">
        <f>SUMIF(CONFERÊNCIA!A:A,A1267,CONFERÊNCIA!J:J)</f>
        <v>1016.96</v>
      </c>
      <c r="H1267" s="119">
        <f t="shared" si="84"/>
        <v>0</v>
      </c>
      <c r="I1267" s="240" t="s">
        <v>1229</v>
      </c>
    </row>
    <row r="1268" spans="1:9" x14ac:dyDescent="0.25">
      <c r="A1268" s="230">
        <v>112381</v>
      </c>
      <c r="B1268" s="162" t="s">
        <v>144</v>
      </c>
      <c r="C1268" s="162" t="s">
        <v>22</v>
      </c>
      <c r="D1268" s="162" t="s">
        <v>1578</v>
      </c>
      <c r="E1268" s="231">
        <v>43617</v>
      </c>
      <c r="F1268" s="117">
        <v>1016.96</v>
      </c>
      <c r="G1268" s="117">
        <f>SUMIF(CONFERÊNCIA!A:A,A1268,CONFERÊNCIA!J:J)</f>
        <v>1016.96</v>
      </c>
      <c r="H1268" s="119">
        <f t="shared" si="84"/>
        <v>0</v>
      </c>
      <c r="I1268" s="240" t="s">
        <v>1229</v>
      </c>
    </row>
    <row r="1269" spans="1:9" x14ac:dyDescent="0.25">
      <c r="A1269" s="230">
        <v>112383</v>
      </c>
      <c r="B1269" s="162" t="s">
        <v>147</v>
      </c>
      <c r="C1269" s="162" t="s">
        <v>2</v>
      </c>
      <c r="D1269" s="162" t="s">
        <v>8</v>
      </c>
      <c r="E1269" s="231">
        <v>43617</v>
      </c>
      <c r="F1269" s="117">
        <v>1016.96</v>
      </c>
      <c r="G1269" s="117">
        <f>SUMIF(CONFERÊNCIA!A:A,A1269,CONFERÊNCIA!J:J)</f>
        <v>1016.96</v>
      </c>
      <c r="H1269" s="119">
        <f t="shared" ref="H1269:H1303" si="85">G1269-F1269</f>
        <v>0</v>
      </c>
      <c r="I1269" s="240" t="s">
        <v>1229</v>
      </c>
    </row>
    <row r="1270" spans="1:9" x14ac:dyDescent="0.25">
      <c r="A1270" s="230">
        <v>117408</v>
      </c>
      <c r="B1270" s="162" t="s">
        <v>1270</v>
      </c>
      <c r="C1270" s="162" t="s">
        <v>2</v>
      </c>
      <c r="D1270" s="162" t="s">
        <v>8</v>
      </c>
      <c r="E1270" s="231">
        <v>44522</v>
      </c>
      <c r="F1270" s="117">
        <v>1016.96</v>
      </c>
      <c r="G1270" s="117">
        <f>SUMIF(CONFERÊNCIA!A:A,A1270,CONFERÊNCIA!J:J)</f>
        <v>1016.96</v>
      </c>
      <c r="H1270" s="119">
        <f t="shared" si="85"/>
        <v>0</v>
      </c>
      <c r="I1270" s="240" t="s">
        <v>1229</v>
      </c>
    </row>
    <row r="1271" spans="1:9" x14ac:dyDescent="0.25">
      <c r="A1271" s="230">
        <v>119929</v>
      </c>
      <c r="B1271" s="162" t="s">
        <v>1485</v>
      </c>
      <c r="C1271" s="162" t="s">
        <v>5</v>
      </c>
      <c r="D1271" s="162" t="s">
        <v>0</v>
      </c>
      <c r="E1271" s="231">
        <v>44760</v>
      </c>
      <c r="F1271" s="117">
        <v>978.67000000000007</v>
      </c>
      <c r="G1271" s="117">
        <f>SUMIF(CONFERÊNCIA!A:A,A1271,CONFERÊNCIA!J:J)</f>
        <v>1055.25</v>
      </c>
      <c r="H1271" s="119">
        <f t="shared" si="85"/>
        <v>76.579999999999927</v>
      </c>
      <c r="I1271" s="240" t="s">
        <v>1230</v>
      </c>
    </row>
    <row r="1272" spans="1:9" x14ac:dyDescent="0.25">
      <c r="A1272" s="230">
        <v>114125</v>
      </c>
      <c r="B1272" s="162" t="s">
        <v>1012</v>
      </c>
      <c r="C1272" s="162" t="s">
        <v>2</v>
      </c>
      <c r="D1272" s="162" t="s">
        <v>0</v>
      </c>
      <c r="E1272" s="231">
        <v>43739</v>
      </c>
      <c r="F1272" s="117">
        <v>1016.96</v>
      </c>
      <c r="G1272" s="117">
        <f>SUMIF(CONFERÊNCIA!A:A,A1272,CONFERÊNCIA!J:J)</f>
        <v>1016.96</v>
      </c>
      <c r="H1272" s="119">
        <f t="shared" si="85"/>
        <v>0</v>
      </c>
      <c r="I1272" s="240" t="s">
        <v>1229</v>
      </c>
    </row>
    <row r="1273" spans="1:9" x14ac:dyDescent="0.25">
      <c r="A1273" s="230">
        <v>112666</v>
      </c>
      <c r="B1273" s="162" t="s">
        <v>327</v>
      </c>
      <c r="C1273" s="162" t="s">
        <v>15</v>
      </c>
      <c r="D1273" s="162" t="s">
        <v>1578</v>
      </c>
      <c r="E1273" s="231">
        <v>43617</v>
      </c>
      <c r="F1273" s="117">
        <v>1016.96</v>
      </c>
      <c r="G1273" s="117">
        <f>SUMIF(CONFERÊNCIA!A:A,A1273,CONFERÊNCIA!J:J)</f>
        <v>1016.96</v>
      </c>
      <c r="H1273" s="119">
        <f t="shared" si="85"/>
        <v>0</v>
      </c>
      <c r="I1273" s="240" t="s">
        <v>1230</v>
      </c>
    </row>
    <row r="1274" spans="1:9" x14ac:dyDescent="0.25">
      <c r="A1274" s="230">
        <v>112990</v>
      </c>
      <c r="B1274" s="162" t="s">
        <v>533</v>
      </c>
      <c r="C1274" s="162" t="s">
        <v>15</v>
      </c>
      <c r="D1274" s="162" t="s">
        <v>1578</v>
      </c>
      <c r="E1274" s="231">
        <v>43617</v>
      </c>
      <c r="F1274" s="117">
        <v>1016.96</v>
      </c>
      <c r="G1274" s="117">
        <f>SUMIF(CONFERÊNCIA!A:A,A1274,CONFERÊNCIA!J:J)</f>
        <v>1016.96</v>
      </c>
      <c r="H1274" s="119">
        <f t="shared" si="85"/>
        <v>0</v>
      </c>
      <c r="I1274" s="240" t="s">
        <v>1229</v>
      </c>
    </row>
    <row r="1275" spans="1:9" x14ac:dyDescent="0.25">
      <c r="A1275" s="230">
        <v>114955</v>
      </c>
      <c r="B1275" s="162" t="s">
        <v>1126</v>
      </c>
      <c r="C1275" s="162" t="s">
        <v>15</v>
      </c>
      <c r="D1275" s="162" t="s">
        <v>1578</v>
      </c>
      <c r="E1275" s="231">
        <v>43916</v>
      </c>
      <c r="F1275" s="117">
        <v>1016.96</v>
      </c>
      <c r="G1275" s="117">
        <f>SUMIF(CONFERÊNCIA!A:A,A1275,CONFERÊNCIA!J:J)</f>
        <v>1016.96</v>
      </c>
      <c r="H1275" s="119">
        <f t="shared" si="85"/>
        <v>0</v>
      </c>
      <c r="I1275" s="240" t="s">
        <v>1229</v>
      </c>
    </row>
    <row r="1276" spans="1:9" x14ac:dyDescent="0.25">
      <c r="A1276" s="230">
        <v>114746</v>
      </c>
      <c r="B1276" s="162" t="s">
        <v>1087</v>
      </c>
      <c r="C1276" s="162" t="s">
        <v>2</v>
      </c>
      <c r="D1276" s="162" t="s">
        <v>8</v>
      </c>
      <c r="E1276" s="231">
        <v>43874</v>
      </c>
      <c r="F1276" s="117">
        <v>1016.96</v>
      </c>
      <c r="G1276" s="117">
        <f>SUMIF(CONFERÊNCIA!A:A,A1276,CONFERÊNCIA!J:J)</f>
        <v>1016.96</v>
      </c>
      <c r="H1276" s="119">
        <f t="shared" si="85"/>
        <v>0</v>
      </c>
      <c r="I1276" s="240" t="s">
        <v>1229</v>
      </c>
    </row>
    <row r="1277" spans="1:9" x14ac:dyDescent="0.25">
      <c r="A1277" s="230">
        <v>112674</v>
      </c>
      <c r="B1277" s="162" t="s">
        <v>331</v>
      </c>
      <c r="C1277" s="162" t="s">
        <v>2</v>
      </c>
      <c r="D1277" s="162" t="s">
        <v>0</v>
      </c>
      <c r="E1277" s="231">
        <v>43617</v>
      </c>
      <c r="F1277" s="117">
        <v>1016.96</v>
      </c>
      <c r="G1277" s="117">
        <f>SUMIF(CONFERÊNCIA!A:A,A1277,CONFERÊNCIA!J:J)</f>
        <v>1016.96</v>
      </c>
      <c r="H1277" s="119">
        <f t="shared" si="85"/>
        <v>0</v>
      </c>
      <c r="I1277" s="240" t="s">
        <v>1229</v>
      </c>
    </row>
    <row r="1278" spans="1:9" x14ac:dyDescent="0.25">
      <c r="A1278" s="230">
        <v>121327</v>
      </c>
      <c r="B1278" s="162" t="s">
        <v>1537</v>
      </c>
      <c r="C1278" s="162" t="s">
        <v>5</v>
      </c>
      <c r="D1278" s="162" t="s">
        <v>19</v>
      </c>
      <c r="E1278" s="231">
        <v>44945</v>
      </c>
      <c r="F1278" s="117">
        <v>1016.96</v>
      </c>
      <c r="G1278" s="117">
        <f>SUMIF(CONFERÊNCIA!A:A,A1278,CONFERÊNCIA!J:J)</f>
        <v>1016.96</v>
      </c>
      <c r="H1278" s="119">
        <f t="shared" si="85"/>
        <v>0</v>
      </c>
      <c r="I1278" s="240" t="s">
        <v>1229</v>
      </c>
    </row>
    <row r="1279" spans="1:9" x14ac:dyDescent="0.25">
      <c r="A1279" s="230">
        <v>112274</v>
      </c>
      <c r="B1279" s="162" t="s">
        <v>80</v>
      </c>
      <c r="C1279" s="162" t="s">
        <v>22</v>
      </c>
      <c r="D1279" s="162" t="s">
        <v>1578</v>
      </c>
      <c r="E1279" s="231">
        <v>43617</v>
      </c>
      <c r="F1279" s="117">
        <v>1016.96</v>
      </c>
      <c r="G1279" s="117">
        <f>SUMIF(CONFERÊNCIA!A:A,A1279,CONFERÊNCIA!J:J)</f>
        <v>1016.96</v>
      </c>
      <c r="H1279" s="119">
        <f t="shared" si="85"/>
        <v>0</v>
      </c>
      <c r="I1279" s="240" t="s">
        <v>1229</v>
      </c>
    </row>
    <row r="1280" spans="1:9" x14ac:dyDescent="0.25">
      <c r="A1280" s="230">
        <v>116009</v>
      </c>
      <c r="B1280" s="162" t="s">
        <v>81</v>
      </c>
      <c r="C1280" s="162" t="s">
        <v>2</v>
      </c>
      <c r="D1280" s="162" t="s">
        <v>8</v>
      </c>
      <c r="E1280" s="231">
        <v>44207</v>
      </c>
      <c r="F1280" s="117">
        <v>1016.96</v>
      </c>
      <c r="G1280" s="117">
        <f>SUMIF(CONFERÊNCIA!A:A,A1280,CONFERÊNCIA!J:J)</f>
        <v>1016.96</v>
      </c>
      <c r="H1280" s="119">
        <f t="shared" si="85"/>
        <v>0</v>
      </c>
      <c r="I1280" s="240" t="s">
        <v>1229</v>
      </c>
    </row>
    <row r="1281" spans="1:9" x14ac:dyDescent="0.25">
      <c r="A1281" s="230">
        <v>112278</v>
      </c>
      <c r="B1281" s="162" t="s">
        <v>83</v>
      </c>
      <c r="C1281" s="162" t="s">
        <v>2</v>
      </c>
      <c r="D1281" s="162" t="s">
        <v>10</v>
      </c>
      <c r="E1281" s="231">
        <v>43617</v>
      </c>
      <c r="F1281" s="117">
        <v>1016.96</v>
      </c>
      <c r="G1281" s="117">
        <f>SUMIF(CONFERÊNCIA!A:A,A1281,CONFERÊNCIA!J:J)</f>
        <v>1016.96</v>
      </c>
      <c r="H1281" s="119">
        <f t="shared" si="85"/>
        <v>0</v>
      </c>
      <c r="I1281" s="240" t="s">
        <v>1229</v>
      </c>
    </row>
    <row r="1282" spans="1:9" x14ac:dyDescent="0.25">
      <c r="A1282" s="230">
        <v>112992</v>
      </c>
      <c r="B1282" s="162" t="s">
        <v>535</v>
      </c>
      <c r="C1282" s="162" t="s">
        <v>15</v>
      </c>
      <c r="D1282" s="162" t="s">
        <v>1578</v>
      </c>
      <c r="E1282" s="231">
        <v>43617</v>
      </c>
      <c r="F1282" s="117">
        <v>1016.96</v>
      </c>
      <c r="G1282" s="117">
        <f>SUMIF(CONFERÊNCIA!A:A,A1282,CONFERÊNCIA!J:J)</f>
        <v>1016.96</v>
      </c>
      <c r="H1282" s="119">
        <f t="shared" si="85"/>
        <v>0</v>
      </c>
      <c r="I1282" s="240" t="s">
        <v>1229</v>
      </c>
    </row>
    <row r="1283" spans="1:9" x14ac:dyDescent="0.25">
      <c r="A1283" s="230">
        <v>112686</v>
      </c>
      <c r="B1283" s="162" t="s">
        <v>341</v>
      </c>
      <c r="C1283" s="162" t="s">
        <v>22</v>
      </c>
      <c r="D1283" s="162" t="s">
        <v>1578</v>
      </c>
      <c r="E1283" s="231">
        <v>43617</v>
      </c>
      <c r="F1283" s="117">
        <v>1016.96</v>
      </c>
      <c r="G1283" s="117">
        <f>SUMIF(CONFERÊNCIA!A:A,A1283,CONFERÊNCIA!J:J)</f>
        <v>1016.96</v>
      </c>
      <c r="H1283" s="119">
        <f t="shared" si="85"/>
        <v>0</v>
      </c>
      <c r="I1283" s="240" t="s">
        <v>1229</v>
      </c>
    </row>
    <row r="1284" spans="1:9" x14ac:dyDescent="0.25">
      <c r="A1284" s="230">
        <v>114938</v>
      </c>
      <c r="B1284" s="162" t="s">
        <v>1118</v>
      </c>
      <c r="C1284" s="162" t="s">
        <v>5</v>
      </c>
      <c r="D1284" s="162" t="s">
        <v>8</v>
      </c>
      <c r="E1284" s="231">
        <v>43916</v>
      </c>
      <c r="F1284" s="117">
        <v>1016.96</v>
      </c>
      <c r="G1284" s="117">
        <f>SUMIF(CONFERÊNCIA!A:A,A1284,CONFERÊNCIA!J:J)</f>
        <v>1016.96</v>
      </c>
      <c r="H1284" s="119">
        <f t="shared" si="85"/>
        <v>0</v>
      </c>
      <c r="I1284" s="240" t="s">
        <v>1229</v>
      </c>
    </row>
    <row r="1285" spans="1:9" x14ac:dyDescent="0.25">
      <c r="A1285" s="230">
        <v>112428</v>
      </c>
      <c r="B1285" s="162" t="s">
        <v>172</v>
      </c>
      <c r="C1285" s="162" t="s">
        <v>2</v>
      </c>
      <c r="D1285" s="162" t="s">
        <v>8</v>
      </c>
      <c r="E1285" s="231">
        <v>43617</v>
      </c>
      <c r="F1285" s="117">
        <v>1016.96</v>
      </c>
      <c r="G1285" s="117">
        <f>SUMIF(CONFERÊNCIA!A:A,A1285,CONFERÊNCIA!J:J)</f>
        <v>1016.96</v>
      </c>
      <c r="H1285" s="119">
        <f t="shared" si="85"/>
        <v>0</v>
      </c>
      <c r="I1285" s="240" t="s">
        <v>1229</v>
      </c>
    </row>
    <row r="1286" spans="1:9" x14ac:dyDescent="0.25">
      <c r="A1286" s="230">
        <v>112432</v>
      </c>
      <c r="B1286" s="162" t="s">
        <v>175</v>
      </c>
      <c r="C1286" s="162" t="s">
        <v>5</v>
      </c>
      <c r="D1286" s="162" t="s">
        <v>8</v>
      </c>
      <c r="E1286" s="231">
        <v>43617</v>
      </c>
      <c r="F1286" s="117">
        <v>1016.96</v>
      </c>
      <c r="G1286" s="117">
        <f>SUMIF(CONFERÊNCIA!A:A,A1286,CONFERÊNCIA!J:J)</f>
        <v>978.67000000000007</v>
      </c>
      <c r="H1286" s="119">
        <f t="shared" si="85"/>
        <v>-38.289999999999964</v>
      </c>
      <c r="I1286" s="240" t="s">
        <v>1229</v>
      </c>
    </row>
    <row r="1287" spans="1:9" x14ac:dyDescent="0.25">
      <c r="A1287" s="230">
        <v>112282</v>
      </c>
      <c r="B1287" s="162" t="s">
        <v>88</v>
      </c>
      <c r="C1287" s="162" t="s">
        <v>2</v>
      </c>
      <c r="D1287" s="162" t="s">
        <v>10</v>
      </c>
      <c r="E1287" s="231">
        <v>43617</v>
      </c>
      <c r="F1287" s="117">
        <v>1016.96</v>
      </c>
      <c r="G1287" s="117">
        <f>SUMIF(CONFERÊNCIA!A:A,A1287,CONFERÊNCIA!J:J)</f>
        <v>1016.96</v>
      </c>
      <c r="H1287" s="119">
        <f t="shared" si="85"/>
        <v>0</v>
      </c>
      <c r="I1287" s="240" t="s">
        <v>1229</v>
      </c>
    </row>
    <row r="1288" spans="1:9" x14ac:dyDescent="0.25">
      <c r="A1288" s="230">
        <v>116237</v>
      </c>
      <c r="B1288" s="162" t="s">
        <v>1197</v>
      </c>
      <c r="C1288" s="162" t="s">
        <v>2</v>
      </c>
      <c r="D1288" s="162" t="s">
        <v>8</v>
      </c>
      <c r="E1288" s="231">
        <v>44273</v>
      </c>
      <c r="F1288" s="117">
        <v>1016.96</v>
      </c>
      <c r="G1288" s="117">
        <f>SUMIF(CONFERÊNCIA!A:A,A1288,CONFERÊNCIA!J:J)</f>
        <v>1016.96</v>
      </c>
      <c r="H1288" s="119">
        <f t="shared" si="85"/>
        <v>0</v>
      </c>
      <c r="I1288" s="240" t="s">
        <v>1229</v>
      </c>
    </row>
    <row r="1289" spans="1:9" x14ac:dyDescent="0.25">
      <c r="A1289" s="230">
        <v>121946</v>
      </c>
      <c r="B1289" s="162" t="s">
        <v>1615</v>
      </c>
      <c r="C1289" s="162" t="s">
        <v>1456</v>
      </c>
      <c r="D1289" s="162" t="s">
        <v>1580</v>
      </c>
      <c r="E1289" s="231">
        <v>45040</v>
      </c>
      <c r="F1289" s="117">
        <v>657.5</v>
      </c>
      <c r="G1289" s="117">
        <f>SUMIF(CONFERÊNCIA!A:A,A1289,CONFERÊNCIA!J:J)</f>
        <v>657.5</v>
      </c>
      <c r="H1289" s="119">
        <f t="shared" si="85"/>
        <v>0</v>
      </c>
      <c r="I1289" s="240" t="s">
        <v>1229</v>
      </c>
    </row>
    <row r="1290" spans="1:9" x14ac:dyDescent="0.25">
      <c r="A1290" s="230">
        <v>119241</v>
      </c>
      <c r="B1290" s="162" t="s">
        <v>1450</v>
      </c>
      <c r="C1290" s="162" t="s">
        <v>1449</v>
      </c>
      <c r="D1290" s="162" t="s">
        <v>1580</v>
      </c>
      <c r="E1290" s="231">
        <v>44658</v>
      </c>
      <c r="F1290" s="117">
        <v>1016.96</v>
      </c>
      <c r="G1290" s="117">
        <f>SUMIF(CONFERÊNCIA!A:A,A1290,CONFERÊNCIA!J:J)</f>
        <v>1016.96</v>
      </c>
      <c r="H1290" s="119">
        <f t="shared" si="85"/>
        <v>0</v>
      </c>
      <c r="I1290" s="240" t="s">
        <v>1229</v>
      </c>
    </row>
    <row r="1291" spans="1:9" x14ac:dyDescent="0.25">
      <c r="A1291" s="230">
        <v>122030</v>
      </c>
      <c r="B1291" s="162" t="s">
        <v>1575</v>
      </c>
      <c r="C1291" s="162" t="s">
        <v>963</v>
      </c>
      <c r="D1291" s="162" t="s">
        <v>1578</v>
      </c>
      <c r="E1291" s="231">
        <v>45054</v>
      </c>
      <c r="F1291" s="117">
        <v>1016.96</v>
      </c>
      <c r="G1291" s="117">
        <f>SUMIF(CONFERÊNCIA!A:A,A1291,CONFERÊNCIA!J:J)</f>
        <v>1016.96</v>
      </c>
      <c r="H1291" s="119">
        <f t="shared" si="85"/>
        <v>0</v>
      </c>
      <c r="I1291" s="240" t="s">
        <v>1229</v>
      </c>
    </row>
    <row r="1292" spans="1:9" x14ac:dyDescent="0.25">
      <c r="A1292" s="230">
        <v>121815</v>
      </c>
      <c r="B1292" s="162" t="s">
        <v>1597</v>
      </c>
      <c r="C1292" s="162" t="s">
        <v>1456</v>
      </c>
      <c r="D1292" s="162" t="s">
        <v>1580</v>
      </c>
      <c r="E1292" s="231">
        <v>45019</v>
      </c>
      <c r="F1292" s="117">
        <v>657.5</v>
      </c>
      <c r="G1292" s="117">
        <f>SUMIF(CONFERÊNCIA!A:A,A1292,CONFERÊNCIA!J:J)</f>
        <v>657.5</v>
      </c>
      <c r="H1292" s="119">
        <f t="shared" si="85"/>
        <v>0</v>
      </c>
      <c r="I1292" s="240" t="s">
        <v>1229</v>
      </c>
    </row>
    <row r="1293" spans="1:9" x14ac:dyDescent="0.25">
      <c r="A1293" s="230">
        <v>112217</v>
      </c>
      <c r="B1293" s="162" t="s">
        <v>40</v>
      </c>
      <c r="C1293" s="162" t="s">
        <v>2</v>
      </c>
      <c r="D1293" s="162" t="s">
        <v>19</v>
      </c>
      <c r="E1293" s="231">
        <v>43617</v>
      </c>
      <c r="F1293" s="117">
        <v>1016.96</v>
      </c>
      <c r="G1293" s="117">
        <f>SUMIF(CONFERÊNCIA!A:A,A1293,CONFERÊNCIA!J:J)</f>
        <v>1016.96</v>
      </c>
      <c r="H1293" s="119">
        <f t="shared" si="85"/>
        <v>0</v>
      </c>
      <c r="I1293" s="240" t="s">
        <v>1229</v>
      </c>
    </row>
    <row r="1294" spans="1:9" x14ac:dyDescent="0.25">
      <c r="A1294" s="230">
        <v>112434</v>
      </c>
      <c r="B1294" s="162" t="s">
        <v>177</v>
      </c>
      <c r="C1294" s="162" t="s">
        <v>2</v>
      </c>
      <c r="D1294" s="162" t="s">
        <v>8</v>
      </c>
      <c r="E1294" s="231">
        <v>43617</v>
      </c>
      <c r="F1294" s="117">
        <v>1016.96</v>
      </c>
      <c r="G1294" s="117">
        <f>SUMIF(CONFERÊNCIA!A:A,A1294,CONFERÊNCIA!J:J)</f>
        <v>1016.96</v>
      </c>
      <c r="H1294" s="119">
        <f t="shared" si="85"/>
        <v>0</v>
      </c>
      <c r="I1294" s="240" t="s">
        <v>1229</v>
      </c>
    </row>
    <row r="1295" spans="1:9" x14ac:dyDescent="0.25">
      <c r="A1295" s="230">
        <v>112698</v>
      </c>
      <c r="B1295" s="162" t="s">
        <v>348</v>
      </c>
      <c r="C1295" s="162" t="s">
        <v>2</v>
      </c>
      <c r="D1295" s="162" t="s">
        <v>0</v>
      </c>
      <c r="E1295" s="231">
        <v>43617</v>
      </c>
      <c r="F1295" s="117">
        <v>1016.96</v>
      </c>
      <c r="G1295" s="117">
        <f>SUMIF(CONFERÊNCIA!A:A,A1295,CONFERÊNCIA!J:J)</f>
        <v>1016.96</v>
      </c>
      <c r="H1295" s="119">
        <f t="shared" si="85"/>
        <v>0</v>
      </c>
      <c r="I1295" s="240" t="s">
        <v>1229</v>
      </c>
    </row>
    <row r="1296" spans="1:9" x14ac:dyDescent="0.25">
      <c r="A1296" s="230">
        <v>112444</v>
      </c>
      <c r="B1296" s="162" t="s">
        <v>185</v>
      </c>
      <c r="C1296" s="162" t="s">
        <v>5</v>
      </c>
      <c r="D1296" s="162" t="s">
        <v>8</v>
      </c>
      <c r="E1296" s="231">
        <v>43617</v>
      </c>
      <c r="F1296" s="117">
        <v>1016.96</v>
      </c>
      <c r="G1296" s="117">
        <f>SUMIF(CONFERÊNCIA!A:A,A1296,CONFERÊNCIA!J:J)</f>
        <v>1016.96</v>
      </c>
      <c r="H1296" s="119">
        <f t="shared" si="85"/>
        <v>0</v>
      </c>
      <c r="I1296" s="240" t="s">
        <v>1229</v>
      </c>
    </row>
    <row r="1297" spans="1:9" x14ac:dyDescent="0.25">
      <c r="A1297" s="230">
        <v>112220</v>
      </c>
      <c r="B1297" s="162" t="s">
        <v>41</v>
      </c>
      <c r="C1297" s="162" t="s">
        <v>2</v>
      </c>
      <c r="D1297" s="162" t="s">
        <v>19</v>
      </c>
      <c r="E1297" s="231">
        <v>43617</v>
      </c>
      <c r="F1297" s="117">
        <v>1016.96</v>
      </c>
      <c r="G1297" s="117">
        <f>SUMIF(CONFERÊNCIA!A:A,A1297,CONFERÊNCIA!J:J)</f>
        <v>1016.96</v>
      </c>
      <c r="H1297" s="119">
        <f t="shared" si="85"/>
        <v>0</v>
      </c>
      <c r="I1297" s="240" t="s">
        <v>1229</v>
      </c>
    </row>
    <row r="1298" spans="1:9" x14ac:dyDescent="0.25">
      <c r="A1298" s="230">
        <v>112704</v>
      </c>
      <c r="B1298" s="162" t="s">
        <v>353</v>
      </c>
      <c r="C1298" s="162" t="s">
        <v>22</v>
      </c>
      <c r="D1298" s="162" t="s">
        <v>1578</v>
      </c>
      <c r="E1298" s="231">
        <v>43617</v>
      </c>
      <c r="F1298" s="117">
        <v>1016.96</v>
      </c>
      <c r="G1298" s="117">
        <f>SUMIF(CONFERÊNCIA!A:A,A1298,CONFERÊNCIA!J:J)</f>
        <v>1016.96</v>
      </c>
      <c r="H1298" s="119">
        <f t="shared" si="85"/>
        <v>0</v>
      </c>
      <c r="I1298" s="240" t="s">
        <v>1229</v>
      </c>
    </row>
    <row r="1299" spans="1:9" x14ac:dyDescent="0.25">
      <c r="A1299" s="230">
        <v>113732</v>
      </c>
      <c r="B1299" s="162" t="s">
        <v>945</v>
      </c>
      <c r="C1299" s="162" t="s">
        <v>182</v>
      </c>
      <c r="D1299" s="162" t="s">
        <v>0</v>
      </c>
      <c r="E1299" s="231">
        <v>43617</v>
      </c>
      <c r="F1299" s="117">
        <v>1016.96</v>
      </c>
      <c r="G1299" s="117">
        <f>SUMIF(CONFERÊNCIA!A:A,A1299,CONFERÊNCIA!J:J)</f>
        <v>1016.96</v>
      </c>
      <c r="H1299" s="119">
        <f t="shared" si="85"/>
        <v>0</v>
      </c>
      <c r="I1299" s="240" t="s">
        <v>1229</v>
      </c>
    </row>
    <row r="1300" spans="1:9" x14ac:dyDescent="0.25">
      <c r="A1300" s="230">
        <v>112457</v>
      </c>
      <c r="B1300" s="162" t="s">
        <v>193</v>
      </c>
      <c r="C1300" s="162" t="s">
        <v>2</v>
      </c>
      <c r="D1300" s="162" t="s">
        <v>8</v>
      </c>
      <c r="E1300" s="231">
        <v>43617</v>
      </c>
      <c r="F1300" s="117">
        <v>1016.96</v>
      </c>
      <c r="G1300" s="117">
        <f>SUMIF(CONFERÊNCIA!A:A,A1300,CONFERÊNCIA!J:J)</f>
        <v>1016.96</v>
      </c>
      <c r="H1300" s="119">
        <f t="shared" si="85"/>
        <v>0</v>
      </c>
      <c r="I1300" s="240" t="s">
        <v>1229</v>
      </c>
    </row>
    <row r="1301" spans="1:9" x14ac:dyDescent="0.25">
      <c r="A1301" s="230">
        <v>112706</v>
      </c>
      <c r="B1301" s="162" t="s">
        <v>354</v>
      </c>
      <c r="C1301" s="162" t="s">
        <v>2</v>
      </c>
      <c r="D1301" s="162" t="s">
        <v>0</v>
      </c>
      <c r="E1301" s="231">
        <v>43617</v>
      </c>
      <c r="F1301" s="117">
        <v>1016.96</v>
      </c>
      <c r="G1301" s="117">
        <f>SUMIF(CONFERÊNCIA!A:A,A1301,CONFERÊNCIA!J:J)</f>
        <v>1016.96</v>
      </c>
      <c r="H1301" s="119">
        <f t="shared" si="85"/>
        <v>0</v>
      </c>
      <c r="I1301" s="240" t="s">
        <v>1229</v>
      </c>
    </row>
    <row r="1302" spans="1:9" x14ac:dyDescent="0.25">
      <c r="A1302" s="230">
        <v>113003</v>
      </c>
      <c r="B1302" s="162" t="s">
        <v>540</v>
      </c>
      <c r="C1302" s="162" t="s">
        <v>15</v>
      </c>
      <c r="D1302" s="162" t="s">
        <v>1578</v>
      </c>
      <c r="E1302" s="231">
        <v>43617</v>
      </c>
      <c r="F1302" s="117">
        <v>1016.96</v>
      </c>
      <c r="G1302" s="117">
        <f>SUMIF(CONFERÊNCIA!A:A,A1302,CONFERÊNCIA!J:J)</f>
        <v>1016.96</v>
      </c>
      <c r="H1302" s="119">
        <f t="shared" si="85"/>
        <v>0</v>
      </c>
      <c r="I1302" s="240" t="s">
        <v>1229</v>
      </c>
    </row>
    <row r="1303" spans="1:9" x14ac:dyDescent="0.25">
      <c r="A1303" s="230">
        <v>112707</v>
      </c>
      <c r="B1303" s="162" t="s">
        <v>356</v>
      </c>
      <c r="C1303" s="162" t="s">
        <v>22</v>
      </c>
      <c r="D1303" s="162" t="s">
        <v>1578</v>
      </c>
      <c r="E1303" s="231">
        <v>43617</v>
      </c>
      <c r="F1303" s="117">
        <v>1016.96</v>
      </c>
      <c r="G1303" s="117">
        <f>SUMIF(CONFERÊNCIA!A:A,A1303,CONFERÊNCIA!J:J)</f>
        <v>1016.96</v>
      </c>
      <c r="H1303" s="119">
        <f t="shared" si="85"/>
        <v>0</v>
      </c>
      <c r="I1303" s="240" t="s">
        <v>1229</v>
      </c>
    </row>
    <row r="1304" spans="1:9" x14ac:dyDescent="0.25">
      <c r="A1304" s="230">
        <v>112290</v>
      </c>
      <c r="B1304" s="162" t="s">
        <v>91</v>
      </c>
      <c r="C1304" s="162" t="s">
        <v>2</v>
      </c>
      <c r="D1304" s="162" t="s">
        <v>10</v>
      </c>
      <c r="E1304" s="231">
        <v>43617</v>
      </c>
      <c r="F1304" s="117">
        <v>1016.96</v>
      </c>
      <c r="G1304" s="117">
        <f>SUMIF(CONFERÊNCIA!A:A,A1304,CONFERÊNCIA!J:J)</f>
        <v>1016.96</v>
      </c>
      <c r="H1304" s="119">
        <f t="shared" ref="H1304:H1342" si="86">G1304-F1304</f>
        <v>0</v>
      </c>
      <c r="I1304" s="240" t="s">
        <v>1229</v>
      </c>
    </row>
    <row r="1305" spans="1:9" x14ac:dyDescent="0.25">
      <c r="A1305" s="230">
        <v>112461</v>
      </c>
      <c r="B1305" s="162" t="s">
        <v>196</v>
      </c>
      <c r="C1305" s="162" t="s">
        <v>39</v>
      </c>
      <c r="D1305" s="162" t="s">
        <v>10</v>
      </c>
      <c r="E1305" s="231">
        <v>43617</v>
      </c>
      <c r="F1305" s="117">
        <v>1016.96</v>
      </c>
      <c r="G1305" s="117">
        <f>SUMIF(CONFERÊNCIA!A:A,A1305,CONFERÊNCIA!J:J)</f>
        <v>1016.96</v>
      </c>
      <c r="H1305" s="119">
        <f t="shared" si="86"/>
        <v>0</v>
      </c>
      <c r="I1305" s="240" t="s">
        <v>1229</v>
      </c>
    </row>
    <row r="1306" spans="1:9" x14ac:dyDescent="0.25">
      <c r="A1306" s="230">
        <v>112714</v>
      </c>
      <c r="B1306" s="162" t="s">
        <v>358</v>
      </c>
      <c r="C1306" s="162" t="s">
        <v>2</v>
      </c>
      <c r="D1306" s="162" t="s">
        <v>0</v>
      </c>
      <c r="E1306" s="231">
        <v>43617</v>
      </c>
      <c r="F1306" s="117">
        <v>1016.96</v>
      </c>
      <c r="G1306" s="117">
        <f>SUMIF(CONFERÊNCIA!A:A,A1306,CONFERÊNCIA!J:J)</f>
        <v>1016.96</v>
      </c>
      <c r="H1306" s="119">
        <f t="shared" si="86"/>
        <v>0</v>
      </c>
      <c r="I1306" s="240" t="s">
        <v>1229</v>
      </c>
    </row>
    <row r="1307" spans="1:9" x14ac:dyDescent="0.25">
      <c r="A1307" s="230">
        <v>112224</v>
      </c>
      <c r="B1307" s="162" t="s">
        <v>46</v>
      </c>
      <c r="C1307" s="162" t="s">
        <v>2</v>
      </c>
      <c r="D1307" s="162" t="s">
        <v>19</v>
      </c>
      <c r="E1307" s="231">
        <v>43617</v>
      </c>
      <c r="F1307" s="117">
        <v>1016.96</v>
      </c>
      <c r="G1307" s="117">
        <f>SUMIF(CONFERÊNCIA!A:A,A1307,CONFERÊNCIA!J:J)</f>
        <v>1016.96</v>
      </c>
      <c r="H1307" s="119">
        <f t="shared" si="86"/>
        <v>0</v>
      </c>
      <c r="I1307" s="240" t="s">
        <v>1229</v>
      </c>
    </row>
    <row r="1308" spans="1:9" x14ac:dyDescent="0.25">
      <c r="A1308" s="230">
        <v>112294</v>
      </c>
      <c r="B1308" s="162" t="s">
        <v>93</v>
      </c>
      <c r="C1308" s="162" t="s">
        <v>2</v>
      </c>
      <c r="D1308" s="162" t="s">
        <v>10</v>
      </c>
      <c r="E1308" s="231">
        <v>43617</v>
      </c>
      <c r="F1308" s="117">
        <v>1016.96</v>
      </c>
      <c r="G1308" s="117">
        <f>SUMIF(CONFERÊNCIA!A:A,A1308,CONFERÊNCIA!J:J)</f>
        <v>1016.96</v>
      </c>
      <c r="H1308" s="119">
        <f t="shared" si="86"/>
        <v>0</v>
      </c>
      <c r="I1308" s="240" t="s">
        <v>1229</v>
      </c>
    </row>
    <row r="1309" spans="1:9" x14ac:dyDescent="0.25">
      <c r="A1309" s="230">
        <v>112717</v>
      </c>
      <c r="B1309" s="162" t="s">
        <v>360</v>
      </c>
      <c r="C1309" s="162" t="s">
        <v>22</v>
      </c>
      <c r="D1309" s="162" t="s">
        <v>1578</v>
      </c>
      <c r="E1309" s="231">
        <v>43617</v>
      </c>
      <c r="F1309" s="117">
        <v>1016.96</v>
      </c>
      <c r="G1309" s="117">
        <f>SUMIF(CONFERÊNCIA!A:A,A1309,CONFERÊNCIA!J:J)</f>
        <v>1016.96</v>
      </c>
      <c r="H1309" s="119">
        <f t="shared" si="86"/>
        <v>0</v>
      </c>
      <c r="I1309" s="240" t="s">
        <v>1229</v>
      </c>
    </row>
    <row r="1310" spans="1:9" x14ac:dyDescent="0.25">
      <c r="A1310" s="230">
        <v>112472</v>
      </c>
      <c r="B1310" s="162" t="s">
        <v>201</v>
      </c>
      <c r="C1310" s="162" t="s">
        <v>5</v>
      </c>
      <c r="D1310" s="162" t="s">
        <v>8</v>
      </c>
      <c r="E1310" s="231">
        <v>43617</v>
      </c>
      <c r="F1310" s="117">
        <v>1016.96</v>
      </c>
      <c r="G1310" s="117">
        <f>SUMIF(CONFERÊNCIA!A:A,A1310,CONFERÊNCIA!J:J)</f>
        <v>1016.96</v>
      </c>
      <c r="H1310" s="119">
        <f t="shared" si="86"/>
        <v>0</v>
      </c>
      <c r="I1310" s="240" t="s">
        <v>1229</v>
      </c>
    </row>
    <row r="1311" spans="1:9" x14ac:dyDescent="0.25">
      <c r="A1311" s="230">
        <v>112228</v>
      </c>
      <c r="B1311" s="162" t="s">
        <v>50</v>
      </c>
      <c r="C1311" s="162" t="s">
        <v>2</v>
      </c>
      <c r="D1311" s="162" t="s">
        <v>19</v>
      </c>
      <c r="E1311" s="231">
        <v>43617</v>
      </c>
      <c r="F1311" s="117">
        <v>1016.96</v>
      </c>
      <c r="G1311" s="117">
        <f>SUMIF(CONFERÊNCIA!A:A,A1311,CONFERÊNCIA!J:J)</f>
        <v>1016.96</v>
      </c>
      <c r="H1311" s="119">
        <f t="shared" si="86"/>
        <v>0</v>
      </c>
      <c r="I1311" s="240" t="s">
        <v>1229</v>
      </c>
    </row>
    <row r="1312" spans="1:9" x14ac:dyDescent="0.25">
      <c r="A1312" s="230">
        <v>112229</v>
      </c>
      <c r="B1312" s="162" t="s">
        <v>51</v>
      </c>
      <c r="C1312" s="162" t="s">
        <v>2</v>
      </c>
      <c r="D1312" s="162" t="s">
        <v>19</v>
      </c>
      <c r="E1312" s="231">
        <v>43617</v>
      </c>
      <c r="F1312" s="117">
        <v>1016.96</v>
      </c>
      <c r="G1312" s="117">
        <f>SUMIF(CONFERÊNCIA!A:A,A1312,CONFERÊNCIA!J:J)</f>
        <v>1016.96</v>
      </c>
      <c r="H1312" s="119">
        <f t="shared" si="86"/>
        <v>0</v>
      </c>
      <c r="I1312" s="240" t="s">
        <v>1229</v>
      </c>
    </row>
    <row r="1313" spans="1:9" x14ac:dyDescent="0.25">
      <c r="A1313" s="230">
        <v>112475</v>
      </c>
      <c r="B1313" s="162" t="s">
        <v>203</v>
      </c>
      <c r="C1313" s="162" t="s">
        <v>2</v>
      </c>
      <c r="D1313" s="162" t="s">
        <v>8</v>
      </c>
      <c r="E1313" s="231">
        <v>43617</v>
      </c>
      <c r="F1313" s="117">
        <v>1016.96</v>
      </c>
      <c r="G1313" s="117">
        <f>SUMIF(CONFERÊNCIA!A:A,A1313,CONFERÊNCIA!J:J)</f>
        <v>1016.96</v>
      </c>
      <c r="H1313" s="119">
        <f t="shared" si="86"/>
        <v>0</v>
      </c>
      <c r="I1313" s="240" t="s">
        <v>1229</v>
      </c>
    </row>
    <row r="1314" spans="1:9" x14ac:dyDescent="0.25">
      <c r="A1314" s="230">
        <v>118994</v>
      </c>
      <c r="B1314" s="162" t="s">
        <v>1428</v>
      </c>
      <c r="C1314" s="162" t="s">
        <v>15</v>
      </c>
      <c r="D1314" s="162" t="s">
        <v>1578</v>
      </c>
      <c r="E1314" s="231">
        <v>44613</v>
      </c>
      <c r="F1314" s="117">
        <v>1016.96</v>
      </c>
      <c r="G1314" s="117">
        <f>SUMIF(CONFERÊNCIA!A:A,A1314,CONFERÊNCIA!J:J)</f>
        <v>1016.96</v>
      </c>
      <c r="H1314" s="119">
        <f t="shared" si="86"/>
        <v>0</v>
      </c>
      <c r="I1314" s="240" t="s">
        <v>1229</v>
      </c>
    </row>
    <row r="1315" spans="1:9" x14ac:dyDescent="0.25">
      <c r="A1315" s="230">
        <v>116112</v>
      </c>
      <c r="B1315" s="162" t="s">
        <v>1185</v>
      </c>
      <c r="C1315" s="162" t="s">
        <v>15</v>
      </c>
      <c r="D1315" s="162" t="s">
        <v>1578</v>
      </c>
      <c r="E1315" s="231">
        <v>44236</v>
      </c>
      <c r="F1315" s="117">
        <v>1016.96</v>
      </c>
      <c r="G1315" s="117">
        <f>SUMIF(CONFERÊNCIA!A:A,A1315,CONFERÊNCIA!J:J)</f>
        <v>1016.96</v>
      </c>
      <c r="H1315" s="119">
        <f t="shared" si="86"/>
        <v>0</v>
      </c>
      <c r="I1315" s="240" t="s">
        <v>1229</v>
      </c>
    </row>
    <row r="1316" spans="1:9" x14ac:dyDescent="0.25">
      <c r="A1316" s="230">
        <v>112722</v>
      </c>
      <c r="B1316" s="162" t="s">
        <v>364</v>
      </c>
      <c r="C1316" s="162" t="s">
        <v>5</v>
      </c>
      <c r="D1316" s="162" t="s">
        <v>1578</v>
      </c>
      <c r="E1316" s="231">
        <v>43617</v>
      </c>
      <c r="F1316" s="117">
        <v>1016.96</v>
      </c>
      <c r="G1316" s="117">
        <f>SUMIF(CONFERÊNCIA!A:A,A1316,CONFERÊNCIA!J:J)</f>
        <v>1016.96</v>
      </c>
      <c r="H1316" s="119">
        <f t="shared" si="86"/>
        <v>0</v>
      </c>
      <c r="I1316" s="240" t="s">
        <v>1229</v>
      </c>
    </row>
    <row r="1317" spans="1:9" x14ac:dyDescent="0.25">
      <c r="A1317" s="230">
        <v>112298</v>
      </c>
      <c r="B1317" s="162" t="s">
        <v>96</v>
      </c>
      <c r="C1317" s="162" t="s">
        <v>2</v>
      </c>
      <c r="D1317" s="162" t="s">
        <v>10</v>
      </c>
      <c r="E1317" s="231">
        <v>43617</v>
      </c>
      <c r="F1317" s="117">
        <v>1016.96</v>
      </c>
      <c r="G1317" s="117">
        <f>SUMIF(CONFERÊNCIA!A:A,A1317,CONFERÊNCIA!J:J)</f>
        <v>1016.96</v>
      </c>
      <c r="H1317" s="119">
        <f t="shared" si="86"/>
        <v>0</v>
      </c>
      <c r="I1317" s="240" t="s">
        <v>1229</v>
      </c>
    </row>
    <row r="1318" spans="1:9" x14ac:dyDescent="0.25">
      <c r="A1318" s="230">
        <v>113008</v>
      </c>
      <c r="B1318" s="162" t="s">
        <v>542</v>
      </c>
      <c r="C1318" s="162" t="s">
        <v>15</v>
      </c>
      <c r="D1318" s="162" t="s">
        <v>1578</v>
      </c>
      <c r="E1318" s="231">
        <v>43617</v>
      </c>
      <c r="F1318" s="117">
        <v>1016.96</v>
      </c>
      <c r="G1318" s="117">
        <f>SUMIF(CONFERÊNCIA!A:A,A1318,CONFERÊNCIA!J:J)</f>
        <v>1016.96</v>
      </c>
      <c r="H1318" s="119">
        <f t="shared" si="86"/>
        <v>0</v>
      </c>
      <c r="I1318" s="240" t="s">
        <v>1229</v>
      </c>
    </row>
    <row r="1319" spans="1:9" x14ac:dyDescent="0.25">
      <c r="A1319" s="230">
        <v>112725</v>
      </c>
      <c r="B1319" s="162" t="s">
        <v>366</v>
      </c>
      <c r="C1319" s="162" t="s">
        <v>39</v>
      </c>
      <c r="D1319" s="162" t="s">
        <v>0</v>
      </c>
      <c r="E1319" s="231">
        <v>43617</v>
      </c>
      <c r="F1319" s="117">
        <v>1016.96</v>
      </c>
      <c r="G1319" s="117">
        <f>SUMIF(CONFERÊNCIA!A:A,A1319,CONFERÊNCIA!J:J)</f>
        <v>1016.96</v>
      </c>
      <c r="H1319" s="119">
        <f t="shared" si="86"/>
        <v>0</v>
      </c>
      <c r="I1319" s="240" t="s">
        <v>1229</v>
      </c>
    </row>
    <row r="1320" spans="1:9" x14ac:dyDescent="0.25">
      <c r="A1320" s="230">
        <v>122823</v>
      </c>
      <c r="B1320" s="162" t="s">
        <v>1728</v>
      </c>
      <c r="C1320" s="162" t="s">
        <v>5</v>
      </c>
      <c r="D1320" s="162" t="s">
        <v>8</v>
      </c>
      <c r="E1320" s="231">
        <v>45180</v>
      </c>
      <c r="F1320" s="117">
        <v>0</v>
      </c>
      <c r="G1320" s="117">
        <f>SUMIF(CONFERÊNCIA!A:A,A1320,CONFERÊNCIA!J:J)</f>
        <v>1016.96</v>
      </c>
      <c r="H1320" s="119">
        <f t="shared" si="86"/>
        <v>1016.96</v>
      </c>
      <c r="I1320" s="240" t="s">
        <v>1231</v>
      </c>
    </row>
    <row r="1321" spans="1:9" x14ac:dyDescent="0.25">
      <c r="A1321" s="230">
        <v>112481</v>
      </c>
      <c r="B1321" s="162" t="s">
        <v>207</v>
      </c>
      <c r="C1321" s="162" t="s">
        <v>39</v>
      </c>
      <c r="D1321" s="162" t="s">
        <v>32</v>
      </c>
      <c r="E1321" s="231">
        <v>43617</v>
      </c>
      <c r="F1321" s="117">
        <v>1016.96</v>
      </c>
      <c r="G1321" s="117">
        <f>SUMIF(CONFERÊNCIA!A:A,A1321,CONFERÊNCIA!J:J)</f>
        <v>1016.96</v>
      </c>
      <c r="H1321" s="119">
        <f t="shared" si="86"/>
        <v>0</v>
      </c>
      <c r="I1321" s="240" t="s">
        <v>1229</v>
      </c>
    </row>
    <row r="1322" spans="1:9" x14ac:dyDescent="0.25">
      <c r="A1322" s="230">
        <v>113013</v>
      </c>
      <c r="B1322" s="162" t="s">
        <v>543</v>
      </c>
      <c r="C1322" s="162" t="s">
        <v>15</v>
      </c>
      <c r="D1322" s="162" t="s">
        <v>1578</v>
      </c>
      <c r="E1322" s="231">
        <v>43620</v>
      </c>
      <c r="F1322" s="117">
        <v>1016.96</v>
      </c>
      <c r="G1322" s="117">
        <f>SUMIF(CONFERÊNCIA!A:A,A1322,CONFERÊNCIA!J:J)</f>
        <v>1016.96</v>
      </c>
      <c r="H1322" s="119">
        <f t="shared" si="86"/>
        <v>0</v>
      </c>
      <c r="I1322" s="240" t="s">
        <v>1229</v>
      </c>
    </row>
    <row r="1323" spans="1:9" x14ac:dyDescent="0.25">
      <c r="A1323" s="230">
        <v>115400</v>
      </c>
      <c r="B1323" s="162" t="s">
        <v>1152</v>
      </c>
      <c r="C1323" s="162" t="s">
        <v>5</v>
      </c>
      <c r="D1323" s="162" t="s">
        <v>0</v>
      </c>
      <c r="E1323" s="231">
        <v>44048</v>
      </c>
      <c r="F1323" s="117">
        <v>1016.96</v>
      </c>
      <c r="G1323" s="117">
        <f>SUMIF(CONFERÊNCIA!A:A,A1323,CONFERÊNCIA!J:J)</f>
        <v>1016.96</v>
      </c>
      <c r="H1323" s="119">
        <f t="shared" si="86"/>
        <v>0</v>
      </c>
      <c r="I1323" s="240" t="s">
        <v>1229</v>
      </c>
    </row>
    <row r="1324" spans="1:9" x14ac:dyDescent="0.25">
      <c r="A1324" s="230">
        <v>116021</v>
      </c>
      <c r="B1324" s="162" t="s">
        <v>1173</v>
      </c>
      <c r="C1324" s="162" t="s">
        <v>5</v>
      </c>
      <c r="D1324" s="162" t="s">
        <v>10</v>
      </c>
      <c r="E1324" s="231">
        <v>44207</v>
      </c>
      <c r="F1324" s="117">
        <v>978.67000000000007</v>
      </c>
      <c r="G1324" s="117">
        <f>SUMIF(CONFERÊNCIA!A:A,A1324,CONFERÊNCIA!J:J)</f>
        <v>1016.96</v>
      </c>
      <c r="H1324" s="119">
        <f t="shared" si="86"/>
        <v>38.289999999999964</v>
      </c>
      <c r="I1324" s="240" t="s">
        <v>1229</v>
      </c>
    </row>
    <row r="1325" spans="1:9" x14ac:dyDescent="0.25">
      <c r="A1325" s="230">
        <v>112727</v>
      </c>
      <c r="B1325" s="162" t="s">
        <v>368</v>
      </c>
      <c r="C1325" s="162" t="s">
        <v>2</v>
      </c>
      <c r="D1325" s="162" t="s">
        <v>0</v>
      </c>
      <c r="E1325" s="231">
        <v>43617</v>
      </c>
      <c r="F1325" s="117">
        <v>1016.96</v>
      </c>
      <c r="G1325" s="117">
        <f>SUMIF(CONFERÊNCIA!A:A,A1325,CONFERÊNCIA!J:J)</f>
        <v>1016.96</v>
      </c>
      <c r="H1325" s="119">
        <f t="shared" si="86"/>
        <v>0</v>
      </c>
      <c r="I1325" s="240" t="s">
        <v>1229</v>
      </c>
    </row>
    <row r="1326" spans="1:9" x14ac:dyDescent="0.25">
      <c r="A1326" s="230">
        <v>122087</v>
      </c>
      <c r="B1326" s="162" t="s">
        <v>1637</v>
      </c>
      <c r="C1326" s="162" t="s">
        <v>5</v>
      </c>
      <c r="D1326" s="162" t="s">
        <v>32</v>
      </c>
      <c r="E1326" s="231">
        <v>45061</v>
      </c>
      <c r="F1326" s="117">
        <v>1016.96</v>
      </c>
      <c r="G1326" s="117">
        <f>SUMIF(CONFERÊNCIA!A:A,A1326,CONFERÊNCIA!J:J)</f>
        <v>0</v>
      </c>
      <c r="H1326" s="119">
        <f t="shared" si="86"/>
        <v>-1016.96</v>
      </c>
      <c r="I1326" s="240" t="s">
        <v>1287</v>
      </c>
    </row>
    <row r="1327" spans="1:9" x14ac:dyDescent="0.25">
      <c r="A1327" s="230">
        <v>121458</v>
      </c>
      <c r="B1327" s="162" t="s">
        <v>1569</v>
      </c>
      <c r="C1327" s="162" t="s">
        <v>5</v>
      </c>
      <c r="D1327" s="162" t="s">
        <v>19</v>
      </c>
      <c r="E1327" s="231">
        <v>44967</v>
      </c>
      <c r="F1327" s="117">
        <v>1016.96</v>
      </c>
      <c r="G1327" s="117">
        <f>SUMIF(CONFERÊNCIA!A:A,A1327,CONFERÊNCIA!J:J)</f>
        <v>1016.96</v>
      </c>
      <c r="H1327" s="119">
        <f t="shared" si="86"/>
        <v>0</v>
      </c>
      <c r="I1327" s="240" t="s">
        <v>1229</v>
      </c>
    </row>
    <row r="1328" spans="1:9" x14ac:dyDescent="0.25">
      <c r="A1328" s="230">
        <v>121318</v>
      </c>
      <c r="B1328" s="162" t="s">
        <v>1538</v>
      </c>
      <c r="C1328" s="162" t="s">
        <v>2</v>
      </c>
      <c r="D1328" s="162" t="s">
        <v>10</v>
      </c>
      <c r="E1328" s="231">
        <v>44945</v>
      </c>
      <c r="F1328" s="117">
        <v>1016.96</v>
      </c>
      <c r="G1328" s="117">
        <f>SUMIF(CONFERÊNCIA!A:A,A1328,CONFERÊNCIA!J:J)</f>
        <v>1016.96</v>
      </c>
      <c r="H1328" s="119">
        <f t="shared" si="86"/>
        <v>0</v>
      </c>
      <c r="I1328" s="240" t="s">
        <v>1229</v>
      </c>
    </row>
    <row r="1329" spans="1:9" x14ac:dyDescent="0.25">
      <c r="A1329" s="230">
        <v>112678</v>
      </c>
      <c r="B1329" s="162" t="s">
        <v>334</v>
      </c>
      <c r="C1329" s="162" t="s">
        <v>5</v>
      </c>
      <c r="D1329" s="162" t="s">
        <v>0</v>
      </c>
      <c r="E1329" s="231">
        <v>43617</v>
      </c>
      <c r="F1329" s="117">
        <v>1016.96</v>
      </c>
      <c r="G1329" s="117">
        <f>SUMIF(CONFERÊNCIA!A:A,A1329,CONFERÊNCIA!J:J)</f>
        <v>1016.96</v>
      </c>
      <c r="H1329" s="119">
        <f t="shared" si="86"/>
        <v>0</v>
      </c>
      <c r="I1329" s="240" t="s">
        <v>1229</v>
      </c>
    </row>
    <row r="1330" spans="1:9" x14ac:dyDescent="0.25">
      <c r="A1330" s="230">
        <v>119753</v>
      </c>
      <c r="B1330" s="162" t="s">
        <v>1473</v>
      </c>
      <c r="C1330" s="162" t="s">
        <v>1456</v>
      </c>
      <c r="D1330" s="162" t="s">
        <v>1580</v>
      </c>
      <c r="E1330" s="231">
        <v>44734</v>
      </c>
      <c r="F1330" s="117">
        <v>657.5</v>
      </c>
      <c r="G1330" s="117">
        <f>SUMIF(CONFERÊNCIA!A:A,A1330,CONFERÊNCIA!J:J)</f>
        <v>657.5</v>
      </c>
      <c r="H1330" s="119">
        <f t="shared" si="86"/>
        <v>0</v>
      </c>
      <c r="I1330" s="240" t="s">
        <v>1229</v>
      </c>
    </row>
    <row r="1331" spans="1:9" x14ac:dyDescent="0.25">
      <c r="A1331" s="230">
        <v>122083</v>
      </c>
      <c r="B1331" s="162" t="s">
        <v>1634</v>
      </c>
      <c r="C1331" s="162" t="s">
        <v>5</v>
      </c>
      <c r="D1331" s="162" t="s">
        <v>19</v>
      </c>
      <c r="E1331" s="231">
        <v>45061</v>
      </c>
      <c r="F1331" s="117">
        <v>1016.96</v>
      </c>
      <c r="G1331" s="117">
        <f>SUMIF(CONFERÊNCIA!A:A,A1331,CONFERÊNCIA!J:J)</f>
        <v>1016.96</v>
      </c>
      <c r="H1331" s="119">
        <f t="shared" si="86"/>
        <v>0</v>
      </c>
      <c r="I1331" s="240" t="s">
        <v>1229</v>
      </c>
    </row>
    <row r="1332" spans="1:9" x14ac:dyDescent="0.25">
      <c r="A1332" s="230">
        <v>121850</v>
      </c>
      <c r="B1332" s="162" t="s">
        <v>1616</v>
      </c>
      <c r="C1332" s="162" t="s">
        <v>5</v>
      </c>
      <c r="D1332" s="162" t="s">
        <v>8</v>
      </c>
      <c r="E1332" s="231">
        <v>45022</v>
      </c>
      <c r="F1332" s="117">
        <v>1016.96</v>
      </c>
      <c r="G1332" s="117">
        <f>SUMIF(CONFERÊNCIA!A:A,A1332,CONFERÊNCIA!J:J)</f>
        <v>1016.96</v>
      </c>
      <c r="H1332" s="119">
        <f t="shared" si="86"/>
        <v>0</v>
      </c>
      <c r="I1332" s="240" t="s">
        <v>1229</v>
      </c>
    </row>
    <row r="1333" spans="1:9" x14ac:dyDescent="0.25">
      <c r="A1333" s="230">
        <v>117406</v>
      </c>
      <c r="B1333" s="162" t="s">
        <v>1268</v>
      </c>
      <c r="C1333" s="162" t="s">
        <v>2</v>
      </c>
      <c r="D1333" s="162" t="s">
        <v>10</v>
      </c>
      <c r="E1333" s="231">
        <v>44522</v>
      </c>
      <c r="F1333" s="117">
        <v>1016.96</v>
      </c>
      <c r="G1333" s="117">
        <f>SUMIF(CONFERÊNCIA!A:A,A1333,CONFERÊNCIA!J:J)</f>
        <v>1016.96</v>
      </c>
      <c r="H1333" s="119">
        <f t="shared" si="86"/>
        <v>0</v>
      </c>
      <c r="I1333" s="240" t="s">
        <v>1229</v>
      </c>
    </row>
    <row r="1334" spans="1:9" x14ac:dyDescent="0.25">
      <c r="A1334" s="230">
        <v>113016</v>
      </c>
      <c r="B1334" s="162" t="s">
        <v>544</v>
      </c>
      <c r="C1334" s="162" t="s">
        <v>15</v>
      </c>
      <c r="D1334" s="162" t="s">
        <v>1578</v>
      </c>
      <c r="E1334" s="231">
        <v>43617</v>
      </c>
      <c r="F1334" s="117">
        <v>1016.96</v>
      </c>
      <c r="G1334" s="117">
        <f>SUMIF(CONFERÊNCIA!A:A,A1334,CONFERÊNCIA!J:J)</f>
        <v>1016.96</v>
      </c>
      <c r="H1334" s="119">
        <f t="shared" si="86"/>
        <v>0</v>
      </c>
      <c r="I1334" s="240" t="s">
        <v>1229</v>
      </c>
    </row>
    <row r="1335" spans="1:9" x14ac:dyDescent="0.25">
      <c r="A1335" s="230">
        <v>113030</v>
      </c>
      <c r="B1335" s="162" t="s">
        <v>550</v>
      </c>
      <c r="C1335" s="162" t="s">
        <v>15</v>
      </c>
      <c r="D1335" s="162" t="s">
        <v>1578</v>
      </c>
      <c r="E1335" s="231">
        <v>43617</v>
      </c>
      <c r="F1335" s="117">
        <v>1016.96</v>
      </c>
      <c r="G1335" s="117">
        <f>SUMIF(CONFERÊNCIA!A:A,A1335,CONFERÊNCIA!J:J)</f>
        <v>1016.96</v>
      </c>
      <c r="H1335" s="119">
        <f t="shared" si="86"/>
        <v>0</v>
      </c>
      <c r="I1335" s="240" t="s">
        <v>1229</v>
      </c>
    </row>
    <row r="1336" spans="1:9" x14ac:dyDescent="0.25">
      <c r="A1336" s="230">
        <v>116988</v>
      </c>
      <c r="B1336" s="162" t="s">
        <v>1245</v>
      </c>
      <c r="C1336" s="162" t="s">
        <v>5</v>
      </c>
      <c r="D1336" s="162" t="s">
        <v>8</v>
      </c>
      <c r="E1336" s="231">
        <v>44419</v>
      </c>
      <c r="F1336" s="117">
        <v>902.11</v>
      </c>
      <c r="G1336" s="117">
        <f>SUMIF(CONFERÊNCIA!A:A,A1336,CONFERÊNCIA!J:J)</f>
        <v>1016.96</v>
      </c>
      <c r="H1336" s="119">
        <f t="shared" si="86"/>
        <v>114.85000000000002</v>
      </c>
      <c r="I1336" s="240" t="s">
        <v>1229</v>
      </c>
    </row>
    <row r="1337" spans="1:9" x14ac:dyDescent="0.25">
      <c r="A1337" s="230">
        <v>121951</v>
      </c>
      <c r="B1337" s="162" t="s">
        <v>1617</v>
      </c>
      <c r="C1337" s="162" t="s">
        <v>1456</v>
      </c>
      <c r="D1337" s="162" t="s">
        <v>1580</v>
      </c>
      <c r="E1337" s="231">
        <v>45040</v>
      </c>
      <c r="F1337" s="117">
        <v>657.5</v>
      </c>
      <c r="G1337" s="117">
        <f>SUMIF(CONFERÊNCIA!A:A,A1337,CONFERÊNCIA!J:J)</f>
        <v>657.5</v>
      </c>
      <c r="H1337" s="119">
        <f t="shared" si="86"/>
        <v>0</v>
      </c>
      <c r="I1337" s="240" t="s">
        <v>1229</v>
      </c>
    </row>
    <row r="1338" spans="1:9" x14ac:dyDescent="0.25">
      <c r="A1338" s="230">
        <v>116109</v>
      </c>
      <c r="B1338" s="162" t="s">
        <v>1182</v>
      </c>
      <c r="C1338" s="162" t="s">
        <v>15</v>
      </c>
      <c r="D1338" s="162" t="s">
        <v>1578</v>
      </c>
      <c r="E1338" s="231">
        <v>44236</v>
      </c>
      <c r="F1338" s="117">
        <v>1016.96</v>
      </c>
      <c r="G1338" s="117">
        <f>SUMIF(CONFERÊNCIA!A:A,A1338,CONFERÊNCIA!J:J)</f>
        <v>1016.96</v>
      </c>
      <c r="H1338" s="119">
        <f t="shared" si="86"/>
        <v>0</v>
      </c>
      <c r="I1338" s="240" t="s">
        <v>1229</v>
      </c>
    </row>
    <row r="1339" spans="1:9" x14ac:dyDescent="0.25">
      <c r="A1339" s="230">
        <v>114262</v>
      </c>
      <c r="B1339" s="162" t="s">
        <v>1024</v>
      </c>
      <c r="C1339" s="162" t="s">
        <v>5</v>
      </c>
      <c r="D1339" s="162" t="s">
        <v>0</v>
      </c>
      <c r="E1339" s="231">
        <v>43804</v>
      </c>
      <c r="F1339" s="117">
        <v>978.67000000000007</v>
      </c>
      <c r="G1339" s="117">
        <f>SUMIF(CONFERÊNCIA!A:A,A1339,CONFERÊNCIA!J:J)</f>
        <v>1016.96</v>
      </c>
      <c r="H1339" s="119">
        <f t="shared" si="86"/>
        <v>38.289999999999964</v>
      </c>
      <c r="I1339" s="240" t="s">
        <v>1229</v>
      </c>
    </row>
    <row r="1340" spans="1:9" x14ac:dyDescent="0.25">
      <c r="A1340" s="230">
        <v>122078</v>
      </c>
      <c r="B1340" s="162" t="s">
        <v>1635</v>
      </c>
      <c r="C1340" s="162" t="s">
        <v>5</v>
      </c>
      <c r="D1340" s="162" t="s">
        <v>8</v>
      </c>
      <c r="E1340" s="231">
        <v>45061</v>
      </c>
      <c r="F1340" s="117">
        <v>359.46</v>
      </c>
      <c r="G1340" s="117">
        <f>SUMIF(CONFERÊNCIA!A:A,A1340,CONFERÊNCIA!J:J)</f>
        <v>359.46</v>
      </c>
      <c r="H1340" s="119">
        <f t="shared" si="86"/>
        <v>0</v>
      </c>
      <c r="I1340" s="240" t="s">
        <v>1279</v>
      </c>
    </row>
    <row r="1341" spans="1:9" x14ac:dyDescent="0.25">
      <c r="A1341" s="230">
        <v>112730</v>
      </c>
      <c r="B1341" s="162" t="s">
        <v>369</v>
      </c>
      <c r="C1341" s="162" t="s">
        <v>5</v>
      </c>
      <c r="D1341" s="162" t="s">
        <v>0</v>
      </c>
      <c r="E1341" s="231">
        <v>43617</v>
      </c>
      <c r="F1341" s="117">
        <v>1016.96</v>
      </c>
      <c r="G1341" s="117">
        <f>SUMIF(CONFERÊNCIA!A:A,A1341,CONFERÊNCIA!J:J)</f>
        <v>0</v>
      </c>
      <c r="H1341" s="119">
        <f t="shared" si="86"/>
        <v>-1016.96</v>
      </c>
      <c r="I1341" s="240" t="s">
        <v>1287</v>
      </c>
    </row>
    <row r="1342" spans="1:9" x14ac:dyDescent="0.25">
      <c r="A1342" s="230">
        <v>116384</v>
      </c>
      <c r="B1342" s="162" t="s">
        <v>1208</v>
      </c>
      <c r="C1342" s="162" t="s">
        <v>5</v>
      </c>
      <c r="D1342" s="162" t="s">
        <v>19</v>
      </c>
      <c r="E1342" s="231">
        <v>44328</v>
      </c>
      <c r="F1342" s="117">
        <v>1016.96</v>
      </c>
      <c r="G1342" s="117">
        <f>SUMIF(CONFERÊNCIA!A:A,A1342,CONFERÊNCIA!J:J)</f>
        <v>1016.96</v>
      </c>
      <c r="H1342" s="119">
        <f t="shared" si="86"/>
        <v>0</v>
      </c>
      <c r="I1342" s="240" t="s">
        <v>1229</v>
      </c>
    </row>
    <row r="1343" spans="1:9" x14ac:dyDescent="0.25">
      <c r="A1343" s="230">
        <v>112483</v>
      </c>
      <c r="B1343" s="162" t="s">
        <v>208</v>
      </c>
      <c r="C1343" s="162" t="s">
        <v>39</v>
      </c>
      <c r="D1343" s="162" t="s">
        <v>8</v>
      </c>
      <c r="E1343" s="231">
        <v>43617</v>
      </c>
      <c r="F1343" s="117">
        <v>1016.96</v>
      </c>
      <c r="G1343" s="117">
        <f>SUMIF(CONFERÊNCIA!A:A,A1343,CONFERÊNCIA!J:J)</f>
        <v>1016.96</v>
      </c>
      <c r="H1343" s="119">
        <f t="shared" ref="H1343:H1385" si="87">G1343-F1343</f>
        <v>0</v>
      </c>
      <c r="I1343" s="240" t="s">
        <v>1229</v>
      </c>
    </row>
    <row r="1344" spans="1:9" x14ac:dyDescent="0.25">
      <c r="A1344" s="230">
        <v>112485</v>
      </c>
      <c r="B1344" s="162" t="s">
        <v>209</v>
      </c>
      <c r="C1344" s="162" t="s">
        <v>2</v>
      </c>
      <c r="D1344" s="162" t="s">
        <v>8</v>
      </c>
      <c r="E1344" s="231">
        <v>43617</v>
      </c>
      <c r="F1344" s="117">
        <v>978.67000000000007</v>
      </c>
      <c r="G1344" s="117">
        <f>SUMIF(CONFERÊNCIA!A:A,A1344,CONFERÊNCIA!J:J)</f>
        <v>978.67000000000007</v>
      </c>
      <c r="H1344" s="119">
        <f t="shared" si="87"/>
        <v>0</v>
      </c>
      <c r="I1344" s="240" t="s">
        <v>1229</v>
      </c>
    </row>
    <row r="1345" spans="1:9" x14ac:dyDescent="0.25">
      <c r="A1345" s="230">
        <v>122406</v>
      </c>
      <c r="B1345" s="162" t="s">
        <v>1697</v>
      </c>
      <c r="C1345" s="162" t="s">
        <v>5</v>
      </c>
      <c r="D1345" s="162" t="s">
        <v>1578</v>
      </c>
      <c r="E1345" s="231">
        <v>45117</v>
      </c>
      <c r="F1345" s="117">
        <v>1016.96</v>
      </c>
      <c r="G1345" s="117">
        <f>SUMIF(CONFERÊNCIA!A:A,A1345,CONFERÊNCIA!J:J)</f>
        <v>0</v>
      </c>
      <c r="H1345" s="119">
        <f t="shared" si="87"/>
        <v>-1016.96</v>
      </c>
      <c r="I1345" s="240" t="s">
        <v>1287</v>
      </c>
    </row>
    <row r="1346" spans="1:9" x14ac:dyDescent="0.25">
      <c r="A1346" s="230">
        <v>112733</v>
      </c>
      <c r="B1346" s="162" t="s">
        <v>372</v>
      </c>
      <c r="C1346" s="162" t="s">
        <v>15</v>
      </c>
      <c r="D1346" s="162" t="s">
        <v>1578</v>
      </c>
      <c r="E1346" s="231">
        <v>43617</v>
      </c>
      <c r="F1346" s="117">
        <v>1016.96</v>
      </c>
      <c r="G1346" s="117">
        <f>SUMIF(CONFERÊNCIA!A:A,A1346,CONFERÊNCIA!J:J)</f>
        <v>1016.96</v>
      </c>
      <c r="H1346" s="119">
        <f t="shared" si="87"/>
        <v>0</v>
      </c>
      <c r="I1346" s="240" t="s">
        <v>1229</v>
      </c>
    </row>
    <row r="1347" spans="1:9" x14ac:dyDescent="0.25">
      <c r="A1347" s="230">
        <v>121847</v>
      </c>
      <c r="B1347" s="162" t="s">
        <v>1618</v>
      </c>
      <c r="C1347" s="162" t="s">
        <v>5</v>
      </c>
      <c r="D1347" s="162" t="s">
        <v>32</v>
      </c>
      <c r="E1347" s="231">
        <v>45022</v>
      </c>
      <c r="F1347" s="117">
        <v>1016.96</v>
      </c>
      <c r="G1347" s="117">
        <f>SUMIF(CONFERÊNCIA!A:A,A1347,CONFERÊNCIA!J:J)</f>
        <v>1016.96</v>
      </c>
      <c r="H1347" s="119">
        <f t="shared" si="87"/>
        <v>0</v>
      </c>
      <c r="I1347" s="240" t="s">
        <v>1229</v>
      </c>
    </row>
    <row r="1348" spans="1:9" x14ac:dyDescent="0.25">
      <c r="A1348" s="230">
        <v>121460</v>
      </c>
      <c r="B1348" s="162" t="s">
        <v>1570</v>
      </c>
      <c r="C1348" s="162" t="s">
        <v>5</v>
      </c>
      <c r="D1348" s="162" t="s">
        <v>19</v>
      </c>
      <c r="E1348" s="231">
        <v>44967</v>
      </c>
      <c r="F1348" s="117">
        <v>978.67000000000007</v>
      </c>
      <c r="G1348" s="117">
        <f>SUMIF(CONFERÊNCIA!A:A,A1348,CONFERÊNCIA!J:J)</f>
        <v>978.67000000000007</v>
      </c>
      <c r="H1348" s="119">
        <f t="shared" si="87"/>
        <v>0</v>
      </c>
      <c r="I1348" s="240" t="s">
        <v>1229</v>
      </c>
    </row>
    <row r="1349" spans="1:9" x14ac:dyDescent="0.25">
      <c r="A1349" s="230">
        <v>112489</v>
      </c>
      <c r="B1349" s="162" t="s">
        <v>211</v>
      </c>
      <c r="C1349" s="162" t="s">
        <v>2</v>
      </c>
      <c r="D1349" s="162" t="s">
        <v>32</v>
      </c>
      <c r="E1349" s="231">
        <v>43617</v>
      </c>
      <c r="F1349" s="117">
        <v>1016.96</v>
      </c>
      <c r="G1349" s="117">
        <f>SUMIF(CONFERÊNCIA!A:A,A1349,CONFERÊNCIA!J:J)</f>
        <v>1016.96</v>
      </c>
      <c r="H1349" s="119">
        <f t="shared" si="87"/>
        <v>0</v>
      </c>
      <c r="I1349" s="240" t="s">
        <v>1229</v>
      </c>
    </row>
    <row r="1350" spans="1:9" x14ac:dyDescent="0.25">
      <c r="A1350" s="230">
        <v>112235</v>
      </c>
      <c r="B1350" s="162" t="s">
        <v>54</v>
      </c>
      <c r="C1350" s="162" t="s">
        <v>5</v>
      </c>
      <c r="D1350" s="162" t="s">
        <v>19</v>
      </c>
      <c r="E1350" s="231">
        <v>43617</v>
      </c>
      <c r="F1350" s="117">
        <v>1016.96</v>
      </c>
      <c r="G1350" s="117">
        <f>SUMIF(CONFERÊNCIA!A:A,A1350,CONFERÊNCIA!J:J)</f>
        <v>1016.96</v>
      </c>
      <c r="H1350" s="119">
        <f t="shared" si="87"/>
        <v>0</v>
      </c>
      <c r="I1350" s="240" t="s">
        <v>1229</v>
      </c>
    </row>
    <row r="1351" spans="1:9" x14ac:dyDescent="0.25">
      <c r="A1351" s="230">
        <v>112322</v>
      </c>
      <c r="B1351" s="162" t="s">
        <v>106</v>
      </c>
      <c r="C1351" s="162" t="s">
        <v>39</v>
      </c>
      <c r="D1351" s="162" t="s">
        <v>0</v>
      </c>
      <c r="E1351" s="231">
        <v>43617</v>
      </c>
      <c r="F1351" s="117">
        <v>1016.96</v>
      </c>
      <c r="G1351" s="117">
        <f>SUMIF(CONFERÊNCIA!A:A,A1351,CONFERÊNCIA!J:J)</f>
        <v>1016.96</v>
      </c>
      <c r="H1351" s="119">
        <f t="shared" si="87"/>
        <v>0</v>
      </c>
      <c r="I1351" s="240" t="s">
        <v>1229</v>
      </c>
    </row>
    <row r="1352" spans="1:9" x14ac:dyDescent="0.25">
      <c r="A1352" s="230">
        <v>112237</v>
      </c>
      <c r="B1352" s="162" t="s">
        <v>56</v>
      </c>
      <c r="C1352" s="162" t="s">
        <v>5</v>
      </c>
      <c r="D1352" s="162" t="s">
        <v>19</v>
      </c>
      <c r="E1352" s="231">
        <v>43617</v>
      </c>
      <c r="F1352" s="117">
        <v>1016.96</v>
      </c>
      <c r="G1352" s="117">
        <f>SUMIF(CONFERÊNCIA!A:A,A1352,CONFERÊNCIA!J:J)</f>
        <v>1016.96</v>
      </c>
      <c r="H1352" s="119">
        <f t="shared" si="87"/>
        <v>0</v>
      </c>
      <c r="I1352" s="240" t="s">
        <v>1229</v>
      </c>
    </row>
    <row r="1353" spans="1:9" x14ac:dyDescent="0.25">
      <c r="A1353" s="230">
        <v>112759</v>
      </c>
      <c r="B1353" s="162" t="s">
        <v>387</v>
      </c>
      <c r="C1353" s="162" t="s">
        <v>15</v>
      </c>
      <c r="D1353" s="162" t="s">
        <v>1578</v>
      </c>
      <c r="E1353" s="231">
        <v>43617</v>
      </c>
      <c r="F1353" s="117">
        <v>1016.96</v>
      </c>
      <c r="G1353" s="117">
        <f>SUMIF(CONFERÊNCIA!A:A,A1353,CONFERÊNCIA!J:J)</f>
        <v>1016.96</v>
      </c>
      <c r="H1353" s="119">
        <f t="shared" si="87"/>
        <v>0</v>
      </c>
      <c r="I1353" s="240" t="s">
        <v>1229</v>
      </c>
    </row>
    <row r="1354" spans="1:9" x14ac:dyDescent="0.25">
      <c r="A1354" s="230">
        <v>112329</v>
      </c>
      <c r="B1354" s="162" t="s">
        <v>111</v>
      </c>
      <c r="C1354" s="162" t="s">
        <v>5</v>
      </c>
      <c r="D1354" s="162" t="s">
        <v>10</v>
      </c>
      <c r="E1354" s="231">
        <v>43617</v>
      </c>
      <c r="F1354" s="117">
        <v>1016.96</v>
      </c>
      <c r="G1354" s="117">
        <f>SUMIF(CONFERÊNCIA!A:A,A1354,CONFERÊNCIA!J:J)</f>
        <v>1016.96</v>
      </c>
      <c r="H1354" s="119">
        <f t="shared" si="87"/>
        <v>0</v>
      </c>
      <c r="I1354" s="240" t="s">
        <v>1229</v>
      </c>
    </row>
    <row r="1355" spans="1:9" x14ac:dyDescent="0.25">
      <c r="A1355" s="230">
        <v>114127</v>
      </c>
      <c r="B1355" s="162" t="s">
        <v>1013</v>
      </c>
      <c r="C1355" s="162" t="s">
        <v>15</v>
      </c>
      <c r="D1355" s="162" t="s">
        <v>1578</v>
      </c>
      <c r="E1355" s="231">
        <v>43739</v>
      </c>
      <c r="F1355" s="117">
        <v>1016.96</v>
      </c>
      <c r="G1355" s="117">
        <f>SUMIF(CONFERÊNCIA!A:A,A1355,CONFERÊNCIA!J:J)</f>
        <v>1016.96</v>
      </c>
      <c r="H1355" s="119">
        <f t="shared" si="87"/>
        <v>0</v>
      </c>
      <c r="I1355" s="240" t="s">
        <v>1229</v>
      </c>
    </row>
    <row r="1356" spans="1:9" x14ac:dyDescent="0.25">
      <c r="A1356" s="230">
        <v>122836</v>
      </c>
      <c r="B1356" s="162" t="s">
        <v>1729</v>
      </c>
      <c r="C1356" s="162" t="s">
        <v>5</v>
      </c>
      <c r="D1356" s="162" t="s">
        <v>0</v>
      </c>
      <c r="E1356" s="231">
        <v>45180</v>
      </c>
      <c r="F1356" s="117">
        <v>0</v>
      </c>
      <c r="G1356" s="117">
        <f>SUMIF(CONFERÊNCIA!A:A,A1356,CONFERÊNCIA!J:J)</f>
        <v>1016.96</v>
      </c>
      <c r="H1356" s="119">
        <f t="shared" si="87"/>
        <v>1016.96</v>
      </c>
      <c r="I1356" s="240" t="s">
        <v>1231</v>
      </c>
    </row>
    <row r="1357" spans="1:9" x14ac:dyDescent="0.25">
      <c r="A1357" s="230">
        <v>114939</v>
      </c>
      <c r="B1357" s="162" t="s">
        <v>1119</v>
      </c>
      <c r="C1357" s="162" t="s">
        <v>5</v>
      </c>
      <c r="D1357" s="162" t="s">
        <v>1578</v>
      </c>
      <c r="E1357" s="231">
        <v>43916</v>
      </c>
      <c r="F1357" s="117">
        <v>1016.96</v>
      </c>
      <c r="G1357" s="117">
        <f>SUMIF(CONFERÊNCIA!A:A,A1357,CONFERÊNCIA!J:J)</f>
        <v>1016.96</v>
      </c>
      <c r="H1357" s="119">
        <f t="shared" si="87"/>
        <v>0</v>
      </c>
      <c r="I1357" s="240" t="s">
        <v>1229</v>
      </c>
    </row>
    <row r="1358" spans="1:9" x14ac:dyDescent="0.25">
      <c r="A1358" s="230">
        <v>113034</v>
      </c>
      <c r="B1358" s="162" t="s">
        <v>552</v>
      </c>
      <c r="C1358" s="162" t="s">
        <v>15</v>
      </c>
      <c r="D1358" s="162" t="s">
        <v>1578</v>
      </c>
      <c r="E1358" s="231">
        <v>43617</v>
      </c>
      <c r="F1358" s="117">
        <v>1016.96</v>
      </c>
      <c r="G1358" s="117">
        <f>SUMIF(CONFERÊNCIA!A:A,A1358,CONFERÊNCIA!J:J)</f>
        <v>1016.96</v>
      </c>
      <c r="H1358" s="119">
        <f t="shared" si="87"/>
        <v>0</v>
      </c>
      <c r="I1358" s="240" t="s">
        <v>1229</v>
      </c>
    </row>
    <row r="1359" spans="1:9" x14ac:dyDescent="0.25">
      <c r="A1359" s="230">
        <v>112498</v>
      </c>
      <c r="B1359" s="162" t="s">
        <v>217</v>
      </c>
      <c r="C1359" s="162" t="s">
        <v>2</v>
      </c>
      <c r="D1359" s="162" t="s">
        <v>8</v>
      </c>
      <c r="E1359" s="231">
        <v>43617</v>
      </c>
      <c r="F1359" s="117">
        <v>1016.96</v>
      </c>
      <c r="G1359" s="117">
        <f>SUMIF(CONFERÊNCIA!A:A,A1359,CONFERÊNCIA!J:J)</f>
        <v>1016.96</v>
      </c>
      <c r="H1359" s="119">
        <f t="shared" si="87"/>
        <v>0</v>
      </c>
      <c r="I1359" s="240" t="s">
        <v>1229</v>
      </c>
    </row>
    <row r="1360" spans="1:9" x14ac:dyDescent="0.25">
      <c r="A1360" s="230">
        <v>112776</v>
      </c>
      <c r="B1360" s="162" t="s">
        <v>400</v>
      </c>
      <c r="C1360" s="162" t="s">
        <v>2</v>
      </c>
      <c r="D1360" s="162" t="s">
        <v>0</v>
      </c>
      <c r="E1360" s="231">
        <v>43617</v>
      </c>
      <c r="F1360" s="117">
        <v>1016.96</v>
      </c>
      <c r="G1360" s="117">
        <f>SUMIF(CONFERÊNCIA!A:A,A1360,CONFERÊNCIA!J:J)</f>
        <v>1016.96</v>
      </c>
      <c r="H1360" s="119">
        <f t="shared" si="87"/>
        <v>0</v>
      </c>
      <c r="I1360" s="240" t="s">
        <v>1229</v>
      </c>
    </row>
    <row r="1361" spans="1:9" x14ac:dyDescent="0.25">
      <c r="A1361" s="230">
        <v>112504</v>
      </c>
      <c r="B1361" s="162" t="s">
        <v>222</v>
      </c>
      <c r="C1361" s="162" t="s">
        <v>2</v>
      </c>
      <c r="D1361" s="162" t="s">
        <v>8</v>
      </c>
      <c r="E1361" s="231">
        <v>43617</v>
      </c>
      <c r="F1361" s="117">
        <v>1016.96</v>
      </c>
      <c r="G1361" s="117">
        <f>SUMIF(CONFERÊNCIA!A:A,A1361,CONFERÊNCIA!J:J)</f>
        <v>1016.96</v>
      </c>
      <c r="H1361" s="119">
        <f t="shared" si="87"/>
        <v>0</v>
      </c>
      <c r="I1361" s="240" t="s">
        <v>1229</v>
      </c>
    </row>
    <row r="1362" spans="1:9" x14ac:dyDescent="0.25">
      <c r="A1362" s="230">
        <v>112507</v>
      </c>
      <c r="B1362" s="162" t="s">
        <v>225</v>
      </c>
      <c r="C1362" s="162" t="s">
        <v>2</v>
      </c>
      <c r="D1362" s="162" t="s">
        <v>8</v>
      </c>
      <c r="E1362" s="231">
        <v>43617</v>
      </c>
      <c r="F1362" s="117">
        <v>1016.96</v>
      </c>
      <c r="G1362" s="117">
        <f>SUMIF(CONFERÊNCIA!A:A,A1362,CONFERÊNCIA!J:J)</f>
        <v>1016.96</v>
      </c>
      <c r="H1362" s="119">
        <f t="shared" si="87"/>
        <v>0</v>
      </c>
      <c r="I1362" s="240" t="s">
        <v>1229</v>
      </c>
    </row>
    <row r="1363" spans="1:9" x14ac:dyDescent="0.25">
      <c r="A1363" s="230">
        <v>114751</v>
      </c>
      <c r="B1363" s="162" t="s">
        <v>1091</v>
      </c>
      <c r="C1363" s="162" t="s">
        <v>2</v>
      </c>
      <c r="D1363" s="162" t="s">
        <v>0</v>
      </c>
      <c r="E1363" s="231">
        <v>43874</v>
      </c>
      <c r="F1363" s="117">
        <v>1016.96</v>
      </c>
      <c r="G1363" s="117">
        <f>SUMIF(CONFERÊNCIA!A:A,A1363,CONFERÊNCIA!J:J)</f>
        <v>1016.96</v>
      </c>
      <c r="H1363" s="119">
        <f t="shared" si="87"/>
        <v>0</v>
      </c>
      <c r="I1363" s="240" t="s">
        <v>1229</v>
      </c>
    </row>
    <row r="1364" spans="1:9" x14ac:dyDescent="0.25">
      <c r="A1364" s="230">
        <v>112331</v>
      </c>
      <c r="B1364" s="162" t="s">
        <v>113</v>
      </c>
      <c r="C1364" s="162" t="s">
        <v>2</v>
      </c>
      <c r="D1364" s="162" t="s">
        <v>10</v>
      </c>
      <c r="E1364" s="231">
        <v>43617</v>
      </c>
      <c r="F1364" s="117">
        <v>1016.96</v>
      </c>
      <c r="G1364" s="117">
        <f>SUMIF(CONFERÊNCIA!A:A,A1364,CONFERÊNCIA!J:J)</f>
        <v>1016.96</v>
      </c>
      <c r="H1364" s="119">
        <f t="shared" si="87"/>
        <v>0</v>
      </c>
      <c r="I1364" s="240" t="s">
        <v>1229</v>
      </c>
    </row>
    <row r="1365" spans="1:9" x14ac:dyDescent="0.25">
      <c r="A1365" s="230">
        <v>112512</v>
      </c>
      <c r="B1365" s="162" t="s">
        <v>229</v>
      </c>
      <c r="C1365" s="162" t="s">
        <v>5</v>
      </c>
      <c r="D1365" s="162" t="s">
        <v>8</v>
      </c>
      <c r="E1365" s="231">
        <v>43617</v>
      </c>
      <c r="F1365" s="117">
        <v>1016.96</v>
      </c>
      <c r="G1365" s="117">
        <f>SUMIF(CONFERÊNCIA!A:A,A1365,CONFERÊNCIA!J:J)</f>
        <v>1016.96</v>
      </c>
      <c r="H1365" s="119">
        <f t="shared" si="87"/>
        <v>0</v>
      </c>
      <c r="I1365" s="240" t="s">
        <v>1229</v>
      </c>
    </row>
    <row r="1366" spans="1:9" x14ac:dyDescent="0.25">
      <c r="A1366" s="230">
        <v>112779</v>
      </c>
      <c r="B1366" s="162" t="s">
        <v>402</v>
      </c>
      <c r="C1366" s="162" t="s">
        <v>5</v>
      </c>
      <c r="D1366" s="162" t="s">
        <v>1578</v>
      </c>
      <c r="E1366" s="231">
        <v>43617</v>
      </c>
      <c r="F1366" s="117">
        <v>1016.96</v>
      </c>
      <c r="G1366" s="117">
        <f>SUMIF(CONFERÊNCIA!A:A,A1366,CONFERÊNCIA!J:J)</f>
        <v>1016.96</v>
      </c>
      <c r="H1366" s="119">
        <f t="shared" si="87"/>
        <v>0</v>
      </c>
      <c r="I1366" s="240" t="s">
        <v>1229</v>
      </c>
    </row>
    <row r="1367" spans="1:9" x14ac:dyDescent="0.25">
      <c r="A1367" s="230">
        <v>112782</v>
      </c>
      <c r="B1367" s="162" t="s">
        <v>405</v>
      </c>
      <c r="C1367" s="162" t="s">
        <v>5</v>
      </c>
      <c r="D1367" s="162" t="s">
        <v>0</v>
      </c>
      <c r="E1367" s="231">
        <v>43617</v>
      </c>
      <c r="F1367" s="117">
        <v>1016.96</v>
      </c>
      <c r="G1367" s="117">
        <f>SUMIF(CONFERÊNCIA!A:A,A1367,CONFERÊNCIA!J:J)</f>
        <v>1016.96</v>
      </c>
      <c r="H1367" s="119">
        <f t="shared" si="87"/>
        <v>0</v>
      </c>
      <c r="I1367" s="240" t="s">
        <v>1229</v>
      </c>
    </row>
    <row r="1368" spans="1:9" x14ac:dyDescent="0.25">
      <c r="A1368" s="230">
        <v>112786</v>
      </c>
      <c r="B1368" s="162" t="s">
        <v>408</v>
      </c>
      <c r="C1368" s="162" t="s">
        <v>5</v>
      </c>
      <c r="D1368" s="162" t="s">
        <v>0</v>
      </c>
      <c r="E1368" s="231">
        <v>43617</v>
      </c>
      <c r="F1368" s="117">
        <v>1016.96</v>
      </c>
      <c r="G1368" s="117">
        <f>SUMIF(CONFERÊNCIA!A:A,A1368,CONFERÊNCIA!J:J)</f>
        <v>1016.96</v>
      </c>
      <c r="H1368" s="119">
        <f t="shared" si="87"/>
        <v>0</v>
      </c>
      <c r="I1368" s="240" t="s">
        <v>1229</v>
      </c>
    </row>
    <row r="1369" spans="1:9" x14ac:dyDescent="0.25">
      <c r="A1369" s="230">
        <v>122828</v>
      </c>
      <c r="B1369" s="162" t="s">
        <v>1730</v>
      </c>
      <c r="C1369" s="162" t="s">
        <v>5</v>
      </c>
      <c r="D1369" s="162" t="s">
        <v>8</v>
      </c>
      <c r="E1369" s="231">
        <v>45180</v>
      </c>
      <c r="F1369" s="117">
        <v>0</v>
      </c>
      <c r="G1369" s="117">
        <f>SUMIF(CONFERÊNCIA!A:A,A1369,CONFERÊNCIA!J:J)</f>
        <v>1016.96</v>
      </c>
      <c r="H1369" s="119">
        <f t="shared" si="87"/>
        <v>1016.96</v>
      </c>
      <c r="I1369" s="240" t="s">
        <v>1231</v>
      </c>
    </row>
    <row r="1370" spans="1:9" x14ac:dyDescent="0.25">
      <c r="A1370" s="230">
        <v>116133</v>
      </c>
      <c r="B1370" s="162" t="s">
        <v>1187</v>
      </c>
      <c r="C1370" s="162" t="s">
        <v>205</v>
      </c>
      <c r="D1370" s="162" t="s">
        <v>1578</v>
      </c>
      <c r="E1370" s="231">
        <v>44249</v>
      </c>
      <c r="F1370" s="117">
        <v>1016.96</v>
      </c>
      <c r="G1370" s="117">
        <f>SUMIF(CONFERÊNCIA!A:A,A1370,CONFERÊNCIA!J:J)</f>
        <v>1016.96</v>
      </c>
      <c r="H1370" s="119">
        <f t="shared" si="87"/>
        <v>0</v>
      </c>
      <c r="I1370" s="240" t="s">
        <v>1229</v>
      </c>
    </row>
    <row r="1371" spans="1:9" x14ac:dyDescent="0.25">
      <c r="A1371" s="230">
        <v>112332</v>
      </c>
      <c r="B1371" s="162" t="s">
        <v>114</v>
      </c>
      <c r="C1371" s="162" t="s">
        <v>2</v>
      </c>
      <c r="D1371" s="162" t="s">
        <v>10</v>
      </c>
      <c r="E1371" s="231">
        <v>43617</v>
      </c>
      <c r="F1371" s="117">
        <v>1016.96</v>
      </c>
      <c r="G1371" s="117">
        <f>SUMIF(CONFERÊNCIA!A:A,A1371,CONFERÊNCIA!J:J)</f>
        <v>1016.96</v>
      </c>
      <c r="H1371" s="119">
        <f t="shared" si="87"/>
        <v>0</v>
      </c>
      <c r="I1371" s="240" t="s">
        <v>1229</v>
      </c>
    </row>
    <row r="1372" spans="1:9" x14ac:dyDescent="0.25">
      <c r="A1372" s="230">
        <v>112566</v>
      </c>
      <c r="B1372" s="162" t="s">
        <v>268</v>
      </c>
      <c r="C1372" s="162" t="s">
        <v>2</v>
      </c>
      <c r="D1372" s="162" t="s">
        <v>8</v>
      </c>
      <c r="E1372" s="231">
        <v>43617</v>
      </c>
      <c r="F1372" s="117">
        <v>1016.96</v>
      </c>
      <c r="G1372" s="117">
        <f>SUMIF(CONFERÊNCIA!A:A,A1372,CONFERÊNCIA!J:J)</f>
        <v>1016.96</v>
      </c>
      <c r="H1372" s="119">
        <f t="shared" si="87"/>
        <v>0</v>
      </c>
      <c r="I1372" s="240" t="s">
        <v>1229</v>
      </c>
    </row>
    <row r="1373" spans="1:9" x14ac:dyDescent="0.25">
      <c r="A1373" s="230">
        <v>112569</v>
      </c>
      <c r="B1373" s="162" t="s">
        <v>271</v>
      </c>
      <c r="C1373" s="162" t="s">
        <v>2</v>
      </c>
      <c r="D1373" s="162" t="s">
        <v>8</v>
      </c>
      <c r="E1373" s="231">
        <v>43617</v>
      </c>
      <c r="F1373" s="117">
        <v>1016.96</v>
      </c>
      <c r="G1373" s="117">
        <f>SUMIF(CONFERÊNCIA!A:A,A1373,CONFERÊNCIA!J:J)</f>
        <v>1016.96</v>
      </c>
      <c r="H1373" s="119">
        <f t="shared" si="87"/>
        <v>0</v>
      </c>
      <c r="I1373" s="240" t="s">
        <v>1230</v>
      </c>
    </row>
    <row r="1374" spans="1:9" x14ac:dyDescent="0.25">
      <c r="A1374" s="230">
        <v>114124</v>
      </c>
      <c r="B1374" s="162" t="s">
        <v>1011</v>
      </c>
      <c r="C1374" s="162" t="s">
        <v>15</v>
      </c>
      <c r="D1374" s="162" t="s">
        <v>1578</v>
      </c>
      <c r="E1374" s="231">
        <v>43739</v>
      </c>
      <c r="F1374" s="117">
        <v>1016.96</v>
      </c>
      <c r="G1374" s="117">
        <f>SUMIF(CONFERÊNCIA!A:A,A1374,CONFERÊNCIA!J:J)</f>
        <v>1016.96</v>
      </c>
      <c r="H1374" s="119">
        <f t="shared" si="87"/>
        <v>0</v>
      </c>
      <c r="I1374" s="240" t="s">
        <v>1229</v>
      </c>
    </row>
    <row r="1375" spans="1:9" x14ac:dyDescent="0.25">
      <c r="A1375" s="230">
        <v>112814</v>
      </c>
      <c r="B1375" s="162" t="s">
        <v>429</v>
      </c>
      <c r="C1375" s="162" t="s">
        <v>2</v>
      </c>
      <c r="D1375" s="162" t="s">
        <v>0</v>
      </c>
      <c r="E1375" s="231">
        <v>43617</v>
      </c>
      <c r="F1375" s="117">
        <v>1016.96</v>
      </c>
      <c r="G1375" s="117">
        <f>SUMIF(CONFERÊNCIA!A:A,A1375,CONFERÊNCIA!J:J)</f>
        <v>1016.96</v>
      </c>
      <c r="H1375" s="119">
        <f t="shared" si="87"/>
        <v>0</v>
      </c>
      <c r="I1375" s="240" t="s">
        <v>1229</v>
      </c>
    </row>
    <row r="1376" spans="1:9" x14ac:dyDescent="0.25">
      <c r="A1376" s="230">
        <v>112573</v>
      </c>
      <c r="B1376" s="162" t="s">
        <v>272</v>
      </c>
      <c r="C1376" s="162" t="s">
        <v>5</v>
      </c>
      <c r="D1376" s="162" t="s">
        <v>32</v>
      </c>
      <c r="E1376" s="231">
        <v>43617</v>
      </c>
      <c r="F1376" s="117">
        <v>1016.96</v>
      </c>
      <c r="G1376" s="117">
        <f>SUMIF(CONFERÊNCIA!A:A,A1376,CONFERÊNCIA!J:J)</f>
        <v>1016.96</v>
      </c>
      <c r="H1376" s="119">
        <f t="shared" si="87"/>
        <v>0</v>
      </c>
      <c r="I1376" s="240" t="s">
        <v>1229</v>
      </c>
    </row>
    <row r="1377" spans="1:9" x14ac:dyDescent="0.25">
      <c r="A1377" s="230">
        <v>112242</v>
      </c>
      <c r="B1377" s="162" t="s">
        <v>59</v>
      </c>
      <c r="C1377" s="162" t="s">
        <v>5</v>
      </c>
      <c r="D1377" s="162" t="s">
        <v>10</v>
      </c>
      <c r="E1377" s="231">
        <v>43617</v>
      </c>
      <c r="F1377" s="117">
        <v>1016.96</v>
      </c>
      <c r="G1377" s="117">
        <f>SUMIF(CONFERÊNCIA!A:A,A1377,CONFERÊNCIA!J:J)</f>
        <v>1016.96</v>
      </c>
      <c r="H1377" s="119">
        <f t="shared" si="87"/>
        <v>0</v>
      </c>
      <c r="I1377" s="240" t="s">
        <v>1229</v>
      </c>
    </row>
    <row r="1378" spans="1:9" x14ac:dyDescent="0.25">
      <c r="A1378" s="230">
        <v>112795</v>
      </c>
      <c r="B1378" s="162" t="s">
        <v>414</v>
      </c>
      <c r="C1378" s="162" t="s">
        <v>415</v>
      </c>
      <c r="D1378" s="162" t="s">
        <v>1578</v>
      </c>
      <c r="E1378" s="231">
        <v>43617</v>
      </c>
      <c r="F1378" s="117">
        <v>1016.96</v>
      </c>
      <c r="G1378" s="117">
        <f>SUMIF(CONFERÊNCIA!A:A,A1378,CONFERÊNCIA!J:J)</f>
        <v>1016.96</v>
      </c>
      <c r="H1378" s="119">
        <f t="shared" si="87"/>
        <v>0</v>
      </c>
      <c r="I1378" s="240" t="s">
        <v>1229</v>
      </c>
    </row>
    <row r="1379" spans="1:9" x14ac:dyDescent="0.25">
      <c r="A1379" s="230">
        <v>112333</v>
      </c>
      <c r="B1379" s="162" t="s">
        <v>115</v>
      </c>
      <c r="C1379" s="162" t="s">
        <v>2</v>
      </c>
      <c r="D1379" s="162" t="s">
        <v>8</v>
      </c>
      <c r="E1379" s="231">
        <v>43617</v>
      </c>
      <c r="F1379" s="117">
        <v>1016.96</v>
      </c>
      <c r="G1379" s="117">
        <f>SUMIF(CONFERÊNCIA!A:A,A1379,CONFERÊNCIA!J:J)</f>
        <v>1016.96</v>
      </c>
      <c r="H1379" s="119">
        <f t="shared" si="87"/>
        <v>0</v>
      </c>
      <c r="I1379" s="240" t="s">
        <v>1229</v>
      </c>
    </row>
    <row r="1380" spans="1:9" x14ac:dyDescent="0.25">
      <c r="A1380" s="230">
        <v>116111</v>
      </c>
      <c r="B1380" s="162" t="s">
        <v>1184</v>
      </c>
      <c r="C1380" s="162" t="s">
        <v>15</v>
      </c>
      <c r="D1380" s="162" t="s">
        <v>1578</v>
      </c>
      <c r="E1380" s="231">
        <v>44236</v>
      </c>
      <c r="F1380" s="117">
        <v>1016.96</v>
      </c>
      <c r="G1380" s="117">
        <f>SUMIF(CONFERÊNCIA!A:A,A1380,CONFERÊNCIA!J:J)</f>
        <v>1016.96</v>
      </c>
      <c r="H1380" s="119">
        <f t="shared" si="87"/>
        <v>0</v>
      </c>
      <c r="I1380" s="240" t="s">
        <v>1229</v>
      </c>
    </row>
    <row r="1381" spans="1:9" x14ac:dyDescent="0.25">
      <c r="A1381" s="230">
        <v>113725</v>
      </c>
      <c r="B1381" s="162" t="s">
        <v>940</v>
      </c>
      <c r="C1381" s="162" t="s">
        <v>941</v>
      </c>
      <c r="D1381" s="162" t="s">
        <v>1578</v>
      </c>
      <c r="E1381" s="231">
        <v>43619</v>
      </c>
      <c r="F1381" s="117">
        <v>1016.96</v>
      </c>
      <c r="G1381" s="117">
        <f>SUMIF(CONFERÊNCIA!A:A,A1381,CONFERÊNCIA!J:J)</f>
        <v>1016.96</v>
      </c>
      <c r="H1381" s="119">
        <f t="shared" si="87"/>
        <v>0</v>
      </c>
      <c r="I1381" s="240" t="s">
        <v>1229</v>
      </c>
    </row>
    <row r="1382" spans="1:9" x14ac:dyDescent="0.25">
      <c r="A1382" s="230">
        <v>112579</v>
      </c>
      <c r="B1382" s="162" t="s">
        <v>276</v>
      </c>
      <c r="C1382" s="162" t="s">
        <v>2</v>
      </c>
      <c r="D1382" s="162" t="s">
        <v>19</v>
      </c>
      <c r="E1382" s="231">
        <v>43617</v>
      </c>
      <c r="F1382" s="117">
        <v>1016.96</v>
      </c>
      <c r="G1382" s="117">
        <f>SUMIF(CONFERÊNCIA!A:A,A1382,CONFERÊNCIA!J:J)</f>
        <v>1016.96</v>
      </c>
      <c r="H1382" s="119">
        <f t="shared" si="87"/>
        <v>0</v>
      </c>
      <c r="I1382" s="240" t="s">
        <v>1229</v>
      </c>
    </row>
    <row r="1383" spans="1:9" x14ac:dyDescent="0.25">
      <c r="A1383" s="230">
        <v>112820</v>
      </c>
      <c r="B1383" s="162" t="s">
        <v>433</v>
      </c>
      <c r="C1383" s="162" t="s">
        <v>22</v>
      </c>
      <c r="D1383" s="162" t="s">
        <v>1578</v>
      </c>
      <c r="E1383" s="231">
        <v>43617</v>
      </c>
      <c r="F1383" s="117">
        <v>1016.96</v>
      </c>
      <c r="G1383" s="117">
        <f>SUMIF(CONFERÊNCIA!A:A,A1383,CONFERÊNCIA!J:J)</f>
        <v>1016.96</v>
      </c>
      <c r="H1383" s="119">
        <f t="shared" si="87"/>
        <v>0</v>
      </c>
      <c r="I1383" s="240" t="s">
        <v>1230</v>
      </c>
    </row>
    <row r="1384" spans="1:9" x14ac:dyDescent="0.25">
      <c r="A1384" s="230">
        <v>113041</v>
      </c>
      <c r="B1384" s="162" t="s">
        <v>555</v>
      </c>
      <c r="C1384" s="162" t="s">
        <v>15</v>
      </c>
      <c r="D1384" s="162" t="s">
        <v>1578</v>
      </c>
      <c r="E1384" s="231">
        <v>43617</v>
      </c>
      <c r="F1384" s="117">
        <v>1016.96</v>
      </c>
      <c r="G1384" s="117">
        <f>SUMIF(CONFERÊNCIA!A:A,A1384,CONFERÊNCIA!J:J)</f>
        <v>1016.96</v>
      </c>
      <c r="H1384" s="119">
        <f t="shared" si="87"/>
        <v>0</v>
      </c>
      <c r="I1384" s="240" t="s">
        <v>1229</v>
      </c>
    </row>
    <row r="1385" spans="1:9" x14ac:dyDescent="0.25">
      <c r="A1385" s="230">
        <v>112801</v>
      </c>
      <c r="B1385" s="162" t="s">
        <v>419</v>
      </c>
      <c r="C1385" s="162" t="s">
        <v>412</v>
      </c>
      <c r="D1385" s="162" t="s">
        <v>1578</v>
      </c>
      <c r="E1385" s="231">
        <v>43617</v>
      </c>
      <c r="F1385" s="117">
        <v>1016.96</v>
      </c>
      <c r="G1385" s="117">
        <f>SUMIF(CONFERÊNCIA!A:A,A1385,CONFERÊNCIA!J:J)</f>
        <v>1016.96</v>
      </c>
      <c r="H1385" s="119">
        <f t="shared" si="87"/>
        <v>0</v>
      </c>
      <c r="I1385" s="240" t="s">
        <v>1229</v>
      </c>
    </row>
    <row r="1386" spans="1:9" x14ac:dyDescent="0.25">
      <c r="A1386" s="230">
        <v>114941</v>
      </c>
      <c r="B1386" s="162" t="s">
        <v>1698</v>
      </c>
      <c r="C1386" s="162" t="s">
        <v>5</v>
      </c>
      <c r="D1386" s="162" t="s">
        <v>1578</v>
      </c>
      <c r="E1386" s="231">
        <v>43916</v>
      </c>
      <c r="F1386" s="117">
        <v>1016.96</v>
      </c>
      <c r="G1386" s="117">
        <f>SUMIF(CONFERÊNCIA!A:A,A1386,CONFERÊNCIA!J:J)</f>
        <v>1016.96</v>
      </c>
      <c r="H1386" s="119">
        <f t="shared" ref="H1386:H1421" si="88">G1386-F1386</f>
        <v>0</v>
      </c>
      <c r="I1386" s="240" t="s">
        <v>1229</v>
      </c>
    </row>
    <row r="1387" spans="1:9" x14ac:dyDescent="0.25">
      <c r="A1387" s="230">
        <v>119342</v>
      </c>
      <c r="B1387" s="162" t="s">
        <v>1451</v>
      </c>
      <c r="C1387" s="162" t="s">
        <v>985</v>
      </c>
      <c r="D1387" s="162" t="s">
        <v>1578</v>
      </c>
      <c r="E1387" s="231">
        <v>44678</v>
      </c>
      <c r="F1387" s="117">
        <v>1016.96</v>
      </c>
      <c r="G1387" s="117">
        <f>SUMIF(CONFERÊNCIA!A:A,A1387,CONFERÊNCIA!J:J)</f>
        <v>1016.96</v>
      </c>
      <c r="H1387" s="119">
        <f t="shared" si="88"/>
        <v>0</v>
      </c>
      <c r="I1387" s="240" t="s">
        <v>1229</v>
      </c>
    </row>
    <row r="1388" spans="1:9" x14ac:dyDescent="0.25">
      <c r="A1388" s="230">
        <v>114004</v>
      </c>
      <c r="B1388" s="162" t="s">
        <v>994</v>
      </c>
      <c r="C1388" s="162" t="s">
        <v>933</v>
      </c>
      <c r="D1388" s="162" t="s">
        <v>1578</v>
      </c>
      <c r="E1388" s="231">
        <v>43696</v>
      </c>
      <c r="F1388" s="117">
        <v>1016.96</v>
      </c>
      <c r="G1388" s="117">
        <f>SUMIF(CONFERÊNCIA!A:A,A1388,CONFERÊNCIA!J:J)</f>
        <v>1016.96</v>
      </c>
      <c r="H1388" s="119">
        <f t="shared" si="88"/>
        <v>0</v>
      </c>
      <c r="I1388" s="240" t="s">
        <v>1229</v>
      </c>
    </row>
    <row r="1389" spans="1:9" x14ac:dyDescent="0.25">
      <c r="A1389" s="230">
        <v>112873</v>
      </c>
      <c r="B1389" s="162" t="s">
        <v>465</v>
      </c>
      <c r="C1389" s="162" t="s">
        <v>2</v>
      </c>
      <c r="D1389" s="162" t="s">
        <v>0</v>
      </c>
      <c r="E1389" s="231">
        <v>43617</v>
      </c>
      <c r="F1389" s="117">
        <v>1016.96</v>
      </c>
      <c r="G1389" s="117">
        <f>SUMIF(CONFERÊNCIA!A:A,A1389,CONFERÊNCIA!J:J)</f>
        <v>1016.96</v>
      </c>
      <c r="H1389" s="119">
        <f t="shared" si="88"/>
        <v>0</v>
      </c>
      <c r="I1389" s="240" t="s">
        <v>1229</v>
      </c>
    </row>
    <row r="1390" spans="1:9" x14ac:dyDescent="0.25">
      <c r="A1390" s="230">
        <v>116322</v>
      </c>
      <c r="B1390" s="162" t="s">
        <v>1203</v>
      </c>
      <c r="C1390" s="162" t="s">
        <v>5</v>
      </c>
      <c r="D1390" s="162" t="s">
        <v>8</v>
      </c>
      <c r="E1390" s="231">
        <v>44308</v>
      </c>
      <c r="F1390" s="117">
        <v>1016.96</v>
      </c>
      <c r="G1390" s="117">
        <f>SUMIF(CONFERÊNCIA!A:A,A1390,CONFERÊNCIA!J:J)</f>
        <v>1016.96</v>
      </c>
      <c r="H1390" s="119">
        <f t="shared" si="88"/>
        <v>0</v>
      </c>
      <c r="I1390" s="240" t="s">
        <v>1229</v>
      </c>
    </row>
    <row r="1391" spans="1:9" x14ac:dyDescent="0.25">
      <c r="A1391" s="230">
        <v>119118</v>
      </c>
      <c r="B1391" s="162" t="s">
        <v>1443</v>
      </c>
      <c r="C1391" s="162" t="s">
        <v>5</v>
      </c>
      <c r="D1391" s="162" t="s">
        <v>32</v>
      </c>
      <c r="E1391" s="231">
        <v>44630</v>
      </c>
      <c r="F1391" s="117">
        <v>1016.96</v>
      </c>
      <c r="G1391" s="117">
        <f>SUMIF(CONFERÊNCIA!A:A,A1391,CONFERÊNCIA!J:J)</f>
        <v>1016.96</v>
      </c>
      <c r="H1391" s="119">
        <f t="shared" si="88"/>
        <v>0</v>
      </c>
      <c r="I1391" s="240" t="s">
        <v>1229</v>
      </c>
    </row>
    <row r="1392" spans="1:9" x14ac:dyDescent="0.25">
      <c r="A1392" s="230">
        <v>116653</v>
      </c>
      <c r="B1392" s="162" t="s">
        <v>954</v>
      </c>
      <c r="C1392" s="162" t="s">
        <v>955</v>
      </c>
      <c r="D1392" s="162" t="s">
        <v>1246</v>
      </c>
      <c r="E1392" s="231">
        <v>44370</v>
      </c>
      <c r="F1392" s="117">
        <v>1016.96</v>
      </c>
      <c r="G1392" s="117">
        <f>SUMIF(CONFERÊNCIA!A:A,A1392,CONFERÊNCIA!J:J)</f>
        <v>1016.96</v>
      </c>
      <c r="H1392" s="119">
        <f t="shared" si="88"/>
        <v>0</v>
      </c>
      <c r="I1392" s="240" t="s">
        <v>1229</v>
      </c>
    </row>
    <row r="1393" spans="1:9" x14ac:dyDescent="0.25">
      <c r="A1393" s="230">
        <v>121952</v>
      </c>
      <c r="B1393" s="162" t="s">
        <v>1619</v>
      </c>
      <c r="C1393" s="162" t="s">
        <v>1456</v>
      </c>
      <c r="D1393" s="162" t="s">
        <v>1580</v>
      </c>
      <c r="E1393" s="231">
        <v>45040</v>
      </c>
      <c r="F1393" s="117">
        <v>657.5</v>
      </c>
      <c r="G1393" s="117">
        <f>SUMIF(CONFERÊNCIA!A:A,A1393,CONFERÊNCIA!J:J)</f>
        <v>657.5</v>
      </c>
      <c r="H1393" s="119">
        <f t="shared" si="88"/>
        <v>0</v>
      </c>
      <c r="I1393" s="240" t="s">
        <v>1229</v>
      </c>
    </row>
    <row r="1394" spans="1:9" x14ac:dyDescent="0.25">
      <c r="A1394" s="230">
        <v>114039</v>
      </c>
      <c r="B1394" s="162" t="s">
        <v>998</v>
      </c>
      <c r="C1394" s="162" t="s">
        <v>5</v>
      </c>
      <c r="D1394" s="162" t="s">
        <v>8</v>
      </c>
      <c r="E1394" s="231">
        <v>43712</v>
      </c>
      <c r="F1394" s="117">
        <v>1016.96</v>
      </c>
      <c r="G1394" s="117">
        <f>SUMIF(CONFERÊNCIA!A:A,A1394,CONFERÊNCIA!J:J)</f>
        <v>978.67000000000007</v>
      </c>
      <c r="H1394" s="119">
        <f t="shared" si="88"/>
        <v>-38.289999999999964</v>
      </c>
      <c r="I1394" s="240" t="s">
        <v>1229</v>
      </c>
    </row>
    <row r="1395" spans="1:9" x14ac:dyDescent="0.25">
      <c r="A1395" s="230">
        <v>114404</v>
      </c>
      <c r="B1395" s="162" t="s">
        <v>1035</v>
      </c>
      <c r="C1395" s="162" t="s">
        <v>5</v>
      </c>
      <c r="D1395" s="162" t="s">
        <v>0</v>
      </c>
      <c r="E1395" s="231">
        <v>43811</v>
      </c>
      <c r="F1395" s="117">
        <v>1016.96</v>
      </c>
      <c r="G1395" s="117">
        <f>SUMIF(CONFERÊNCIA!A:A,A1395,CONFERÊNCIA!J:J)</f>
        <v>1016.96</v>
      </c>
      <c r="H1395" s="119">
        <f t="shared" si="88"/>
        <v>0</v>
      </c>
      <c r="I1395" s="240" t="s">
        <v>1229</v>
      </c>
    </row>
    <row r="1396" spans="1:9" x14ac:dyDescent="0.25">
      <c r="A1396" s="230">
        <v>112876</v>
      </c>
      <c r="B1396" s="162" t="s">
        <v>468</v>
      </c>
      <c r="C1396" s="162" t="s">
        <v>469</v>
      </c>
      <c r="D1396" s="162" t="s">
        <v>1580</v>
      </c>
      <c r="E1396" s="231">
        <v>43617</v>
      </c>
      <c r="F1396" s="117">
        <v>1016.96</v>
      </c>
      <c r="G1396" s="117">
        <f>SUMIF(CONFERÊNCIA!A:A,A1396,CONFERÊNCIA!J:J)</f>
        <v>1016.96</v>
      </c>
      <c r="H1396" s="119">
        <f t="shared" si="88"/>
        <v>0</v>
      </c>
      <c r="I1396" s="240" t="s">
        <v>1229</v>
      </c>
    </row>
    <row r="1397" spans="1:9" x14ac:dyDescent="0.25">
      <c r="A1397" s="230">
        <v>121853</v>
      </c>
      <c r="B1397" s="162" t="s">
        <v>1620</v>
      </c>
      <c r="C1397" s="162" t="s">
        <v>5</v>
      </c>
      <c r="D1397" s="162" t="s">
        <v>19</v>
      </c>
      <c r="E1397" s="231">
        <v>45022</v>
      </c>
      <c r="F1397" s="117">
        <v>748.98</v>
      </c>
      <c r="G1397" s="117">
        <f>SUMIF(CONFERÊNCIA!A:A,A1397,CONFERÊNCIA!J:J)</f>
        <v>595.85</v>
      </c>
      <c r="H1397" s="119">
        <f t="shared" si="88"/>
        <v>-153.13</v>
      </c>
      <c r="I1397" s="240" t="s">
        <v>1229</v>
      </c>
    </row>
    <row r="1398" spans="1:9" x14ac:dyDescent="0.25">
      <c r="A1398" s="230">
        <v>122240</v>
      </c>
      <c r="B1398" s="162" t="s">
        <v>1661</v>
      </c>
      <c r="C1398" s="162" t="s">
        <v>15</v>
      </c>
      <c r="D1398" s="162" t="s">
        <v>1578</v>
      </c>
      <c r="E1398" s="231">
        <v>45089</v>
      </c>
      <c r="F1398" s="117">
        <v>1016.96</v>
      </c>
      <c r="G1398" s="117">
        <f>SUMIF(CONFERÊNCIA!A:A,A1398,CONFERÊNCIA!J:J)</f>
        <v>1016.96</v>
      </c>
      <c r="H1398" s="119">
        <f t="shared" si="88"/>
        <v>0</v>
      </c>
      <c r="I1398" s="240" t="s">
        <v>1229</v>
      </c>
    </row>
    <row r="1399" spans="1:9" x14ac:dyDescent="0.25">
      <c r="A1399" s="230">
        <v>122346</v>
      </c>
      <c r="B1399" s="162" t="s">
        <v>1662</v>
      </c>
      <c r="C1399" s="162" t="s">
        <v>2</v>
      </c>
      <c r="D1399" s="162" t="s">
        <v>8</v>
      </c>
      <c r="E1399" s="231">
        <v>45098</v>
      </c>
      <c r="F1399" s="117">
        <v>1016.96</v>
      </c>
      <c r="G1399" s="117">
        <f>SUMIF(CONFERÊNCIA!A:A,A1399,CONFERÊNCIA!J:J)</f>
        <v>1016.96</v>
      </c>
      <c r="H1399" s="119">
        <f t="shared" si="88"/>
        <v>0</v>
      </c>
      <c r="I1399" s="240" t="s">
        <v>1229</v>
      </c>
    </row>
    <row r="1400" spans="1:9" x14ac:dyDescent="0.25">
      <c r="A1400" s="230">
        <v>114509</v>
      </c>
      <c r="B1400" s="162" t="s">
        <v>1044</v>
      </c>
      <c r="C1400" s="162" t="s">
        <v>5</v>
      </c>
      <c r="D1400" s="162" t="s">
        <v>0</v>
      </c>
      <c r="E1400" s="231">
        <v>43811</v>
      </c>
      <c r="F1400" s="117">
        <v>1016.96</v>
      </c>
      <c r="G1400" s="117">
        <f>SUMIF(CONFERÊNCIA!A:A,A1400,CONFERÊNCIA!J:J)</f>
        <v>1016.96</v>
      </c>
      <c r="H1400" s="119">
        <f t="shared" si="88"/>
        <v>0</v>
      </c>
      <c r="I1400" s="240" t="s">
        <v>1229</v>
      </c>
    </row>
    <row r="1401" spans="1:9" x14ac:dyDescent="0.25">
      <c r="A1401" s="230">
        <v>113049</v>
      </c>
      <c r="B1401" s="162" t="s">
        <v>559</v>
      </c>
      <c r="C1401" s="162" t="s">
        <v>15</v>
      </c>
      <c r="D1401" s="162" t="s">
        <v>1578</v>
      </c>
      <c r="E1401" s="231">
        <v>43617</v>
      </c>
      <c r="F1401" s="117">
        <v>1016.96</v>
      </c>
      <c r="G1401" s="117">
        <f>SUMIF(CONFERÊNCIA!A:A,A1401,CONFERÊNCIA!J:J)</f>
        <v>1016.96</v>
      </c>
      <c r="H1401" s="119">
        <f t="shared" si="88"/>
        <v>0</v>
      </c>
      <c r="I1401" s="240" t="s">
        <v>1229</v>
      </c>
    </row>
    <row r="1402" spans="1:9" x14ac:dyDescent="0.25">
      <c r="A1402" s="230">
        <v>113059</v>
      </c>
      <c r="B1402" s="162" t="s">
        <v>564</v>
      </c>
      <c r="C1402" s="162" t="s">
        <v>15</v>
      </c>
      <c r="D1402" s="162" t="s">
        <v>1578</v>
      </c>
      <c r="E1402" s="231">
        <v>43617</v>
      </c>
      <c r="F1402" s="117">
        <v>1016.96</v>
      </c>
      <c r="G1402" s="117">
        <f>SUMIF(CONFERÊNCIA!A:A,A1402,CONFERÊNCIA!J:J)</f>
        <v>1016.96</v>
      </c>
      <c r="H1402" s="119">
        <f t="shared" si="88"/>
        <v>0</v>
      </c>
      <c r="I1402" s="240" t="s">
        <v>1229</v>
      </c>
    </row>
    <row r="1403" spans="1:9" x14ac:dyDescent="0.25">
      <c r="A1403" s="230">
        <v>118635</v>
      </c>
      <c r="B1403" s="162" t="s">
        <v>1409</v>
      </c>
      <c r="C1403" s="162" t="s">
        <v>5</v>
      </c>
      <c r="D1403" s="162" t="s">
        <v>0</v>
      </c>
      <c r="E1403" s="231">
        <v>44582</v>
      </c>
      <c r="F1403" s="117">
        <v>1016.96</v>
      </c>
      <c r="G1403" s="117">
        <f>SUMIF(CONFERÊNCIA!A:A,A1403,CONFERÊNCIA!J:J)</f>
        <v>1016.96</v>
      </c>
      <c r="H1403" s="119">
        <f t="shared" si="88"/>
        <v>0</v>
      </c>
      <c r="I1403" s="240" t="s">
        <v>1229</v>
      </c>
    </row>
    <row r="1404" spans="1:9" x14ac:dyDescent="0.25">
      <c r="A1404" s="230">
        <v>113063</v>
      </c>
      <c r="B1404" s="162" t="s">
        <v>565</v>
      </c>
      <c r="C1404" s="162" t="s">
        <v>15</v>
      </c>
      <c r="D1404" s="162" t="s">
        <v>1578</v>
      </c>
      <c r="E1404" s="231">
        <v>43617</v>
      </c>
      <c r="F1404" s="117">
        <v>1016.96</v>
      </c>
      <c r="G1404" s="117">
        <f>SUMIF(CONFERÊNCIA!A:A,A1404,CONFERÊNCIA!J:J)</f>
        <v>1016.96</v>
      </c>
      <c r="H1404" s="119">
        <f t="shared" si="88"/>
        <v>0</v>
      </c>
      <c r="I1404" s="240" t="s">
        <v>1229</v>
      </c>
    </row>
    <row r="1405" spans="1:9" x14ac:dyDescent="0.25">
      <c r="A1405" s="230">
        <v>114981</v>
      </c>
      <c r="B1405" s="162" t="s">
        <v>1135</v>
      </c>
      <c r="C1405" s="162" t="s">
        <v>15</v>
      </c>
      <c r="D1405" s="162" t="s">
        <v>1578</v>
      </c>
      <c r="E1405" s="231">
        <v>43917</v>
      </c>
      <c r="F1405" s="117">
        <v>1016.96</v>
      </c>
      <c r="G1405" s="117">
        <f>SUMIF(CONFERÊNCIA!A:A,A1405,CONFERÊNCIA!J:J)</f>
        <v>1016.96</v>
      </c>
      <c r="H1405" s="119">
        <f t="shared" si="88"/>
        <v>0</v>
      </c>
      <c r="I1405" s="240" t="s">
        <v>1229</v>
      </c>
    </row>
    <row r="1406" spans="1:9" x14ac:dyDescent="0.25">
      <c r="A1406" s="230">
        <v>114943</v>
      </c>
      <c r="B1406" s="162" t="s">
        <v>1122</v>
      </c>
      <c r="C1406" s="162" t="s">
        <v>5</v>
      </c>
      <c r="D1406" s="162" t="s">
        <v>1578</v>
      </c>
      <c r="E1406" s="231">
        <v>43916</v>
      </c>
      <c r="F1406" s="117">
        <v>1016.96</v>
      </c>
      <c r="G1406" s="117">
        <f>SUMIF(CONFERÊNCIA!A:A,A1406,CONFERÊNCIA!J:J)</f>
        <v>1016.96</v>
      </c>
      <c r="H1406" s="119">
        <f t="shared" si="88"/>
        <v>0</v>
      </c>
      <c r="I1406" s="240" t="s">
        <v>1229</v>
      </c>
    </row>
    <row r="1407" spans="1:9" x14ac:dyDescent="0.25">
      <c r="A1407" s="230">
        <v>122234</v>
      </c>
      <c r="B1407" s="162" t="s">
        <v>1663</v>
      </c>
      <c r="C1407" s="162" t="s">
        <v>15</v>
      </c>
      <c r="D1407" s="162" t="s">
        <v>1578</v>
      </c>
      <c r="E1407" s="231">
        <v>45089</v>
      </c>
      <c r="F1407" s="117">
        <v>1016.96</v>
      </c>
      <c r="G1407" s="117">
        <f>SUMIF(CONFERÊNCIA!A:A,A1407,CONFERÊNCIA!J:J)</f>
        <v>1016.96</v>
      </c>
      <c r="H1407" s="119">
        <f t="shared" si="88"/>
        <v>0</v>
      </c>
      <c r="I1407" s="240" t="s">
        <v>1229</v>
      </c>
    </row>
    <row r="1408" spans="1:9" x14ac:dyDescent="0.25">
      <c r="A1408" s="230">
        <v>112597</v>
      </c>
      <c r="B1408" s="162" t="s">
        <v>285</v>
      </c>
      <c r="C1408" s="162" t="s">
        <v>2</v>
      </c>
      <c r="D1408" s="162" t="s">
        <v>8</v>
      </c>
      <c r="E1408" s="231">
        <v>43617</v>
      </c>
      <c r="F1408" s="117">
        <v>1016.96</v>
      </c>
      <c r="G1408" s="117">
        <f>SUMIF(CONFERÊNCIA!A:A,A1408,CONFERÊNCIA!J:J)</f>
        <v>1016.96</v>
      </c>
      <c r="H1408" s="119">
        <f t="shared" si="88"/>
        <v>0</v>
      </c>
      <c r="I1408" s="240" t="s">
        <v>1229</v>
      </c>
    </row>
    <row r="1409" spans="1:9" x14ac:dyDescent="0.25">
      <c r="A1409" s="230">
        <v>112882</v>
      </c>
      <c r="B1409" s="162" t="s">
        <v>473</v>
      </c>
      <c r="C1409" s="162" t="s">
        <v>5</v>
      </c>
      <c r="D1409" s="162" t="s">
        <v>0</v>
      </c>
      <c r="E1409" s="231">
        <v>43617</v>
      </c>
      <c r="F1409" s="117">
        <v>1016.96</v>
      </c>
      <c r="G1409" s="117">
        <f>SUMIF(CONFERÊNCIA!A:A,A1409,CONFERÊNCIA!J:J)</f>
        <v>1016.96</v>
      </c>
      <c r="H1409" s="119">
        <f t="shared" si="88"/>
        <v>0</v>
      </c>
      <c r="I1409" s="240" t="s">
        <v>1229</v>
      </c>
    </row>
    <row r="1410" spans="1:9" x14ac:dyDescent="0.25">
      <c r="A1410" s="230">
        <v>121684</v>
      </c>
      <c r="B1410" s="162" t="s">
        <v>1592</v>
      </c>
      <c r="C1410" s="162" t="s">
        <v>963</v>
      </c>
      <c r="D1410" s="162" t="s">
        <v>1578</v>
      </c>
      <c r="E1410" s="231">
        <v>44994</v>
      </c>
      <c r="F1410" s="117">
        <v>1016.96</v>
      </c>
      <c r="G1410" s="117">
        <f>SUMIF(CONFERÊNCIA!A:A,A1410,CONFERÊNCIA!J:J)</f>
        <v>1016.96</v>
      </c>
      <c r="H1410" s="119">
        <f t="shared" si="88"/>
        <v>0</v>
      </c>
      <c r="I1410" s="240" t="s">
        <v>1229</v>
      </c>
    </row>
    <row r="1411" spans="1:9" x14ac:dyDescent="0.25">
      <c r="A1411" s="230">
        <v>112345</v>
      </c>
      <c r="B1411" s="162" t="s">
        <v>122</v>
      </c>
      <c r="C1411" s="162" t="s">
        <v>39</v>
      </c>
      <c r="D1411" s="162" t="s">
        <v>10</v>
      </c>
      <c r="E1411" s="231">
        <v>43617</v>
      </c>
      <c r="F1411" s="117">
        <v>1016.96</v>
      </c>
      <c r="G1411" s="117">
        <f>SUMIF(CONFERÊNCIA!A:A,A1411,CONFERÊNCIA!J:J)</f>
        <v>1016.96</v>
      </c>
      <c r="H1411" s="119">
        <f t="shared" si="88"/>
        <v>0</v>
      </c>
      <c r="I1411" s="240" t="s">
        <v>1229</v>
      </c>
    </row>
    <row r="1412" spans="1:9" x14ac:dyDescent="0.25">
      <c r="A1412" s="230">
        <v>112599</v>
      </c>
      <c r="B1412" s="162" t="s">
        <v>287</v>
      </c>
      <c r="C1412" s="162" t="s">
        <v>5</v>
      </c>
      <c r="D1412" s="162" t="s">
        <v>19</v>
      </c>
      <c r="E1412" s="231">
        <v>43617</v>
      </c>
      <c r="F1412" s="117">
        <v>1016.96</v>
      </c>
      <c r="G1412" s="117">
        <f>SUMIF(CONFERÊNCIA!A:A,A1412,CONFERÊNCIA!J:J)</f>
        <v>1016.96</v>
      </c>
      <c r="H1412" s="119">
        <f t="shared" si="88"/>
        <v>0</v>
      </c>
      <c r="I1412" s="240" t="s">
        <v>1229</v>
      </c>
    </row>
    <row r="1413" spans="1:9" x14ac:dyDescent="0.25">
      <c r="A1413" s="230">
        <v>121324</v>
      </c>
      <c r="B1413" s="162" t="s">
        <v>1539</v>
      </c>
      <c r="C1413" s="162" t="s">
        <v>2</v>
      </c>
      <c r="D1413" s="162" t="s">
        <v>8</v>
      </c>
      <c r="E1413" s="231">
        <v>44945</v>
      </c>
      <c r="F1413" s="117">
        <v>1016.96</v>
      </c>
      <c r="G1413" s="117">
        <f>SUMIF(CONFERÊNCIA!A:A,A1413,CONFERÊNCIA!J:J)</f>
        <v>1016.96</v>
      </c>
      <c r="H1413" s="119">
        <f t="shared" si="88"/>
        <v>0</v>
      </c>
      <c r="I1413" s="240" t="s">
        <v>1229</v>
      </c>
    </row>
    <row r="1414" spans="1:9" x14ac:dyDescent="0.25">
      <c r="A1414" s="230">
        <v>122333</v>
      </c>
      <c r="B1414" s="162" t="s">
        <v>1664</v>
      </c>
      <c r="C1414" s="162" t="s">
        <v>2</v>
      </c>
      <c r="D1414" s="162" t="s">
        <v>8</v>
      </c>
      <c r="E1414" s="231">
        <v>45098</v>
      </c>
      <c r="F1414" s="117">
        <v>1016.96</v>
      </c>
      <c r="G1414" s="117">
        <f>SUMIF(CONFERÊNCIA!A:A,A1414,CONFERÊNCIA!J:J)</f>
        <v>1016.96</v>
      </c>
      <c r="H1414" s="119">
        <f t="shared" si="88"/>
        <v>0</v>
      </c>
      <c r="I1414" s="240" t="s">
        <v>1229</v>
      </c>
    </row>
    <row r="1415" spans="1:9" x14ac:dyDescent="0.25">
      <c r="A1415" s="230">
        <v>119936</v>
      </c>
      <c r="B1415" s="162" t="s">
        <v>1486</v>
      </c>
      <c r="C1415" s="162" t="s">
        <v>5</v>
      </c>
      <c r="D1415" s="162" t="s">
        <v>0</v>
      </c>
      <c r="E1415" s="231">
        <v>44760</v>
      </c>
      <c r="F1415" s="117">
        <v>1016.96</v>
      </c>
      <c r="G1415" s="117">
        <f>SUMIF(CONFERÊNCIA!A:A,A1415,CONFERÊNCIA!J:J)</f>
        <v>1016.96</v>
      </c>
      <c r="H1415" s="119">
        <f t="shared" si="88"/>
        <v>0</v>
      </c>
      <c r="I1415" s="240" t="s">
        <v>1229</v>
      </c>
    </row>
    <row r="1416" spans="1:9" x14ac:dyDescent="0.25">
      <c r="A1416" s="230">
        <v>112888</v>
      </c>
      <c r="B1416" s="162" t="s">
        <v>477</v>
      </c>
      <c r="C1416" s="162" t="s">
        <v>22</v>
      </c>
      <c r="D1416" s="162" t="s">
        <v>1578</v>
      </c>
      <c r="E1416" s="231">
        <v>43617</v>
      </c>
      <c r="F1416" s="117">
        <v>1016.96</v>
      </c>
      <c r="G1416" s="117">
        <f>SUMIF(CONFERÊNCIA!A:A,A1416,CONFERÊNCIA!J:J)</f>
        <v>1016.96</v>
      </c>
      <c r="H1416" s="119">
        <f t="shared" si="88"/>
        <v>0</v>
      </c>
      <c r="I1416" s="240" t="s">
        <v>1229</v>
      </c>
    </row>
    <row r="1417" spans="1:9" x14ac:dyDescent="0.25">
      <c r="A1417" s="230">
        <v>118053</v>
      </c>
      <c r="B1417" s="162" t="s">
        <v>1410</v>
      </c>
      <c r="C1417" s="162" t="s">
        <v>5</v>
      </c>
      <c r="D1417" s="162" t="s">
        <v>10</v>
      </c>
      <c r="E1417" s="231">
        <v>44567</v>
      </c>
      <c r="F1417" s="117">
        <v>1016.96</v>
      </c>
      <c r="G1417" s="117">
        <f>SUMIF(CONFERÊNCIA!A:A,A1417,CONFERÊNCIA!J:J)</f>
        <v>1016.96</v>
      </c>
      <c r="H1417" s="119">
        <f t="shared" si="88"/>
        <v>0</v>
      </c>
      <c r="I1417" s="240" t="s">
        <v>1229</v>
      </c>
    </row>
    <row r="1418" spans="1:9" x14ac:dyDescent="0.25">
      <c r="A1418" s="230">
        <v>112607</v>
      </c>
      <c r="B1418" s="162" t="s">
        <v>291</v>
      </c>
      <c r="C1418" s="162" t="s">
        <v>5</v>
      </c>
      <c r="D1418" s="162" t="s">
        <v>8</v>
      </c>
      <c r="E1418" s="231">
        <v>43617</v>
      </c>
      <c r="F1418" s="117">
        <v>1016.96</v>
      </c>
      <c r="G1418" s="117">
        <f>SUMIF(CONFERÊNCIA!A:A,A1418,CONFERÊNCIA!J:J)</f>
        <v>1016.96</v>
      </c>
      <c r="H1418" s="119">
        <f t="shared" si="88"/>
        <v>0</v>
      </c>
      <c r="I1418" s="240" t="s">
        <v>1229</v>
      </c>
    </row>
    <row r="1419" spans="1:9" x14ac:dyDescent="0.25">
      <c r="A1419" s="230">
        <v>112612</v>
      </c>
      <c r="B1419" s="162" t="s">
        <v>296</v>
      </c>
      <c r="C1419" s="162" t="s">
        <v>5</v>
      </c>
      <c r="D1419" s="162" t="s">
        <v>10</v>
      </c>
      <c r="E1419" s="231">
        <v>43617</v>
      </c>
      <c r="F1419" s="117">
        <v>1016.96</v>
      </c>
      <c r="G1419" s="117">
        <f>SUMIF(CONFERÊNCIA!A:A,A1419,CONFERÊNCIA!J:J)</f>
        <v>1016.96</v>
      </c>
      <c r="H1419" s="119">
        <f t="shared" si="88"/>
        <v>0</v>
      </c>
      <c r="I1419" s="240" t="s">
        <v>1229</v>
      </c>
    </row>
    <row r="1420" spans="1:9" x14ac:dyDescent="0.25">
      <c r="A1420" s="230">
        <v>121480</v>
      </c>
      <c r="B1420" s="162" t="s">
        <v>1571</v>
      </c>
      <c r="C1420" s="162" t="s">
        <v>5</v>
      </c>
      <c r="D1420" s="162" t="s">
        <v>19</v>
      </c>
      <c r="E1420" s="231">
        <v>44967</v>
      </c>
      <c r="F1420" s="117">
        <v>1016.96</v>
      </c>
      <c r="G1420" s="117">
        <f>SUMIF(CONFERÊNCIA!A:A,A1420,CONFERÊNCIA!J:J)</f>
        <v>1016.96</v>
      </c>
      <c r="H1420" s="119">
        <f t="shared" si="88"/>
        <v>0</v>
      </c>
      <c r="I1420" s="240" t="s">
        <v>1229</v>
      </c>
    </row>
    <row r="1421" spans="1:9" x14ac:dyDescent="0.25">
      <c r="A1421" s="230">
        <v>112614</v>
      </c>
      <c r="B1421" s="162" t="s">
        <v>298</v>
      </c>
      <c r="C1421" s="162" t="s">
        <v>5</v>
      </c>
      <c r="D1421" s="162" t="s">
        <v>8</v>
      </c>
      <c r="E1421" s="231">
        <v>43617</v>
      </c>
      <c r="F1421" s="117">
        <v>978.67000000000007</v>
      </c>
      <c r="G1421" s="117">
        <f>SUMIF(CONFERÊNCIA!A:A,A1421,CONFERÊNCIA!J:J)</f>
        <v>1016.96</v>
      </c>
      <c r="H1421" s="119">
        <f t="shared" si="88"/>
        <v>38.289999999999964</v>
      </c>
      <c r="I1421" s="240" t="s">
        <v>1229</v>
      </c>
    </row>
    <row r="1422" spans="1:9" x14ac:dyDescent="0.25">
      <c r="A1422" s="230">
        <v>112354</v>
      </c>
      <c r="B1422" s="162" t="s">
        <v>128</v>
      </c>
      <c r="C1422" s="162" t="s">
        <v>5</v>
      </c>
      <c r="D1422" s="162" t="s">
        <v>10</v>
      </c>
      <c r="E1422" s="231">
        <v>43617</v>
      </c>
      <c r="F1422" s="117">
        <v>1016.96</v>
      </c>
      <c r="G1422" s="117">
        <f>SUMIF(CONFERÊNCIA!A:A,A1422,CONFERÊNCIA!J:J)</f>
        <v>1016.96</v>
      </c>
      <c r="H1422" s="119">
        <f t="shared" ref="H1422:H1453" si="89">G1422-F1422</f>
        <v>0</v>
      </c>
      <c r="I1422" s="240" t="s">
        <v>1229</v>
      </c>
    </row>
    <row r="1423" spans="1:9" x14ac:dyDescent="0.25">
      <c r="A1423" s="230">
        <v>119678</v>
      </c>
      <c r="B1423" s="162" t="s">
        <v>1474</v>
      </c>
      <c r="C1423" s="162" t="s">
        <v>5</v>
      </c>
      <c r="D1423" s="162" t="s">
        <v>19</v>
      </c>
      <c r="E1423" s="231">
        <v>44725</v>
      </c>
      <c r="F1423" s="117">
        <v>1016.96</v>
      </c>
      <c r="G1423" s="117">
        <f>SUMIF(CONFERÊNCIA!A:A,A1423,CONFERÊNCIA!J:J)</f>
        <v>1016.96</v>
      </c>
      <c r="H1423" s="119">
        <f t="shared" si="89"/>
        <v>0</v>
      </c>
      <c r="I1423" s="240" t="s">
        <v>1229</v>
      </c>
    </row>
    <row r="1424" spans="1:9" x14ac:dyDescent="0.25">
      <c r="A1424" s="230">
        <v>122029</v>
      </c>
      <c r="B1424" s="162" t="s">
        <v>1636</v>
      </c>
      <c r="C1424" s="162" t="s">
        <v>120</v>
      </c>
      <c r="D1424" s="162" t="s">
        <v>1578</v>
      </c>
      <c r="E1424" s="231">
        <v>45054</v>
      </c>
      <c r="F1424" s="117">
        <v>1016.96</v>
      </c>
      <c r="G1424" s="117">
        <f>SUMIF(CONFERÊNCIA!A:A,A1424,CONFERÊNCIA!J:J)</f>
        <v>1016.96</v>
      </c>
      <c r="H1424" s="119">
        <f t="shared" si="89"/>
        <v>0</v>
      </c>
      <c r="I1424" s="240" t="s">
        <v>1229</v>
      </c>
    </row>
    <row r="1425" spans="1:9" x14ac:dyDescent="0.25">
      <c r="A1425" s="230">
        <v>114360</v>
      </c>
      <c r="B1425" s="162" t="s">
        <v>1033</v>
      </c>
      <c r="C1425" s="162" t="s">
        <v>5</v>
      </c>
      <c r="D1425" s="162" t="s">
        <v>0</v>
      </c>
      <c r="E1425" s="231">
        <v>43811</v>
      </c>
      <c r="F1425" s="117">
        <v>1016.96</v>
      </c>
      <c r="G1425" s="117">
        <f>SUMIF(CONFERÊNCIA!A:A,A1425,CONFERÊNCIA!J:J)</f>
        <v>1016.96</v>
      </c>
      <c r="H1425" s="119">
        <f t="shared" si="89"/>
        <v>0</v>
      </c>
      <c r="I1425" s="240" t="s">
        <v>1230</v>
      </c>
    </row>
    <row r="1426" spans="1:9" x14ac:dyDescent="0.25">
      <c r="A1426" s="230">
        <v>122554</v>
      </c>
      <c r="B1426" s="162" t="s">
        <v>1699</v>
      </c>
      <c r="C1426" s="162" t="s">
        <v>5</v>
      </c>
      <c r="D1426" s="162" t="s">
        <v>0</v>
      </c>
      <c r="E1426" s="231">
        <v>45131</v>
      </c>
      <c r="F1426" s="117">
        <v>1016.96</v>
      </c>
      <c r="G1426" s="117">
        <f>SUMIF(CONFERÊNCIA!A:A,A1426,CONFERÊNCIA!J:J)</f>
        <v>1016.96</v>
      </c>
      <c r="H1426" s="119">
        <f t="shared" si="89"/>
        <v>0</v>
      </c>
      <c r="I1426" s="240" t="s">
        <v>1229</v>
      </c>
    </row>
    <row r="1427" spans="1:9" x14ac:dyDescent="0.25">
      <c r="A1427" s="230">
        <v>122553</v>
      </c>
      <c r="B1427" s="162" t="s">
        <v>1700</v>
      </c>
      <c r="C1427" s="162" t="s">
        <v>5</v>
      </c>
      <c r="D1427" s="162" t="s">
        <v>0</v>
      </c>
      <c r="E1427" s="231">
        <v>45131</v>
      </c>
      <c r="F1427" s="117">
        <v>1016.96</v>
      </c>
      <c r="G1427" s="117">
        <f>SUMIF(CONFERÊNCIA!A:A,A1427,CONFERÊNCIA!J:J)</f>
        <v>1016.96</v>
      </c>
      <c r="H1427" s="119">
        <f t="shared" si="89"/>
        <v>0</v>
      </c>
      <c r="I1427" s="240" t="s">
        <v>1229</v>
      </c>
    </row>
    <row r="1428" spans="1:9" x14ac:dyDescent="0.25">
      <c r="A1428" s="230">
        <v>113074</v>
      </c>
      <c r="B1428" s="162" t="s">
        <v>571</v>
      </c>
      <c r="C1428" s="162" t="s">
        <v>15</v>
      </c>
      <c r="D1428" s="162" t="s">
        <v>1578</v>
      </c>
      <c r="E1428" s="231">
        <v>43617</v>
      </c>
      <c r="F1428" s="117">
        <v>1016.96</v>
      </c>
      <c r="G1428" s="117">
        <f>SUMIF(CONFERÊNCIA!A:A,A1428,CONFERÊNCIA!J:J)</f>
        <v>1016.96</v>
      </c>
      <c r="H1428" s="119">
        <f t="shared" si="89"/>
        <v>0</v>
      </c>
      <c r="I1428" s="240" t="s">
        <v>1229</v>
      </c>
    </row>
    <row r="1429" spans="1:9" x14ac:dyDescent="0.25">
      <c r="A1429" s="230">
        <v>112363</v>
      </c>
      <c r="B1429" s="162" t="s">
        <v>131</v>
      </c>
      <c r="C1429" s="162" t="s">
        <v>5</v>
      </c>
      <c r="D1429" s="162" t="s">
        <v>10</v>
      </c>
      <c r="E1429" s="231">
        <v>43617</v>
      </c>
      <c r="F1429" s="117">
        <v>1016.96</v>
      </c>
      <c r="G1429" s="117">
        <f>SUMIF(CONFERÊNCIA!A:A,A1429,CONFERÊNCIA!J:J)</f>
        <v>1016.96</v>
      </c>
      <c r="H1429" s="119">
        <f t="shared" si="89"/>
        <v>0</v>
      </c>
      <c r="I1429" s="240" t="s">
        <v>1229</v>
      </c>
    </row>
    <row r="1430" spans="1:9" x14ac:dyDescent="0.25">
      <c r="A1430" s="230">
        <v>114092</v>
      </c>
      <c r="B1430" s="162" t="s">
        <v>1000</v>
      </c>
      <c r="C1430" s="162" t="s">
        <v>5</v>
      </c>
      <c r="D1430" s="162" t="s">
        <v>19</v>
      </c>
      <c r="E1430" s="231">
        <v>43728</v>
      </c>
      <c r="F1430" s="117">
        <v>1016.96</v>
      </c>
      <c r="G1430" s="117">
        <f>SUMIF(CONFERÊNCIA!A:A,A1430,CONFERÊNCIA!J:J)</f>
        <v>1016.96</v>
      </c>
      <c r="H1430" s="119">
        <f t="shared" si="89"/>
        <v>0</v>
      </c>
      <c r="I1430" s="240" t="s">
        <v>1229</v>
      </c>
    </row>
    <row r="1431" spans="1:9" x14ac:dyDescent="0.25">
      <c r="A1431" s="230">
        <v>112250</v>
      </c>
      <c r="B1431" s="162" t="s">
        <v>62</v>
      </c>
      <c r="C1431" s="162" t="s">
        <v>5</v>
      </c>
      <c r="D1431" s="162" t="s">
        <v>19</v>
      </c>
      <c r="E1431" s="231">
        <v>43617</v>
      </c>
      <c r="F1431" s="117">
        <v>1016.96</v>
      </c>
      <c r="G1431" s="117">
        <f>SUMIF(CONFERÊNCIA!A:A,A1431,CONFERÊNCIA!J:J)</f>
        <v>1016.96</v>
      </c>
      <c r="H1431" s="119">
        <f t="shared" si="89"/>
        <v>0</v>
      </c>
      <c r="I1431" s="240" t="s">
        <v>1229</v>
      </c>
    </row>
    <row r="1432" spans="1:9" x14ac:dyDescent="0.25">
      <c r="A1432" s="230">
        <v>112893</v>
      </c>
      <c r="B1432" s="162" t="s">
        <v>481</v>
      </c>
      <c r="C1432" s="162" t="s">
        <v>146</v>
      </c>
      <c r="D1432" s="162" t="s">
        <v>0</v>
      </c>
      <c r="E1432" s="231">
        <v>43617</v>
      </c>
      <c r="F1432" s="117">
        <v>1016.96</v>
      </c>
      <c r="G1432" s="117">
        <f>SUMIF(CONFERÊNCIA!A:A,A1432,CONFERÊNCIA!J:J)</f>
        <v>1016.96</v>
      </c>
      <c r="H1432" s="119">
        <f t="shared" si="89"/>
        <v>0</v>
      </c>
      <c r="I1432" s="240" t="s">
        <v>1229</v>
      </c>
    </row>
    <row r="1433" spans="1:9" x14ac:dyDescent="0.25">
      <c r="A1433" s="230">
        <v>112896</v>
      </c>
      <c r="B1433" s="162" t="s">
        <v>483</v>
      </c>
      <c r="C1433" s="162" t="s">
        <v>22</v>
      </c>
      <c r="D1433" s="162" t="s">
        <v>1578</v>
      </c>
      <c r="E1433" s="231">
        <v>43617</v>
      </c>
      <c r="F1433" s="117">
        <v>1016.96</v>
      </c>
      <c r="G1433" s="117">
        <f>SUMIF(CONFERÊNCIA!A:A,A1433,CONFERÊNCIA!J:J)</f>
        <v>1016.96</v>
      </c>
      <c r="H1433" s="119">
        <f t="shared" si="89"/>
        <v>0</v>
      </c>
      <c r="I1433" s="240" t="s">
        <v>1229</v>
      </c>
    </row>
    <row r="1434" spans="1:9" x14ac:dyDescent="0.25">
      <c r="A1434" s="230">
        <v>112368</v>
      </c>
      <c r="B1434" s="162" t="s">
        <v>134</v>
      </c>
      <c r="C1434" s="162" t="s">
        <v>5</v>
      </c>
      <c r="D1434" s="162" t="s">
        <v>10</v>
      </c>
      <c r="E1434" s="231">
        <v>43617</v>
      </c>
      <c r="F1434" s="117">
        <v>1016.96</v>
      </c>
      <c r="G1434" s="117">
        <f>SUMIF(CONFERÊNCIA!A:A,A1434,CONFERÊNCIA!J:J)</f>
        <v>1016.96</v>
      </c>
      <c r="H1434" s="119">
        <f t="shared" si="89"/>
        <v>0</v>
      </c>
      <c r="I1434" s="240" t="s">
        <v>1229</v>
      </c>
    </row>
    <row r="1435" spans="1:9" x14ac:dyDescent="0.25">
      <c r="A1435" s="230">
        <v>112626</v>
      </c>
      <c r="B1435" s="162" t="s">
        <v>306</v>
      </c>
      <c r="C1435" s="162" t="s">
        <v>5</v>
      </c>
      <c r="D1435" s="162" t="s">
        <v>8</v>
      </c>
      <c r="E1435" s="231">
        <v>43617</v>
      </c>
      <c r="F1435" s="117">
        <v>1016.96</v>
      </c>
      <c r="G1435" s="117">
        <f>SUMIF(CONFERÊNCIA!A:A,A1435,CONFERÊNCIA!J:J)</f>
        <v>1016.96</v>
      </c>
      <c r="H1435" s="119">
        <f t="shared" si="89"/>
        <v>0</v>
      </c>
      <c r="I1435" s="240" t="s">
        <v>1229</v>
      </c>
    </row>
    <row r="1436" spans="1:9" x14ac:dyDescent="0.25">
      <c r="A1436" s="230">
        <v>113846</v>
      </c>
      <c r="B1436" s="162" t="s">
        <v>984</v>
      </c>
      <c r="C1436" s="162" t="s">
        <v>1444</v>
      </c>
      <c r="D1436" s="162" t="s">
        <v>1580</v>
      </c>
      <c r="E1436" s="231">
        <v>43648</v>
      </c>
      <c r="F1436" s="117">
        <v>1016.96</v>
      </c>
      <c r="G1436" s="117">
        <f>SUMIF(CONFERÊNCIA!A:A,A1436,CONFERÊNCIA!J:J)</f>
        <v>1016.96</v>
      </c>
      <c r="H1436" s="119">
        <f t="shared" si="89"/>
        <v>0</v>
      </c>
      <c r="I1436" s="240" t="s">
        <v>1229</v>
      </c>
    </row>
    <row r="1437" spans="1:9" x14ac:dyDescent="0.25">
      <c r="A1437" s="230">
        <v>112898</v>
      </c>
      <c r="B1437" s="162" t="s">
        <v>485</v>
      </c>
      <c r="C1437" s="162" t="s">
        <v>22</v>
      </c>
      <c r="D1437" s="162" t="s">
        <v>1578</v>
      </c>
      <c r="E1437" s="231">
        <v>43617</v>
      </c>
      <c r="F1437" s="117">
        <v>1016.96</v>
      </c>
      <c r="G1437" s="117">
        <f>SUMIF(CONFERÊNCIA!A:A,A1437,CONFERÊNCIA!J:J)</f>
        <v>1016.96</v>
      </c>
      <c r="H1437" s="119">
        <f t="shared" si="89"/>
        <v>0</v>
      </c>
      <c r="I1437" s="240" t="s">
        <v>1229</v>
      </c>
    </row>
    <row r="1438" spans="1:9" x14ac:dyDescent="0.25">
      <c r="A1438" s="230">
        <v>112618</v>
      </c>
      <c r="B1438" s="162" t="s">
        <v>301</v>
      </c>
      <c r="C1438" s="162" t="s">
        <v>146</v>
      </c>
      <c r="D1438" s="162" t="s">
        <v>8</v>
      </c>
      <c r="E1438" s="231">
        <v>43617</v>
      </c>
      <c r="F1438" s="117">
        <v>1016.96</v>
      </c>
      <c r="G1438" s="117">
        <f>SUMIF(CONFERÊNCIA!A:A,A1438,CONFERÊNCIA!J:J)</f>
        <v>1016.96</v>
      </c>
      <c r="H1438" s="119">
        <f t="shared" si="89"/>
        <v>0</v>
      </c>
      <c r="I1438" s="240" t="s">
        <v>1229</v>
      </c>
    </row>
    <row r="1439" spans="1:9" x14ac:dyDescent="0.25">
      <c r="A1439" s="230">
        <v>112628</v>
      </c>
      <c r="B1439" s="162" t="s">
        <v>307</v>
      </c>
      <c r="C1439" s="162" t="s">
        <v>5</v>
      </c>
      <c r="D1439" s="162" t="s">
        <v>8</v>
      </c>
      <c r="E1439" s="231">
        <v>43617</v>
      </c>
      <c r="F1439" s="117">
        <v>1016.96</v>
      </c>
      <c r="G1439" s="117">
        <f>SUMIF(CONFERÊNCIA!A:A,A1439,CONFERÊNCIA!J:J)</f>
        <v>1016.96</v>
      </c>
      <c r="H1439" s="119">
        <f t="shared" si="89"/>
        <v>0</v>
      </c>
      <c r="I1439" s="240" t="s">
        <v>1229</v>
      </c>
    </row>
    <row r="1440" spans="1:9" x14ac:dyDescent="0.25">
      <c r="A1440" s="230">
        <v>113932</v>
      </c>
      <c r="B1440" s="162" t="s">
        <v>993</v>
      </c>
      <c r="C1440" s="162" t="s">
        <v>228</v>
      </c>
      <c r="D1440" s="162" t="s">
        <v>1578</v>
      </c>
      <c r="E1440" s="231">
        <v>43683</v>
      </c>
      <c r="F1440" s="117">
        <v>1016.96</v>
      </c>
      <c r="G1440" s="117">
        <f>SUMIF(CONFERÊNCIA!A:A,A1440,CONFERÊNCIA!J:J)</f>
        <v>1016.96</v>
      </c>
      <c r="H1440" s="119">
        <f t="shared" si="89"/>
        <v>0</v>
      </c>
      <c r="I1440" s="240" t="s">
        <v>1229</v>
      </c>
    </row>
    <row r="1441" spans="1:9" x14ac:dyDescent="0.25">
      <c r="A1441" s="230">
        <v>119110</v>
      </c>
      <c r="B1441" s="162" t="s">
        <v>1445</v>
      </c>
      <c r="C1441" s="162" t="s">
        <v>5</v>
      </c>
      <c r="D1441" s="162" t="s">
        <v>8</v>
      </c>
      <c r="E1441" s="231">
        <v>44630</v>
      </c>
      <c r="F1441" s="117">
        <v>1016.96</v>
      </c>
      <c r="G1441" s="117">
        <f>SUMIF(CONFERÊNCIA!A:A,A1441,CONFERÊNCIA!J:J)</f>
        <v>1016.96</v>
      </c>
      <c r="H1441" s="119">
        <f t="shared" si="89"/>
        <v>0</v>
      </c>
      <c r="I1441" s="240" t="s">
        <v>1229</v>
      </c>
    </row>
    <row r="1442" spans="1:9" x14ac:dyDescent="0.25">
      <c r="A1442" s="230">
        <v>114265</v>
      </c>
      <c r="B1442" s="162" t="s">
        <v>1026</v>
      </c>
      <c r="C1442" s="162" t="s">
        <v>5</v>
      </c>
      <c r="D1442" s="162" t="s">
        <v>0</v>
      </c>
      <c r="E1442" s="231">
        <v>43804</v>
      </c>
      <c r="F1442" s="117">
        <v>1016.96</v>
      </c>
      <c r="G1442" s="117">
        <f>SUMIF(CONFERÊNCIA!A:A,A1442,CONFERÊNCIA!J:J)</f>
        <v>1016.96</v>
      </c>
      <c r="H1442" s="119">
        <f t="shared" si="89"/>
        <v>0</v>
      </c>
      <c r="I1442" s="240" t="s">
        <v>1229</v>
      </c>
    </row>
    <row r="1443" spans="1:9" x14ac:dyDescent="0.25">
      <c r="A1443" s="230">
        <v>112905</v>
      </c>
      <c r="B1443" s="162" t="s">
        <v>489</v>
      </c>
      <c r="C1443" s="162" t="s">
        <v>5</v>
      </c>
      <c r="D1443" s="162" t="s">
        <v>0</v>
      </c>
      <c r="E1443" s="231">
        <v>43617</v>
      </c>
      <c r="F1443" s="117">
        <v>1016.96</v>
      </c>
      <c r="G1443" s="117">
        <f>SUMIF(CONFERÊNCIA!A:A,A1443,CONFERÊNCIA!J:J)</f>
        <v>1016.96</v>
      </c>
      <c r="H1443" s="119">
        <f t="shared" si="89"/>
        <v>0</v>
      </c>
      <c r="I1443" s="240" t="s">
        <v>1229</v>
      </c>
    </row>
    <row r="1444" spans="1:9" x14ac:dyDescent="0.25">
      <c r="A1444" s="230">
        <v>112907</v>
      </c>
      <c r="B1444" s="162" t="s">
        <v>490</v>
      </c>
      <c r="C1444" s="162" t="s">
        <v>22</v>
      </c>
      <c r="D1444" s="162" t="s">
        <v>1578</v>
      </c>
      <c r="E1444" s="231">
        <v>43617</v>
      </c>
      <c r="F1444" s="117">
        <v>1016.96</v>
      </c>
      <c r="G1444" s="117">
        <f>SUMIF(CONFERÊNCIA!A:A,A1444,CONFERÊNCIA!J:J)</f>
        <v>1016.96</v>
      </c>
      <c r="H1444" s="119">
        <f t="shared" si="89"/>
        <v>0</v>
      </c>
      <c r="I1444" s="240" t="s">
        <v>1229</v>
      </c>
    </row>
    <row r="1445" spans="1:9" x14ac:dyDescent="0.25">
      <c r="A1445" s="230">
        <v>114748</v>
      </c>
      <c r="B1445" s="162" t="s">
        <v>1088</v>
      </c>
      <c r="C1445" s="162" t="s">
        <v>5</v>
      </c>
      <c r="D1445" s="162" t="s">
        <v>0</v>
      </c>
      <c r="E1445" s="231">
        <v>43874</v>
      </c>
      <c r="F1445" s="117">
        <v>1016.96</v>
      </c>
      <c r="G1445" s="117">
        <f>SUMIF(CONFERÊNCIA!A:A,A1445,CONFERÊNCIA!J:J)</f>
        <v>1016.96</v>
      </c>
      <c r="H1445" s="119">
        <f t="shared" si="89"/>
        <v>0</v>
      </c>
      <c r="I1445" s="240" t="s">
        <v>1230</v>
      </c>
    </row>
    <row r="1446" spans="1:9" x14ac:dyDescent="0.25">
      <c r="A1446" s="230">
        <v>114949</v>
      </c>
      <c r="B1446" s="162" t="s">
        <v>1098</v>
      </c>
      <c r="C1446" s="162" t="s">
        <v>15</v>
      </c>
      <c r="D1446" s="162" t="s">
        <v>1578</v>
      </c>
      <c r="E1446" s="231">
        <v>43916</v>
      </c>
      <c r="F1446" s="117">
        <v>1016.96</v>
      </c>
      <c r="G1446" s="117">
        <f>SUMIF(CONFERÊNCIA!A:A,A1446,CONFERÊNCIA!J:J)</f>
        <v>1016.96</v>
      </c>
      <c r="H1446" s="119">
        <f t="shared" si="89"/>
        <v>0</v>
      </c>
      <c r="I1446" s="240" t="s">
        <v>1229</v>
      </c>
    </row>
    <row r="1447" spans="1:9" x14ac:dyDescent="0.25">
      <c r="A1447" s="230">
        <v>113883</v>
      </c>
      <c r="B1447" s="162" t="s">
        <v>1247</v>
      </c>
      <c r="C1447" s="162" t="s">
        <v>1248</v>
      </c>
      <c r="D1447" s="162" t="s">
        <v>1246</v>
      </c>
      <c r="E1447" s="231">
        <v>43578</v>
      </c>
      <c r="F1447" s="117">
        <v>1200</v>
      </c>
      <c r="G1447" s="117">
        <f>SUMIF(CONFERÊNCIA!A:A,A1447,CONFERÊNCIA!J:J)</f>
        <v>1260</v>
      </c>
      <c r="H1447" s="119">
        <f t="shared" si="89"/>
        <v>60</v>
      </c>
      <c r="I1447" s="240" t="s">
        <v>1229</v>
      </c>
    </row>
    <row r="1448" spans="1:9" x14ac:dyDescent="0.25">
      <c r="A1448" s="230">
        <v>112376</v>
      </c>
      <c r="B1448" s="162" t="s">
        <v>138</v>
      </c>
      <c r="C1448" s="162" t="s">
        <v>139</v>
      </c>
      <c r="D1448" s="162" t="s">
        <v>1578</v>
      </c>
      <c r="E1448" s="231">
        <v>43617</v>
      </c>
      <c r="F1448" s="117">
        <v>1016.96</v>
      </c>
      <c r="G1448" s="117">
        <f>SUMIF(CONFERÊNCIA!A:A,A1448,CONFERÊNCIA!J:J)</f>
        <v>978.67000000000007</v>
      </c>
      <c r="H1448" s="119">
        <f t="shared" si="89"/>
        <v>-38.289999999999964</v>
      </c>
      <c r="I1448" s="240" t="s">
        <v>1229</v>
      </c>
    </row>
    <row r="1449" spans="1:9" x14ac:dyDescent="0.25">
      <c r="A1449" s="230">
        <v>112911</v>
      </c>
      <c r="B1449" s="162" t="s">
        <v>493</v>
      </c>
      <c r="C1449" s="162" t="s">
        <v>22</v>
      </c>
      <c r="D1449" s="162" t="s">
        <v>1578</v>
      </c>
      <c r="E1449" s="231">
        <v>43617</v>
      </c>
      <c r="F1449" s="117">
        <v>1016.96</v>
      </c>
      <c r="G1449" s="117">
        <f>SUMIF(CONFERÊNCIA!A:A,A1449,CONFERÊNCIA!J:J)</f>
        <v>1016.96</v>
      </c>
      <c r="H1449" s="119">
        <f t="shared" si="89"/>
        <v>0</v>
      </c>
      <c r="I1449" s="240" t="s">
        <v>1229</v>
      </c>
    </row>
    <row r="1450" spans="1:9" x14ac:dyDescent="0.25">
      <c r="A1450" s="230">
        <v>112683</v>
      </c>
      <c r="B1450" s="162" t="s">
        <v>338</v>
      </c>
      <c r="C1450" s="162" t="s">
        <v>5</v>
      </c>
      <c r="D1450" s="162" t="s">
        <v>0</v>
      </c>
      <c r="E1450" s="231">
        <v>43617</v>
      </c>
      <c r="F1450" s="117">
        <v>1016.96</v>
      </c>
      <c r="G1450" s="117">
        <f>SUMIF(CONFERÊNCIA!A:A,A1450,CONFERÊNCIA!J:J)</f>
        <v>1016.96</v>
      </c>
      <c r="H1450" s="119">
        <f t="shared" si="89"/>
        <v>0</v>
      </c>
      <c r="I1450" s="240" t="s">
        <v>1230</v>
      </c>
    </row>
    <row r="1451" spans="1:9" x14ac:dyDescent="0.25">
      <c r="A1451" s="230">
        <v>112805</v>
      </c>
      <c r="B1451" s="162" t="s">
        <v>423</v>
      </c>
      <c r="C1451" s="162" t="s">
        <v>424</v>
      </c>
      <c r="D1451" s="162" t="s">
        <v>1578</v>
      </c>
      <c r="E1451" s="231">
        <v>43617</v>
      </c>
      <c r="F1451" s="117">
        <v>1016.96</v>
      </c>
      <c r="G1451" s="117">
        <f>SUMIF(CONFERÊNCIA!A:A,A1451,CONFERÊNCIA!J:J)</f>
        <v>1016.96</v>
      </c>
      <c r="H1451" s="119">
        <f t="shared" si="89"/>
        <v>0</v>
      </c>
      <c r="I1451" s="240" t="s">
        <v>1229</v>
      </c>
    </row>
    <row r="1452" spans="1:9" x14ac:dyDescent="0.25">
      <c r="A1452" s="230">
        <v>112685</v>
      </c>
      <c r="B1452" s="162" t="s">
        <v>340</v>
      </c>
      <c r="C1452" s="162" t="s">
        <v>5</v>
      </c>
      <c r="D1452" s="162" t="s">
        <v>10</v>
      </c>
      <c r="E1452" s="231">
        <v>43617</v>
      </c>
      <c r="F1452" s="117">
        <v>1016.96</v>
      </c>
      <c r="G1452" s="117">
        <f>SUMIF(CONFERÊNCIA!A:A,A1452,CONFERÊNCIA!J:J)</f>
        <v>1016.96</v>
      </c>
      <c r="H1452" s="119">
        <f t="shared" si="89"/>
        <v>0</v>
      </c>
      <c r="I1452" s="240" t="s">
        <v>1229</v>
      </c>
    </row>
    <row r="1453" spans="1:9" ht="11" thickBot="1" x14ac:dyDescent="0.3">
      <c r="A1453" s="232">
        <v>112918</v>
      </c>
      <c r="B1453" s="233" t="s">
        <v>496</v>
      </c>
      <c r="C1453" s="233" t="s">
        <v>22</v>
      </c>
      <c r="D1453" s="233" t="s">
        <v>1578</v>
      </c>
      <c r="E1453" s="234">
        <v>43617</v>
      </c>
      <c r="F1453" s="237">
        <v>1016.96</v>
      </c>
      <c r="G1453" s="237">
        <f>SUMIF(CONFERÊNCIA!A:A,A1453,CONFERÊNCIA!J:J)</f>
        <v>1016.96</v>
      </c>
      <c r="H1453" s="238">
        <f t="shared" si="89"/>
        <v>0</v>
      </c>
      <c r="I1453" s="240" t="s">
        <v>1229</v>
      </c>
    </row>
    <row r="1454" spans="1:9" ht="26.25" customHeight="1" x14ac:dyDescent="0.25">
      <c r="F1454" s="253">
        <f>SUM(F2:F1453)</f>
        <v>1441755.1999999727</v>
      </c>
      <c r="G1454" s="252">
        <f>SUM(G2:G1453)</f>
        <v>1443275.1299999717</v>
      </c>
      <c r="H1454" s="267">
        <f>SUM(H2:H1453)</f>
        <v>1519.9299999999985</v>
      </c>
    </row>
  </sheetData>
  <autoFilter ref="A1:I1454" xr:uid="{E47DDFF4-D76C-47DE-B7AC-C433D173D5A1}"/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4</vt:i4>
      </vt:variant>
    </vt:vector>
  </HeadingPairs>
  <TitlesOfParts>
    <vt:vector size="14" baseType="lpstr">
      <vt:lpstr>CONFERÊNCIA</vt:lpstr>
      <vt:lpstr>FALTAS</vt:lpstr>
      <vt:lpstr>VA</vt:lpstr>
      <vt:lpstr>VR</vt:lpstr>
      <vt:lpstr>2vias</vt:lpstr>
      <vt:lpstr>RELATORIO</vt:lpstr>
      <vt:lpstr>RESUMO</vt:lpstr>
      <vt:lpstr>TABELA VA.VR </vt:lpstr>
      <vt:lpstr>TABELA</vt:lpstr>
      <vt:lpstr>MES A MES</vt:lpstr>
      <vt:lpstr>'2vias'!Area_de_impressao</vt:lpstr>
      <vt:lpstr>CONFERÊNCIA!Area_de_impressao</vt:lpstr>
      <vt:lpstr>RESUMO!Area_de_impressao</vt:lpstr>
      <vt:lpstr>'TABELA VA.VR 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Neto</dc:creator>
  <cp:lastModifiedBy>265</cp:lastModifiedBy>
  <cp:lastPrinted>2023-10-02T17:27:45Z</cp:lastPrinted>
  <dcterms:created xsi:type="dcterms:W3CDTF">2021-08-05T14:26:31Z</dcterms:created>
  <dcterms:modified xsi:type="dcterms:W3CDTF">2023-10-29T15:43:14Z</dcterms:modified>
</cp:coreProperties>
</file>